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defaultThemeVersion="202300"/>
  <mc:AlternateContent xmlns:mc="http://schemas.openxmlformats.org/markup-compatibility/2006">
    <mc:Choice Requires="x15">
      <x15ac:absPath xmlns:x15ac="http://schemas.microsoft.com/office/spreadsheetml/2010/11/ac" url="/Users/bismark/Desktop/10Alytics/Project/"/>
    </mc:Choice>
  </mc:AlternateContent>
  <xr:revisionPtr revIDLastSave="0" documentId="13_ncr:1_{F53BA161-7D11-C445-9D4A-18DDE39B44F0}" xr6:coauthVersionLast="47" xr6:coauthVersionMax="47" xr10:uidLastSave="{00000000-0000-0000-0000-000000000000}"/>
  <bookViews>
    <workbookView xWindow="0" yWindow="500" windowWidth="38400" windowHeight="21100" activeTab="2" xr2:uid="{E0A0B0D2-A58F-4DEC-B3D0-FD15399D2EA2}"/>
  </bookViews>
  <sheets>
    <sheet name="Sheet1" sheetId="10" r:id="rId1"/>
    <sheet name="Analysis" sheetId="8" r:id="rId2"/>
    <sheet name="Dashboarding" sheetId="9" r:id="rId3"/>
    <sheet name="Orders" sheetId="1" r:id="rId4"/>
    <sheet name="Customers" sheetId="2" r:id="rId5"/>
    <sheet name="Products" sheetId="3" r:id="rId6"/>
  </sheets>
  <definedNames>
    <definedName name="_xlnm._FilterDatabase" localSheetId="4" hidden="1">'Customers'!#REF!</definedName>
    <definedName name="_xlnm._FilterDatabase" localSheetId="3" hidden="1">Orders!$B$1:$B$2001</definedName>
    <definedName name="_xlnm._FilterDatabase" localSheetId="5" hidden="1">Products!$A$1:$A$1000</definedName>
    <definedName name="_xlchart.v5.0" hidden="1">Analysis!$D$33</definedName>
    <definedName name="_xlchart.v5.1" hidden="1">Analysis!$D$34:$D$39</definedName>
    <definedName name="_xlchart.v5.2" hidden="1">Analysis!$E$33</definedName>
    <definedName name="_xlchart.v5.3" hidden="1">Analysis!$E$34:$E$39</definedName>
    <definedName name="_xlchart.v5.4" hidden="1">Analysis!$D$33</definedName>
    <definedName name="_xlchart.v5.5" hidden="1">Analysis!$D$34:$D$39</definedName>
    <definedName name="_xlchart.v5.6" hidden="1">Analysis!$E$33</definedName>
    <definedName name="_xlchart.v5.7" hidden="1">Analysis!$E$34:$E$39</definedName>
    <definedName name="Expenses">Analysis!$B$5</definedName>
    <definedName name="Profit">Analysis!$B$6</definedName>
    <definedName name="Revenue">Analysis!$B$4</definedName>
    <definedName name="Slicer_CustomerCity">#N/A</definedName>
    <definedName name="Slicer_CustomerName">#N/A</definedName>
    <definedName name="Slicer_Gender">#N/A</definedName>
    <definedName name="Slicer_Product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D5" i="8"/>
  <c r="U7"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I2" i="1"/>
  <c r="K2" i="1" s="1"/>
  <c r="I3" i="1"/>
  <c r="K3" i="1" s="1"/>
  <c r="I4" i="1"/>
  <c r="K4" i="1" s="1"/>
  <c r="I5" i="1"/>
  <c r="K5" i="1" s="1"/>
  <c r="I6" i="1"/>
  <c r="K6" i="1" s="1"/>
  <c r="I7" i="1"/>
  <c r="K7" i="1" s="1"/>
  <c r="I8" i="1"/>
  <c r="K8" i="1" s="1"/>
  <c r="I9" i="1"/>
  <c r="K9" i="1" s="1"/>
  <c r="I10" i="1"/>
  <c r="K10" i="1" s="1"/>
  <c r="I11" i="1"/>
  <c r="K11" i="1" s="1"/>
  <c r="I12" i="1"/>
  <c r="K12" i="1" s="1"/>
  <c r="I13" i="1"/>
  <c r="K13" i="1" s="1"/>
  <c r="I14" i="1"/>
  <c r="K14" i="1" s="1"/>
  <c r="I15" i="1"/>
  <c r="K15" i="1" s="1"/>
  <c r="I16" i="1"/>
  <c r="K16" i="1" s="1"/>
  <c r="I17" i="1"/>
  <c r="K17" i="1" s="1"/>
  <c r="I18" i="1"/>
  <c r="K18" i="1" s="1"/>
  <c r="I19" i="1"/>
  <c r="K19" i="1" s="1"/>
  <c r="I20" i="1"/>
  <c r="K20" i="1" s="1"/>
  <c r="I21" i="1"/>
  <c r="K21" i="1" s="1"/>
  <c r="I22" i="1"/>
  <c r="K22" i="1" s="1"/>
  <c r="I23" i="1"/>
  <c r="K23" i="1" s="1"/>
  <c r="I24" i="1"/>
  <c r="K24" i="1" s="1"/>
  <c r="I25" i="1"/>
  <c r="K25" i="1" s="1"/>
  <c r="I26" i="1"/>
  <c r="K26" i="1" s="1"/>
  <c r="I27" i="1"/>
  <c r="K27" i="1" s="1"/>
  <c r="I28" i="1"/>
  <c r="K28" i="1" s="1"/>
  <c r="I29" i="1"/>
  <c r="K29" i="1" s="1"/>
  <c r="I30" i="1"/>
  <c r="K30" i="1" s="1"/>
  <c r="I31" i="1"/>
  <c r="K31" i="1" s="1"/>
  <c r="I32" i="1"/>
  <c r="K32" i="1" s="1"/>
  <c r="I33" i="1"/>
  <c r="K33" i="1" s="1"/>
  <c r="I34" i="1"/>
  <c r="K34" i="1" s="1"/>
  <c r="I35" i="1"/>
  <c r="K35" i="1" s="1"/>
  <c r="I36" i="1"/>
  <c r="K36" i="1" s="1"/>
  <c r="I37" i="1"/>
  <c r="K37" i="1" s="1"/>
  <c r="I38" i="1"/>
  <c r="K38" i="1" s="1"/>
  <c r="I39" i="1"/>
  <c r="K39" i="1" s="1"/>
  <c r="I40" i="1"/>
  <c r="K40" i="1" s="1"/>
  <c r="I41" i="1"/>
  <c r="K41" i="1" s="1"/>
  <c r="I42" i="1"/>
  <c r="K42" i="1" s="1"/>
  <c r="I43" i="1"/>
  <c r="K43" i="1" s="1"/>
  <c r="I44" i="1"/>
  <c r="K44" i="1" s="1"/>
  <c r="I45" i="1"/>
  <c r="K45" i="1" s="1"/>
  <c r="I46" i="1"/>
  <c r="K46" i="1" s="1"/>
  <c r="I47" i="1"/>
  <c r="K47" i="1" s="1"/>
  <c r="I48" i="1"/>
  <c r="K48" i="1" s="1"/>
  <c r="I49" i="1"/>
  <c r="K49" i="1" s="1"/>
  <c r="I50" i="1"/>
  <c r="K50" i="1" s="1"/>
  <c r="I51" i="1"/>
  <c r="K51" i="1" s="1"/>
  <c r="I52" i="1"/>
  <c r="K52" i="1" s="1"/>
  <c r="I53" i="1"/>
  <c r="K53" i="1" s="1"/>
  <c r="I54" i="1"/>
  <c r="K54" i="1" s="1"/>
  <c r="I55" i="1"/>
  <c r="K55" i="1" s="1"/>
  <c r="I56" i="1"/>
  <c r="K56" i="1" s="1"/>
  <c r="I57" i="1"/>
  <c r="K57" i="1" s="1"/>
  <c r="I58" i="1"/>
  <c r="K58" i="1" s="1"/>
  <c r="I59" i="1"/>
  <c r="K59" i="1" s="1"/>
  <c r="I60" i="1"/>
  <c r="K60" i="1" s="1"/>
  <c r="I61" i="1"/>
  <c r="K61" i="1" s="1"/>
  <c r="I62" i="1"/>
  <c r="K62" i="1" s="1"/>
  <c r="I63" i="1"/>
  <c r="K63" i="1" s="1"/>
  <c r="I64" i="1"/>
  <c r="K64" i="1" s="1"/>
  <c r="I65" i="1"/>
  <c r="K65" i="1" s="1"/>
  <c r="I66" i="1"/>
  <c r="K66" i="1" s="1"/>
  <c r="I67" i="1"/>
  <c r="K67" i="1" s="1"/>
  <c r="I68" i="1"/>
  <c r="K68" i="1" s="1"/>
  <c r="I69" i="1"/>
  <c r="K69" i="1" s="1"/>
  <c r="I70" i="1"/>
  <c r="K70" i="1" s="1"/>
  <c r="I71" i="1"/>
  <c r="K71" i="1" s="1"/>
  <c r="I72" i="1"/>
  <c r="K72" i="1" s="1"/>
  <c r="I73" i="1"/>
  <c r="K73" i="1" s="1"/>
  <c r="I74" i="1"/>
  <c r="K74" i="1" s="1"/>
  <c r="I75" i="1"/>
  <c r="K75" i="1" s="1"/>
  <c r="I76" i="1"/>
  <c r="K76" i="1" s="1"/>
  <c r="I77" i="1"/>
  <c r="K77" i="1" s="1"/>
  <c r="I78" i="1"/>
  <c r="K78" i="1" s="1"/>
  <c r="I79" i="1"/>
  <c r="K79" i="1" s="1"/>
  <c r="I80" i="1"/>
  <c r="K80" i="1" s="1"/>
  <c r="I81" i="1"/>
  <c r="K81" i="1" s="1"/>
  <c r="I82" i="1"/>
  <c r="K82" i="1" s="1"/>
  <c r="I83" i="1"/>
  <c r="K83" i="1" s="1"/>
  <c r="I84" i="1"/>
  <c r="K84" i="1" s="1"/>
  <c r="I85" i="1"/>
  <c r="K85" i="1" s="1"/>
  <c r="I86" i="1"/>
  <c r="K86" i="1" s="1"/>
  <c r="I87" i="1"/>
  <c r="K87" i="1" s="1"/>
  <c r="I88" i="1"/>
  <c r="K88" i="1" s="1"/>
  <c r="I89" i="1"/>
  <c r="K89" i="1" s="1"/>
  <c r="I90" i="1"/>
  <c r="K90" i="1" s="1"/>
  <c r="I91" i="1"/>
  <c r="K91" i="1" s="1"/>
  <c r="I92" i="1"/>
  <c r="K92" i="1" s="1"/>
  <c r="I93" i="1"/>
  <c r="K93" i="1" s="1"/>
  <c r="I94" i="1"/>
  <c r="K94" i="1" s="1"/>
  <c r="I95" i="1"/>
  <c r="K95" i="1" s="1"/>
  <c r="I96" i="1"/>
  <c r="K96" i="1" s="1"/>
  <c r="I97" i="1"/>
  <c r="K97" i="1" s="1"/>
  <c r="I98" i="1"/>
  <c r="K98" i="1" s="1"/>
  <c r="I99" i="1"/>
  <c r="K99" i="1" s="1"/>
  <c r="I100" i="1"/>
  <c r="K100" i="1" s="1"/>
  <c r="I101" i="1"/>
  <c r="K101" i="1" s="1"/>
  <c r="I102" i="1"/>
  <c r="K102" i="1" s="1"/>
  <c r="I103" i="1"/>
  <c r="K103" i="1" s="1"/>
  <c r="I104" i="1"/>
  <c r="K104" i="1" s="1"/>
  <c r="I105" i="1"/>
  <c r="K105" i="1" s="1"/>
  <c r="I106" i="1"/>
  <c r="K106" i="1" s="1"/>
  <c r="I107" i="1"/>
  <c r="K107" i="1" s="1"/>
  <c r="I108" i="1"/>
  <c r="K108" i="1" s="1"/>
  <c r="I109" i="1"/>
  <c r="K109" i="1" s="1"/>
  <c r="I110" i="1"/>
  <c r="K110" i="1" s="1"/>
  <c r="I111" i="1"/>
  <c r="K111" i="1" s="1"/>
  <c r="I112" i="1"/>
  <c r="K112" i="1" s="1"/>
  <c r="I113" i="1"/>
  <c r="K113" i="1" s="1"/>
  <c r="I114" i="1"/>
  <c r="K114" i="1" s="1"/>
  <c r="I115" i="1"/>
  <c r="K115" i="1" s="1"/>
  <c r="I116" i="1"/>
  <c r="K116" i="1" s="1"/>
  <c r="I117" i="1"/>
  <c r="K117" i="1" s="1"/>
  <c r="I118" i="1"/>
  <c r="K118" i="1" s="1"/>
  <c r="I119" i="1"/>
  <c r="K119" i="1" s="1"/>
  <c r="I120" i="1"/>
  <c r="K120" i="1" s="1"/>
  <c r="I121" i="1"/>
  <c r="K121" i="1" s="1"/>
  <c r="I122" i="1"/>
  <c r="K122" i="1" s="1"/>
  <c r="I123" i="1"/>
  <c r="K123" i="1" s="1"/>
  <c r="I124" i="1"/>
  <c r="K124" i="1" s="1"/>
  <c r="I125" i="1"/>
  <c r="K125" i="1" s="1"/>
  <c r="I126" i="1"/>
  <c r="K126" i="1" s="1"/>
  <c r="I127" i="1"/>
  <c r="K127" i="1" s="1"/>
  <c r="I128" i="1"/>
  <c r="K128" i="1" s="1"/>
  <c r="I129" i="1"/>
  <c r="K129" i="1" s="1"/>
  <c r="I130" i="1"/>
  <c r="K130" i="1" s="1"/>
  <c r="I131" i="1"/>
  <c r="K131" i="1" s="1"/>
  <c r="I132" i="1"/>
  <c r="K132" i="1" s="1"/>
  <c r="I133" i="1"/>
  <c r="K133" i="1" s="1"/>
  <c r="I134" i="1"/>
  <c r="K134" i="1" s="1"/>
  <c r="I135" i="1"/>
  <c r="K135" i="1" s="1"/>
  <c r="I136" i="1"/>
  <c r="K136" i="1" s="1"/>
  <c r="I137" i="1"/>
  <c r="K137" i="1" s="1"/>
  <c r="I138" i="1"/>
  <c r="K138" i="1" s="1"/>
  <c r="I139" i="1"/>
  <c r="K139" i="1" s="1"/>
  <c r="I140" i="1"/>
  <c r="K140" i="1" s="1"/>
  <c r="I141" i="1"/>
  <c r="K141" i="1" s="1"/>
  <c r="I142" i="1"/>
  <c r="K142" i="1" s="1"/>
  <c r="I143" i="1"/>
  <c r="K143" i="1" s="1"/>
  <c r="I144" i="1"/>
  <c r="K144" i="1" s="1"/>
  <c r="I145" i="1"/>
  <c r="K145" i="1" s="1"/>
  <c r="I146" i="1"/>
  <c r="K146" i="1" s="1"/>
  <c r="I147" i="1"/>
  <c r="K147" i="1" s="1"/>
  <c r="I148" i="1"/>
  <c r="K148" i="1" s="1"/>
  <c r="I149" i="1"/>
  <c r="K149" i="1" s="1"/>
  <c r="I150" i="1"/>
  <c r="K150" i="1" s="1"/>
  <c r="I151" i="1"/>
  <c r="K151" i="1" s="1"/>
  <c r="I152" i="1"/>
  <c r="K152" i="1" s="1"/>
  <c r="I153" i="1"/>
  <c r="K153" i="1" s="1"/>
  <c r="I154" i="1"/>
  <c r="K154" i="1" s="1"/>
  <c r="I155" i="1"/>
  <c r="K155" i="1" s="1"/>
  <c r="I156" i="1"/>
  <c r="K156" i="1" s="1"/>
  <c r="I157" i="1"/>
  <c r="K157" i="1" s="1"/>
  <c r="I158" i="1"/>
  <c r="K158" i="1" s="1"/>
  <c r="I159" i="1"/>
  <c r="K159" i="1" s="1"/>
  <c r="I160" i="1"/>
  <c r="K160" i="1" s="1"/>
  <c r="I161" i="1"/>
  <c r="K161" i="1" s="1"/>
  <c r="I162" i="1"/>
  <c r="K162" i="1" s="1"/>
  <c r="I163" i="1"/>
  <c r="K163" i="1" s="1"/>
  <c r="I164" i="1"/>
  <c r="K164" i="1" s="1"/>
  <c r="I165" i="1"/>
  <c r="K165" i="1" s="1"/>
  <c r="I166" i="1"/>
  <c r="K166" i="1" s="1"/>
  <c r="I167" i="1"/>
  <c r="K167" i="1" s="1"/>
  <c r="I168" i="1"/>
  <c r="K168" i="1" s="1"/>
  <c r="I169" i="1"/>
  <c r="K169" i="1" s="1"/>
  <c r="I170" i="1"/>
  <c r="K170" i="1" s="1"/>
  <c r="I171" i="1"/>
  <c r="K171" i="1" s="1"/>
  <c r="I172" i="1"/>
  <c r="K172" i="1" s="1"/>
  <c r="I173" i="1"/>
  <c r="K173" i="1" s="1"/>
  <c r="I174" i="1"/>
  <c r="K174" i="1" s="1"/>
  <c r="I175" i="1"/>
  <c r="K175" i="1" s="1"/>
  <c r="I176" i="1"/>
  <c r="K176" i="1" s="1"/>
  <c r="I177" i="1"/>
  <c r="K177" i="1" s="1"/>
  <c r="I178" i="1"/>
  <c r="K178" i="1" s="1"/>
  <c r="I179" i="1"/>
  <c r="K179" i="1" s="1"/>
  <c r="I180" i="1"/>
  <c r="K180" i="1" s="1"/>
  <c r="I181" i="1"/>
  <c r="K181" i="1" s="1"/>
  <c r="I182" i="1"/>
  <c r="K182" i="1" s="1"/>
  <c r="I183" i="1"/>
  <c r="K183" i="1" s="1"/>
  <c r="I184" i="1"/>
  <c r="K184" i="1" s="1"/>
  <c r="I185" i="1"/>
  <c r="K185" i="1" s="1"/>
  <c r="I186" i="1"/>
  <c r="K186" i="1" s="1"/>
  <c r="I187" i="1"/>
  <c r="K187" i="1" s="1"/>
  <c r="I188" i="1"/>
  <c r="K188" i="1" s="1"/>
  <c r="I189" i="1"/>
  <c r="K189" i="1" s="1"/>
  <c r="I190" i="1"/>
  <c r="K190" i="1" s="1"/>
  <c r="I191" i="1"/>
  <c r="K191" i="1" s="1"/>
  <c r="I192" i="1"/>
  <c r="K192" i="1" s="1"/>
  <c r="I193" i="1"/>
  <c r="K193" i="1" s="1"/>
  <c r="I194" i="1"/>
  <c r="K194" i="1" s="1"/>
  <c r="I195" i="1"/>
  <c r="K195" i="1" s="1"/>
  <c r="I196" i="1"/>
  <c r="K196" i="1" s="1"/>
  <c r="I197" i="1"/>
  <c r="K197" i="1" s="1"/>
  <c r="I198" i="1"/>
  <c r="K198" i="1" s="1"/>
  <c r="I199" i="1"/>
  <c r="K199" i="1" s="1"/>
  <c r="I200" i="1"/>
  <c r="K200" i="1" s="1"/>
  <c r="I201" i="1"/>
  <c r="K201" i="1" s="1"/>
  <c r="I202" i="1"/>
  <c r="K202" i="1" s="1"/>
  <c r="I203" i="1"/>
  <c r="K203" i="1" s="1"/>
  <c r="I204" i="1"/>
  <c r="K204" i="1" s="1"/>
  <c r="I205" i="1"/>
  <c r="K205" i="1" s="1"/>
  <c r="I206" i="1"/>
  <c r="K206" i="1" s="1"/>
  <c r="I207" i="1"/>
  <c r="K207" i="1" s="1"/>
  <c r="I208" i="1"/>
  <c r="K208" i="1" s="1"/>
  <c r="I209" i="1"/>
  <c r="K209" i="1" s="1"/>
  <c r="I210" i="1"/>
  <c r="K210" i="1" s="1"/>
  <c r="I211" i="1"/>
  <c r="K211" i="1" s="1"/>
  <c r="I212" i="1"/>
  <c r="K212" i="1" s="1"/>
  <c r="I213" i="1"/>
  <c r="K213" i="1" s="1"/>
  <c r="I214" i="1"/>
  <c r="K214" i="1" s="1"/>
  <c r="I215" i="1"/>
  <c r="K215" i="1" s="1"/>
  <c r="I216" i="1"/>
  <c r="K216" i="1" s="1"/>
  <c r="I217" i="1"/>
  <c r="K217" i="1" s="1"/>
  <c r="I218" i="1"/>
  <c r="K218" i="1" s="1"/>
  <c r="I219" i="1"/>
  <c r="K219" i="1" s="1"/>
  <c r="I220" i="1"/>
  <c r="K220" i="1" s="1"/>
  <c r="I221" i="1"/>
  <c r="K221" i="1" s="1"/>
  <c r="I222" i="1"/>
  <c r="K222" i="1" s="1"/>
  <c r="I223" i="1"/>
  <c r="K223" i="1" s="1"/>
  <c r="I224" i="1"/>
  <c r="K224" i="1" s="1"/>
  <c r="I225" i="1"/>
  <c r="K225" i="1" s="1"/>
  <c r="I226" i="1"/>
  <c r="K226" i="1" s="1"/>
  <c r="I227" i="1"/>
  <c r="K227" i="1" s="1"/>
  <c r="I228" i="1"/>
  <c r="K228" i="1" s="1"/>
  <c r="I229" i="1"/>
  <c r="K229" i="1" s="1"/>
  <c r="I230" i="1"/>
  <c r="K230" i="1" s="1"/>
  <c r="I231" i="1"/>
  <c r="K231" i="1" s="1"/>
  <c r="I232" i="1"/>
  <c r="K232" i="1" s="1"/>
  <c r="I233" i="1"/>
  <c r="K233" i="1" s="1"/>
  <c r="I234" i="1"/>
  <c r="K234" i="1" s="1"/>
  <c r="I235" i="1"/>
  <c r="K235" i="1" s="1"/>
  <c r="I236" i="1"/>
  <c r="K236" i="1" s="1"/>
  <c r="I237" i="1"/>
  <c r="K237" i="1" s="1"/>
  <c r="I238" i="1"/>
  <c r="K238" i="1" s="1"/>
  <c r="I239" i="1"/>
  <c r="K239" i="1" s="1"/>
  <c r="I240" i="1"/>
  <c r="K240" i="1" s="1"/>
  <c r="I241" i="1"/>
  <c r="K241" i="1" s="1"/>
  <c r="I242" i="1"/>
  <c r="K242" i="1" s="1"/>
  <c r="I243" i="1"/>
  <c r="K243" i="1" s="1"/>
  <c r="I244" i="1"/>
  <c r="K244" i="1" s="1"/>
  <c r="I245" i="1"/>
  <c r="K245" i="1" s="1"/>
  <c r="I246" i="1"/>
  <c r="K246" i="1" s="1"/>
  <c r="I247" i="1"/>
  <c r="K247" i="1" s="1"/>
  <c r="I248" i="1"/>
  <c r="K248" i="1" s="1"/>
  <c r="I249" i="1"/>
  <c r="K249" i="1" s="1"/>
  <c r="I250" i="1"/>
  <c r="K250" i="1" s="1"/>
  <c r="I251" i="1"/>
  <c r="K251" i="1" s="1"/>
  <c r="I252" i="1"/>
  <c r="K252" i="1" s="1"/>
  <c r="I253" i="1"/>
  <c r="K253" i="1" s="1"/>
  <c r="I254" i="1"/>
  <c r="K254" i="1" s="1"/>
  <c r="I255" i="1"/>
  <c r="K255" i="1" s="1"/>
  <c r="I256" i="1"/>
  <c r="K256" i="1" s="1"/>
  <c r="I257" i="1"/>
  <c r="K257" i="1" s="1"/>
  <c r="I258" i="1"/>
  <c r="K258" i="1" s="1"/>
  <c r="I259" i="1"/>
  <c r="K259" i="1" s="1"/>
  <c r="I260" i="1"/>
  <c r="K260" i="1" s="1"/>
  <c r="I261" i="1"/>
  <c r="K261" i="1" s="1"/>
  <c r="I262" i="1"/>
  <c r="K262" i="1" s="1"/>
  <c r="I263" i="1"/>
  <c r="K263" i="1" s="1"/>
  <c r="I264" i="1"/>
  <c r="K264" i="1" s="1"/>
  <c r="I265" i="1"/>
  <c r="K265" i="1" s="1"/>
  <c r="I266" i="1"/>
  <c r="K266" i="1" s="1"/>
  <c r="I267" i="1"/>
  <c r="K267" i="1" s="1"/>
  <c r="I268" i="1"/>
  <c r="K268" i="1" s="1"/>
  <c r="I269" i="1"/>
  <c r="K269" i="1" s="1"/>
  <c r="I270" i="1"/>
  <c r="K270" i="1" s="1"/>
  <c r="I271" i="1"/>
  <c r="K271" i="1" s="1"/>
  <c r="I272" i="1"/>
  <c r="K272" i="1" s="1"/>
  <c r="I273" i="1"/>
  <c r="K273" i="1" s="1"/>
  <c r="I274" i="1"/>
  <c r="K274" i="1" s="1"/>
  <c r="I275" i="1"/>
  <c r="K275" i="1" s="1"/>
  <c r="I276" i="1"/>
  <c r="K276" i="1" s="1"/>
  <c r="I277" i="1"/>
  <c r="K277" i="1" s="1"/>
  <c r="I278" i="1"/>
  <c r="K278" i="1" s="1"/>
  <c r="I279" i="1"/>
  <c r="K279" i="1" s="1"/>
  <c r="I280" i="1"/>
  <c r="K280" i="1" s="1"/>
  <c r="I281" i="1"/>
  <c r="K281" i="1" s="1"/>
  <c r="I282" i="1"/>
  <c r="K282" i="1" s="1"/>
  <c r="I283" i="1"/>
  <c r="K283" i="1" s="1"/>
  <c r="I284" i="1"/>
  <c r="K284" i="1" s="1"/>
  <c r="I285" i="1"/>
  <c r="K285" i="1" s="1"/>
  <c r="I286" i="1"/>
  <c r="K286" i="1" s="1"/>
  <c r="I287" i="1"/>
  <c r="K287" i="1" s="1"/>
  <c r="I288" i="1"/>
  <c r="K288" i="1" s="1"/>
  <c r="I289" i="1"/>
  <c r="K289" i="1" s="1"/>
  <c r="I290" i="1"/>
  <c r="K290" i="1" s="1"/>
  <c r="I291" i="1"/>
  <c r="K291" i="1" s="1"/>
  <c r="I292" i="1"/>
  <c r="K292" i="1" s="1"/>
  <c r="I293" i="1"/>
  <c r="K293" i="1" s="1"/>
  <c r="I294" i="1"/>
  <c r="K294" i="1" s="1"/>
  <c r="I295" i="1"/>
  <c r="K295" i="1" s="1"/>
  <c r="I296" i="1"/>
  <c r="K296" i="1" s="1"/>
  <c r="I297" i="1"/>
  <c r="K297" i="1" s="1"/>
  <c r="I298" i="1"/>
  <c r="K298" i="1" s="1"/>
  <c r="I299" i="1"/>
  <c r="K299" i="1" s="1"/>
  <c r="I300" i="1"/>
  <c r="K300" i="1" s="1"/>
  <c r="I301" i="1"/>
  <c r="K301" i="1" s="1"/>
  <c r="I302" i="1"/>
  <c r="K302" i="1" s="1"/>
  <c r="I303" i="1"/>
  <c r="K303" i="1" s="1"/>
  <c r="I304" i="1"/>
  <c r="K304" i="1" s="1"/>
  <c r="I305" i="1"/>
  <c r="K305" i="1" s="1"/>
  <c r="I306" i="1"/>
  <c r="K306" i="1" s="1"/>
  <c r="I307" i="1"/>
  <c r="K307" i="1" s="1"/>
  <c r="I308" i="1"/>
  <c r="K308" i="1" s="1"/>
  <c r="I309" i="1"/>
  <c r="K309" i="1" s="1"/>
  <c r="I310" i="1"/>
  <c r="K310" i="1" s="1"/>
  <c r="I311" i="1"/>
  <c r="K311" i="1" s="1"/>
  <c r="I312" i="1"/>
  <c r="K312" i="1" s="1"/>
  <c r="I313" i="1"/>
  <c r="K313" i="1" s="1"/>
  <c r="I314" i="1"/>
  <c r="K314" i="1" s="1"/>
  <c r="I315" i="1"/>
  <c r="K315" i="1" s="1"/>
  <c r="I316" i="1"/>
  <c r="K316" i="1" s="1"/>
  <c r="I317" i="1"/>
  <c r="K317" i="1" s="1"/>
  <c r="I318" i="1"/>
  <c r="K318" i="1" s="1"/>
  <c r="I319" i="1"/>
  <c r="K319" i="1" s="1"/>
  <c r="I320" i="1"/>
  <c r="K320" i="1" s="1"/>
  <c r="I321" i="1"/>
  <c r="K321" i="1" s="1"/>
  <c r="I322" i="1"/>
  <c r="K322" i="1" s="1"/>
  <c r="I323" i="1"/>
  <c r="K323" i="1" s="1"/>
  <c r="I324" i="1"/>
  <c r="K324" i="1" s="1"/>
  <c r="I325" i="1"/>
  <c r="K325" i="1" s="1"/>
  <c r="I326" i="1"/>
  <c r="K326" i="1" s="1"/>
  <c r="I327" i="1"/>
  <c r="K327" i="1" s="1"/>
  <c r="I328" i="1"/>
  <c r="K328" i="1" s="1"/>
  <c r="I329" i="1"/>
  <c r="K329" i="1" s="1"/>
  <c r="I330" i="1"/>
  <c r="K330" i="1" s="1"/>
  <c r="I331" i="1"/>
  <c r="K331" i="1" s="1"/>
  <c r="I332" i="1"/>
  <c r="K332" i="1" s="1"/>
  <c r="I333" i="1"/>
  <c r="K333" i="1" s="1"/>
  <c r="I334" i="1"/>
  <c r="K334" i="1" s="1"/>
  <c r="I335" i="1"/>
  <c r="K335" i="1" s="1"/>
  <c r="I336" i="1"/>
  <c r="K336" i="1" s="1"/>
  <c r="I337" i="1"/>
  <c r="K337" i="1" s="1"/>
  <c r="I338" i="1"/>
  <c r="K338" i="1" s="1"/>
  <c r="I339" i="1"/>
  <c r="K339" i="1" s="1"/>
  <c r="I340" i="1"/>
  <c r="K340" i="1" s="1"/>
  <c r="I341" i="1"/>
  <c r="K341" i="1" s="1"/>
  <c r="I342" i="1"/>
  <c r="K342" i="1" s="1"/>
  <c r="I343" i="1"/>
  <c r="K343" i="1" s="1"/>
  <c r="I344" i="1"/>
  <c r="K344" i="1" s="1"/>
  <c r="I345" i="1"/>
  <c r="K345" i="1" s="1"/>
  <c r="I346" i="1"/>
  <c r="K346" i="1" s="1"/>
  <c r="I347" i="1"/>
  <c r="K347" i="1" s="1"/>
  <c r="I348" i="1"/>
  <c r="K348" i="1" s="1"/>
  <c r="I349" i="1"/>
  <c r="K349" i="1" s="1"/>
  <c r="I350" i="1"/>
  <c r="K350" i="1" s="1"/>
  <c r="I351" i="1"/>
  <c r="K351" i="1" s="1"/>
  <c r="I352" i="1"/>
  <c r="K352" i="1" s="1"/>
  <c r="I353" i="1"/>
  <c r="K353" i="1" s="1"/>
  <c r="I354" i="1"/>
  <c r="K354" i="1" s="1"/>
  <c r="I355" i="1"/>
  <c r="K355" i="1" s="1"/>
  <c r="I356" i="1"/>
  <c r="K356" i="1" s="1"/>
  <c r="I357" i="1"/>
  <c r="K357" i="1" s="1"/>
  <c r="I358" i="1"/>
  <c r="K358" i="1" s="1"/>
  <c r="I359" i="1"/>
  <c r="K359" i="1" s="1"/>
  <c r="I360" i="1"/>
  <c r="K360" i="1" s="1"/>
  <c r="I361" i="1"/>
  <c r="K361" i="1" s="1"/>
  <c r="I362" i="1"/>
  <c r="K362" i="1" s="1"/>
  <c r="I363" i="1"/>
  <c r="K363" i="1" s="1"/>
  <c r="I364" i="1"/>
  <c r="K364" i="1" s="1"/>
  <c r="I365" i="1"/>
  <c r="K365" i="1" s="1"/>
  <c r="I366" i="1"/>
  <c r="K366" i="1" s="1"/>
  <c r="I367" i="1"/>
  <c r="K367" i="1" s="1"/>
  <c r="I368" i="1"/>
  <c r="K368" i="1" s="1"/>
  <c r="I369" i="1"/>
  <c r="K369" i="1" s="1"/>
  <c r="I370" i="1"/>
  <c r="K370" i="1" s="1"/>
  <c r="I371" i="1"/>
  <c r="K371" i="1" s="1"/>
  <c r="I372" i="1"/>
  <c r="K372" i="1" s="1"/>
  <c r="I373" i="1"/>
  <c r="K373" i="1" s="1"/>
  <c r="I374" i="1"/>
  <c r="K374" i="1" s="1"/>
  <c r="I375" i="1"/>
  <c r="K375" i="1" s="1"/>
  <c r="I376" i="1"/>
  <c r="K376" i="1" s="1"/>
  <c r="I377" i="1"/>
  <c r="K377" i="1" s="1"/>
  <c r="I378" i="1"/>
  <c r="K378" i="1" s="1"/>
  <c r="I379" i="1"/>
  <c r="K379" i="1" s="1"/>
  <c r="I380" i="1"/>
  <c r="K380" i="1" s="1"/>
  <c r="I381" i="1"/>
  <c r="K381" i="1" s="1"/>
  <c r="I382" i="1"/>
  <c r="K382" i="1" s="1"/>
  <c r="I383" i="1"/>
  <c r="K383" i="1" s="1"/>
  <c r="I384" i="1"/>
  <c r="K384" i="1" s="1"/>
  <c r="I385" i="1"/>
  <c r="K385" i="1" s="1"/>
  <c r="I386" i="1"/>
  <c r="K386" i="1" s="1"/>
  <c r="I387" i="1"/>
  <c r="K387" i="1" s="1"/>
  <c r="I388" i="1"/>
  <c r="K388" i="1" s="1"/>
  <c r="I389" i="1"/>
  <c r="K389" i="1" s="1"/>
  <c r="I390" i="1"/>
  <c r="K390" i="1" s="1"/>
  <c r="I391" i="1"/>
  <c r="K391" i="1" s="1"/>
  <c r="I392" i="1"/>
  <c r="K392" i="1" s="1"/>
  <c r="I393" i="1"/>
  <c r="K393" i="1" s="1"/>
  <c r="I394" i="1"/>
  <c r="K394" i="1" s="1"/>
  <c r="I395" i="1"/>
  <c r="K395" i="1" s="1"/>
  <c r="I396" i="1"/>
  <c r="K396" i="1" s="1"/>
  <c r="I397" i="1"/>
  <c r="K397" i="1" s="1"/>
  <c r="I398" i="1"/>
  <c r="K398" i="1" s="1"/>
  <c r="I399" i="1"/>
  <c r="K399" i="1" s="1"/>
  <c r="I400" i="1"/>
  <c r="K400" i="1" s="1"/>
  <c r="I401" i="1"/>
  <c r="K401" i="1" s="1"/>
  <c r="I402" i="1"/>
  <c r="K402" i="1" s="1"/>
  <c r="I403" i="1"/>
  <c r="K403" i="1" s="1"/>
  <c r="I404" i="1"/>
  <c r="K404" i="1" s="1"/>
  <c r="I405" i="1"/>
  <c r="K405" i="1" s="1"/>
  <c r="I406" i="1"/>
  <c r="K406" i="1" s="1"/>
  <c r="I407" i="1"/>
  <c r="K407" i="1" s="1"/>
  <c r="I408" i="1"/>
  <c r="K408" i="1" s="1"/>
  <c r="I409" i="1"/>
  <c r="K409" i="1" s="1"/>
  <c r="I410" i="1"/>
  <c r="K410" i="1" s="1"/>
  <c r="I411" i="1"/>
  <c r="K411" i="1" s="1"/>
  <c r="I412" i="1"/>
  <c r="K412" i="1" s="1"/>
  <c r="I413" i="1"/>
  <c r="K413" i="1" s="1"/>
  <c r="I414" i="1"/>
  <c r="K414" i="1" s="1"/>
  <c r="I415" i="1"/>
  <c r="K415" i="1" s="1"/>
  <c r="I416" i="1"/>
  <c r="K416" i="1" s="1"/>
  <c r="I417" i="1"/>
  <c r="K417" i="1" s="1"/>
  <c r="I418" i="1"/>
  <c r="K418" i="1" s="1"/>
  <c r="I419" i="1"/>
  <c r="K419" i="1" s="1"/>
  <c r="I420" i="1"/>
  <c r="K420" i="1" s="1"/>
  <c r="I421" i="1"/>
  <c r="K421" i="1" s="1"/>
  <c r="I422" i="1"/>
  <c r="K422" i="1" s="1"/>
  <c r="I423" i="1"/>
  <c r="K423" i="1" s="1"/>
  <c r="I424" i="1"/>
  <c r="K424" i="1" s="1"/>
  <c r="I425" i="1"/>
  <c r="K425" i="1" s="1"/>
  <c r="I426" i="1"/>
  <c r="K426" i="1" s="1"/>
  <c r="I427" i="1"/>
  <c r="K427" i="1" s="1"/>
  <c r="I428" i="1"/>
  <c r="K428" i="1" s="1"/>
  <c r="I429" i="1"/>
  <c r="K429" i="1" s="1"/>
  <c r="I430" i="1"/>
  <c r="K430" i="1" s="1"/>
  <c r="I431" i="1"/>
  <c r="K431" i="1" s="1"/>
  <c r="I432" i="1"/>
  <c r="K432" i="1" s="1"/>
  <c r="I433" i="1"/>
  <c r="K433" i="1" s="1"/>
  <c r="I434" i="1"/>
  <c r="K434" i="1" s="1"/>
  <c r="I435" i="1"/>
  <c r="K435" i="1" s="1"/>
  <c r="I436" i="1"/>
  <c r="K436" i="1" s="1"/>
  <c r="I437" i="1"/>
  <c r="K437" i="1" s="1"/>
  <c r="I438" i="1"/>
  <c r="K438" i="1" s="1"/>
  <c r="I439" i="1"/>
  <c r="K439" i="1" s="1"/>
  <c r="I440" i="1"/>
  <c r="K440" i="1" s="1"/>
  <c r="I441" i="1"/>
  <c r="K441" i="1" s="1"/>
  <c r="I442" i="1"/>
  <c r="K442" i="1" s="1"/>
  <c r="I443" i="1"/>
  <c r="K443" i="1" s="1"/>
  <c r="I444" i="1"/>
  <c r="K444" i="1" s="1"/>
  <c r="I445" i="1"/>
  <c r="K445" i="1" s="1"/>
  <c r="I446" i="1"/>
  <c r="K446" i="1" s="1"/>
  <c r="I447" i="1"/>
  <c r="K447" i="1" s="1"/>
  <c r="I448" i="1"/>
  <c r="K448" i="1" s="1"/>
  <c r="I449" i="1"/>
  <c r="K449" i="1" s="1"/>
  <c r="I450" i="1"/>
  <c r="K450" i="1" s="1"/>
  <c r="I451" i="1"/>
  <c r="K451" i="1" s="1"/>
  <c r="I452" i="1"/>
  <c r="K452" i="1" s="1"/>
  <c r="I453" i="1"/>
  <c r="K453" i="1" s="1"/>
  <c r="I454" i="1"/>
  <c r="K454" i="1" s="1"/>
  <c r="I455" i="1"/>
  <c r="K455" i="1" s="1"/>
  <c r="I456" i="1"/>
  <c r="K456" i="1" s="1"/>
  <c r="I457" i="1"/>
  <c r="K457" i="1" s="1"/>
  <c r="I458" i="1"/>
  <c r="K458" i="1" s="1"/>
  <c r="I459" i="1"/>
  <c r="K459" i="1" s="1"/>
  <c r="I460" i="1"/>
  <c r="K460" i="1" s="1"/>
  <c r="I461" i="1"/>
  <c r="K461" i="1" s="1"/>
  <c r="I462" i="1"/>
  <c r="K462" i="1" s="1"/>
  <c r="I463" i="1"/>
  <c r="K463" i="1" s="1"/>
  <c r="I464" i="1"/>
  <c r="K464" i="1" s="1"/>
  <c r="I465" i="1"/>
  <c r="K465" i="1" s="1"/>
  <c r="I466" i="1"/>
  <c r="K466" i="1" s="1"/>
  <c r="I467" i="1"/>
  <c r="K467" i="1" s="1"/>
  <c r="I468" i="1"/>
  <c r="K468" i="1" s="1"/>
  <c r="I469" i="1"/>
  <c r="K469" i="1" s="1"/>
  <c r="I470" i="1"/>
  <c r="K470" i="1" s="1"/>
  <c r="I471" i="1"/>
  <c r="K471" i="1" s="1"/>
  <c r="I472" i="1"/>
  <c r="K472" i="1" s="1"/>
  <c r="I473" i="1"/>
  <c r="K473" i="1" s="1"/>
  <c r="I474" i="1"/>
  <c r="K474" i="1" s="1"/>
  <c r="I475" i="1"/>
  <c r="K475" i="1" s="1"/>
  <c r="I476" i="1"/>
  <c r="K476" i="1" s="1"/>
  <c r="I477" i="1"/>
  <c r="K477" i="1" s="1"/>
  <c r="I478" i="1"/>
  <c r="K478" i="1" s="1"/>
  <c r="I479" i="1"/>
  <c r="K479" i="1" s="1"/>
  <c r="I480" i="1"/>
  <c r="K480" i="1" s="1"/>
  <c r="I481" i="1"/>
  <c r="K481" i="1" s="1"/>
  <c r="I482" i="1"/>
  <c r="K482" i="1" s="1"/>
  <c r="I483" i="1"/>
  <c r="K483" i="1" s="1"/>
  <c r="I484" i="1"/>
  <c r="K484" i="1" s="1"/>
  <c r="I485" i="1"/>
  <c r="K485" i="1" s="1"/>
  <c r="I486" i="1"/>
  <c r="K486" i="1" s="1"/>
  <c r="I487" i="1"/>
  <c r="K487" i="1" s="1"/>
  <c r="I488" i="1"/>
  <c r="K488" i="1" s="1"/>
  <c r="I489" i="1"/>
  <c r="K489" i="1" s="1"/>
  <c r="I490" i="1"/>
  <c r="K490" i="1" s="1"/>
  <c r="I491" i="1"/>
  <c r="K491" i="1" s="1"/>
  <c r="I492" i="1"/>
  <c r="K492" i="1" s="1"/>
  <c r="I493" i="1"/>
  <c r="K493" i="1" s="1"/>
  <c r="I494" i="1"/>
  <c r="K494" i="1" s="1"/>
  <c r="I495" i="1"/>
  <c r="K495" i="1" s="1"/>
  <c r="I496" i="1"/>
  <c r="K496" i="1" s="1"/>
  <c r="I497" i="1"/>
  <c r="K497" i="1" s="1"/>
  <c r="I498" i="1"/>
  <c r="K498" i="1" s="1"/>
  <c r="I499" i="1"/>
  <c r="K499" i="1" s="1"/>
  <c r="I500" i="1"/>
  <c r="K500" i="1" s="1"/>
  <c r="I501" i="1"/>
  <c r="K501" i="1" s="1"/>
  <c r="I502" i="1"/>
  <c r="K502" i="1" s="1"/>
  <c r="I503" i="1"/>
  <c r="K503" i="1" s="1"/>
  <c r="I504" i="1"/>
  <c r="K504" i="1" s="1"/>
  <c r="I505" i="1"/>
  <c r="K505" i="1" s="1"/>
  <c r="I506" i="1"/>
  <c r="K506" i="1" s="1"/>
  <c r="I507" i="1"/>
  <c r="K507" i="1" s="1"/>
  <c r="I508" i="1"/>
  <c r="K508" i="1" s="1"/>
  <c r="I509" i="1"/>
  <c r="K509" i="1" s="1"/>
  <c r="I510" i="1"/>
  <c r="K510" i="1" s="1"/>
  <c r="I511" i="1"/>
  <c r="K511" i="1" s="1"/>
  <c r="I512" i="1"/>
  <c r="K512" i="1" s="1"/>
  <c r="I513" i="1"/>
  <c r="K513" i="1" s="1"/>
  <c r="I514" i="1"/>
  <c r="K514" i="1" s="1"/>
  <c r="I515" i="1"/>
  <c r="K515" i="1" s="1"/>
  <c r="I516" i="1"/>
  <c r="K516" i="1" s="1"/>
  <c r="I517" i="1"/>
  <c r="K517" i="1" s="1"/>
  <c r="I518" i="1"/>
  <c r="K518" i="1" s="1"/>
  <c r="I519" i="1"/>
  <c r="K519" i="1" s="1"/>
  <c r="I520" i="1"/>
  <c r="K520" i="1" s="1"/>
  <c r="I521" i="1"/>
  <c r="K521" i="1" s="1"/>
  <c r="I522" i="1"/>
  <c r="K522" i="1" s="1"/>
  <c r="I523" i="1"/>
  <c r="K523" i="1" s="1"/>
  <c r="I524" i="1"/>
  <c r="K524" i="1" s="1"/>
  <c r="I525" i="1"/>
  <c r="K525" i="1" s="1"/>
  <c r="I526" i="1"/>
  <c r="K526" i="1" s="1"/>
  <c r="I527" i="1"/>
  <c r="K527" i="1" s="1"/>
  <c r="I528" i="1"/>
  <c r="K528" i="1" s="1"/>
  <c r="I529" i="1"/>
  <c r="K529" i="1" s="1"/>
  <c r="I530" i="1"/>
  <c r="K530" i="1" s="1"/>
  <c r="I531" i="1"/>
  <c r="K531" i="1" s="1"/>
  <c r="I532" i="1"/>
  <c r="K532" i="1" s="1"/>
  <c r="I533" i="1"/>
  <c r="K533" i="1" s="1"/>
  <c r="I534" i="1"/>
  <c r="K534" i="1" s="1"/>
  <c r="I535" i="1"/>
  <c r="K535" i="1" s="1"/>
  <c r="I536" i="1"/>
  <c r="K536" i="1" s="1"/>
  <c r="I537" i="1"/>
  <c r="K537" i="1" s="1"/>
  <c r="I538" i="1"/>
  <c r="K538" i="1" s="1"/>
  <c r="I539" i="1"/>
  <c r="K539" i="1" s="1"/>
  <c r="I540" i="1"/>
  <c r="K540" i="1" s="1"/>
  <c r="I541" i="1"/>
  <c r="K541" i="1" s="1"/>
  <c r="I542" i="1"/>
  <c r="K542" i="1" s="1"/>
  <c r="I543" i="1"/>
  <c r="K543" i="1" s="1"/>
  <c r="I544" i="1"/>
  <c r="K544" i="1" s="1"/>
  <c r="I545" i="1"/>
  <c r="K545" i="1" s="1"/>
  <c r="I546" i="1"/>
  <c r="K546" i="1" s="1"/>
  <c r="I547" i="1"/>
  <c r="K547" i="1" s="1"/>
  <c r="I548" i="1"/>
  <c r="K548" i="1" s="1"/>
  <c r="I549" i="1"/>
  <c r="K549" i="1" s="1"/>
  <c r="I550" i="1"/>
  <c r="K550" i="1" s="1"/>
  <c r="I551" i="1"/>
  <c r="K551" i="1" s="1"/>
  <c r="I552" i="1"/>
  <c r="K552" i="1" s="1"/>
  <c r="I553" i="1"/>
  <c r="K553" i="1" s="1"/>
  <c r="I554" i="1"/>
  <c r="K554" i="1" s="1"/>
  <c r="I555" i="1"/>
  <c r="K555" i="1" s="1"/>
  <c r="I556" i="1"/>
  <c r="K556" i="1" s="1"/>
  <c r="I557" i="1"/>
  <c r="K557" i="1" s="1"/>
  <c r="I558" i="1"/>
  <c r="K558" i="1" s="1"/>
  <c r="I559" i="1"/>
  <c r="K559" i="1" s="1"/>
  <c r="I560" i="1"/>
  <c r="K560" i="1" s="1"/>
  <c r="I561" i="1"/>
  <c r="K561" i="1" s="1"/>
  <c r="I562" i="1"/>
  <c r="K562" i="1" s="1"/>
  <c r="I563" i="1"/>
  <c r="K563" i="1" s="1"/>
  <c r="I564" i="1"/>
  <c r="K564" i="1" s="1"/>
  <c r="I565" i="1"/>
  <c r="K565" i="1" s="1"/>
  <c r="I566" i="1"/>
  <c r="K566" i="1" s="1"/>
  <c r="I567" i="1"/>
  <c r="K567" i="1" s="1"/>
  <c r="I568" i="1"/>
  <c r="K568" i="1" s="1"/>
  <c r="I569" i="1"/>
  <c r="K569" i="1" s="1"/>
  <c r="I570" i="1"/>
  <c r="K570" i="1" s="1"/>
  <c r="I571" i="1"/>
  <c r="K571" i="1" s="1"/>
  <c r="I572" i="1"/>
  <c r="K572" i="1" s="1"/>
  <c r="I573" i="1"/>
  <c r="K573" i="1" s="1"/>
  <c r="I574" i="1"/>
  <c r="K574" i="1" s="1"/>
  <c r="I575" i="1"/>
  <c r="K575" i="1" s="1"/>
  <c r="I576" i="1"/>
  <c r="K576" i="1" s="1"/>
  <c r="I577" i="1"/>
  <c r="K577" i="1" s="1"/>
  <c r="I578" i="1"/>
  <c r="K578" i="1" s="1"/>
  <c r="I579" i="1"/>
  <c r="K579" i="1" s="1"/>
  <c r="I580" i="1"/>
  <c r="K580" i="1" s="1"/>
  <c r="I581" i="1"/>
  <c r="K581" i="1" s="1"/>
  <c r="I582" i="1"/>
  <c r="K582" i="1" s="1"/>
  <c r="I583" i="1"/>
  <c r="K583" i="1" s="1"/>
  <c r="I584" i="1"/>
  <c r="K584" i="1" s="1"/>
  <c r="I585" i="1"/>
  <c r="K585" i="1" s="1"/>
  <c r="I586" i="1"/>
  <c r="K586" i="1" s="1"/>
  <c r="I587" i="1"/>
  <c r="K587" i="1" s="1"/>
  <c r="I588" i="1"/>
  <c r="K588" i="1" s="1"/>
  <c r="I589" i="1"/>
  <c r="K589" i="1" s="1"/>
  <c r="I590" i="1"/>
  <c r="K590" i="1" s="1"/>
  <c r="I591" i="1"/>
  <c r="K591" i="1" s="1"/>
  <c r="I592" i="1"/>
  <c r="K592" i="1" s="1"/>
  <c r="I593" i="1"/>
  <c r="K593" i="1" s="1"/>
  <c r="I594" i="1"/>
  <c r="K594" i="1" s="1"/>
  <c r="I595" i="1"/>
  <c r="K595" i="1" s="1"/>
  <c r="I596" i="1"/>
  <c r="K596" i="1" s="1"/>
  <c r="I597" i="1"/>
  <c r="K597" i="1" s="1"/>
  <c r="I598" i="1"/>
  <c r="K598" i="1" s="1"/>
  <c r="I599" i="1"/>
  <c r="K599" i="1" s="1"/>
  <c r="I600" i="1"/>
  <c r="K600" i="1" s="1"/>
  <c r="I601" i="1"/>
  <c r="K601" i="1" s="1"/>
  <c r="I602" i="1"/>
  <c r="K602" i="1" s="1"/>
  <c r="I603" i="1"/>
  <c r="K603" i="1" s="1"/>
  <c r="I604" i="1"/>
  <c r="K604" i="1" s="1"/>
  <c r="I605" i="1"/>
  <c r="K605" i="1" s="1"/>
  <c r="I606" i="1"/>
  <c r="K606" i="1" s="1"/>
  <c r="I607" i="1"/>
  <c r="K607" i="1" s="1"/>
  <c r="I608" i="1"/>
  <c r="K608" i="1" s="1"/>
  <c r="I609" i="1"/>
  <c r="K609" i="1" s="1"/>
  <c r="I610" i="1"/>
  <c r="K610" i="1" s="1"/>
  <c r="I611" i="1"/>
  <c r="K611" i="1" s="1"/>
  <c r="I612" i="1"/>
  <c r="K612" i="1" s="1"/>
  <c r="I613" i="1"/>
  <c r="K613" i="1" s="1"/>
  <c r="I614" i="1"/>
  <c r="K614" i="1" s="1"/>
  <c r="I615" i="1"/>
  <c r="K615" i="1" s="1"/>
  <c r="I616" i="1"/>
  <c r="K616" i="1" s="1"/>
  <c r="I617" i="1"/>
  <c r="K617" i="1" s="1"/>
  <c r="I618" i="1"/>
  <c r="K618" i="1" s="1"/>
  <c r="I619" i="1"/>
  <c r="K619" i="1" s="1"/>
  <c r="I620" i="1"/>
  <c r="K620" i="1" s="1"/>
  <c r="I621" i="1"/>
  <c r="K621" i="1" s="1"/>
  <c r="I622" i="1"/>
  <c r="K622" i="1" s="1"/>
  <c r="I623" i="1"/>
  <c r="K623" i="1" s="1"/>
  <c r="I624" i="1"/>
  <c r="K624" i="1" s="1"/>
  <c r="I625" i="1"/>
  <c r="K625" i="1" s="1"/>
  <c r="I626" i="1"/>
  <c r="K626" i="1" s="1"/>
  <c r="I627" i="1"/>
  <c r="K627" i="1" s="1"/>
  <c r="I628" i="1"/>
  <c r="K628" i="1" s="1"/>
  <c r="I629" i="1"/>
  <c r="K629" i="1" s="1"/>
  <c r="I630" i="1"/>
  <c r="K630" i="1" s="1"/>
  <c r="I631" i="1"/>
  <c r="K631" i="1" s="1"/>
  <c r="I632" i="1"/>
  <c r="K632" i="1" s="1"/>
  <c r="I633" i="1"/>
  <c r="K633" i="1" s="1"/>
  <c r="I634" i="1"/>
  <c r="K634" i="1" s="1"/>
  <c r="I635" i="1"/>
  <c r="K635" i="1" s="1"/>
  <c r="I636" i="1"/>
  <c r="K636" i="1" s="1"/>
  <c r="I637" i="1"/>
  <c r="K637" i="1" s="1"/>
  <c r="I638" i="1"/>
  <c r="K638" i="1" s="1"/>
  <c r="I639" i="1"/>
  <c r="K639" i="1" s="1"/>
  <c r="I640" i="1"/>
  <c r="K640" i="1" s="1"/>
  <c r="I641" i="1"/>
  <c r="K641" i="1" s="1"/>
  <c r="I642" i="1"/>
  <c r="K642" i="1" s="1"/>
  <c r="I643" i="1"/>
  <c r="K643" i="1" s="1"/>
  <c r="I644" i="1"/>
  <c r="K644" i="1" s="1"/>
  <c r="I645" i="1"/>
  <c r="K645" i="1" s="1"/>
  <c r="I646" i="1"/>
  <c r="K646" i="1" s="1"/>
  <c r="I647" i="1"/>
  <c r="K647" i="1" s="1"/>
  <c r="I648" i="1"/>
  <c r="K648" i="1" s="1"/>
  <c r="I649" i="1"/>
  <c r="K649" i="1" s="1"/>
  <c r="I650" i="1"/>
  <c r="K650" i="1" s="1"/>
  <c r="I651" i="1"/>
  <c r="K651" i="1" s="1"/>
  <c r="I652" i="1"/>
  <c r="K652" i="1" s="1"/>
  <c r="I653" i="1"/>
  <c r="K653" i="1" s="1"/>
  <c r="I654" i="1"/>
  <c r="K654" i="1" s="1"/>
  <c r="I655" i="1"/>
  <c r="K655" i="1" s="1"/>
  <c r="I656" i="1"/>
  <c r="K656" i="1" s="1"/>
  <c r="I657" i="1"/>
  <c r="K657" i="1" s="1"/>
  <c r="I658" i="1"/>
  <c r="K658" i="1" s="1"/>
  <c r="I659" i="1"/>
  <c r="K659" i="1" s="1"/>
  <c r="I660" i="1"/>
  <c r="K660" i="1" s="1"/>
  <c r="I661" i="1"/>
  <c r="K661" i="1" s="1"/>
  <c r="I662" i="1"/>
  <c r="K662" i="1" s="1"/>
  <c r="I663" i="1"/>
  <c r="K663" i="1" s="1"/>
  <c r="I664" i="1"/>
  <c r="K664" i="1" s="1"/>
  <c r="I665" i="1"/>
  <c r="K665" i="1" s="1"/>
  <c r="I666" i="1"/>
  <c r="K666" i="1" s="1"/>
  <c r="I667" i="1"/>
  <c r="K667" i="1" s="1"/>
  <c r="I668" i="1"/>
  <c r="K668" i="1" s="1"/>
  <c r="I669" i="1"/>
  <c r="K669" i="1" s="1"/>
  <c r="I670" i="1"/>
  <c r="K670" i="1" s="1"/>
  <c r="I671" i="1"/>
  <c r="K671" i="1" s="1"/>
  <c r="I672" i="1"/>
  <c r="K672" i="1" s="1"/>
  <c r="I673" i="1"/>
  <c r="K673" i="1" s="1"/>
  <c r="I674" i="1"/>
  <c r="K674" i="1" s="1"/>
  <c r="I675" i="1"/>
  <c r="K675" i="1" s="1"/>
  <c r="I676" i="1"/>
  <c r="K676" i="1" s="1"/>
  <c r="I677" i="1"/>
  <c r="K677" i="1" s="1"/>
  <c r="I678" i="1"/>
  <c r="K678" i="1" s="1"/>
  <c r="I679" i="1"/>
  <c r="K679" i="1" s="1"/>
  <c r="I680" i="1"/>
  <c r="K680" i="1" s="1"/>
  <c r="I681" i="1"/>
  <c r="K681" i="1" s="1"/>
  <c r="I682" i="1"/>
  <c r="K682" i="1" s="1"/>
  <c r="I683" i="1"/>
  <c r="K683" i="1" s="1"/>
  <c r="I684" i="1"/>
  <c r="K684" i="1" s="1"/>
  <c r="I685" i="1"/>
  <c r="K685" i="1" s="1"/>
  <c r="I686" i="1"/>
  <c r="K686" i="1" s="1"/>
  <c r="I687" i="1"/>
  <c r="K687" i="1" s="1"/>
  <c r="I688" i="1"/>
  <c r="K688" i="1" s="1"/>
  <c r="I689" i="1"/>
  <c r="K689" i="1" s="1"/>
  <c r="I690" i="1"/>
  <c r="K690" i="1" s="1"/>
  <c r="I691" i="1"/>
  <c r="K691" i="1" s="1"/>
  <c r="I692" i="1"/>
  <c r="K692" i="1" s="1"/>
  <c r="I693" i="1"/>
  <c r="K693" i="1" s="1"/>
  <c r="I694" i="1"/>
  <c r="K694" i="1" s="1"/>
  <c r="I695" i="1"/>
  <c r="K695" i="1" s="1"/>
  <c r="I696" i="1"/>
  <c r="K696" i="1" s="1"/>
  <c r="I697" i="1"/>
  <c r="K697" i="1" s="1"/>
  <c r="I698" i="1"/>
  <c r="K698" i="1" s="1"/>
  <c r="I699" i="1"/>
  <c r="K699" i="1" s="1"/>
  <c r="I700" i="1"/>
  <c r="K700" i="1" s="1"/>
  <c r="I701" i="1"/>
  <c r="K701" i="1" s="1"/>
  <c r="I702" i="1"/>
  <c r="K702" i="1" s="1"/>
  <c r="I703" i="1"/>
  <c r="K703" i="1" s="1"/>
  <c r="I704" i="1"/>
  <c r="K704" i="1" s="1"/>
  <c r="I705" i="1"/>
  <c r="K705" i="1" s="1"/>
  <c r="I706" i="1"/>
  <c r="K706" i="1" s="1"/>
  <c r="I707" i="1"/>
  <c r="K707" i="1" s="1"/>
  <c r="I708" i="1"/>
  <c r="K708" i="1" s="1"/>
  <c r="I709" i="1"/>
  <c r="K709" i="1" s="1"/>
  <c r="I710" i="1"/>
  <c r="K710" i="1" s="1"/>
  <c r="I711" i="1"/>
  <c r="K711" i="1" s="1"/>
  <c r="I712" i="1"/>
  <c r="K712" i="1" s="1"/>
  <c r="I713" i="1"/>
  <c r="K713" i="1" s="1"/>
  <c r="I714" i="1"/>
  <c r="K714" i="1" s="1"/>
  <c r="I715" i="1"/>
  <c r="K715" i="1" s="1"/>
  <c r="I716" i="1"/>
  <c r="K716" i="1" s="1"/>
  <c r="I717" i="1"/>
  <c r="K717" i="1" s="1"/>
  <c r="I718" i="1"/>
  <c r="K718" i="1" s="1"/>
  <c r="I719" i="1"/>
  <c r="K719" i="1" s="1"/>
  <c r="I720" i="1"/>
  <c r="K720" i="1" s="1"/>
  <c r="I721" i="1"/>
  <c r="K721" i="1" s="1"/>
  <c r="I722" i="1"/>
  <c r="K722" i="1" s="1"/>
  <c r="I723" i="1"/>
  <c r="K723" i="1" s="1"/>
  <c r="I724" i="1"/>
  <c r="K724" i="1" s="1"/>
  <c r="I725" i="1"/>
  <c r="K725" i="1" s="1"/>
  <c r="I726" i="1"/>
  <c r="K726" i="1" s="1"/>
  <c r="I727" i="1"/>
  <c r="K727" i="1" s="1"/>
  <c r="I728" i="1"/>
  <c r="K728" i="1" s="1"/>
  <c r="I729" i="1"/>
  <c r="K729" i="1" s="1"/>
  <c r="I730" i="1"/>
  <c r="K730" i="1" s="1"/>
  <c r="I731" i="1"/>
  <c r="K731" i="1" s="1"/>
  <c r="I732" i="1"/>
  <c r="K732" i="1" s="1"/>
  <c r="I733" i="1"/>
  <c r="K733" i="1" s="1"/>
  <c r="I734" i="1"/>
  <c r="K734" i="1" s="1"/>
  <c r="I735" i="1"/>
  <c r="K735" i="1" s="1"/>
  <c r="I736" i="1"/>
  <c r="K736" i="1" s="1"/>
  <c r="I737" i="1"/>
  <c r="K737" i="1" s="1"/>
  <c r="I738" i="1"/>
  <c r="K738" i="1" s="1"/>
  <c r="I739" i="1"/>
  <c r="K739" i="1" s="1"/>
  <c r="I740" i="1"/>
  <c r="K740" i="1" s="1"/>
  <c r="I741" i="1"/>
  <c r="K741" i="1" s="1"/>
  <c r="I742" i="1"/>
  <c r="K742" i="1" s="1"/>
  <c r="I743" i="1"/>
  <c r="K743" i="1" s="1"/>
  <c r="I744" i="1"/>
  <c r="K744" i="1" s="1"/>
  <c r="I745" i="1"/>
  <c r="K745" i="1" s="1"/>
  <c r="I746" i="1"/>
  <c r="K746" i="1" s="1"/>
  <c r="I747" i="1"/>
  <c r="K747" i="1" s="1"/>
  <c r="I748" i="1"/>
  <c r="K748" i="1" s="1"/>
  <c r="I749" i="1"/>
  <c r="K749" i="1" s="1"/>
  <c r="I750" i="1"/>
  <c r="K750" i="1" s="1"/>
  <c r="I751" i="1"/>
  <c r="K751" i="1" s="1"/>
  <c r="I752" i="1"/>
  <c r="K752" i="1" s="1"/>
  <c r="I753" i="1"/>
  <c r="K753" i="1" s="1"/>
  <c r="I754" i="1"/>
  <c r="K754" i="1" s="1"/>
  <c r="I755" i="1"/>
  <c r="K755" i="1" s="1"/>
  <c r="I756" i="1"/>
  <c r="K756" i="1" s="1"/>
  <c r="I757" i="1"/>
  <c r="K757" i="1" s="1"/>
  <c r="I758" i="1"/>
  <c r="K758" i="1" s="1"/>
  <c r="I759" i="1"/>
  <c r="K759" i="1" s="1"/>
  <c r="I760" i="1"/>
  <c r="K760" i="1" s="1"/>
  <c r="I761" i="1"/>
  <c r="K761" i="1" s="1"/>
  <c r="I762" i="1"/>
  <c r="K762" i="1" s="1"/>
  <c r="I763" i="1"/>
  <c r="K763" i="1" s="1"/>
  <c r="I764" i="1"/>
  <c r="K764" i="1" s="1"/>
  <c r="I765" i="1"/>
  <c r="K765" i="1" s="1"/>
  <c r="I766" i="1"/>
  <c r="K766" i="1" s="1"/>
  <c r="I767" i="1"/>
  <c r="K767" i="1" s="1"/>
  <c r="I768" i="1"/>
  <c r="K768" i="1" s="1"/>
  <c r="I769" i="1"/>
  <c r="K769" i="1" s="1"/>
  <c r="I770" i="1"/>
  <c r="K770" i="1" s="1"/>
  <c r="I771" i="1"/>
  <c r="K771" i="1" s="1"/>
  <c r="I772" i="1"/>
  <c r="K772" i="1" s="1"/>
  <c r="I773" i="1"/>
  <c r="K773" i="1" s="1"/>
  <c r="I774" i="1"/>
  <c r="K774" i="1" s="1"/>
  <c r="I775" i="1"/>
  <c r="K775" i="1" s="1"/>
  <c r="I776" i="1"/>
  <c r="K776" i="1" s="1"/>
  <c r="I777" i="1"/>
  <c r="K777" i="1" s="1"/>
  <c r="I778" i="1"/>
  <c r="K778" i="1" s="1"/>
  <c r="I779" i="1"/>
  <c r="K779" i="1" s="1"/>
  <c r="I780" i="1"/>
  <c r="K780" i="1" s="1"/>
  <c r="I781" i="1"/>
  <c r="K781" i="1" s="1"/>
  <c r="I782" i="1"/>
  <c r="K782" i="1" s="1"/>
  <c r="I783" i="1"/>
  <c r="K783" i="1" s="1"/>
  <c r="I784" i="1"/>
  <c r="K784" i="1" s="1"/>
  <c r="I785" i="1"/>
  <c r="K785" i="1" s="1"/>
  <c r="I786" i="1"/>
  <c r="K786" i="1" s="1"/>
  <c r="I787" i="1"/>
  <c r="K787" i="1" s="1"/>
  <c r="I788" i="1"/>
  <c r="K788" i="1" s="1"/>
  <c r="I789" i="1"/>
  <c r="K789" i="1" s="1"/>
  <c r="I790" i="1"/>
  <c r="K790" i="1" s="1"/>
  <c r="I791" i="1"/>
  <c r="K791" i="1" s="1"/>
  <c r="I792" i="1"/>
  <c r="K792" i="1" s="1"/>
  <c r="I793" i="1"/>
  <c r="K793" i="1" s="1"/>
  <c r="I794" i="1"/>
  <c r="K794" i="1" s="1"/>
  <c r="I795" i="1"/>
  <c r="K795" i="1" s="1"/>
  <c r="I796" i="1"/>
  <c r="K796" i="1" s="1"/>
  <c r="I797" i="1"/>
  <c r="K797" i="1" s="1"/>
  <c r="I798" i="1"/>
  <c r="K798" i="1" s="1"/>
  <c r="I799" i="1"/>
  <c r="K799" i="1" s="1"/>
  <c r="I800" i="1"/>
  <c r="K800" i="1" s="1"/>
  <c r="I801" i="1"/>
  <c r="K801" i="1" s="1"/>
  <c r="I802" i="1"/>
  <c r="K802" i="1" s="1"/>
  <c r="I803" i="1"/>
  <c r="K803" i="1" s="1"/>
  <c r="I804" i="1"/>
  <c r="K804" i="1" s="1"/>
  <c r="I805" i="1"/>
  <c r="K805" i="1" s="1"/>
  <c r="I806" i="1"/>
  <c r="K806" i="1" s="1"/>
  <c r="I807" i="1"/>
  <c r="K807" i="1" s="1"/>
  <c r="I808" i="1"/>
  <c r="K808" i="1" s="1"/>
  <c r="I809" i="1"/>
  <c r="K809" i="1" s="1"/>
  <c r="I810" i="1"/>
  <c r="K810" i="1" s="1"/>
  <c r="I811" i="1"/>
  <c r="K811" i="1" s="1"/>
  <c r="I812" i="1"/>
  <c r="K812" i="1" s="1"/>
  <c r="I813" i="1"/>
  <c r="K813" i="1" s="1"/>
  <c r="I814" i="1"/>
  <c r="K814" i="1" s="1"/>
  <c r="I815" i="1"/>
  <c r="K815" i="1" s="1"/>
  <c r="I816" i="1"/>
  <c r="K816" i="1" s="1"/>
  <c r="I817" i="1"/>
  <c r="K817" i="1" s="1"/>
  <c r="I818" i="1"/>
  <c r="K818" i="1" s="1"/>
  <c r="I819" i="1"/>
  <c r="K819" i="1" s="1"/>
  <c r="I820" i="1"/>
  <c r="K820" i="1" s="1"/>
  <c r="I821" i="1"/>
  <c r="K821" i="1" s="1"/>
  <c r="I822" i="1"/>
  <c r="K822" i="1" s="1"/>
  <c r="I823" i="1"/>
  <c r="K823" i="1" s="1"/>
  <c r="I824" i="1"/>
  <c r="K824" i="1" s="1"/>
  <c r="I825" i="1"/>
  <c r="K825" i="1" s="1"/>
  <c r="I826" i="1"/>
  <c r="K826" i="1" s="1"/>
  <c r="I827" i="1"/>
  <c r="K827" i="1" s="1"/>
  <c r="I828" i="1"/>
  <c r="K828" i="1" s="1"/>
  <c r="I829" i="1"/>
  <c r="K829" i="1" s="1"/>
  <c r="I830" i="1"/>
  <c r="K830" i="1" s="1"/>
  <c r="I831" i="1"/>
  <c r="K831" i="1" s="1"/>
  <c r="I832" i="1"/>
  <c r="K832" i="1" s="1"/>
  <c r="I833" i="1"/>
  <c r="K833" i="1" s="1"/>
  <c r="I834" i="1"/>
  <c r="K834" i="1" s="1"/>
  <c r="I835" i="1"/>
  <c r="K835" i="1" s="1"/>
  <c r="I836" i="1"/>
  <c r="K836" i="1" s="1"/>
  <c r="I837" i="1"/>
  <c r="K837" i="1" s="1"/>
  <c r="I838" i="1"/>
  <c r="K838" i="1" s="1"/>
  <c r="I839" i="1"/>
  <c r="K839" i="1" s="1"/>
  <c r="I840" i="1"/>
  <c r="K840" i="1" s="1"/>
  <c r="I841" i="1"/>
  <c r="K841" i="1" s="1"/>
  <c r="I842" i="1"/>
  <c r="K842" i="1" s="1"/>
  <c r="I843" i="1"/>
  <c r="K843" i="1" s="1"/>
  <c r="I844" i="1"/>
  <c r="K844" i="1" s="1"/>
  <c r="I845" i="1"/>
  <c r="K845" i="1" s="1"/>
  <c r="I846" i="1"/>
  <c r="K846" i="1" s="1"/>
  <c r="I847" i="1"/>
  <c r="K847" i="1" s="1"/>
  <c r="I848" i="1"/>
  <c r="K848" i="1" s="1"/>
  <c r="I849" i="1"/>
  <c r="K849" i="1" s="1"/>
  <c r="I850" i="1"/>
  <c r="K850" i="1" s="1"/>
  <c r="I851" i="1"/>
  <c r="K851" i="1" s="1"/>
  <c r="I852" i="1"/>
  <c r="K852" i="1" s="1"/>
  <c r="I853" i="1"/>
  <c r="K853" i="1" s="1"/>
  <c r="I854" i="1"/>
  <c r="K854" i="1" s="1"/>
  <c r="I855" i="1"/>
  <c r="K855" i="1" s="1"/>
  <c r="I856" i="1"/>
  <c r="K856" i="1" s="1"/>
  <c r="I857" i="1"/>
  <c r="K857" i="1" s="1"/>
  <c r="I858" i="1"/>
  <c r="K858" i="1" s="1"/>
  <c r="I859" i="1"/>
  <c r="K859" i="1" s="1"/>
  <c r="I860" i="1"/>
  <c r="K860" i="1" s="1"/>
  <c r="I861" i="1"/>
  <c r="K861" i="1" s="1"/>
  <c r="I862" i="1"/>
  <c r="K862" i="1" s="1"/>
  <c r="I863" i="1"/>
  <c r="K863" i="1" s="1"/>
  <c r="I864" i="1"/>
  <c r="K864" i="1" s="1"/>
  <c r="I865" i="1"/>
  <c r="K865" i="1" s="1"/>
  <c r="I866" i="1"/>
  <c r="K866" i="1" s="1"/>
  <c r="I867" i="1"/>
  <c r="K867" i="1" s="1"/>
  <c r="I868" i="1"/>
  <c r="K868" i="1" s="1"/>
  <c r="I869" i="1"/>
  <c r="K869" i="1" s="1"/>
  <c r="I870" i="1"/>
  <c r="K870" i="1" s="1"/>
  <c r="I871" i="1"/>
  <c r="K871" i="1" s="1"/>
  <c r="I872" i="1"/>
  <c r="K872" i="1" s="1"/>
  <c r="I873" i="1"/>
  <c r="K873" i="1" s="1"/>
  <c r="I874" i="1"/>
  <c r="K874" i="1" s="1"/>
  <c r="I875" i="1"/>
  <c r="K875" i="1" s="1"/>
  <c r="I876" i="1"/>
  <c r="K876" i="1" s="1"/>
  <c r="I877" i="1"/>
  <c r="K877" i="1" s="1"/>
  <c r="I878" i="1"/>
  <c r="K878" i="1" s="1"/>
  <c r="I879" i="1"/>
  <c r="K879" i="1" s="1"/>
  <c r="I880" i="1"/>
  <c r="K880" i="1" s="1"/>
  <c r="I881" i="1"/>
  <c r="K881" i="1" s="1"/>
  <c r="I882" i="1"/>
  <c r="K882" i="1" s="1"/>
  <c r="I883" i="1"/>
  <c r="K883" i="1" s="1"/>
  <c r="I884" i="1"/>
  <c r="K884" i="1" s="1"/>
  <c r="I885" i="1"/>
  <c r="K885" i="1" s="1"/>
  <c r="I886" i="1"/>
  <c r="K886" i="1" s="1"/>
  <c r="I887" i="1"/>
  <c r="K887" i="1" s="1"/>
  <c r="I888" i="1"/>
  <c r="K888" i="1" s="1"/>
  <c r="I889" i="1"/>
  <c r="K889" i="1" s="1"/>
  <c r="I890" i="1"/>
  <c r="K890" i="1" s="1"/>
  <c r="I891" i="1"/>
  <c r="K891" i="1" s="1"/>
  <c r="I892" i="1"/>
  <c r="K892" i="1" s="1"/>
  <c r="I893" i="1"/>
  <c r="K893" i="1" s="1"/>
  <c r="I894" i="1"/>
  <c r="K894" i="1" s="1"/>
  <c r="I895" i="1"/>
  <c r="K895" i="1" s="1"/>
  <c r="I896" i="1"/>
  <c r="K896" i="1" s="1"/>
  <c r="I897" i="1"/>
  <c r="K897" i="1" s="1"/>
  <c r="I898" i="1"/>
  <c r="K898" i="1" s="1"/>
  <c r="I899" i="1"/>
  <c r="K899" i="1" s="1"/>
  <c r="I900" i="1"/>
  <c r="K900" i="1" s="1"/>
  <c r="I901" i="1"/>
  <c r="K901" i="1" s="1"/>
  <c r="I902" i="1"/>
  <c r="K902" i="1" s="1"/>
  <c r="I903" i="1"/>
  <c r="K903" i="1" s="1"/>
  <c r="I904" i="1"/>
  <c r="K904" i="1" s="1"/>
  <c r="I905" i="1"/>
  <c r="K905" i="1" s="1"/>
  <c r="I906" i="1"/>
  <c r="K906" i="1" s="1"/>
  <c r="I907" i="1"/>
  <c r="K907" i="1" s="1"/>
  <c r="I908" i="1"/>
  <c r="K908" i="1" s="1"/>
  <c r="I909" i="1"/>
  <c r="K909" i="1" s="1"/>
  <c r="I910" i="1"/>
  <c r="K910" i="1" s="1"/>
  <c r="I911" i="1"/>
  <c r="K911" i="1" s="1"/>
  <c r="I912" i="1"/>
  <c r="K912" i="1" s="1"/>
  <c r="I913" i="1"/>
  <c r="K913" i="1" s="1"/>
  <c r="I914" i="1"/>
  <c r="K914" i="1" s="1"/>
  <c r="I915" i="1"/>
  <c r="K915" i="1" s="1"/>
  <c r="I916" i="1"/>
  <c r="K916" i="1" s="1"/>
  <c r="I917" i="1"/>
  <c r="K917" i="1" s="1"/>
  <c r="I918" i="1"/>
  <c r="K918" i="1" s="1"/>
  <c r="I919" i="1"/>
  <c r="K919" i="1" s="1"/>
  <c r="I920" i="1"/>
  <c r="K920" i="1" s="1"/>
  <c r="I921" i="1"/>
  <c r="K921" i="1" s="1"/>
  <c r="I922" i="1"/>
  <c r="K922" i="1" s="1"/>
  <c r="I923" i="1"/>
  <c r="K923" i="1" s="1"/>
  <c r="I924" i="1"/>
  <c r="K924" i="1" s="1"/>
  <c r="I925" i="1"/>
  <c r="K925" i="1" s="1"/>
  <c r="I926" i="1"/>
  <c r="K926" i="1" s="1"/>
  <c r="I927" i="1"/>
  <c r="K927" i="1" s="1"/>
  <c r="I928" i="1"/>
  <c r="K928" i="1" s="1"/>
  <c r="I929" i="1"/>
  <c r="K929" i="1" s="1"/>
  <c r="I930" i="1"/>
  <c r="K930" i="1" s="1"/>
  <c r="I931" i="1"/>
  <c r="K931" i="1" s="1"/>
  <c r="I932" i="1"/>
  <c r="K932" i="1" s="1"/>
  <c r="I933" i="1"/>
  <c r="K933" i="1" s="1"/>
  <c r="I934" i="1"/>
  <c r="K934" i="1" s="1"/>
  <c r="I935" i="1"/>
  <c r="K935" i="1" s="1"/>
  <c r="I936" i="1"/>
  <c r="K936" i="1" s="1"/>
  <c r="I937" i="1"/>
  <c r="K937" i="1" s="1"/>
  <c r="I938" i="1"/>
  <c r="K938" i="1" s="1"/>
  <c r="I939" i="1"/>
  <c r="K939" i="1" s="1"/>
  <c r="I940" i="1"/>
  <c r="K940" i="1" s="1"/>
  <c r="I941" i="1"/>
  <c r="K941" i="1" s="1"/>
  <c r="I942" i="1"/>
  <c r="K942" i="1" s="1"/>
  <c r="I943" i="1"/>
  <c r="K943" i="1" s="1"/>
  <c r="I944" i="1"/>
  <c r="K944" i="1" s="1"/>
  <c r="I945" i="1"/>
  <c r="K945" i="1" s="1"/>
  <c r="I946" i="1"/>
  <c r="K946" i="1" s="1"/>
  <c r="I947" i="1"/>
  <c r="K947" i="1" s="1"/>
  <c r="I948" i="1"/>
  <c r="K948" i="1" s="1"/>
  <c r="I949" i="1"/>
  <c r="K949" i="1" s="1"/>
  <c r="I950" i="1"/>
  <c r="K950" i="1" s="1"/>
  <c r="I951" i="1"/>
  <c r="K951" i="1" s="1"/>
  <c r="I952" i="1"/>
  <c r="K952" i="1" s="1"/>
  <c r="I953" i="1"/>
  <c r="K953" i="1" s="1"/>
  <c r="I954" i="1"/>
  <c r="K954" i="1" s="1"/>
  <c r="I955" i="1"/>
  <c r="K955" i="1" s="1"/>
  <c r="I956" i="1"/>
  <c r="K956" i="1" s="1"/>
  <c r="I957" i="1"/>
  <c r="K957" i="1" s="1"/>
  <c r="I958" i="1"/>
  <c r="K958" i="1" s="1"/>
  <c r="I959" i="1"/>
  <c r="K959" i="1" s="1"/>
  <c r="I960" i="1"/>
  <c r="K960" i="1" s="1"/>
  <c r="I961" i="1"/>
  <c r="K961" i="1" s="1"/>
  <c r="I962" i="1"/>
  <c r="K962" i="1" s="1"/>
  <c r="I963" i="1"/>
  <c r="K963" i="1" s="1"/>
  <c r="I964" i="1"/>
  <c r="K964" i="1" s="1"/>
  <c r="I965" i="1"/>
  <c r="K965" i="1" s="1"/>
  <c r="I966" i="1"/>
  <c r="K966" i="1" s="1"/>
  <c r="I967" i="1"/>
  <c r="K967" i="1" s="1"/>
  <c r="I968" i="1"/>
  <c r="K968" i="1" s="1"/>
  <c r="I969" i="1"/>
  <c r="K969" i="1" s="1"/>
  <c r="I970" i="1"/>
  <c r="K970" i="1" s="1"/>
  <c r="I971" i="1"/>
  <c r="K971" i="1" s="1"/>
  <c r="I972" i="1"/>
  <c r="K972" i="1" s="1"/>
  <c r="I973" i="1"/>
  <c r="K973" i="1" s="1"/>
  <c r="I974" i="1"/>
  <c r="K974" i="1" s="1"/>
  <c r="I975" i="1"/>
  <c r="K975" i="1" s="1"/>
  <c r="I976" i="1"/>
  <c r="K976" i="1" s="1"/>
  <c r="I977" i="1"/>
  <c r="K977" i="1" s="1"/>
  <c r="I978" i="1"/>
  <c r="K978" i="1" s="1"/>
  <c r="I979" i="1"/>
  <c r="K979" i="1" s="1"/>
  <c r="I980" i="1"/>
  <c r="K980" i="1" s="1"/>
  <c r="I981" i="1"/>
  <c r="K981" i="1" s="1"/>
  <c r="I982" i="1"/>
  <c r="K982" i="1" s="1"/>
  <c r="I983" i="1"/>
  <c r="K983" i="1" s="1"/>
  <c r="I984" i="1"/>
  <c r="K984" i="1" s="1"/>
  <c r="I985" i="1"/>
  <c r="K985" i="1" s="1"/>
  <c r="I986" i="1"/>
  <c r="K986" i="1" s="1"/>
  <c r="I987" i="1"/>
  <c r="K987" i="1" s="1"/>
  <c r="I988" i="1"/>
  <c r="K988" i="1" s="1"/>
  <c r="I989" i="1"/>
  <c r="K989" i="1" s="1"/>
  <c r="I990" i="1"/>
  <c r="K990" i="1" s="1"/>
  <c r="I991" i="1"/>
  <c r="K991" i="1" s="1"/>
  <c r="I992" i="1"/>
  <c r="K992" i="1" s="1"/>
  <c r="I993" i="1"/>
  <c r="K993" i="1" s="1"/>
  <c r="I994" i="1"/>
  <c r="K994" i="1" s="1"/>
  <c r="I995" i="1"/>
  <c r="K995" i="1" s="1"/>
  <c r="I996" i="1"/>
  <c r="K996" i="1" s="1"/>
  <c r="I997" i="1"/>
  <c r="K997" i="1" s="1"/>
  <c r="I998" i="1"/>
  <c r="K998" i="1" s="1"/>
  <c r="I999" i="1"/>
  <c r="K999" i="1" s="1"/>
  <c r="I1000" i="1"/>
  <c r="K1000" i="1" s="1"/>
  <c r="I1001" i="1"/>
  <c r="K1001" i="1" s="1"/>
  <c r="I1002" i="1"/>
  <c r="K1002" i="1" s="1"/>
  <c r="I1003" i="1"/>
  <c r="K1003" i="1" s="1"/>
  <c r="I1004" i="1"/>
  <c r="K1004" i="1" s="1"/>
  <c r="I1005" i="1"/>
  <c r="K1005" i="1" s="1"/>
  <c r="I1006" i="1"/>
  <c r="K1006" i="1" s="1"/>
  <c r="I1007" i="1"/>
  <c r="K1007" i="1" s="1"/>
  <c r="I1008" i="1"/>
  <c r="K1008" i="1" s="1"/>
  <c r="I1009" i="1"/>
  <c r="K1009" i="1" s="1"/>
  <c r="I1010" i="1"/>
  <c r="K1010" i="1" s="1"/>
  <c r="I1011" i="1"/>
  <c r="K1011" i="1" s="1"/>
  <c r="I1012" i="1"/>
  <c r="K1012" i="1" s="1"/>
  <c r="I1013" i="1"/>
  <c r="K1013" i="1" s="1"/>
  <c r="I1014" i="1"/>
  <c r="K1014" i="1" s="1"/>
  <c r="I1015" i="1"/>
  <c r="K1015" i="1" s="1"/>
  <c r="I1016" i="1"/>
  <c r="K1016" i="1" s="1"/>
  <c r="I1017" i="1"/>
  <c r="K1017" i="1" s="1"/>
  <c r="I1018" i="1"/>
  <c r="K1018" i="1" s="1"/>
  <c r="I1019" i="1"/>
  <c r="K1019" i="1" s="1"/>
  <c r="I1020" i="1"/>
  <c r="K1020" i="1" s="1"/>
  <c r="I1021" i="1"/>
  <c r="K1021" i="1" s="1"/>
  <c r="I1022" i="1"/>
  <c r="K1022" i="1" s="1"/>
  <c r="I1023" i="1"/>
  <c r="K1023" i="1" s="1"/>
  <c r="I1024" i="1"/>
  <c r="K1024" i="1" s="1"/>
  <c r="I1025" i="1"/>
  <c r="K1025" i="1" s="1"/>
  <c r="I1026" i="1"/>
  <c r="K1026" i="1" s="1"/>
  <c r="I1027" i="1"/>
  <c r="K1027" i="1" s="1"/>
  <c r="I1028" i="1"/>
  <c r="K1028" i="1" s="1"/>
  <c r="I1029" i="1"/>
  <c r="K1029" i="1" s="1"/>
  <c r="I1030" i="1"/>
  <c r="K1030" i="1" s="1"/>
  <c r="I1031" i="1"/>
  <c r="K1031" i="1" s="1"/>
  <c r="I1032" i="1"/>
  <c r="K1032" i="1" s="1"/>
  <c r="I1033" i="1"/>
  <c r="K1033" i="1" s="1"/>
  <c r="I1034" i="1"/>
  <c r="K1034" i="1" s="1"/>
  <c r="I1035" i="1"/>
  <c r="K1035" i="1" s="1"/>
  <c r="I1036" i="1"/>
  <c r="K1036" i="1" s="1"/>
  <c r="I1037" i="1"/>
  <c r="K1037" i="1" s="1"/>
  <c r="I1038" i="1"/>
  <c r="K1038" i="1" s="1"/>
  <c r="I1039" i="1"/>
  <c r="K1039" i="1" s="1"/>
  <c r="I1040" i="1"/>
  <c r="K1040" i="1" s="1"/>
  <c r="I1041" i="1"/>
  <c r="K1041" i="1" s="1"/>
  <c r="I1042" i="1"/>
  <c r="K1042" i="1" s="1"/>
  <c r="I1043" i="1"/>
  <c r="K1043" i="1" s="1"/>
  <c r="I1044" i="1"/>
  <c r="K1044" i="1" s="1"/>
  <c r="I1045" i="1"/>
  <c r="K1045" i="1" s="1"/>
  <c r="I1046" i="1"/>
  <c r="K1046" i="1" s="1"/>
  <c r="I1047" i="1"/>
  <c r="K1047" i="1" s="1"/>
  <c r="I1048" i="1"/>
  <c r="K1048" i="1" s="1"/>
  <c r="I1049" i="1"/>
  <c r="K1049" i="1" s="1"/>
  <c r="I1050" i="1"/>
  <c r="K1050" i="1" s="1"/>
  <c r="I1051" i="1"/>
  <c r="K1051" i="1" s="1"/>
  <c r="I1052" i="1"/>
  <c r="K1052" i="1" s="1"/>
  <c r="I1053" i="1"/>
  <c r="K1053" i="1" s="1"/>
  <c r="I1054" i="1"/>
  <c r="K1054" i="1" s="1"/>
  <c r="I1055" i="1"/>
  <c r="K1055" i="1" s="1"/>
  <c r="I1056" i="1"/>
  <c r="K1056" i="1" s="1"/>
  <c r="I1057" i="1"/>
  <c r="K1057" i="1" s="1"/>
  <c r="I1058" i="1"/>
  <c r="K1058" i="1" s="1"/>
  <c r="I1059" i="1"/>
  <c r="K1059" i="1" s="1"/>
  <c r="I1060" i="1"/>
  <c r="K1060" i="1" s="1"/>
  <c r="I1061" i="1"/>
  <c r="K1061" i="1" s="1"/>
  <c r="I1062" i="1"/>
  <c r="K1062" i="1" s="1"/>
  <c r="I1063" i="1"/>
  <c r="K1063" i="1" s="1"/>
  <c r="I1064" i="1"/>
  <c r="K1064" i="1" s="1"/>
  <c r="I1065" i="1"/>
  <c r="K1065" i="1" s="1"/>
  <c r="I1066" i="1"/>
  <c r="K1066" i="1" s="1"/>
  <c r="I1067" i="1"/>
  <c r="K1067" i="1" s="1"/>
  <c r="I1068" i="1"/>
  <c r="K1068" i="1" s="1"/>
  <c r="I1069" i="1"/>
  <c r="K1069" i="1" s="1"/>
  <c r="I1070" i="1"/>
  <c r="K1070" i="1" s="1"/>
  <c r="I1071" i="1"/>
  <c r="K1071" i="1" s="1"/>
  <c r="I1072" i="1"/>
  <c r="K1072" i="1" s="1"/>
  <c r="I1073" i="1"/>
  <c r="K1073" i="1" s="1"/>
  <c r="I1074" i="1"/>
  <c r="K1074" i="1" s="1"/>
  <c r="I1075" i="1"/>
  <c r="K1075" i="1" s="1"/>
  <c r="I1076" i="1"/>
  <c r="K1076" i="1" s="1"/>
  <c r="I1077" i="1"/>
  <c r="K1077" i="1" s="1"/>
  <c r="I1078" i="1"/>
  <c r="K1078" i="1" s="1"/>
  <c r="I1079" i="1"/>
  <c r="K1079" i="1" s="1"/>
  <c r="I1080" i="1"/>
  <c r="K1080" i="1" s="1"/>
  <c r="I1081" i="1"/>
  <c r="K1081" i="1" s="1"/>
  <c r="I1082" i="1"/>
  <c r="K1082" i="1" s="1"/>
  <c r="I1083" i="1"/>
  <c r="K1083" i="1" s="1"/>
  <c r="I1084" i="1"/>
  <c r="K1084" i="1" s="1"/>
  <c r="I1085" i="1"/>
  <c r="K1085" i="1" s="1"/>
  <c r="I1086" i="1"/>
  <c r="K1086" i="1" s="1"/>
  <c r="I1087" i="1"/>
  <c r="K1087" i="1" s="1"/>
  <c r="I1088" i="1"/>
  <c r="K1088" i="1" s="1"/>
  <c r="I1089" i="1"/>
  <c r="K1089" i="1" s="1"/>
  <c r="I1090" i="1"/>
  <c r="K1090" i="1" s="1"/>
  <c r="I1091" i="1"/>
  <c r="K1091" i="1" s="1"/>
  <c r="I1092" i="1"/>
  <c r="K1092" i="1" s="1"/>
  <c r="I1093" i="1"/>
  <c r="K1093" i="1" s="1"/>
  <c r="I1094" i="1"/>
  <c r="K1094" i="1" s="1"/>
  <c r="I1095" i="1"/>
  <c r="K1095" i="1" s="1"/>
  <c r="I1096" i="1"/>
  <c r="K1096" i="1" s="1"/>
  <c r="I1097" i="1"/>
  <c r="K1097" i="1" s="1"/>
  <c r="I1098" i="1"/>
  <c r="K1098" i="1" s="1"/>
  <c r="I1099" i="1"/>
  <c r="K1099" i="1" s="1"/>
  <c r="I1100" i="1"/>
  <c r="K1100" i="1" s="1"/>
  <c r="I1101" i="1"/>
  <c r="K1101" i="1" s="1"/>
  <c r="I1102" i="1"/>
  <c r="K1102" i="1" s="1"/>
  <c r="I1103" i="1"/>
  <c r="K1103" i="1" s="1"/>
  <c r="I1104" i="1"/>
  <c r="K1104" i="1" s="1"/>
  <c r="I1105" i="1"/>
  <c r="K1105" i="1" s="1"/>
  <c r="I1106" i="1"/>
  <c r="K1106" i="1" s="1"/>
  <c r="I1107" i="1"/>
  <c r="K1107" i="1" s="1"/>
  <c r="I1108" i="1"/>
  <c r="K1108" i="1" s="1"/>
  <c r="I1109" i="1"/>
  <c r="K1109" i="1" s="1"/>
  <c r="I1110" i="1"/>
  <c r="K1110" i="1" s="1"/>
  <c r="I1111" i="1"/>
  <c r="K1111" i="1" s="1"/>
  <c r="I1112" i="1"/>
  <c r="K1112" i="1" s="1"/>
  <c r="I1113" i="1"/>
  <c r="K1113" i="1" s="1"/>
  <c r="I1114" i="1"/>
  <c r="K1114" i="1" s="1"/>
  <c r="I1115" i="1"/>
  <c r="K1115" i="1" s="1"/>
  <c r="I1116" i="1"/>
  <c r="K1116" i="1" s="1"/>
  <c r="I1117" i="1"/>
  <c r="K1117" i="1" s="1"/>
  <c r="I1118" i="1"/>
  <c r="K1118" i="1" s="1"/>
  <c r="I1119" i="1"/>
  <c r="K1119" i="1" s="1"/>
  <c r="I1120" i="1"/>
  <c r="K1120" i="1" s="1"/>
  <c r="I1121" i="1"/>
  <c r="K1121" i="1" s="1"/>
  <c r="I1122" i="1"/>
  <c r="K1122" i="1" s="1"/>
  <c r="I1123" i="1"/>
  <c r="K1123" i="1" s="1"/>
  <c r="I1124" i="1"/>
  <c r="K1124" i="1" s="1"/>
  <c r="I1125" i="1"/>
  <c r="K1125" i="1" s="1"/>
  <c r="I1126" i="1"/>
  <c r="K1126" i="1" s="1"/>
  <c r="I1127" i="1"/>
  <c r="K1127" i="1" s="1"/>
  <c r="I1128" i="1"/>
  <c r="K1128" i="1" s="1"/>
  <c r="I1129" i="1"/>
  <c r="K1129" i="1" s="1"/>
  <c r="I1130" i="1"/>
  <c r="K1130" i="1" s="1"/>
  <c r="I1131" i="1"/>
  <c r="K1131" i="1" s="1"/>
  <c r="I1132" i="1"/>
  <c r="K1132" i="1" s="1"/>
  <c r="I1133" i="1"/>
  <c r="K1133" i="1" s="1"/>
  <c r="I1134" i="1"/>
  <c r="K1134" i="1" s="1"/>
  <c r="I1135" i="1"/>
  <c r="K1135" i="1" s="1"/>
  <c r="I1136" i="1"/>
  <c r="K1136" i="1" s="1"/>
  <c r="I1137" i="1"/>
  <c r="K1137" i="1" s="1"/>
  <c r="I1138" i="1"/>
  <c r="K1138" i="1" s="1"/>
  <c r="I1139" i="1"/>
  <c r="K1139" i="1" s="1"/>
  <c r="I1140" i="1"/>
  <c r="K1140" i="1" s="1"/>
  <c r="I1141" i="1"/>
  <c r="K1141" i="1" s="1"/>
  <c r="I1142" i="1"/>
  <c r="K1142" i="1" s="1"/>
  <c r="I1143" i="1"/>
  <c r="K1143" i="1" s="1"/>
  <c r="I1144" i="1"/>
  <c r="K1144" i="1" s="1"/>
  <c r="I1145" i="1"/>
  <c r="K1145" i="1" s="1"/>
  <c r="I1146" i="1"/>
  <c r="K1146" i="1" s="1"/>
  <c r="I1147" i="1"/>
  <c r="K1147" i="1" s="1"/>
  <c r="I1148" i="1"/>
  <c r="K1148" i="1" s="1"/>
  <c r="I1149" i="1"/>
  <c r="K1149" i="1" s="1"/>
  <c r="I1150" i="1"/>
  <c r="K1150" i="1" s="1"/>
  <c r="I1151" i="1"/>
  <c r="K1151" i="1" s="1"/>
  <c r="I1152" i="1"/>
  <c r="K1152" i="1" s="1"/>
  <c r="I1153" i="1"/>
  <c r="K1153" i="1" s="1"/>
  <c r="I1154" i="1"/>
  <c r="K1154" i="1" s="1"/>
  <c r="I1155" i="1"/>
  <c r="K1155" i="1" s="1"/>
  <c r="I1156" i="1"/>
  <c r="K1156" i="1" s="1"/>
  <c r="I1157" i="1"/>
  <c r="K1157" i="1" s="1"/>
  <c r="I1158" i="1"/>
  <c r="K1158" i="1" s="1"/>
  <c r="I1159" i="1"/>
  <c r="K1159" i="1" s="1"/>
  <c r="I1160" i="1"/>
  <c r="K1160" i="1" s="1"/>
  <c r="I1161" i="1"/>
  <c r="K1161" i="1" s="1"/>
  <c r="I1162" i="1"/>
  <c r="K1162" i="1" s="1"/>
  <c r="I1163" i="1"/>
  <c r="K1163" i="1" s="1"/>
  <c r="I1164" i="1"/>
  <c r="K1164" i="1" s="1"/>
  <c r="I1165" i="1"/>
  <c r="K1165" i="1" s="1"/>
  <c r="I1166" i="1"/>
  <c r="K1166" i="1" s="1"/>
  <c r="I1167" i="1"/>
  <c r="K1167" i="1" s="1"/>
  <c r="I1168" i="1"/>
  <c r="K1168" i="1" s="1"/>
  <c r="I1169" i="1"/>
  <c r="K1169" i="1" s="1"/>
  <c r="I1170" i="1"/>
  <c r="K1170" i="1" s="1"/>
  <c r="I1171" i="1"/>
  <c r="K1171" i="1" s="1"/>
  <c r="I1172" i="1"/>
  <c r="K1172" i="1" s="1"/>
  <c r="I1173" i="1"/>
  <c r="K1173" i="1" s="1"/>
  <c r="I1174" i="1"/>
  <c r="K1174" i="1" s="1"/>
  <c r="I1175" i="1"/>
  <c r="K1175" i="1" s="1"/>
  <c r="I1176" i="1"/>
  <c r="K1176" i="1" s="1"/>
  <c r="I1177" i="1"/>
  <c r="K1177" i="1" s="1"/>
  <c r="I1178" i="1"/>
  <c r="K1178" i="1" s="1"/>
  <c r="I1179" i="1"/>
  <c r="K1179" i="1" s="1"/>
  <c r="I1180" i="1"/>
  <c r="K1180" i="1" s="1"/>
  <c r="I1181" i="1"/>
  <c r="K1181" i="1" s="1"/>
  <c r="I1182" i="1"/>
  <c r="K1182" i="1" s="1"/>
  <c r="I1183" i="1"/>
  <c r="K1183" i="1" s="1"/>
  <c r="I1184" i="1"/>
  <c r="K1184" i="1" s="1"/>
  <c r="I1185" i="1"/>
  <c r="K1185" i="1" s="1"/>
  <c r="I1186" i="1"/>
  <c r="K1186" i="1" s="1"/>
  <c r="I1187" i="1"/>
  <c r="K1187" i="1" s="1"/>
  <c r="I1188" i="1"/>
  <c r="K1188" i="1" s="1"/>
  <c r="I1189" i="1"/>
  <c r="K1189" i="1" s="1"/>
  <c r="I1190" i="1"/>
  <c r="K1190" i="1" s="1"/>
  <c r="I1191" i="1"/>
  <c r="K1191" i="1" s="1"/>
  <c r="I1192" i="1"/>
  <c r="K1192" i="1" s="1"/>
  <c r="I1193" i="1"/>
  <c r="K1193" i="1" s="1"/>
  <c r="I1194" i="1"/>
  <c r="K1194" i="1" s="1"/>
  <c r="I1195" i="1"/>
  <c r="K1195" i="1" s="1"/>
  <c r="I1196" i="1"/>
  <c r="K1196" i="1" s="1"/>
  <c r="I1197" i="1"/>
  <c r="K1197" i="1" s="1"/>
  <c r="I1198" i="1"/>
  <c r="K1198" i="1" s="1"/>
  <c r="I1199" i="1"/>
  <c r="K1199" i="1" s="1"/>
  <c r="I1200" i="1"/>
  <c r="K1200" i="1" s="1"/>
  <c r="I1201" i="1"/>
  <c r="K1201" i="1" s="1"/>
  <c r="I1202" i="1"/>
  <c r="K1202" i="1" s="1"/>
  <c r="I1203" i="1"/>
  <c r="K1203" i="1" s="1"/>
  <c r="I1204" i="1"/>
  <c r="K1204" i="1" s="1"/>
  <c r="I1205" i="1"/>
  <c r="K1205" i="1" s="1"/>
  <c r="I1206" i="1"/>
  <c r="K1206" i="1" s="1"/>
  <c r="I1207" i="1"/>
  <c r="K1207" i="1" s="1"/>
  <c r="I1208" i="1"/>
  <c r="K1208" i="1" s="1"/>
  <c r="I1209" i="1"/>
  <c r="K1209" i="1" s="1"/>
  <c r="I1210" i="1"/>
  <c r="K1210" i="1" s="1"/>
  <c r="I1211" i="1"/>
  <c r="K1211" i="1" s="1"/>
  <c r="I1212" i="1"/>
  <c r="K1212" i="1" s="1"/>
  <c r="I1213" i="1"/>
  <c r="K1213" i="1" s="1"/>
  <c r="I1214" i="1"/>
  <c r="K1214" i="1" s="1"/>
  <c r="I1215" i="1"/>
  <c r="K1215" i="1" s="1"/>
  <c r="I1216" i="1"/>
  <c r="K1216" i="1" s="1"/>
  <c r="I1217" i="1"/>
  <c r="K1217" i="1" s="1"/>
  <c r="I1218" i="1"/>
  <c r="K1218" i="1" s="1"/>
  <c r="I1219" i="1"/>
  <c r="K1219" i="1" s="1"/>
  <c r="I1220" i="1"/>
  <c r="K1220" i="1" s="1"/>
  <c r="I1221" i="1"/>
  <c r="K1221" i="1" s="1"/>
  <c r="I1222" i="1"/>
  <c r="K1222" i="1" s="1"/>
  <c r="I1223" i="1"/>
  <c r="K1223" i="1" s="1"/>
  <c r="I1224" i="1"/>
  <c r="K1224" i="1" s="1"/>
  <c r="I1225" i="1"/>
  <c r="K1225" i="1" s="1"/>
  <c r="I1226" i="1"/>
  <c r="K1226" i="1" s="1"/>
  <c r="I1227" i="1"/>
  <c r="K1227" i="1" s="1"/>
  <c r="I1228" i="1"/>
  <c r="K1228" i="1" s="1"/>
  <c r="I1229" i="1"/>
  <c r="K1229" i="1" s="1"/>
  <c r="I1230" i="1"/>
  <c r="K1230" i="1" s="1"/>
  <c r="I1231" i="1"/>
  <c r="K1231" i="1" s="1"/>
  <c r="I1232" i="1"/>
  <c r="K1232" i="1" s="1"/>
  <c r="I1233" i="1"/>
  <c r="K1233" i="1" s="1"/>
  <c r="I1234" i="1"/>
  <c r="K1234" i="1" s="1"/>
  <c r="I1235" i="1"/>
  <c r="K1235" i="1" s="1"/>
  <c r="I1236" i="1"/>
  <c r="K1236" i="1" s="1"/>
  <c r="I1237" i="1"/>
  <c r="K1237" i="1" s="1"/>
  <c r="I1238" i="1"/>
  <c r="K1238" i="1" s="1"/>
  <c r="I1239" i="1"/>
  <c r="K1239" i="1" s="1"/>
  <c r="I1240" i="1"/>
  <c r="K1240" i="1" s="1"/>
  <c r="I1241" i="1"/>
  <c r="K1241" i="1" s="1"/>
  <c r="I1242" i="1"/>
  <c r="K1242" i="1" s="1"/>
  <c r="I1243" i="1"/>
  <c r="K1243" i="1" s="1"/>
  <c r="I1244" i="1"/>
  <c r="K1244" i="1" s="1"/>
  <c r="I1245" i="1"/>
  <c r="K1245" i="1" s="1"/>
  <c r="I1246" i="1"/>
  <c r="K1246" i="1" s="1"/>
  <c r="I1247" i="1"/>
  <c r="K1247" i="1" s="1"/>
  <c r="I1248" i="1"/>
  <c r="K1248" i="1" s="1"/>
  <c r="I1249" i="1"/>
  <c r="K1249" i="1" s="1"/>
  <c r="I1250" i="1"/>
  <c r="K1250" i="1" s="1"/>
  <c r="I1251" i="1"/>
  <c r="K1251" i="1" s="1"/>
  <c r="I1252" i="1"/>
  <c r="K1252" i="1" s="1"/>
  <c r="I1253" i="1"/>
  <c r="K1253" i="1" s="1"/>
  <c r="I1254" i="1"/>
  <c r="K1254" i="1" s="1"/>
  <c r="I1255" i="1"/>
  <c r="K1255" i="1" s="1"/>
  <c r="I1256" i="1"/>
  <c r="K1256" i="1" s="1"/>
  <c r="I1257" i="1"/>
  <c r="K1257" i="1" s="1"/>
  <c r="I1258" i="1"/>
  <c r="K1258" i="1" s="1"/>
  <c r="I1259" i="1"/>
  <c r="K1259" i="1" s="1"/>
  <c r="I1260" i="1"/>
  <c r="K1260" i="1" s="1"/>
  <c r="I1261" i="1"/>
  <c r="K1261" i="1" s="1"/>
  <c r="I1262" i="1"/>
  <c r="K1262" i="1" s="1"/>
  <c r="I1263" i="1"/>
  <c r="K1263" i="1" s="1"/>
  <c r="I1264" i="1"/>
  <c r="K1264" i="1" s="1"/>
  <c r="I1265" i="1"/>
  <c r="K1265" i="1" s="1"/>
  <c r="I1266" i="1"/>
  <c r="K1266" i="1" s="1"/>
  <c r="I1267" i="1"/>
  <c r="K1267" i="1" s="1"/>
  <c r="I1268" i="1"/>
  <c r="K1268" i="1" s="1"/>
  <c r="I1269" i="1"/>
  <c r="K1269" i="1" s="1"/>
  <c r="I1270" i="1"/>
  <c r="K1270" i="1" s="1"/>
  <c r="I1271" i="1"/>
  <c r="K1271" i="1" s="1"/>
  <c r="I1272" i="1"/>
  <c r="K1272" i="1" s="1"/>
  <c r="I1273" i="1"/>
  <c r="K1273" i="1" s="1"/>
  <c r="I1274" i="1"/>
  <c r="K1274" i="1" s="1"/>
  <c r="I1275" i="1"/>
  <c r="K1275" i="1" s="1"/>
  <c r="I1276" i="1"/>
  <c r="K1276" i="1" s="1"/>
  <c r="I1277" i="1"/>
  <c r="K1277" i="1" s="1"/>
  <c r="I1278" i="1"/>
  <c r="K1278" i="1" s="1"/>
  <c r="I1279" i="1"/>
  <c r="K1279" i="1" s="1"/>
  <c r="I1280" i="1"/>
  <c r="K1280" i="1" s="1"/>
  <c r="I1281" i="1"/>
  <c r="K1281" i="1" s="1"/>
  <c r="I1282" i="1"/>
  <c r="K1282" i="1" s="1"/>
  <c r="I1283" i="1"/>
  <c r="K1283" i="1" s="1"/>
  <c r="I1284" i="1"/>
  <c r="K1284" i="1" s="1"/>
  <c r="I1285" i="1"/>
  <c r="K1285" i="1" s="1"/>
  <c r="I1286" i="1"/>
  <c r="K1286" i="1" s="1"/>
  <c r="I1287" i="1"/>
  <c r="K1287" i="1" s="1"/>
  <c r="I1288" i="1"/>
  <c r="K1288" i="1" s="1"/>
  <c r="I1289" i="1"/>
  <c r="K1289" i="1" s="1"/>
  <c r="I1290" i="1"/>
  <c r="K1290" i="1" s="1"/>
  <c r="I1291" i="1"/>
  <c r="K1291" i="1" s="1"/>
  <c r="I1292" i="1"/>
  <c r="K1292" i="1" s="1"/>
  <c r="I1293" i="1"/>
  <c r="K1293" i="1" s="1"/>
  <c r="I1294" i="1"/>
  <c r="K1294" i="1" s="1"/>
  <c r="I1295" i="1"/>
  <c r="K1295" i="1" s="1"/>
  <c r="I1296" i="1"/>
  <c r="K1296" i="1" s="1"/>
  <c r="I1297" i="1"/>
  <c r="K1297" i="1" s="1"/>
  <c r="I1298" i="1"/>
  <c r="K1298" i="1" s="1"/>
  <c r="I1299" i="1"/>
  <c r="K1299" i="1" s="1"/>
  <c r="I1300" i="1"/>
  <c r="K1300" i="1" s="1"/>
  <c r="I1301" i="1"/>
  <c r="K1301" i="1" s="1"/>
  <c r="I1302" i="1"/>
  <c r="K1302" i="1" s="1"/>
  <c r="I1303" i="1"/>
  <c r="K1303" i="1" s="1"/>
  <c r="I1304" i="1"/>
  <c r="K1304" i="1" s="1"/>
  <c r="I1305" i="1"/>
  <c r="K1305" i="1" s="1"/>
  <c r="I1306" i="1"/>
  <c r="K1306" i="1" s="1"/>
  <c r="I1307" i="1"/>
  <c r="K1307" i="1" s="1"/>
  <c r="I1308" i="1"/>
  <c r="K1308" i="1" s="1"/>
  <c r="I1309" i="1"/>
  <c r="K1309" i="1" s="1"/>
  <c r="I1310" i="1"/>
  <c r="K1310" i="1" s="1"/>
  <c r="I1311" i="1"/>
  <c r="K1311" i="1" s="1"/>
  <c r="I1312" i="1"/>
  <c r="K1312" i="1" s="1"/>
  <c r="I1313" i="1"/>
  <c r="K1313" i="1" s="1"/>
  <c r="I1314" i="1"/>
  <c r="K1314" i="1" s="1"/>
  <c r="I1315" i="1"/>
  <c r="K1315" i="1" s="1"/>
  <c r="I1316" i="1"/>
  <c r="K1316" i="1" s="1"/>
  <c r="I1317" i="1"/>
  <c r="K1317" i="1" s="1"/>
  <c r="I1318" i="1"/>
  <c r="K1318" i="1" s="1"/>
  <c r="I1319" i="1"/>
  <c r="K1319" i="1" s="1"/>
  <c r="I1320" i="1"/>
  <c r="K1320" i="1" s="1"/>
  <c r="I1321" i="1"/>
  <c r="K1321" i="1" s="1"/>
  <c r="I1322" i="1"/>
  <c r="K1322" i="1" s="1"/>
  <c r="I1323" i="1"/>
  <c r="K1323" i="1" s="1"/>
  <c r="I1324" i="1"/>
  <c r="K1324" i="1" s="1"/>
  <c r="I1325" i="1"/>
  <c r="K1325" i="1" s="1"/>
  <c r="I1326" i="1"/>
  <c r="K1326" i="1" s="1"/>
  <c r="I1327" i="1"/>
  <c r="K1327" i="1" s="1"/>
  <c r="I1328" i="1"/>
  <c r="K1328" i="1" s="1"/>
  <c r="I1329" i="1"/>
  <c r="K1329" i="1" s="1"/>
  <c r="I1330" i="1"/>
  <c r="K1330" i="1" s="1"/>
  <c r="I1331" i="1"/>
  <c r="K1331" i="1" s="1"/>
  <c r="I1332" i="1"/>
  <c r="K1332" i="1" s="1"/>
  <c r="I1333" i="1"/>
  <c r="K1333" i="1" s="1"/>
  <c r="I1334" i="1"/>
  <c r="K1334" i="1" s="1"/>
  <c r="I1335" i="1"/>
  <c r="K1335" i="1" s="1"/>
  <c r="I1336" i="1"/>
  <c r="K1336" i="1" s="1"/>
  <c r="I1337" i="1"/>
  <c r="K1337" i="1" s="1"/>
  <c r="I1338" i="1"/>
  <c r="K1338" i="1" s="1"/>
  <c r="I1339" i="1"/>
  <c r="K1339" i="1" s="1"/>
  <c r="I1340" i="1"/>
  <c r="K1340" i="1" s="1"/>
  <c r="I1341" i="1"/>
  <c r="K1341" i="1" s="1"/>
  <c r="I1342" i="1"/>
  <c r="K1342" i="1" s="1"/>
  <c r="I1343" i="1"/>
  <c r="K1343" i="1" s="1"/>
  <c r="I1344" i="1"/>
  <c r="K1344" i="1" s="1"/>
  <c r="I1345" i="1"/>
  <c r="K1345" i="1" s="1"/>
  <c r="I1346" i="1"/>
  <c r="K1346" i="1" s="1"/>
  <c r="I1347" i="1"/>
  <c r="K1347" i="1" s="1"/>
  <c r="I1348" i="1"/>
  <c r="K1348" i="1" s="1"/>
  <c r="I1349" i="1"/>
  <c r="K1349" i="1" s="1"/>
  <c r="I1350" i="1"/>
  <c r="K1350" i="1" s="1"/>
  <c r="I1351" i="1"/>
  <c r="K1351" i="1" s="1"/>
  <c r="I1352" i="1"/>
  <c r="K1352" i="1" s="1"/>
  <c r="I1353" i="1"/>
  <c r="K1353" i="1" s="1"/>
  <c r="I1354" i="1"/>
  <c r="K1354" i="1" s="1"/>
  <c r="I1355" i="1"/>
  <c r="K1355" i="1" s="1"/>
  <c r="I1356" i="1"/>
  <c r="K1356" i="1" s="1"/>
  <c r="I1357" i="1"/>
  <c r="K1357" i="1" s="1"/>
  <c r="I1358" i="1"/>
  <c r="K1358" i="1" s="1"/>
  <c r="I1359" i="1"/>
  <c r="K1359" i="1" s="1"/>
  <c r="I1360" i="1"/>
  <c r="K1360" i="1" s="1"/>
  <c r="I1361" i="1"/>
  <c r="K1361" i="1" s="1"/>
  <c r="I1362" i="1"/>
  <c r="K1362" i="1" s="1"/>
  <c r="I1363" i="1"/>
  <c r="K1363" i="1" s="1"/>
  <c r="I1364" i="1"/>
  <c r="K1364" i="1" s="1"/>
  <c r="I1365" i="1"/>
  <c r="K1365" i="1" s="1"/>
  <c r="I1366" i="1"/>
  <c r="K1366" i="1" s="1"/>
  <c r="I1367" i="1"/>
  <c r="K1367" i="1" s="1"/>
  <c r="I1368" i="1"/>
  <c r="K1368" i="1" s="1"/>
  <c r="I1369" i="1"/>
  <c r="K1369" i="1" s="1"/>
  <c r="I1370" i="1"/>
  <c r="K1370" i="1" s="1"/>
  <c r="I1371" i="1"/>
  <c r="K1371" i="1" s="1"/>
  <c r="I1372" i="1"/>
  <c r="K1372" i="1" s="1"/>
  <c r="I1373" i="1"/>
  <c r="K1373" i="1" s="1"/>
  <c r="I1374" i="1"/>
  <c r="K1374" i="1" s="1"/>
  <c r="I1375" i="1"/>
  <c r="K1375" i="1" s="1"/>
  <c r="I1376" i="1"/>
  <c r="K1376" i="1" s="1"/>
  <c r="I1377" i="1"/>
  <c r="K1377" i="1" s="1"/>
  <c r="I1378" i="1"/>
  <c r="K1378" i="1" s="1"/>
  <c r="I1379" i="1"/>
  <c r="K1379" i="1" s="1"/>
  <c r="I1380" i="1"/>
  <c r="K1380" i="1" s="1"/>
  <c r="I1381" i="1"/>
  <c r="K1381" i="1" s="1"/>
  <c r="I1382" i="1"/>
  <c r="K1382" i="1" s="1"/>
  <c r="I1383" i="1"/>
  <c r="K1383" i="1" s="1"/>
  <c r="I1384" i="1"/>
  <c r="K1384" i="1" s="1"/>
  <c r="I1385" i="1"/>
  <c r="K1385" i="1" s="1"/>
  <c r="I1386" i="1"/>
  <c r="K1386" i="1" s="1"/>
  <c r="I1387" i="1"/>
  <c r="K1387" i="1" s="1"/>
  <c r="I1388" i="1"/>
  <c r="K1388" i="1" s="1"/>
  <c r="I1389" i="1"/>
  <c r="K1389" i="1" s="1"/>
  <c r="I1390" i="1"/>
  <c r="K1390" i="1" s="1"/>
  <c r="I1391" i="1"/>
  <c r="K1391" i="1" s="1"/>
  <c r="I1392" i="1"/>
  <c r="K1392" i="1" s="1"/>
  <c r="I1393" i="1"/>
  <c r="K1393" i="1" s="1"/>
  <c r="I1394" i="1"/>
  <c r="K1394" i="1" s="1"/>
  <c r="I1395" i="1"/>
  <c r="K1395" i="1" s="1"/>
  <c r="I1396" i="1"/>
  <c r="K1396" i="1" s="1"/>
  <c r="I1397" i="1"/>
  <c r="K1397" i="1" s="1"/>
  <c r="I1398" i="1"/>
  <c r="K1398" i="1" s="1"/>
  <c r="I1399" i="1"/>
  <c r="K1399" i="1" s="1"/>
  <c r="I1400" i="1"/>
  <c r="K1400" i="1" s="1"/>
  <c r="I1401" i="1"/>
  <c r="K1401" i="1" s="1"/>
  <c r="I1402" i="1"/>
  <c r="K1402" i="1" s="1"/>
  <c r="I1403" i="1"/>
  <c r="K1403" i="1" s="1"/>
  <c r="I1404" i="1"/>
  <c r="K1404" i="1" s="1"/>
  <c r="I1405" i="1"/>
  <c r="K1405" i="1" s="1"/>
  <c r="I1406" i="1"/>
  <c r="K1406" i="1" s="1"/>
  <c r="I1407" i="1"/>
  <c r="K1407" i="1" s="1"/>
  <c r="I1408" i="1"/>
  <c r="K1408" i="1" s="1"/>
  <c r="I1409" i="1"/>
  <c r="K1409" i="1" s="1"/>
  <c r="I1410" i="1"/>
  <c r="K1410" i="1" s="1"/>
  <c r="I1411" i="1"/>
  <c r="K1411" i="1" s="1"/>
  <c r="I1412" i="1"/>
  <c r="K1412" i="1" s="1"/>
  <c r="I1413" i="1"/>
  <c r="K1413" i="1" s="1"/>
  <c r="I1414" i="1"/>
  <c r="K1414" i="1" s="1"/>
  <c r="I1415" i="1"/>
  <c r="K1415" i="1" s="1"/>
  <c r="I1416" i="1"/>
  <c r="K1416" i="1" s="1"/>
  <c r="I1417" i="1"/>
  <c r="K1417" i="1" s="1"/>
  <c r="I1418" i="1"/>
  <c r="K1418" i="1" s="1"/>
  <c r="I1419" i="1"/>
  <c r="K1419" i="1" s="1"/>
  <c r="I1420" i="1"/>
  <c r="K1420" i="1" s="1"/>
  <c r="I1421" i="1"/>
  <c r="K1421" i="1" s="1"/>
  <c r="I1422" i="1"/>
  <c r="K1422" i="1" s="1"/>
  <c r="I1423" i="1"/>
  <c r="K1423" i="1" s="1"/>
  <c r="I1424" i="1"/>
  <c r="K1424" i="1" s="1"/>
  <c r="I1425" i="1"/>
  <c r="K1425" i="1" s="1"/>
  <c r="I1426" i="1"/>
  <c r="K1426" i="1" s="1"/>
  <c r="I1427" i="1"/>
  <c r="K1427" i="1" s="1"/>
  <c r="I1428" i="1"/>
  <c r="K1428" i="1" s="1"/>
  <c r="I1429" i="1"/>
  <c r="K1429" i="1" s="1"/>
  <c r="I1430" i="1"/>
  <c r="K1430" i="1" s="1"/>
  <c r="I1431" i="1"/>
  <c r="K1431" i="1" s="1"/>
  <c r="I1432" i="1"/>
  <c r="K1432" i="1" s="1"/>
  <c r="I1433" i="1"/>
  <c r="K1433" i="1" s="1"/>
  <c r="I1434" i="1"/>
  <c r="K1434" i="1" s="1"/>
  <c r="I1435" i="1"/>
  <c r="K1435" i="1" s="1"/>
  <c r="I1436" i="1"/>
  <c r="K1436" i="1" s="1"/>
  <c r="I1437" i="1"/>
  <c r="K1437" i="1" s="1"/>
  <c r="I1438" i="1"/>
  <c r="K1438" i="1" s="1"/>
  <c r="I1439" i="1"/>
  <c r="K1439" i="1" s="1"/>
  <c r="I1440" i="1"/>
  <c r="K1440" i="1" s="1"/>
  <c r="I1441" i="1"/>
  <c r="K1441" i="1" s="1"/>
  <c r="I1442" i="1"/>
  <c r="K1442" i="1" s="1"/>
  <c r="I1443" i="1"/>
  <c r="K1443" i="1" s="1"/>
  <c r="I1444" i="1"/>
  <c r="K1444" i="1" s="1"/>
  <c r="I1445" i="1"/>
  <c r="K1445" i="1" s="1"/>
  <c r="I1446" i="1"/>
  <c r="K1446" i="1" s="1"/>
  <c r="I1447" i="1"/>
  <c r="K1447" i="1" s="1"/>
  <c r="I1448" i="1"/>
  <c r="K1448" i="1" s="1"/>
  <c r="I1449" i="1"/>
  <c r="K1449" i="1" s="1"/>
  <c r="I1450" i="1"/>
  <c r="K1450" i="1" s="1"/>
  <c r="I1451" i="1"/>
  <c r="K1451" i="1" s="1"/>
  <c r="I1452" i="1"/>
  <c r="K1452" i="1" s="1"/>
  <c r="I1453" i="1"/>
  <c r="K1453" i="1" s="1"/>
  <c r="I1454" i="1"/>
  <c r="K1454" i="1" s="1"/>
  <c r="I1455" i="1"/>
  <c r="K1455" i="1" s="1"/>
  <c r="I1456" i="1"/>
  <c r="K1456" i="1" s="1"/>
  <c r="I1457" i="1"/>
  <c r="K1457" i="1" s="1"/>
  <c r="I1458" i="1"/>
  <c r="K1458" i="1" s="1"/>
  <c r="I1459" i="1"/>
  <c r="K1459" i="1" s="1"/>
  <c r="I1460" i="1"/>
  <c r="K1460" i="1" s="1"/>
  <c r="I1461" i="1"/>
  <c r="K1461" i="1" s="1"/>
  <c r="I1462" i="1"/>
  <c r="K1462" i="1" s="1"/>
  <c r="I1463" i="1"/>
  <c r="K1463" i="1" s="1"/>
  <c r="I1464" i="1"/>
  <c r="K1464" i="1" s="1"/>
  <c r="I1465" i="1"/>
  <c r="K1465" i="1" s="1"/>
  <c r="I1466" i="1"/>
  <c r="K1466" i="1" s="1"/>
  <c r="I1467" i="1"/>
  <c r="K1467" i="1" s="1"/>
  <c r="I1468" i="1"/>
  <c r="K1468" i="1" s="1"/>
  <c r="I1469" i="1"/>
  <c r="K1469" i="1" s="1"/>
  <c r="I1470" i="1"/>
  <c r="K1470" i="1" s="1"/>
  <c r="I1471" i="1"/>
  <c r="K1471" i="1" s="1"/>
  <c r="I1472" i="1"/>
  <c r="K1472" i="1" s="1"/>
  <c r="I1473" i="1"/>
  <c r="K1473" i="1" s="1"/>
  <c r="I1474" i="1"/>
  <c r="K1474" i="1" s="1"/>
  <c r="I1475" i="1"/>
  <c r="K1475" i="1" s="1"/>
  <c r="I1476" i="1"/>
  <c r="K1476" i="1" s="1"/>
  <c r="I1477" i="1"/>
  <c r="K1477" i="1" s="1"/>
  <c r="I1478" i="1"/>
  <c r="K1478" i="1" s="1"/>
  <c r="I1479" i="1"/>
  <c r="K1479" i="1" s="1"/>
  <c r="I1480" i="1"/>
  <c r="K1480" i="1" s="1"/>
  <c r="I1481" i="1"/>
  <c r="K1481" i="1" s="1"/>
  <c r="I1482" i="1"/>
  <c r="K1482" i="1" s="1"/>
  <c r="I1483" i="1"/>
  <c r="K1483" i="1" s="1"/>
  <c r="I1484" i="1"/>
  <c r="K1484" i="1" s="1"/>
  <c r="I1485" i="1"/>
  <c r="K1485" i="1" s="1"/>
  <c r="I1486" i="1"/>
  <c r="K1486" i="1" s="1"/>
  <c r="I1487" i="1"/>
  <c r="K1487" i="1" s="1"/>
  <c r="I1488" i="1"/>
  <c r="K1488" i="1" s="1"/>
  <c r="I1489" i="1"/>
  <c r="K1489" i="1" s="1"/>
  <c r="I1490" i="1"/>
  <c r="K1490" i="1" s="1"/>
  <c r="I1491" i="1"/>
  <c r="K1491" i="1" s="1"/>
  <c r="I1492" i="1"/>
  <c r="K1492" i="1" s="1"/>
  <c r="I1493" i="1"/>
  <c r="K1493" i="1" s="1"/>
  <c r="I1494" i="1"/>
  <c r="K1494" i="1" s="1"/>
  <c r="I1495" i="1"/>
  <c r="K1495" i="1" s="1"/>
  <c r="I1496" i="1"/>
  <c r="K1496" i="1" s="1"/>
  <c r="I1497" i="1"/>
  <c r="K1497" i="1" s="1"/>
  <c r="I1498" i="1"/>
  <c r="K1498" i="1" s="1"/>
  <c r="I1499" i="1"/>
  <c r="K1499" i="1" s="1"/>
  <c r="I1500" i="1"/>
  <c r="K1500" i="1" s="1"/>
  <c r="I1501" i="1"/>
  <c r="K1501" i="1" s="1"/>
  <c r="I1502" i="1"/>
  <c r="K1502" i="1" s="1"/>
  <c r="I1503" i="1"/>
  <c r="K1503" i="1" s="1"/>
  <c r="I1504" i="1"/>
  <c r="K1504" i="1" s="1"/>
  <c r="I1505" i="1"/>
  <c r="K1505" i="1" s="1"/>
  <c r="I1506" i="1"/>
  <c r="K1506" i="1" s="1"/>
  <c r="I1507" i="1"/>
  <c r="K1507" i="1" s="1"/>
  <c r="I1508" i="1"/>
  <c r="K1508" i="1" s="1"/>
  <c r="I1509" i="1"/>
  <c r="K1509" i="1" s="1"/>
  <c r="I1510" i="1"/>
  <c r="K1510" i="1" s="1"/>
  <c r="I1511" i="1"/>
  <c r="K1511" i="1" s="1"/>
  <c r="I1512" i="1"/>
  <c r="K1512" i="1" s="1"/>
  <c r="I1513" i="1"/>
  <c r="K1513" i="1" s="1"/>
  <c r="I1514" i="1"/>
  <c r="K1514" i="1" s="1"/>
  <c r="I1515" i="1"/>
  <c r="K1515" i="1" s="1"/>
  <c r="I1516" i="1"/>
  <c r="K1516" i="1" s="1"/>
  <c r="I1517" i="1"/>
  <c r="K1517" i="1" s="1"/>
  <c r="I1518" i="1"/>
  <c r="K1518" i="1" s="1"/>
  <c r="I1519" i="1"/>
  <c r="K1519" i="1" s="1"/>
  <c r="I1520" i="1"/>
  <c r="K1520" i="1" s="1"/>
  <c r="I1521" i="1"/>
  <c r="K1521" i="1" s="1"/>
  <c r="I1522" i="1"/>
  <c r="K1522" i="1" s="1"/>
  <c r="I1523" i="1"/>
  <c r="K1523" i="1" s="1"/>
  <c r="I1524" i="1"/>
  <c r="K1524" i="1" s="1"/>
  <c r="I1525" i="1"/>
  <c r="K1525" i="1" s="1"/>
  <c r="I1526" i="1"/>
  <c r="K1526" i="1" s="1"/>
  <c r="I1527" i="1"/>
  <c r="K1527" i="1" s="1"/>
  <c r="I1528" i="1"/>
  <c r="K1528" i="1" s="1"/>
  <c r="I1529" i="1"/>
  <c r="K1529" i="1" s="1"/>
  <c r="I1530" i="1"/>
  <c r="K1530" i="1" s="1"/>
  <c r="I1531" i="1"/>
  <c r="K1531" i="1" s="1"/>
  <c r="I1532" i="1"/>
  <c r="K1532" i="1" s="1"/>
  <c r="I1533" i="1"/>
  <c r="K1533" i="1" s="1"/>
  <c r="I1534" i="1"/>
  <c r="K1534" i="1" s="1"/>
  <c r="I1535" i="1"/>
  <c r="K1535" i="1" s="1"/>
  <c r="I1536" i="1"/>
  <c r="K1536" i="1" s="1"/>
  <c r="I1537" i="1"/>
  <c r="K1537" i="1" s="1"/>
  <c r="I1538" i="1"/>
  <c r="K1538" i="1" s="1"/>
  <c r="I1539" i="1"/>
  <c r="K1539" i="1" s="1"/>
  <c r="I1540" i="1"/>
  <c r="K1540" i="1" s="1"/>
  <c r="I1541" i="1"/>
  <c r="K1541" i="1" s="1"/>
  <c r="I1542" i="1"/>
  <c r="K1542" i="1" s="1"/>
  <c r="I1543" i="1"/>
  <c r="K1543" i="1" s="1"/>
  <c r="I1544" i="1"/>
  <c r="K1544" i="1" s="1"/>
  <c r="I1545" i="1"/>
  <c r="K1545" i="1" s="1"/>
  <c r="I1546" i="1"/>
  <c r="K1546" i="1" s="1"/>
  <c r="I1547" i="1"/>
  <c r="K1547" i="1" s="1"/>
  <c r="I1548" i="1"/>
  <c r="K1548" i="1" s="1"/>
  <c r="I1549" i="1"/>
  <c r="K1549" i="1" s="1"/>
  <c r="I1550" i="1"/>
  <c r="K1550" i="1" s="1"/>
  <c r="I1551" i="1"/>
  <c r="K1551" i="1" s="1"/>
  <c r="I1552" i="1"/>
  <c r="K1552" i="1" s="1"/>
  <c r="I1553" i="1"/>
  <c r="K1553" i="1" s="1"/>
  <c r="I1554" i="1"/>
  <c r="K1554" i="1" s="1"/>
  <c r="I1555" i="1"/>
  <c r="K1555" i="1" s="1"/>
  <c r="I1556" i="1"/>
  <c r="K1556" i="1" s="1"/>
  <c r="I1557" i="1"/>
  <c r="K1557" i="1" s="1"/>
  <c r="I1558" i="1"/>
  <c r="K1558" i="1" s="1"/>
  <c r="I1559" i="1"/>
  <c r="K1559" i="1" s="1"/>
  <c r="I1560" i="1"/>
  <c r="K1560" i="1" s="1"/>
  <c r="I1561" i="1"/>
  <c r="K1561" i="1" s="1"/>
  <c r="I1562" i="1"/>
  <c r="K1562" i="1" s="1"/>
  <c r="I1563" i="1"/>
  <c r="K1563" i="1" s="1"/>
  <c r="I1564" i="1"/>
  <c r="K1564" i="1" s="1"/>
  <c r="I1565" i="1"/>
  <c r="K1565" i="1" s="1"/>
  <c r="I1566" i="1"/>
  <c r="K1566" i="1" s="1"/>
  <c r="I1567" i="1"/>
  <c r="K1567" i="1" s="1"/>
  <c r="I1568" i="1"/>
  <c r="K1568" i="1" s="1"/>
  <c r="I1569" i="1"/>
  <c r="K1569" i="1" s="1"/>
  <c r="I1570" i="1"/>
  <c r="K1570" i="1" s="1"/>
  <c r="I1571" i="1"/>
  <c r="K1571" i="1" s="1"/>
  <c r="I1572" i="1"/>
  <c r="K1572" i="1" s="1"/>
  <c r="I1573" i="1"/>
  <c r="K1573" i="1" s="1"/>
  <c r="I1574" i="1"/>
  <c r="K1574" i="1" s="1"/>
  <c r="I1575" i="1"/>
  <c r="K1575" i="1" s="1"/>
  <c r="I1576" i="1"/>
  <c r="K1576" i="1" s="1"/>
  <c r="I1577" i="1"/>
  <c r="K1577" i="1" s="1"/>
  <c r="I1578" i="1"/>
  <c r="K1578" i="1" s="1"/>
  <c r="I1579" i="1"/>
  <c r="K1579" i="1" s="1"/>
  <c r="I1580" i="1"/>
  <c r="K1580" i="1" s="1"/>
  <c r="I1581" i="1"/>
  <c r="K1581" i="1" s="1"/>
  <c r="I1582" i="1"/>
  <c r="K1582" i="1" s="1"/>
  <c r="I1583" i="1"/>
  <c r="K1583" i="1" s="1"/>
  <c r="I1584" i="1"/>
  <c r="K1584" i="1" s="1"/>
  <c r="I1585" i="1"/>
  <c r="K1585" i="1" s="1"/>
  <c r="I1586" i="1"/>
  <c r="K1586" i="1" s="1"/>
  <c r="I1587" i="1"/>
  <c r="K1587" i="1" s="1"/>
  <c r="I1588" i="1"/>
  <c r="K1588" i="1" s="1"/>
  <c r="I1589" i="1"/>
  <c r="K1589" i="1" s="1"/>
  <c r="I1590" i="1"/>
  <c r="K1590" i="1" s="1"/>
  <c r="I1591" i="1"/>
  <c r="K1591" i="1" s="1"/>
  <c r="I1592" i="1"/>
  <c r="K1592" i="1" s="1"/>
  <c r="I1593" i="1"/>
  <c r="K1593" i="1" s="1"/>
  <c r="I1594" i="1"/>
  <c r="K1594" i="1" s="1"/>
  <c r="I1595" i="1"/>
  <c r="K1595" i="1" s="1"/>
  <c r="I1596" i="1"/>
  <c r="K1596" i="1" s="1"/>
  <c r="I1597" i="1"/>
  <c r="K1597" i="1" s="1"/>
  <c r="I1598" i="1"/>
  <c r="K1598" i="1" s="1"/>
  <c r="I1599" i="1"/>
  <c r="K1599" i="1" s="1"/>
  <c r="I1600" i="1"/>
  <c r="K1600" i="1" s="1"/>
  <c r="I1601" i="1"/>
  <c r="K1601" i="1" s="1"/>
  <c r="I1602" i="1"/>
  <c r="K1602" i="1" s="1"/>
  <c r="I1603" i="1"/>
  <c r="K1603" i="1" s="1"/>
  <c r="I1604" i="1"/>
  <c r="K1604" i="1" s="1"/>
  <c r="I1605" i="1"/>
  <c r="K1605" i="1" s="1"/>
  <c r="I1606" i="1"/>
  <c r="K1606" i="1" s="1"/>
  <c r="I1607" i="1"/>
  <c r="K1607" i="1" s="1"/>
  <c r="I1608" i="1"/>
  <c r="K1608" i="1" s="1"/>
  <c r="I1609" i="1"/>
  <c r="K1609" i="1" s="1"/>
  <c r="I1610" i="1"/>
  <c r="K1610" i="1" s="1"/>
  <c r="I1611" i="1"/>
  <c r="K1611" i="1" s="1"/>
  <c r="I1612" i="1"/>
  <c r="K1612" i="1" s="1"/>
  <c r="I1613" i="1"/>
  <c r="K1613" i="1" s="1"/>
  <c r="I1614" i="1"/>
  <c r="K1614" i="1" s="1"/>
  <c r="I1615" i="1"/>
  <c r="K1615" i="1" s="1"/>
  <c r="I1616" i="1"/>
  <c r="K1616" i="1" s="1"/>
  <c r="I1617" i="1"/>
  <c r="K1617" i="1" s="1"/>
  <c r="I1618" i="1"/>
  <c r="K1618" i="1" s="1"/>
  <c r="I1619" i="1"/>
  <c r="K1619" i="1" s="1"/>
  <c r="I1620" i="1"/>
  <c r="K1620" i="1" s="1"/>
  <c r="I1621" i="1"/>
  <c r="K1621" i="1" s="1"/>
  <c r="I1622" i="1"/>
  <c r="K1622" i="1" s="1"/>
  <c r="I1623" i="1"/>
  <c r="K1623" i="1" s="1"/>
  <c r="I1624" i="1"/>
  <c r="K1624" i="1" s="1"/>
  <c r="I1625" i="1"/>
  <c r="K1625" i="1" s="1"/>
  <c r="I1626" i="1"/>
  <c r="K1626" i="1" s="1"/>
  <c r="I1627" i="1"/>
  <c r="K1627" i="1" s="1"/>
  <c r="I1628" i="1"/>
  <c r="K1628" i="1" s="1"/>
  <c r="I1629" i="1"/>
  <c r="K1629" i="1" s="1"/>
  <c r="I1630" i="1"/>
  <c r="K1630" i="1" s="1"/>
  <c r="I1631" i="1"/>
  <c r="K1631" i="1" s="1"/>
  <c r="I1632" i="1"/>
  <c r="K1632" i="1" s="1"/>
  <c r="I1633" i="1"/>
  <c r="K1633" i="1" s="1"/>
  <c r="I1634" i="1"/>
  <c r="K1634" i="1" s="1"/>
  <c r="I1635" i="1"/>
  <c r="K1635" i="1" s="1"/>
  <c r="I1636" i="1"/>
  <c r="K1636" i="1" s="1"/>
  <c r="I1637" i="1"/>
  <c r="K1637" i="1" s="1"/>
  <c r="I1638" i="1"/>
  <c r="K1638" i="1" s="1"/>
  <c r="I1639" i="1"/>
  <c r="K1639" i="1" s="1"/>
  <c r="I1640" i="1"/>
  <c r="K1640" i="1" s="1"/>
  <c r="I1641" i="1"/>
  <c r="K1641" i="1" s="1"/>
  <c r="I1642" i="1"/>
  <c r="K1642" i="1" s="1"/>
  <c r="I1643" i="1"/>
  <c r="K1643" i="1" s="1"/>
  <c r="I1644" i="1"/>
  <c r="K1644" i="1" s="1"/>
  <c r="I1645" i="1"/>
  <c r="K1645" i="1" s="1"/>
  <c r="I1646" i="1"/>
  <c r="K1646" i="1" s="1"/>
  <c r="I1647" i="1"/>
  <c r="K1647" i="1" s="1"/>
  <c r="I1648" i="1"/>
  <c r="K1648" i="1" s="1"/>
  <c r="I1649" i="1"/>
  <c r="K1649" i="1" s="1"/>
  <c r="I1650" i="1"/>
  <c r="K1650" i="1" s="1"/>
  <c r="I1651" i="1"/>
  <c r="K1651" i="1" s="1"/>
  <c r="I1652" i="1"/>
  <c r="K1652" i="1" s="1"/>
  <c r="I1653" i="1"/>
  <c r="K1653" i="1" s="1"/>
  <c r="I1654" i="1"/>
  <c r="K1654" i="1" s="1"/>
  <c r="I1655" i="1"/>
  <c r="K1655" i="1" s="1"/>
  <c r="I1656" i="1"/>
  <c r="K1656" i="1" s="1"/>
  <c r="I1657" i="1"/>
  <c r="K1657" i="1" s="1"/>
  <c r="I1658" i="1"/>
  <c r="K1658" i="1" s="1"/>
  <c r="I1659" i="1"/>
  <c r="K1659" i="1" s="1"/>
  <c r="I1660" i="1"/>
  <c r="K1660" i="1" s="1"/>
  <c r="I1661" i="1"/>
  <c r="K1661" i="1" s="1"/>
  <c r="I1662" i="1"/>
  <c r="K1662" i="1" s="1"/>
  <c r="I1663" i="1"/>
  <c r="K1663" i="1" s="1"/>
  <c r="I1664" i="1"/>
  <c r="K1664" i="1" s="1"/>
  <c r="I1665" i="1"/>
  <c r="K1665" i="1" s="1"/>
  <c r="I1666" i="1"/>
  <c r="K1666" i="1" s="1"/>
  <c r="I1667" i="1"/>
  <c r="K1667" i="1" s="1"/>
  <c r="I1668" i="1"/>
  <c r="K1668" i="1" s="1"/>
  <c r="I1669" i="1"/>
  <c r="K1669" i="1" s="1"/>
  <c r="I1670" i="1"/>
  <c r="K1670" i="1" s="1"/>
  <c r="I1671" i="1"/>
  <c r="K1671" i="1" s="1"/>
  <c r="I1672" i="1"/>
  <c r="K1672" i="1" s="1"/>
  <c r="I1673" i="1"/>
  <c r="K1673" i="1" s="1"/>
  <c r="I1674" i="1"/>
  <c r="K1674" i="1" s="1"/>
  <c r="I1675" i="1"/>
  <c r="K1675" i="1" s="1"/>
  <c r="I1676" i="1"/>
  <c r="K1676" i="1" s="1"/>
  <c r="I1677" i="1"/>
  <c r="K1677" i="1" s="1"/>
  <c r="I1678" i="1"/>
  <c r="K1678" i="1" s="1"/>
  <c r="I1679" i="1"/>
  <c r="K1679" i="1" s="1"/>
  <c r="I1680" i="1"/>
  <c r="K1680" i="1" s="1"/>
  <c r="I1681" i="1"/>
  <c r="K1681" i="1" s="1"/>
  <c r="I1682" i="1"/>
  <c r="K1682" i="1" s="1"/>
  <c r="I1683" i="1"/>
  <c r="K1683" i="1" s="1"/>
  <c r="I1684" i="1"/>
  <c r="K1684" i="1" s="1"/>
  <c r="I1685" i="1"/>
  <c r="K1685" i="1" s="1"/>
  <c r="I1686" i="1"/>
  <c r="K1686" i="1" s="1"/>
  <c r="I1687" i="1"/>
  <c r="K1687" i="1" s="1"/>
  <c r="I1688" i="1"/>
  <c r="K1688" i="1" s="1"/>
  <c r="I1689" i="1"/>
  <c r="K1689" i="1" s="1"/>
  <c r="I1690" i="1"/>
  <c r="K1690" i="1" s="1"/>
  <c r="I1691" i="1"/>
  <c r="K1691" i="1" s="1"/>
  <c r="I1692" i="1"/>
  <c r="K1692" i="1" s="1"/>
  <c r="I1693" i="1"/>
  <c r="K1693" i="1" s="1"/>
  <c r="I1694" i="1"/>
  <c r="K1694" i="1" s="1"/>
  <c r="I1695" i="1"/>
  <c r="K1695" i="1" s="1"/>
  <c r="I1696" i="1"/>
  <c r="K1696" i="1" s="1"/>
  <c r="I1697" i="1"/>
  <c r="K1697" i="1" s="1"/>
  <c r="I1698" i="1"/>
  <c r="K1698" i="1" s="1"/>
  <c r="I1699" i="1"/>
  <c r="K1699" i="1" s="1"/>
  <c r="I1700" i="1"/>
  <c r="K1700" i="1" s="1"/>
  <c r="I1701" i="1"/>
  <c r="K1701" i="1" s="1"/>
  <c r="I1702" i="1"/>
  <c r="K1702" i="1" s="1"/>
  <c r="I1703" i="1"/>
  <c r="K1703" i="1" s="1"/>
  <c r="I1704" i="1"/>
  <c r="K1704" i="1" s="1"/>
  <c r="I1705" i="1"/>
  <c r="K1705" i="1" s="1"/>
  <c r="I1706" i="1"/>
  <c r="K1706" i="1" s="1"/>
  <c r="I1707" i="1"/>
  <c r="K1707" i="1" s="1"/>
  <c r="I1708" i="1"/>
  <c r="K1708" i="1" s="1"/>
  <c r="I1709" i="1"/>
  <c r="K1709" i="1" s="1"/>
  <c r="I1710" i="1"/>
  <c r="K1710" i="1" s="1"/>
  <c r="I1711" i="1"/>
  <c r="K1711" i="1" s="1"/>
  <c r="I1712" i="1"/>
  <c r="K1712" i="1" s="1"/>
  <c r="I1713" i="1"/>
  <c r="K1713" i="1" s="1"/>
  <c r="I1714" i="1"/>
  <c r="K1714" i="1" s="1"/>
  <c r="I1715" i="1"/>
  <c r="K1715" i="1" s="1"/>
  <c r="I1716" i="1"/>
  <c r="K1716" i="1" s="1"/>
  <c r="I1717" i="1"/>
  <c r="K1717" i="1" s="1"/>
  <c r="I1718" i="1"/>
  <c r="K1718" i="1" s="1"/>
  <c r="I1719" i="1"/>
  <c r="K1719" i="1" s="1"/>
  <c r="I1720" i="1"/>
  <c r="K1720" i="1" s="1"/>
  <c r="I1721" i="1"/>
  <c r="K1721" i="1" s="1"/>
  <c r="I1722" i="1"/>
  <c r="K1722" i="1" s="1"/>
  <c r="I1723" i="1"/>
  <c r="K1723" i="1" s="1"/>
  <c r="I1724" i="1"/>
  <c r="K1724" i="1" s="1"/>
  <c r="I1725" i="1"/>
  <c r="K1725" i="1" s="1"/>
  <c r="I1726" i="1"/>
  <c r="K1726" i="1" s="1"/>
  <c r="I1727" i="1"/>
  <c r="K1727" i="1" s="1"/>
  <c r="I1728" i="1"/>
  <c r="K1728" i="1" s="1"/>
  <c r="I1729" i="1"/>
  <c r="K1729" i="1" s="1"/>
  <c r="I1730" i="1"/>
  <c r="K1730" i="1" s="1"/>
  <c r="I1731" i="1"/>
  <c r="K1731" i="1" s="1"/>
  <c r="I1732" i="1"/>
  <c r="K1732" i="1" s="1"/>
  <c r="I1733" i="1"/>
  <c r="K1733" i="1" s="1"/>
  <c r="I1734" i="1"/>
  <c r="K1734" i="1" s="1"/>
  <c r="I1735" i="1"/>
  <c r="K1735" i="1" s="1"/>
  <c r="I1736" i="1"/>
  <c r="K1736" i="1" s="1"/>
  <c r="I1737" i="1"/>
  <c r="K1737" i="1" s="1"/>
  <c r="I1738" i="1"/>
  <c r="K1738" i="1" s="1"/>
  <c r="I1739" i="1"/>
  <c r="K1739" i="1" s="1"/>
  <c r="I1740" i="1"/>
  <c r="K1740" i="1" s="1"/>
  <c r="I1741" i="1"/>
  <c r="K1741" i="1" s="1"/>
  <c r="I1742" i="1"/>
  <c r="K1742" i="1" s="1"/>
  <c r="I1743" i="1"/>
  <c r="K1743" i="1" s="1"/>
  <c r="I1744" i="1"/>
  <c r="K1744" i="1" s="1"/>
  <c r="I1745" i="1"/>
  <c r="K1745" i="1" s="1"/>
  <c r="I1746" i="1"/>
  <c r="K1746" i="1" s="1"/>
  <c r="I1747" i="1"/>
  <c r="K1747" i="1" s="1"/>
  <c r="I1748" i="1"/>
  <c r="K1748" i="1" s="1"/>
  <c r="I1749" i="1"/>
  <c r="K1749" i="1" s="1"/>
  <c r="I1750" i="1"/>
  <c r="K1750" i="1" s="1"/>
  <c r="I1751" i="1"/>
  <c r="K1751" i="1" s="1"/>
  <c r="I1752" i="1"/>
  <c r="K1752" i="1" s="1"/>
  <c r="I1753" i="1"/>
  <c r="K1753" i="1" s="1"/>
  <c r="I1754" i="1"/>
  <c r="K1754" i="1" s="1"/>
  <c r="I1755" i="1"/>
  <c r="K1755" i="1" s="1"/>
  <c r="I1756" i="1"/>
  <c r="K1756" i="1" s="1"/>
  <c r="I1757" i="1"/>
  <c r="K1757" i="1" s="1"/>
  <c r="I1758" i="1"/>
  <c r="K1758" i="1" s="1"/>
  <c r="I1759" i="1"/>
  <c r="K1759" i="1" s="1"/>
  <c r="I1760" i="1"/>
  <c r="K1760" i="1" s="1"/>
  <c r="I1761" i="1"/>
  <c r="K1761" i="1" s="1"/>
  <c r="I1762" i="1"/>
  <c r="K1762" i="1" s="1"/>
  <c r="I1763" i="1"/>
  <c r="K1763" i="1" s="1"/>
  <c r="I1764" i="1"/>
  <c r="K1764" i="1" s="1"/>
  <c r="I1765" i="1"/>
  <c r="K1765" i="1" s="1"/>
  <c r="I1766" i="1"/>
  <c r="K1766" i="1" s="1"/>
  <c r="I1767" i="1"/>
  <c r="K1767" i="1" s="1"/>
  <c r="I1768" i="1"/>
  <c r="K1768" i="1" s="1"/>
  <c r="I1769" i="1"/>
  <c r="K1769" i="1" s="1"/>
  <c r="I1770" i="1"/>
  <c r="K1770" i="1" s="1"/>
  <c r="I1771" i="1"/>
  <c r="K1771" i="1" s="1"/>
  <c r="I1772" i="1"/>
  <c r="K1772" i="1" s="1"/>
  <c r="I1773" i="1"/>
  <c r="K1773" i="1" s="1"/>
  <c r="I1774" i="1"/>
  <c r="K1774" i="1" s="1"/>
  <c r="I1775" i="1"/>
  <c r="K1775" i="1" s="1"/>
  <c r="I1776" i="1"/>
  <c r="K1776" i="1" s="1"/>
  <c r="I1777" i="1"/>
  <c r="K1777" i="1" s="1"/>
  <c r="I1778" i="1"/>
  <c r="K1778" i="1" s="1"/>
  <c r="I1779" i="1"/>
  <c r="K1779" i="1" s="1"/>
  <c r="I1780" i="1"/>
  <c r="K1780" i="1" s="1"/>
  <c r="I1781" i="1"/>
  <c r="K1781" i="1" s="1"/>
  <c r="I1782" i="1"/>
  <c r="K1782" i="1" s="1"/>
  <c r="I1783" i="1"/>
  <c r="K1783" i="1" s="1"/>
  <c r="I1784" i="1"/>
  <c r="K1784" i="1" s="1"/>
  <c r="I1785" i="1"/>
  <c r="K1785" i="1" s="1"/>
  <c r="I1786" i="1"/>
  <c r="K1786" i="1" s="1"/>
  <c r="I1787" i="1"/>
  <c r="K1787" i="1" s="1"/>
  <c r="I1788" i="1"/>
  <c r="K1788" i="1" s="1"/>
  <c r="I1789" i="1"/>
  <c r="K1789" i="1" s="1"/>
  <c r="I1790" i="1"/>
  <c r="K1790" i="1" s="1"/>
  <c r="I1791" i="1"/>
  <c r="K1791" i="1" s="1"/>
  <c r="I1792" i="1"/>
  <c r="K1792" i="1" s="1"/>
  <c r="I1793" i="1"/>
  <c r="K1793" i="1" s="1"/>
  <c r="I1794" i="1"/>
  <c r="K1794" i="1" s="1"/>
  <c r="I1795" i="1"/>
  <c r="K1795" i="1" s="1"/>
  <c r="I1796" i="1"/>
  <c r="K1796" i="1" s="1"/>
  <c r="I1797" i="1"/>
  <c r="K1797" i="1" s="1"/>
  <c r="I1798" i="1"/>
  <c r="K1798" i="1" s="1"/>
  <c r="I1799" i="1"/>
  <c r="K1799" i="1" s="1"/>
  <c r="I1800" i="1"/>
  <c r="K1800" i="1" s="1"/>
  <c r="I1801" i="1"/>
  <c r="K1801" i="1" s="1"/>
  <c r="I1802" i="1"/>
  <c r="K1802" i="1" s="1"/>
  <c r="I1803" i="1"/>
  <c r="K1803" i="1" s="1"/>
  <c r="I1804" i="1"/>
  <c r="K1804" i="1" s="1"/>
  <c r="I1805" i="1"/>
  <c r="K1805" i="1" s="1"/>
  <c r="I1806" i="1"/>
  <c r="K1806" i="1" s="1"/>
  <c r="I1807" i="1"/>
  <c r="K1807" i="1" s="1"/>
  <c r="I1808" i="1"/>
  <c r="K1808" i="1" s="1"/>
  <c r="I1809" i="1"/>
  <c r="K1809" i="1" s="1"/>
  <c r="I1810" i="1"/>
  <c r="K1810" i="1" s="1"/>
  <c r="I1811" i="1"/>
  <c r="K1811" i="1" s="1"/>
  <c r="I1812" i="1"/>
  <c r="K1812" i="1" s="1"/>
  <c r="I1813" i="1"/>
  <c r="K1813" i="1" s="1"/>
  <c r="I1814" i="1"/>
  <c r="K1814" i="1" s="1"/>
  <c r="I1815" i="1"/>
  <c r="K1815" i="1" s="1"/>
  <c r="I1816" i="1"/>
  <c r="K1816" i="1" s="1"/>
  <c r="I1817" i="1"/>
  <c r="K1817" i="1" s="1"/>
  <c r="I1818" i="1"/>
  <c r="K1818" i="1" s="1"/>
  <c r="I1819" i="1"/>
  <c r="K1819" i="1" s="1"/>
  <c r="I1820" i="1"/>
  <c r="K1820" i="1" s="1"/>
  <c r="I1821" i="1"/>
  <c r="K1821" i="1" s="1"/>
  <c r="I1822" i="1"/>
  <c r="K1822" i="1" s="1"/>
  <c r="I1823" i="1"/>
  <c r="K1823" i="1" s="1"/>
  <c r="I1824" i="1"/>
  <c r="K1824" i="1" s="1"/>
  <c r="I1825" i="1"/>
  <c r="K1825" i="1" s="1"/>
  <c r="I1826" i="1"/>
  <c r="K1826" i="1" s="1"/>
  <c r="I1827" i="1"/>
  <c r="K1827" i="1" s="1"/>
  <c r="I1828" i="1"/>
  <c r="K1828" i="1" s="1"/>
  <c r="I1829" i="1"/>
  <c r="K1829" i="1" s="1"/>
  <c r="I1830" i="1"/>
  <c r="K1830" i="1" s="1"/>
  <c r="I1831" i="1"/>
  <c r="K1831" i="1" s="1"/>
  <c r="I1832" i="1"/>
  <c r="K1832" i="1" s="1"/>
  <c r="I1833" i="1"/>
  <c r="K1833" i="1" s="1"/>
  <c r="I1834" i="1"/>
  <c r="K1834" i="1" s="1"/>
  <c r="I1835" i="1"/>
  <c r="K1835" i="1" s="1"/>
  <c r="I1836" i="1"/>
  <c r="K1836" i="1" s="1"/>
  <c r="I1837" i="1"/>
  <c r="K1837" i="1" s="1"/>
  <c r="I1838" i="1"/>
  <c r="K1838" i="1" s="1"/>
  <c r="I1839" i="1"/>
  <c r="K1839" i="1" s="1"/>
  <c r="I1840" i="1"/>
  <c r="K1840" i="1" s="1"/>
  <c r="I1841" i="1"/>
  <c r="K1841" i="1" s="1"/>
  <c r="I1842" i="1"/>
  <c r="K1842" i="1" s="1"/>
  <c r="I1843" i="1"/>
  <c r="K1843" i="1" s="1"/>
  <c r="I1844" i="1"/>
  <c r="K1844" i="1" s="1"/>
  <c r="I1845" i="1"/>
  <c r="K1845" i="1" s="1"/>
  <c r="I1846" i="1"/>
  <c r="K1846" i="1" s="1"/>
  <c r="I1847" i="1"/>
  <c r="K1847" i="1" s="1"/>
  <c r="I1848" i="1"/>
  <c r="K1848" i="1" s="1"/>
  <c r="I1849" i="1"/>
  <c r="K1849" i="1" s="1"/>
  <c r="I1850" i="1"/>
  <c r="K1850" i="1" s="1"/>
  <c r="I1851" i="1"/>
  <c r="K1851" i="1" s="1"/>
  <c r="I1852" i="1"/>
  <c r="K1852" i="1" s="1"/>
  <c r="I1853" i="1"/>
  <c r="K1853" i="1" s="1"/>
  <c r="I1854" i="1"/>
  <c r="K1854" i="1" s="1"/>
  <c r="I1855" i="1"/>
  <c r="K1855" i="1" s="1"/>
  <c r="I1856" i="1"/>
  <c r="K1856" i="1" s="1"/>
  <c r="I1857" i="1"/>
  <c r="K1857" i="1" s="1"/>
  <c r="I1858" i="1"/>
  <c r="K1858" i="1" s="1"/>
  <c r="I1859" i="1"/>
  <c r="K1859" i="1" s="1"/>
  <c r="I1860" i="1"/>
  <c r="K1860" i="1" s="1"/>
  <c r="I1861" i="1"/>
  <c r="K1861" i="1" s="1"/>
  <c r="I1862" i="1"/>
  <c r="K1862" i="1" s="1"/>
  <c r="I1863" i="1"/>
  <c r="K1863" i="1" s="1"/>
  <c r="I1864" i="1"/>
  <c r="K1864" i="1" s="1"/>
  <c r="I1865" i="1"/>
  <c r="K1865" i="1" s="1"/>
  <c r="I1866" i="1"/>
  <c r="K1866" i="1" s="1"/>
  <c r="I1867" i="1"/>
  <c r="K1867" i="1" s="1"/>
  <c r="I1868" i="1"/>
  <c r="K1868" i="1" s="1"/>
  <c r="I1869" i="1"/>
  <c r="K1869" i="1" s="1"/>
  <c r="I1870" i="1"/>
  <c r="K1870" i="1" s="1"/>
  <c r="I1871" i="1"/>
  <c r="K1871" i="1" s="1"/>
  <c r="I1872" i="1"/>
  <c r="K1872" i="1" s="1"/>
  <c r="I1873" i="1"/>
  <c r="K1873" i="1" s="1"/>
  <c r="I1874" i="1"/>
  <c r="K1874" i="1" s="1"/>
  <c r="I1875" i="1"/>
  <c r="K1875" i="1" s="1"/>
  <c r="I1876" i="1"/>
  <c r="K1876" i="1" s="1"/>
  <c r="I1877" i="1"/>
  <c r="K1877" i="1" s="1"/>
  <c r="I1878" i="1"/>
  <c r="K1878" i="1" s="1"/>
  <c r="I1879" i="1"/>
  <c r="K1879" i="1" s="1"/>
  <c r="I1880" i="1"/>
  <c r="K1880" i="1" s="1"/>
  <c r="I1881" i="1"/>
  <c r="K1881" i="1" s="1"/>
  <c r="I1882" i="1"/>
  <c r="K1882" i="1" s="1"/>
  <c r="I1883" i="1"/>
  <c r="K1883" i="1" s="1"/>
  <c r="I1884" i="1"/>
  <c r="K1884" i="1" s="1"/>
  <c r="I1885" i="1"/>
  <c r="K1885" i="1" s="1"/>
  <c r="I1886" i="1"/>
  <c r="K1886" i="1" s="1"/>
  <c r="I1887" i="1"/>
  <c r="K1887" i="1" s="1"/>
  <c r="I1888" i="1"/>
  <c r="K1888" i="1" s="1"/>
  <c r="I1889" i="1"/>
  <c r="K1889" i="1" s="1"/>
  <c r="I1890" i="1"/>
  <c r="K1890" i="1" s="1"/>
  <c r="I1891" i="1"/>
  <c r="K1891" i="1" s="1"/>
  <c r="I1892" i="1"/>
  <c r="K1892" i="1" s="1"/>
  <c r="I1893" i="1"/>
  <c r="K1893" i="1" s="1"/>
  <c r="I1894" i="1"/>
  <c r="K1894" i="1" s="1"/>
  <c r="I1895" i="1"/>
  <c r="K1895" i="1" s="1"/>
  <c r="I1896" i="1"/>
  <c r="K1896" i="1" s="1"/>
  <c r="I1897" i="1"/>
  <c r="K1897" i="1" s="1"/>
  <c r="I1898" i="1"/>
  <c r="K1898" i="1" s="1"/>
  <c r="I1899" i="1"/>
  <c r="K1899" i="1" s="1"/>
  <c r="I1900" i="1"/>
  <c r="K1900" i="1" s="1"/>
  <c r="I1901" i="1"/>
  <c r="K1901" i="1" s="1"/>
  <c r="I1902" i="1"/>
  <c r="K1902" i="1" s="1"/>
  <c r="I1903" i="1"/>
  <c r="K1903" i="1" s="1"/>
  <c r="I1904" i="1"/>
  <c r="K1904" i="1" s="1"/>
  <c r="I1905" i="1"/>
  <c r="K1905" i="1" s="1"/>
  <c r="I1906" i="1"/>
  <c r="K1906" i="1" s="1"/>
  <c r="I1907" i="1"/>
  <c r="K1907" i="1" s="1"/>
  <c r="I1908" i="1"/>
  <c r="K1908" i="1" s="1"/>
  <c r="I1909" i="1"/>
  <c r="K1909" i="1" s="1"/>
  <c r="I1910" i="1"/>
  <c r="K1910" i="1" s="1"/>
  <c r="I1911" i="1"/>
  <c r="K1911" i="1" s="1"/>
  <c r="I1912" i="1"/>
  <c r="K1912" i="1" s="1"/>
  <c r="I1913" i="1"/>
  <c r="K1913" i="1" s="1"/>
  <c r="I1914" i="1"/>
  <c r="K1914" i="1" s="1"/>
  <c r="I1915" i="1"/>
  <c r="K1915" i="1" s="1"/>
  <c r="I1916" i="1"/>
  <c r="K1916" i="1" s="1"/>
  <c r="I1917" i="1"/>
  <c r="K1917" i="1" s="1"/>
  <c r="I1918" i="1"/>
  <c r="K1918" i="1" s="1"/>
  <c r="I1919" i="1"/>
  <c r="K1919" i="1" s="1"/>
  <c r="I1920" i="1"/>
  <c r="K1920" i="1" s="1"/>
  <c r="I1921" i="1"/>
  <c r="K1921" i="1" s="1"/>
  <c r="I1922" i="1"/>
  <c r="K1922" i="1" s="1"/>
  <c r="I1923" i="1"/>
  <c r="K1923" i="1" s="1"/>
  <c r="I1924" i="1"/>
  <c r="K1924" i="1" s="1"/>
  <c r="I1925" i="1"/>
  <c r="K1925" i="1" s="1"/>
  <c r="I1926" i="1"/>
  <c r="K1926" i="1" s="1"/>
  <c r="I1927" i="1"/>
  <c r="K1927" i="1" s="1"/>
  <c r="I1928" i="1"/>
  <c r="K1928" i="1" s="1"/>
  <c r="I1929" i="1"/>
  <c r="K1929" i="1" s="1"/>
  <c r="I1930" i="1"/>
  <c r="K1930" i="1" s="1"/>
  <c r="I1931" i="1"/>
  <c r="K1931" i="1" s="1"/>
  <c r="I1932" i="1"/>
  <c r="K1932" i="1" s="1"/>
  <c r="I1933" i="1"/>
  <c r="K1933" i="1" s="1"/>
  <c r="I1934" i="1"/>
  <c r="K1934" i="1" s="1"/>
  <c r="I1935" i="1"/>
  <c r="K1935" i="1" s="1"/>
  <c r="I1936" i="1"/>
  <c r="K1936" i="1" s="1"/>
  <c r="I1937" i="1"/>
  <c r="K1937" i="1" s="1"/>
  <c r="I1938" i="1"/>
  <c r="K1938" i="1" s="1"/>
  <c r="I1939" i="1"/>
  <c r="K1939" i="1" s="1"/>
  <c r="I1940" i="1"/>
  <c r="K1940" i="1" s="1"/>
  <c r="I1941" i="1"/>
  <c r="K1941" i="1" s="1"/>
  <c r="I1942" i="1"/>
  <c r="K1942" i="1" s="1"/>
  <c r="I1943" i="1"/>
  <c r="K1943" i="1" s="1"/>
  <c r="I1944" i="1"/>
  <c r="K1944" i="1" s="1"/>
  <c r="I1945" i="1"/>
  <c r="K1945" i="1" s="1"/>
  <c r="I1946" i="1"/>
  <c r="K1946" i="1" s="1"/>
  <c r="I1947" i="1"/>
  <c r="K1947" i="1" s="1"/>
  <c r="I1948" i="1"/>
  <c r="K1948" i="1" s="1"/>
  <c r="I1949" i="1"/>
  <c r="K1949" i="1" s="1"/>
  <c r="I1950" i="1"/>
  <c r="K1950" i="1" s="1"/>
  <c r="I1951" i="1"/>
  <c r="K1951" i="1" s="1"/>
  <c r="I1952" i="1"/>
  <c r="K1952" i="1" s="1"/>
  <c r="I1953" i="1"/>
  <c r="K1953" i="1" s="1"/>
  <c r="I1954" i="1"/>
  <c r="K1954" i="1" s="1"/>
  <c r="I1955" i="1"/>
  <c r="K1955" i="1" s="1"/>
  <c r="I1956" i="1"/>
  <c r="K1956" i="1" s="1"/>
  <c r="I1957" i="1"/>
  <c r="K1957" i="1" s="1"/>
  <c r="I1958" i="1"/>
  <c r="K1958" i="1" s="1"/>
  <c r="I1959" i="1"/>
  <c r="K1959" i="1" s="1"/>
  <c r="I1960" i="1"/>
  <c r="K1960" i="1" s="1"/>
  <c r="I1961" i="1"/>
  <c r="K1961" i="1" s="1"/>
  <c r="I1962" i="1"/>
  <c r="K1962" i="1" s="1"/>
  <c r="I1963" i="1"/>
  <c r="K1963" i="1" s="1"/>
  <c r="I1964" i="1"/>
  <c r="K1964" i="1" s="1"/>
  <c r="I1965" i="1"/>
  <c r="K1965" i="1" s="1"/>
  <c r="I1966" i="1"/>
  <c r="K1966" i="1" s="1"/>
  <c r="I1967" i="1"/>
  <c r="K1967" i="1" s="1"/>
  <c r="I1968" i="1"/>
  <c r="K1968" i="1" s="1"/>
  <c r="I1969" i="1"/>
  <c r="K1969" i="1" s="1"/>
  <c r="I1970" i="1"/>
  <c r="K1970" i="1" s="1"/>
  <c r="I1971" i="1"/>
  <c r="K1971" i="1" s="1"/>
  <c r="I1972" i="1"/>
  <c r="K1972" i="1" s="1"/>
  <c r="I1973" i="1"/>
  <c r="K1973" i="1" s="1"/>
  <c r="I1974" i="1"/>
  <c r="K1974" i="1" s="1"/>
  <c r="I1975" i="1"/>
  <c r="K1975" i="1" s="1"/>
  <c r="I1976" i="1"/>
  <c r="K1976" i="1" s="1"/>
  <c r="I1977" i="1"/>
  <c r="K1977" i="1" s="1"/>
  <c r="I1978" i="1"/>
  <c r="K1978" i="1" s="1"/>
  <c r="I1979" i="1"/>
  <c r="K1979" i="1" s="1"/>
  <c r="I1980" i="1"/>
  <c r="K1980" i="1" s="1"/>
  <c r="I1981" i="1"/>
  <c r="K1981" i="1" s="1"/>
  <c r="I1982" i="1"/>
  <c r="K1982" i="1" s="1"/>
  <c r="I1983" i="1"/>
  <c r="K1983" i="1" s="1"/>
  <c r="I1984" i="1"/>
  <c r="K1984" i="1" s="1"/>
  <c r="I1985" i="1"/>
  <c r="K1985" i="1" s="1"/>
  <c r="I1986" i="1"/>
  <c r="K1986" i="1" s="1"/>
  <c r="I1987" i="1"/>
  <c r="K1987" i="1" s="1"/>
  <c r="I1988" i="1"/>
  <c r="K1988" i="1" s="1"/>
  <c r="I1989" i="1"/>
  <c r="K1989" i="1" s="1"/>
  <c r="I1990" i="1"/>
  <c r="K1990" i="1" s="1"/>
  <c r="I1991" i="1"/>
  <c r="K1991" i="1" s="1"/>
  <c r="I1992" i="1"/>
  <c r="K1992" i="1" s="1"/>
  <c r="I1993" i="1"/>
  <c r="K1993" i="1" s="1"/>
  <c r="I1994" i="1"/>
  <c r="K1994" i="1" s="1"/>
  <c r="I1995" i="1"/>
  <c r="K1995" i="1" s="1"/>
  <c r="I1996" i="1"/>
  <c r="K1996" i="1" s="1"/>
  <c r="I1997" i="1"/>
  <c r="K1997" i="1" s="1"/>
  <c r="I1998" i="1"/>
  <c r="K1998" i="1" s="1"/>
  <c r="I1999" i="1"/>
  <c r="K1999" i="1" s="1"/>
  <c r="I2000" i="1"/>
  <c r="K2000" i="1" s="1"/>
  <c r="I2001" i="1"/>
  <c r="K2001"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E12449-BD3E-BA47-B636-CEBFF449591D}" keepAlive="1" name="Query - Excel workbook" description="Connection to the 'Excel workbook' query in the workbook." type="5" refreshedVersion="0" background="1">
    <dbPr connection="Provider=Microsoft.Mashup.OleDb.1;Data Source=$Workbook$;Location=&quot;Excel workbook&quot;;Extended Properties=&quot;&quot;" command="SELECT * FROM [Excel workbook]"/>
  </connection>
</connections>
</file>

<file path=xl/sharedStrings.xml><?xml version="1.0" encoding="utf-8"?>
<sst xmlns="http://schemas.openxmlformats.org/spreadsheetml/2006/main" count="8815" uniqueCount="2403">
  <si>
    <t>OrderID</t>
  </si>
  <si>
    <t>OrderDate</t>
  </si>
  <si>
    <t>CustomerID</t>
  </si>
  <si>
    <t>ProductID</t>
  </si>
  <si>
    <t>Quantity</t>
  </si>
  <si>
    <t>Selling Price</t>
  </si>
  <si>
    <t>Cost Price</t>
  </si>
  <si>
    <t>ORD-0000</t>
  </si>
  <si>
    <t>CUST-142</t>
  </si>
  <si>
    <t>PROD-120</t>
  </si>
  <si>
    <t>ORD-0001</t>
  </si>
  <si>
    <t>CUST-056</t>
  </si>
  <si>
    <t>PROD-112</t>
  </si>
  <si>
    <t>ORD-0002</t>
  </si>
  <si>
    <t>CUST-095</t>
  </si>
  <si>
    <t>PROD-131</t>
  </si>
  <si>
    <t>ORD-0003</t>
  </si>
  <si>
    <t>CUST-092</t>
  </si>
  <si>
    <t>ORD-0004</t>
  </si>
  <si>
    <t>CUST-030</t>
  </si>
  <si>
    <t>PROD-105</t>
  </si>
  <si>
    <t>ORD-0005</t>
  </si>
  <si>
    <t>CUST-099</t>
  </si>
  <si>
    <t>PROD-104</t>
  </si>
  <si>
    <t>ORD-0006</t>
  </si>
  <si>
    <t>PROD-124</t>
  </si>
  <si>
    <t>ORD-0007</t>
  </si>
  <si>
    <t>CUST-071</t>
  </si>
  <si>
    <t>PROD-106</t>
  </si>
  <si>
    <t>ORD-0008</t>
  </si>
  <si>
    <t>CUST-043</t>
  </si>
  <si>
    <t>PROD-134</t>
  </si>
  <si>
    <t>ORD-0009</t>
  </si>
  <si>
    <t>CUST-052</t>
  </si>
  <si>
    <t>PROD-121</t>
  </si>
  <si>
    <t>ORD-0010</t>
  </si>
  <si>
    <t>CUST-019</t>
  </si>
  <si>
    <t>PROD-126</t>
  </si>
  <si>
    <t>ORD-0011</t>
  </si>
  <si>
    <t>CUST-111</t>
  </si>
  <si>
    <t>ORD-0012</t>
  </si>
  <si>
    <t>CUST-112</t>
  </si>
  <si>
    <t>ORD-0013</t>
  </si>
  <si>
    <t>CUST-141</t>
  </si>
  <si>
    <t>ORD-0014</t>
  </si>
  <si>
    <t>CUST-096</t>
  </si>
  <si>
    <t>PROD-115</t>
  </si>
  <si>
    <t>ORD-0015</t>
  </si>
  <si>
    <t>CUST-083</t>
  </si>
  <si>
    <t>ORD-0016</t>
  </si>
  <si>
    <t>CUST-051</t>
  </si>
  <si>
    <t>ORD-0017</t>
  </si>
  <si>
    <t>CUST-090</t>
  </si>
  <si>
    <t>PROD-122</t>
  </si>
  <si>
    <t>ORD-0018</t>
  </si>
  <si>
    <t>CUST-116</t>
  </si>
  <si>
    <t>ORD-0019</t>
  </si>
  <si>
    <t>PROD-107</t>
  </si>
  <si>
    <t>ORD-0020</t>
  </si>
  <si>
    <t>CUST-063</t>
  </si>
  <si>
    <t>PROD-125</t>
  </si>
  <si>
    <t>ORD-0021</t>
  </si>
  <si>
    <t>CUST-143</t>
  </si>
  <si>
    <t>PROD-110</t>
  </si>
  <si>
    <t>ORD-0022</t>
  </si>
  <si>
    <t>ORD-0023</t>
  </si>
  <si>
    <t>PROD-128</t>
  </si>
  <si>
    <t>ORD-0024</t>
  </si>
  <si>
    <t>CUST-117</t>
  </si>
  <si>
    <t>ORD-0025</t>
  </si>
  <si>
    <t>PROD-101</t>
  </si>
  <si>
    <t>ORD-0026</t>
  </si>
  <si>
    <t>ORD-0027</t>
  </si>
  <si>
    <t>CUST-041</t>
  </si>
  <si>
    <t>ORD-0028</t>
  </si>
  <si>
    <t>CUST-113</t>
  </si>
  <si>
    <t>PROD-127</t>
  </si>
  <si>
    <t>ORD-0029</t>
  </si>
  <si>
    <t>CUST-098</t>
  </si>
  <si>
    <t>ORD-0030</t>
  </si>
  <si>
    <t>CUST-020</t>
  </si>
  <si>
    <t>PROD-114</t>
  </si>
  <si>
    <t>ORD-0031</t>
  </si>
  <si>
    <t>CUST-032</t>
  </si>
  <si>
    <t>PROD-113</t>
  </si>
  <si>
    <t>ORD-0032</t>
  </si>
  <si>
    <t>ORD-0033</t>
  </si>
  <si>
    <t>CUST-136</t>
  </si>
  <si>
    <t>ORD-0034</t>
  </si>
  <si>
    <t>CUST-093</t>
  </si>
  <si>
    <t>ORD-0035</t>
  </si>
  <si>
    <t>CUST-100</t>
  </si>
  <si>
    <t>PROD-102</t>
  </si>
  <si>
    <t>ORD-0036</t>
  </si>
  <si>
    <t>CUST-016</t>
  </si>
  <si>
    <t>ORD-0037</t>
  </si>
  <si>
    <t>CUST-077</t>
  </si>
  <si>
    <t>ORD-0038</t>
  </si>
  <si>
    <t>CUST-125</t>
  </si>
  <si>
    <t>ORD-0039</t>
  </si>
  <si>
    <t>ORD-0040</t>
  </si>
  <si>
    <t>CUST-047</t>
  </si>
  <si>
    <t>ORD-0041</t>
  </si>
  <si>
    <t>CUST-044</t>
  </si>
  <si>
    <t>ORD-0042</t>
  </si>
  <si>
    <t>CUST-108</t>
  </si>
  <si>
    <t>ORD-0043</t>
  </si>
  <si>
    <t>CUST-007</t>
  </si>
  <si>
    <t>ORD-0044</t>
  </si>
  <si>
    <t>ORD-0045</t>
  </si>
  <si>
    <t>CUST-061</t>
  </si>
  <si>
    <t>PROD-129</t>
  </si>
  <si>
    <t>ORD-0046</t>
  </si>
  <si>
    <t>CUST-124</t>
  </si>
  <si>
    <t>ORD-0047</t>
  </si>
  <si>
    <t>ORD-0048</t>
  </si>
  <si>
    <t>CUST-080</t>
  </si>
  <si>
    <t>ORD-0049</t>
  </si>
  <si>
    <t>CUST-130</t>
  </si>
  <si>
    <t>ORD-0050</t>
  </si>
  <si>
    <t>PROD-133</t>
  </si>
  <si>
    <t>ORD-0051</t>
  </si>
  <si>
    <t>CUST-110</t>
  </si>
  <si>
    <t>ORD-0052</t>
  </si>
  <si>
    <t>CUST-045</t>
  </si>
  <si>
    <t>PROD-117</t>
  </si>
  <si>
    <t>ORD-0053</t>
  </si>
  <si>
    <t>PROD-116</t>
  </si>
  <si>
    <t>ORD-0054</t>
  </si>
  <si>
    <t>CUST-131</t>
  </si>
  <si>
    <t>PROD-118</t>
  </si>
  <si>
    <t>ORD-0055</t>
  </si>
  <si>
    <t>CUST-049</t>
  </si>
  <si>
    <t>ORD-0056</t>
  </si>
  <si>
    <t>CUST-107</t>
  </si>
  <si>
    <t>ORD-0057</t>
  </si>
  <si>
    <t>CUST-138</t>
  </si>
  <si>
    <t>ORD-0058</t>
  </si>
  <si>
    <t>CUST-109</t>
  </si>
  <si>
    <t>ORD-0059</t>
  </si>
  <si>
    <t>CUST-005</t>
  </si>
  <si>
    <t>ORD-0060</t>
  </si>
  <si>
    <t>CUST-046</t>
  </si>
  <si>
    <t>ORD-0061</t>
  </si>
  <si>
    <t>ORD-0062</t>
  </si>
  <si>
    <t>ORD-0063</t>
  </si>
  <si>
    <t>CUST-102</t>
  </si>
  <si>
    <t>ORD-0064</t>
  </si>
  <si>
    <t>CUST-085</t>
  </si>
  <si>
    <t>ORD-0065</t>
  </si>
  <si>
    <t>CUST-065</t>
  </si>
  <si>
    <t>PROD-132</t>
  </si>
  <si>
    <t>ORD-0066</t>
  </si>
  <si>
    <t>ORD-0067</t>
  </si>
  <si>
    <t>CUST-081</t>
  </si>
  <si>
    <t>ORD-0068</t>
  </si>
  <si>
    <t>CUST-036</t>
  </si>
  <si>
    <t>PROD-108</t>
  </si>
  <si>
    <t>ORD-0069</t>
  </si>
  <si>
    <t>CUST-084</t>
  </si>
  <si>
    <t>ORD-0070</t>
  </si>
  <si>
    <t>CUST-022</t>
  </si>
  <si>
    <t>ORD-0071</t>
  </si>
  <si>
    <t>CUST-074</t>
  </si>
  <si>
    <t>ORD-0072</t>
  </si>
  <si>
    <t>ORD-0073</t>
  </si>
  <si>
    <t>ORD-0074</t>
  </si>
  <si>
    <t>ORD-0075</t>
  </si>
  <si>
    <t>PROD-103</t>
  </si>
  <si>
    <t>ORD-0076</t>
  </si>
  <si>
    <t>ORD-0077</t>
  </si>
  <si>
    <t>ORD-0078</t>
  </si>
  <si>
    <t>ORD-0079</t>
  </si>
  <si>
    <t>ORD-0080</t>
  </si>
  <si>
    <t>CUST-127</t>
  </si>
  <si>
    <t>ORD-0081</t>
  </si>
  <si>
    <t>CUST-057</t>
  </si>
  <si>
    <t>ORD-0082</t>
  </si>
  <si>
    <t>CUST-025</t>
  </si>
  <si>
    <t>ORD-0083</t>
  </si>
  <si>
    <t>CUST-070</t>
  </si>
  <si>
    <t>ORD-0084</t>
  </si>
  <si>
    <t>CUST-054</t>
  </si>
  <si>
    <t>ORD-0085</t>
  </si>
  <si>
    <t>CUST-034</t>
  </si>
  <si>
    <t>ORD-0086</t>
  </si>
  <si>
    <t>CUST-069</t>
  </si>
  <si>
    <t>ORD-0087</t>
  </si>
  <si>
    <t>ORD-0088</t>
  </si>
  <si>
    <t>PROD-130</t>
  </si>
  <si>
    <t>ORD-0089</t>
  </si>
  <si>
    <t>ORD-0090</t>
  </si>
  <si>
    <t>ORD-0091</t>
  </si>
  <si>
    <t>ORD-0092</t>
  </si>
  <si>
    <t>CUST-072</t>
  </si>
  <si>
    <t>ORD-0093</t>
  </si>
  <si>
    <t>ORD-0094</t>
  </si>
  <si>
    <t>ORD-0095</t>
  </si>
  <si>
    <t>CUST-027</t>
  </si>
  <si>
    <t>ORD-0096</t>
  </si>
  <si>
    <t>ORD-0097</t>
  </si>
  <si>
    <t>CUST-119</t>
  </si>
  <si>
    <t>ORD-0098</t>
  </si>
  <si>
    <t>CUST-139</t>
  </si>
  <si>
    <t>ORD-0099</t>
  </si>
  <si>
    <t>CUST-006</t>
  </si>
  <si>
    <t>ORD-0100</t>
  </si>
  <si>
    <t>CUST-064</t>
  </si>
  <si>
    <t>PROD-109</t>
  </si>
  <si>
    <t>ORD-0101</t>
  </si>
  <si>
    <t>CUST-017</t>
  </si>
  <si>
    <t>ORD-0102</t>
  </si>
  <si>
    <t>CUST-147</t>
  </si>
  <si>
    <t>ORD-0103</t>
  </si>
  <si>
    <t>CUST-062</t>
  </si>
  <si>
    <t>ORD-0104</t>
  </si>
  <si>
    <t>CUST-149</t>
  </si>
  <si>
    <t>ORD-0105</t>
  </si>
  <si>
    <t>CUST-118</t>
  </si>
  <si>
    <t>ORD-0106</t>
  </si>
  <si>
    <t>ORD-0107</t>
  </si>
  <si>
    <t>CUST-009</t>
  </si>
  <si>
    <t>ORD-0108</t>
  </si>
  <si>
    <t>CUST-066</t>
  </si>
  <si>
    <t>ORD-0109</t>
  </si>
  <si>
    <t>CUST-067</t>
  </si>
  <si>
    <t>ORD-0110</t>
  </si>
  <si>
    <t>CUST-023</t>
  </si>
  <si>
    <t>ORD-0111</t>
  </si>
  <si>
    <t>CUST-122</t>
  </si>
  <si>
    <t>ORD-0112</t>
  </si>
  <si>
    <t>ORD-0113</t>
  </si>
  <si>
    <t>PROD-111</t>
  </si>
  <si>
    <t>ORD-0114</t>
  </si>
  <si>
    <t>CUST-058</t>
  </si>
  <si>
    <t>ORD-0115</t>
  </si>
  <si>
    <t>ORD-0116</t>
  </si>
  <si>
    <t>CUST-078</t>
  </si>
  <si>
    <t>ORD-0117</t>
  </si>
  <si>
    <t>CUST-144</t>
  </si>
  <si>
    <t>ORD-0118</t>
  </si>
  <si>
    <t>ORD-0119</t>
  </si>
  <si>
    <t>ORD-0120</t>
  </si>
  <si>
    <t>ORD-0121</t>
  </si>
  <si>
    <t>CUST-042</t>
  </si>
  <si>
    <t>ORD-0122</t>
  </si>
  <si>
    <t>CUST-021</t>
  </si>
  <si>
    <t>ORD-0123</t>
  </si>
  <si>
    <t>ORD-0124</t>
  </si>
  <si>
    <t>ORD-0125</t>
  </si>
  <si>
    <t>ORD-0126</t>
  </si>
  <si>
    <t>ORD-0127</t>
  </si>
  <si>
    <t>CUST-123</t>
  </si>
  <si>
    <t>PROD-123</t>
  </si>
  <si>
    <t>ORD-0128</t>
  </si>
  <si>
    <t>ORD-0129</t>
  </si>
  <si>
    <t>CUST-097</t>
  </si>
  <si>
    <t>ORD-0130</t>
  </si>
  <si>
    <t>CUST-148</t>
  </si>
  <si>
    <t>ORD-0131</t>
  </si>
  <si>
    <t>CUST-008</t>
  </si>
  <si>
    <t>ORD-0132</t>
  </si>
  <si>
    <t>ORD-0133</t>
  </si>
  <si>
    <t>ORD-0134</t>
  </si>
  <si>
    <t>CUST-086</t>
  </si>
  <si>
    <t>ORD-0135</t>
  </si>
  <si>
    <t>ORD-0136</t>
  </si>
  <si>
    <t>ORD-0137</t>
  </si>
  <si>
    <t>ORD-0138</t>
  </si>
  <si>
    <t>ORD-0139</t>
  </si>
  <si>
    <t>ORD-0140</t>
  </si>
  <si>
    <t>ORD-0141</t>
  </si>
  <si>
    <t>CUST-129</t>
  </si>
  <si>
    <t>ORD-0142</t>
  </si>
  <si>
    <t>ORD-0143</t>
  </si>
  <si>
    <t>CUST-150</t>
  </si>
  <si>
    <t>ORD-0144</t>
  </si>
  <si>
    <t>ORD-0145</t>
  </si>
  <si>
    <t>ORD-0146</t>
  </si>
  <si>
    <t>ORD-0147</t>
  </si>
  <si>
    <t>CUST-035</t>
  </si>
  <si>
    <t>ORD-0148</t>
  </si>
  <si>
    <t>CUST-037</t>
  </si>
  <si>
    <t>ORD-0149</t>
  </si>
  <si>
    <t>ORD-0150</t>
  </si>
  <si>
    <t>CUST-001</t>
  </si>
  <si>
    <t>ORD-0151</t>
  </si>
  <si>
    <t>CUST-128</t>
  </si>
  <si>
    <t>ORD-0152</t>
  </si>
  <si>
    <t>ORD-0153</t>
  </si>
  <si>
    <t>ORD-0154</t>
  </si>
  <si>
    <t>CUST-088</t>
  </si>
  <si>
    <t>ORD-0155</t>
  </si>
  <si>
    <t>CUST-140</t>
  </si>
  <si>
    <t>ORD-0156</t>
  </si>
  <si>
    <t>CUST-024</t>
  </si>
  <si>
    <t>ORD-0157</t>
  </si>
  <si>
    <t>ORD-0158</t>
  </si>
  <si>
    <t>CUST-053</t>
  </si>
  <si>
    <t>ORD-0159</t>
  </si>
  <si>
    <t>ORD-0160</t>
  </si>
  <si>
    <t>ORD-0161</t>
  </si>
  <si>
    <t>CUST-012</t>
  </si>
  <si>
    <t>ORD-0162</t>
  </si>
  <si>
    <t>ORD-0163</t>
  </si>
  <si>
    <t>CUST-094</t>
  </si>
  <si>
    <t>ORD-0164</t>
  </si>
  <si>
    <t>CUST-039</t>
  </si>
  <si>
    <t>ORD-0165</t>
  </si>
  <si>
    <t>CUST-137</t>
  </si>
  <si>
    <t>ORD-0166</t>
  </si>
  <si>
    <t>CUST-075</t>
  </si>
  <si>
    <t>ORD-0167</t>
  </si>
  <si>
    <t>ORD-0168</t>
  </si>
  <si>
    <t>CUST-082</t>
  </si>
  <si>
    <t>ORD-0169</t>
  </si>
  <si>
    <t>ORD-0170</t>
  </si>
  <si>
    <t>CUST-031</t>
  </si>
  <si>
    <t>ORD-0171</t>
  </si>
  <si>
    <t>ORD-0172</t>
  </si>
  <si>
    <t>CUST-145</t>
  </si>
  <si>
    <t>ORD-0173</t>
  </si>
  <si>
    <t>CUST-076</t>
  </si>
  <si>
    <t>ORD-0174</t>
  </si>
  <si>
    <t>CUST-101</t>
  </si>
  <si>
    <t>ORD-0175</t>
  </si>
  <si>
    <t>ORD-0176</t>
  </si>
  <si>
    <t>CUST-055</t>
  </si>
  <si>
    <t>ORD-0177</t>
  </si>
  <si>
    <t>ORD-0178</t>
  </si>
  <si>
    <t>ORD-0179</t>
  </si>
  <si>
    <t>ORD-0180</t>
  </si>
  <si>
    <t>ORD-0181</t>
  </si>
  <si>
    <t>CUST-029</t>
  </si>
  <si>
    <t>ORD-0182</t>
  </si>
  <si>
    <t>ORD-0183</t>
  </si>
  <si>
    <t>ORD-0184</t>
  </si>
  <si>
    <t>ORD-0185</t>
  </si>
  <si>
    <t>ORD-0186</t>
  </si>
  <si>
    <t>ORD-0187</t>
  </si>
  <si>
    <t>CUST-011</t>
  </si>
  <si>
    <t>ORD-0188</t>
  </si>
  <si>
    <t>ORD-0189</t>
  </si>
  <si>
    <t>CUST-115</t>
  </si>
  <si>
    <t>ORD-0190</t>
  </si>
  <si>
    <t>ORD-0191</t>
  </si>
  <si>
    <t>CUST-105</t>
  </si>
  <si>
    <t>ORD-0192</t>
  </si>
  <si>
    <t>ORD-0193</t>
  </si>
  <si>
    <t>ORD-0194</t>
  </si>
  <si>
    <t>ORD-0195</t>
  </si>
  <si>
    <t>ORD-0196</t>
  </si>
  <si>
    <t>CUST-015</t>
  </si>
  <si>
    <t>PROD-119</t>
  </si>
  <si>
    <t>ORD-0197</t>
  </si>
  <si>
    <t>ORD-0198</t>
  </si>
  <si>
    <t>ORD-0199</t>
  </si>
  <si>
    <t>ORD-0200</t>
  </si>
  <si>
    <t>ORD-0201</t>
  </si>
  <si>
    <t>ORD-0202</t>
  </si>
  <si>
    <t>ORD-0203</t>
  </si>
  <si>
    <t>ORD-0204</t>
  </si>
  <si>
    <t>ORD-0205</t>
  </si>
  <si>
    <t>ORD-0206</t>
  </si>
  <si>
    <t>ORD-0207</t>
  </si>
  <si>
    <t>ORD-0208</t>
  </si>
  <si>
    <t>ORD-0209</t>
  </si>
  <si>
    <t>ORD-0210</t>
  </si>
  <si>
    <t>ORD-0211</t>
  </si>
  <si>
    <t>CUST-126</t>
  </si>
  <si>
    <t>ORD-0212</t>
  </si>
  <si>
    <t>ORD-0213</t>
  </si>
  <si>
    <t>ORD-0214</t>
  </si>
  <si>
    <t>ORD-0215</t>
  </si>
  <si>
    <t>CUST-132</t>
  </si>
  <si>
    <t>ORD-0216</t>
  </si>
  <si>
    <t>ORD-0217</t>
  </si>
  <si>
    <t>ORD-0218</t>
  </si>
  <si>
    <t>ORD-0219</t>
  </si>
  <si>
    <t>ORD-0220</t>
  </si>
  <si>
    <t>ORD-0221</t>
  </si>
  <si>
    <t>ORD-0222</t>
  </si>
  <si>
    <t>ORD-0223</t>
  </si>
  <si>
    <t>CUST-014</t>
  </si>
  <si>
    <t>ORD-0224</t>
  </si>
  <si>
    <t>ORD-0225</t>
  </si>
  <si>
    <t>CUST-104</t>
  </si>
  <si>
    <t>ORD-0226</t>
  </si>
  <si>
    <t>CUST-040</t>
  </si>
  <si>
    <t>ORD-0227</t>
  </si>
  <si>
    <t>ORD-0228</t>
  </si>
  <si>
    <t>ORD-0229</t>
  </si>
  <si>
    <t>ORD-0230</t>
  </si>
  <si>
    <t>ORD-0231</t>
  </si>
  <si>
    <t>ORD-0232</t>
  </si>
  <si>
    <t>ORD-0233</t>
  </si>
  <si>
    <t>ORD-0234</t>
  </si>
  <si>
    <t>ORD-0235</t>
  </si>
  <si>
    <t>ORD-0236</t>
  </si>
  <si>
    <t>ORD-0237</t>
  </si>
  <si>
    <t>CUST-089</t>
  </si>
  <si>
    <t>ORD-0238</t>
  </si>
  <si>
    <t>ORD-0239</t>
  </si>
  <si>
    <t>ORD-0240</t>
  </si>
  <si>
    <t>ORD-0241</t>
  </si>
  <si>
    <t>ORD-0242</t>
  </si>
  <si>
    <t>ORD-0243</t>
  </si>
  <si>
    <t>ORD-0244</t>
  </si>
  <si>
    <t>ORD-0245</t>
  </si>
  <si>
    <t>ORD-0246</t>
  </si>
  <si>
    <t>CUST-010</t>
  </si>
  <si>
    <t>ORD-0247</t>
  </si>
  <si>
    <t>ORD-0248</t>
  </si>
  <si>
    <t>ORD-0249</t>
  </si>
  <si>
    <t>ORD-0250</t>
  </si>
  <si>
    <t>ORD-0251</t>
  </si>
  <si>
    <t>CUST-013</t>
  </si>
  <si>
    <t>ORD-0252</t>
  </si>
  <si>
    <t>CUST-060</t>
  </si>
  <si>
    <t>ORD-0253</t>
  </si>
  <si>
    <t>ORD-0254</t>
  </si>
  <si>
    <t>ORD-0255</t>
  </si>
  <si>
    <t>ORD-0256</t>
  </si>
  <si>
    <t>ORD-0257</t>
  </si>
  <si>
    <t>ORD-0258</t>
  </si>
  <si>
    <t>ORD-0259</t>
  </si>
  <si>
    <t>CUST-120</t>
  </si>
  <si>
    <t>ORD-0260</t>
  </si>
  <si>
    <t>ORD-0261</t>
  </si>
  <si>
    <t>ORD-0262</t>
  </si>
  <si>
    <t>ORD-0263</t>
  </si>
  <si>
    <t>ORD-0264</t>
  </si>
  <si>
    <t>ORD-0265</t>
  </si>
  <si>
    <t>ORD-0266</t>
  </si>
  <si>
    <t>ORD-0267</t>
  </si>
  <si>
    <t>CUST-106</t>
  </si>
  <si>
    <t>ORD-0268</t>
  </si>
  <si>
    <t>ORD-0269</t>
  </si>
  <si>
    <t>ORD-0270</t>
  </si>
  <si>
    <t>CUST-079</t>
  </si>
  <si>
    <t>ORD-0271</t>
  </si>
  <si>
    <t>ORD-0272</t>
  </si>
  <si>
    <t>ORD-0273</t>
  </si>
  <si>
    <t>ORD-0274</t>
  </si>
  <si>
    <t>CUST-146</t>
  </si>
  <si>
    <t>ORD-0275</t>
  </si>
  <si>
    <t>ORD-0276</t>
  </si>
  <si>
    <t>ORD-0277</t>
  </si>
  <si>
    <t>ORD-0278</t>
  </si>
  <si>
    <t>ORD-0279</t>
  </si>
  <si>
    <t>ORD-0280</t>
  </si>
  <si>
    <t>ORD-0281</t>
  </si>
  <si>
    <t>ORD-0282</t>
  </si>
  <si>
    <t>ORD-0283</t>
  </si>
  <si>
    <t>ORD-0284</t>
  </si>
  <si>
    <t>ORD-0285</t>
  </si>
  <si>
    <t>ORD-0286</t>
  </si>
  <si>
    <t>CUST-103</t>
  </si>
  <si>
    <t>ORD-0287</t>
  </si>
  <si>
    <t>ORD-0288</t>
  </si>
  <si>
    <t>ORD-0289</t>
  </si>
  <si>
    <t>ORD-0290</t>
  </si>
  <si>
    <t>ORD-0291</t>
  </si>
  <si>
    <t>ORD-0292</t>
  </si>
  <si>
    <t>ORD-0293</t>
  </si>
  <si>
    <t>ORD-0294</t>
  </si>
  <si>
    <t>ORD-0295</t>
  </si>
  <si>
    <t>ORD-0296</t>
  </si>
  <si>
    <t>CUST-073</t>
  </si>
  <si>
    <t>ORD-0297</t>
  </si>
  <si>
    <t>ORD-0298</t>
  </si>
  <si>
    <t>ORD-0299</t>
  </si>
  <si>
    <t>ORD-0300</t>
  </si>
  <si>
    <t>ORD-0301</t>
  </si>
  <si>
    <t>ORD-0302</t>
  </si>
  <si>
    <t>ORD-0303</t>
  </si>
  <si>
    <t>ORD-0304</t>
  </si>
  <si>
    <t>ORD-0305</t>
  </si>
  <si>
    <t>ORD-0306</t>
  </si>
  <si>
    <t>ORD-0307</t>
  </si>
  <si>
    <t>ORD-0308</t>
  </si>
  <si>
    <t>CUST-028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</si>
  <si>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</si>
  <si>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</si>
  <si>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</si>
  <si>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</si>
  <si>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</si>
  <si>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</si>
  <si>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</si>
  <si>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</si>
  <si>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</si>
  <si>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</si>
  <si>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</si>
  <si>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</si>
  <si>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</si>
  <si>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</si>
  <si>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</si>
  <si>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</si>
  <si>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</si>
  <si>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</si>
  <si>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</si>
  <si>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</si>
  <si>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CUST-121</t>
  </si>
  <si>
    <t>ORD-0329</t>
  </si>
  <si>
    <t>ORD-0330</t>
  </si>
  <si>
    <t>ORD-0331</t>
  </si>
  <si>
    <t>ORD-0332</t>
  </si>
  <si>
    <t>CUST-050</t>
  </si>
  <si>
    <t>ORD-0333</t>
  </si>
  <si>
    <t>ORD-0334</t>
  </si>
  <si>
    <t>ORD-0335</t>
  </si>
  <si>
    <t>ORD-0336</t>
  </si>
  <si>
    <t>ORD-0337</t>
  </si>
  <si>
    <t>ORD-0338</t>
  </si>
  <si>
    <t>CUST-068</t>
  </si>
  <si>
    <t>ORD-0339</t>
  </si>
  <si>
    <t>ORD-0340</t>
  </si>
  <si>
    <t>CUST-003</t>
  </si>
  <si>
    <t>ORD-0341</t>
  </si>
  <si>
    <t>ORD-0342</t>
  </si>
  <si>
    <t>ORD-0343</t>
  </si>
  <si>
    <t>CUST-114</t>
  </si>
  <si>
    <t>ORD-0344</t>
  </si>
  <si>
    <t>ORD-0345</t>
  </si>
  <si>
    <t>CUST-133</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</si>
  <si>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</si>
  <si>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</si>
  <si>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</si>
  <si>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</si>
  <si>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</si>
  <si>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</si>
  <si>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</si>
  <si>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</si>
  <si>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</si>
  <si>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</si>
  <si>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</si>
  <si>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</si>
  <si>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</si>
  <si>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</si>
  <si>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</si>
  <si>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</si>
  <si>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</si>
  <si>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</si>
  <si>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</si>
  <si>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</si>
  <si>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</si>
  <si>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CUST-038</t>
  </si>
  <si>
    <t>ORD-0367</t>
  </si>
  <si>
    <t>ORD-0368</t>
  </si>
  <si>
    <t>ORD-0369</t>
  </si>
  <si>
    <t>ORD-0370</t>
  </si>
  <si>
    <t>ORD-0371</t>
  </si>
  <si>
    <t>CUST-004</t>
  </si>
  <si>
    <t>ORD-0372</t>
  </si>
  <si>
    <t>ORD-0373</t>
  </si>
  <si>
    <t>ORD-0374</t>
  </si>
  <si>
    <t>ORD-0375</t>
  </si>
  <si>
    <t>ORD-0376</t>
  </si>
  <si>
    <t>ORD-0377</t>
  </si>
  <si>
    <t>ORD-0378</t>
  </si>
  <si>
    <t>ORD-0379</t>
  </si>
  <si>
    <t>ORD-0380</t>
  </si>
  <si>
    <t>ORD-0381</t>
  </si>
  <si>
    <t>ORD-0382</t>
  </si>
  <si>
    <t>CUST-033</t>
  </si>
  <si>
    <t>ORD-0383</t>
  </si>
  <si>
    <t>ORD-0384</t>
  </si>
  <si>
    <t>ORD-0385</t>
  </si>
  <si>
    <t>ORD-0386</t>
  </si>
  <si>
    <t>ORD-0387</t>
  </si>
  <si>
    <t>ORD-0388</t>
  </si>
  <si>
    <t>ORD-0389</t>
  </si>
  <si>
    <t>ORD-0390</t>
  </si>
  <si>
    <t>ORD-0391</t>
  </si>
  <si>
    <t>CUST-135</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</si>
  <si>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</si>
  <si>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</si>
  <si>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</si>
  <si>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</si>
  <si>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</si>
  <si>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</si>
  <si>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</si>
  <si>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</si>
  <si>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</si>
  <si>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</si>
  <si>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</si>
  <si>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</si>
  <si>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</si>
  <si>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</si>
  <si>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</si>
  <si>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</si>
  <si>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</si>
  <si>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</si>
  <si>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</si>
  <si>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</si>
  <si>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</si>
  <si>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CUST-134</t>
  </si>
  <si>
    <t>ORD-0413</t>
  </si>
  <si>
    <t>ORD-0414</t>
  </si>
  <si>
    <t>ORD-0415</t>
  </si>
  <si>
    <t>ORD-0416</t>
  </si>
  <si>
    <t>ORD-0417</t>
  </si>
  <si>
    <t>ORD-0418</t>
  </si>
  <si>
    <t>ORD-0419</t>
  </si>
  <si>
    <t>ORD-0420</t>
  </si>
  <si>
    <t>CUST-091</t>
  </si>
  <si>
    <t>ORD-0421</t>
  </si>
  <si>
    <t>CUST-048</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</si>
  <si>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</si>
  <si>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</si>
  <si>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</si>
  <si>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</si>
  <si>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</si>
  <si>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</si>
  <si>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</si>
  <si>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</si>
  <si>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</si>
  <si>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</si>
  <si>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</si>
  <si>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</si>
  <si>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</si>
  <si>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</si>
  <si>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</si>
  <si>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</si>
  <si>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</si>
  <si>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</si>
  <si>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</si>
  <si>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</si>
  <si>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</si>
  <si>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</si>
  <si>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</si>
  <si>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</si>
  <si>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</si>
  <si>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</si>
  <si>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</si>
  <si>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</si>
  <si>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</si>
  <si>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</si>
  <si>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</si>
  <si>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</si>
  <si>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</si>
  <si>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</si>
  <si>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</si>
  <si>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</si>
  <si>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</si>
  <si>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</si>
  <si>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</si>
  <si>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</si>
  <si>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</si>
  <si>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CUST-018</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</si>
  <si>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</si>
  <si>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</si>
  <si>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</si>
  <si>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</si>
  <si>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</si>
  <si>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</si>
  <si>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</si>
  <si>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</si>
  <si>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</si>
  <si>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</si>
  <si>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</si>
  <si>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</si>
  <si>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</si>
  <si>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</si>
  <si>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</si>
  <si>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</si>
  <si>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</si>
  <si>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</si>
  <si>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</si>
  <si>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</si>
  <si>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</si>
  <si>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CUST-026</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</si>
  <si>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</si>
  <si>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</si>
  <si>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</si>
  <si>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</si>
  <si>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</si>
  <si>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</si>
  <si>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</si>
  <si>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</si>
  <si>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</si>
  <si>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</si>
  <si>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</si>
  <si>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</si>
  <si>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</si>
  <si>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</si>
  <si>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</si>
  <si>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</si>
  <si>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</si>
  <si>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</si>
  <si>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</si>
  <si>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</si>
  <si>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</si>
  <si>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</si>
  <si>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</si>
  <si>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</si>
  <si>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</si>
  <si>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</si>
  <si>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</si>
  <si>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</si>
  <si>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</si>
  <si>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</si>
  <si>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</si>
  <si>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</si>
  <si>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</si>
  <si>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</si>
  <si>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</si>
  <si>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</si>
  <si>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</si>
  <si>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</si>
  <si>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</si>
  <si>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</si>
  <si>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</si>
  <si>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</si>
  <si>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</si>
  <si>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</si>
  <si>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</si>
  <si>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</si>
  <si>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</si>
  <si>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</si>
  <si>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</si>
  <si>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</si>
  <si>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</si>
  <si>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</si>
  <si>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</si>
  <si>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</si>
  <si>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</si>
  <si>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</si>
  <si>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</si>
  <si>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</si>
  <si>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</si>
  <si>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</si>
  <si>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</si>
  <si>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</si>
  <si>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</si>
  <si>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</si>
  <si>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</si>
  <si>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</si>
  <si>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</si>
  <si>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</si>
  <si>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</si>
  <si>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</si>
  <si>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</si>
  <si>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</si>
  <si>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</si>
  <si>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</si>
  <si>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</si>
  <si>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</si>
  <si>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</si>
  <si>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</si>
  <si>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</si>
  <si>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</si>
  <si>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</si>
  <si>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</si>
  <si>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</si>
  <si>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</si>
  <si>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</si>
  <si>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CUST-002</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</si>
  <si>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</si>
  <si>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</si>
  <si>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</si>
  <si>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</si>
  <si>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</si>
  <si>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</si>
  <si>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</si>
  <si>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</si>
  <si>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</si>
  <si>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</si>
  <si>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</si>
  <si>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</si>
  <si>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</si>
  <si>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</si>
  <si>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</si>
  <si>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</si>
  <si>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</si>
  <si>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</si>
  <si>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</si>
  <si>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</si>
  <si>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</si>
  <si>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</si>
  <si>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</si>
  <si>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</si>
  <si>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</si>
  <si>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</si>
  <si>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</si>
  <si>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</si>
  <si>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</si>
  <si>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</si>
  <si>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</si>
  <si>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</si>
  <si>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</si>
  <si>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</si>
  <si>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</si>
  <si>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</si>
  <si>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</si>
  <si>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</si>
  <si>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</si>
  <si>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</si>
  <si>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</si>
  <si>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</si>
  <si>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</si>
  <si>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</si>
  <si>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</si>
  <si>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</si>
  <si>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</si>
  <si>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</si>
  <si>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</si>
  <si>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</si>
  <si>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</si>
  <si>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</si>
  <si>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</si>
  <si>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</si>
  <si>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</si>
  <si>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</si>
  <si>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</si>
  <si>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</si>
  <si>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</si>
  <si>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</si>
  <si>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</si>
  <si>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</si>
  <si>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</si>
  <si>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</si>
  <si>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</si>
  <si>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</si>
  <si>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</si>
  <si>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</si>
  <si>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</si>
  <si>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</si>
  <si>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</si>
  <si>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</si>
  <si>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</si>
  <si>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</si>
  <si>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</si>
  <si>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CUST-087</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</si>
  <si>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</si>
  <si>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</si>
  <si>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</si>
  <si>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</si>
  <si>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</si>
  <si>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</si>
  <si>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</si>
  <si>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</si>
  <si>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</si>
  <si>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</si>
  <si>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</si>
  <si>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</si>
  <si>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</si>
  <si>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</si>
  <si>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</si>
  <si>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</si>
  <si>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</si>
  <si>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</si>
  <si>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</si>
  <si>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</si>
  <si>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</si>
  <si>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</si>
  <si>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</si>
  <si>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</si>
  <si>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</si>
  <si>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</si>
  <si>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</si>
  <si>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</si>
  <si>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</si>
  <si>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</si>
  <si>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</si>
  <si>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</si>
  <si>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</si>
  <si>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</si>
  <si>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</si>
  <si>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</si>
  <si>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</si>
  <si>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</si>
  <si>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</si>
  <si>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</si>
  <si>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</si>
  <si>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</si>
  <si>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</si>
  <si>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</si>
  <si>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</si>
  <si>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</si>
  <si>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</si>
  <si>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</si>
  <si>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</si>
  <si>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</si>
  <si>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</si>
  <si>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</si>
  <si>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</si>
  <si>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</si>
  <si>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</si>
  <si>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</si>
  <si>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</si>
  <si>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</si>
  <si>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</si>
  <si>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</si>
  <si>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</si>
  <si>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</si>
  <si>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</si>
  <si>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</si>
  <si>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</si>
  <si>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</si>
  <si>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</si>
  <si>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</si>
  <si>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</si>
  <si>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</si>
  <si>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</si>
  <si>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</si>
  <si>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</si>
  <si>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</si>
  <si>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</si>
  <si>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</si>
  <si>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</si>
  <si>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</si>
  <si>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</si>
  <si>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</si>
  <si>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</si>
  <si>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</si>
  <si>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</si>
  <si>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</si>
  <si>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</si>
  <si>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</si>
  <si>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</si>
  <si>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</si>
  <si>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</si>
  <si>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</si>
  <si>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</si>
  <si>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</si>
  <si>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</si>
  <si>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</si>
  <si>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</si>
  <si>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</si>
  <si>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</si>
  <si>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</si>
  <si>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</si>
  <si>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</si>
  <si>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</si>
  <si>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</si>
  <si>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</si>
  <si>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</si>
  <si>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</si>
  <si>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</si>
  <si>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CUST-059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</si>
  <si>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</si>
  <si>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</si>
  <si>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</si>
  <si>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</si>
  <si>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</si>
  <si>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</si>
  <si>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</si>
  <si>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</si>
  <si>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</si>
  <si>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</si>
  <si>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</si>
  <si>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</si>
  <si>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</si>
  <si>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</si>
  <si>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</si>
  <si>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</si>
  <si>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</si>
  <si>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</si>
  <si>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</si>
  <si>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</si>
  <si>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</si>
  <si>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</si>
  <si>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</si>
  <si>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</si>
  <si>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</si>
  <si>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</si>
  <si>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</si>
  <si>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</si>
  <si>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</si>
  <si>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</si>
  <si>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</si>
  <si>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</si>
  <si>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</si>
  <si>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</si>
  <si>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</si>
  <si>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</si>
  <si>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</si>
  <si>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</si>
  <si>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</si>
  <si>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</si>
  <si>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</si>
  <si>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</si>
  <si>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</si>
  <si>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</si>
  <si>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</si>
  <si>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</si>
  <si>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</si>
  <si>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</si>
  <si>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</si>
  <si>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</si>
  <si>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</si>
  <si>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</si>
  <si>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</si>
  <si>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</si>
  <si>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</si>
  <si>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</si>
  <si>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</si>
  <si>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</si>
  <si>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</si>
  <si>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</si>
  <si>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</si>
  <si>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</si>
  <si>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</si>
  <si>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</si>
  <si>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</si>
  <si>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</si>
  <si>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</si>
  <si>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</si>
  <si>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</si>
  <si>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</si>
  <si>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</si>
  <si>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</si>
  <si>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</si>
  <si>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</si>
  <si>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</si>
  <si>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</si>
  <si>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</si>
  <si>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</si>
  <si>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</si>
  <si>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</si>
  <si>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</si>
  <si>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</si>
  <si>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</si>
  <si>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</si>
  <si>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</si>
  <si>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</si>
  <si>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</si>
  <si>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</si>
  <si>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</si>
  <si>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</si>
  <si>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</si>
  <si>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</si>
  <si>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</si>
  <si>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</si>
  <si>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</si>
  <si>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</si>
  <si>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</si>
  <si>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</si>
  <si>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</si>
  <si>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</si>
  <si>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</si>
  <si>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</si>
  <si>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</si>
  <si>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</si>
  <si>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</si>
  <si>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</si>
  <si>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</si>
  <si>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</si>
  <si>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</si>
  <si>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</si>
  <si>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</si>
  <si>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</si>
  <si>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</si>
  <si>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</si>
  <si>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</si>
  <si>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</si>
  <si>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</si>
  <si>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</si>
  <si>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</si>
  <si>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</si>
  <si>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</si>
  <si>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</si>
  <si>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</si>
  <si>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</si>
  <si>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</si>
  <si>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</si>
  <si>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</si>
  <si>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</si>
  <si>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</si>
  <si>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</si>
  <si>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</si>
  <si>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</si>
  <si>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</si>
  <si>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</si>
  <si>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</si>
  <si>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</si>
  <si>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</si>
  <si>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</si>
  <si>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</si>
  <si>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</si>
  <si>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</si>
  <si>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</si>
  <si>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</si>
  <si>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</si>
  <si>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</si>
  <si>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</si>
  <si>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</si>
  <si>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</si>
  <si>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</si>
  <si>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</si>
  <si>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</si>
  <si>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</si>
  <si>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</si>
  <si>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</si>
  <si>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</si>
  <si>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</si>
  <si>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</si>
  <si>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</si>
  <si>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</si>
  <si>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</si>
  <si>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</si>
  <si>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</si>
  <si>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</si>
  <si>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</si>
  <si>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</si>
  <si>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</si>
  <si>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</si>
  <si>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</si>
  <si>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</si>
  <si>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</si>
  <si>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</si>
  <si>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</si>
  <si>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</si>
  <si>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</si>
  <si>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</si>
  <si>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</si>
  <si>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</si>
  <si>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</si>
  <si>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</si>
  <si>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</si>
  <si>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</si>
  <si>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</si>
  <si>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</si>
  <si>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</si>
  <si>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</si>
  <si>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</si>
  <si>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</si>
  <si>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</si>
  <si>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</si>
  <si>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</si>
  <si>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</si>
  <si>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</si>
  <si>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</si>
  <si>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</si>
  <si>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</si>
  <si>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</si>
  <si>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</si>
  <si>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</si>
  <si>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</si>
  <si>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</si>
  <si>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</si>
  <si>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</si>
  <si>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</si>
  <si>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</si>
  <si>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</si>
  <si>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</si>
  <si>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</si>
  <si>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</si>
  <si>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</si>
  <si>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</si>
  <si>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</si>
  <si>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</si>
  <si>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</si>
  <si>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</si>
  <si>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</si>
  <si>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</si>
  <si>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</si>
  <si>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</si>
  <si>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</si>
  <si>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</si>
  <si>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</si>
  <si>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</si>
  <si>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</si>
  <si>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</si>
  <si>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</si>
  <si>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</si>
  <si>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</si>
  <si>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</si>
  <si>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</si>
  <si>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</si>
  <si>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</si>
  <si>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</si>
  <si>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</si>
  <si>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</si>
  <si>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</si>
  <si>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</si>
  <si>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</si>
  <si>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</si>
  <si>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</si>
  <si>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</si>
  <si>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</si>
  <si>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</si>
  <si>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</si>
  <si>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</si>
  <si>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</si>
  <si>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</si>
  <si>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</si>
  <si>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</si>
  <si>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</si>
  <si>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</si>
  <si>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</si>
  <si>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</si>
  <si>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</si>
  <si>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</si>
  <si>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</si>
  <si>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</si>
  <si>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</si>
  <si>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</si>
  <si>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</si>
  <si>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</si>
  <si>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</si>
  <si>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</si>
  <si>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</si>
  <si>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</si>
  <si>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</si>
  <si>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</si>
  <si>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</si>
  <si>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</si>
  <si>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</si>
  <si>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</si>
  <si>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</si>
  <si>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</si>
  <si>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</si>
  <si>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</si>
  <si>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</si>
  <si>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</si>
  <si>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</si>
  <si>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</si>
  <si>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</si>
  <si>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</si>
  <si>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</si>
  <si>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</si>
  <si>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</si>
  <si>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</si>
  <si>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</si>
  <si>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</si>
  <si>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</si>
  <si>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</si>
  <si>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</si>
  <si>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</si>
  <si>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</si>
  <si>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</si>
  <si>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</si>
  <si>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</si>
  <si>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</si>
  <si>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</si>
  <si>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</si>
  <si>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</si>
  <si>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</si>
  <si>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</si>
  <si>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</si>
  <si>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</si>
  <si>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</si>
  <si>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</si>
  <si>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</si>
  <si>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</si>
  <si>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</si>
  <si>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</si>
  <si>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</si>
  <si>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</si>
  <si>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</si>
  <si>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</si>
  <si>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</si>
  <si>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</si>
  <si>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</si>
  <si>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</si>
  <si>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</si>
  <si>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</si>
  <si>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</si>
  <si>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</si>
  <si>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</si>
  <si>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</si>
  <si>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</si>
  <si>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</si>
  <si>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</si>
  <si>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</si>
  <si>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</si>
  <si>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</si>
  <si>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</si>
  <si>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</si>
  <si>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</si>
  <si>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</si>
  <si>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</si>
  <si>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</si>
  <si>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</si>
  <si>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</si>
  <si>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</si>
  <si>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</si>
  <si>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</si>
  <si>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</si>
  <si>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</si>
  <si>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</si>
  <si>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</si>
  <si>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</si>
  <si>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</si>
  <si>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</si>
  <si>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</si>
  <si>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</si>
  <si>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</si>
  <si>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</si>
  <si>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</si>
  <si>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</si>
  <si>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</si>
  <si>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</si>
  <si>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</si>
  <si>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</si>
  <si>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</si>
  <si>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</si>
  <si>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</si>
  <si>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</si>
  <si>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</si>
  <si>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</si>
  <si>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</si>
  <si>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</si>
  <si>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</si>
  <si>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</si>
  <si>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</si>
  <si>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</si>
  <si>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</si>
  <si>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</si>
  <si>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</si>
  <si>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</si>
  <si>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</si>
  <si>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</si>
  <si>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</si>
  <si>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</si>
  <si>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</si>
  <si>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</si>
  <si>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</si>
  <si>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</si>
  <si>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</si>
  <si>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</si>
  <si>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</si>
  <si>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</si>
  <si>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</si>
  <si>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</si>
  <si>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</si>
  <si>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</si>
  <si>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</si>
  <si>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</si>
  <si>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</si>
  <si>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</si>
  <si>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</si>
  <si>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</si>
  <si>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</si>
  <si>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</si>
  <si>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</si>
  <si>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</si>
  <si>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</si>
  <si>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</si>
  <si>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</si>
  <si>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</si>
  <si>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</si>
  <si>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</si>
  <si>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</si>
  <si>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</si>
  <si>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</si>
  <si>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</si>
  <si>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</si>
  <si>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</si>
  <si>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</si>
  <si>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</si>
  <si>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</si>
  <si>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</si>
  <si>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</si>
  <si>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</si>
  <si>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</si>
  <si>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</si>
  <si>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</si>
  <si>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</si>
  <si>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</si>
  <si>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</si>
  <si>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</si>
  <si>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</si>
  <si>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</si>
  <si>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</si>
  <si>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</si>
  <si>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</si>
  <si>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</si>
  <si>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</si>
  <si>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</si>
  <si>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</si>
  <si>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</si>
  <si>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</si>
  <si>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</si>
  <si>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</si>
  <si>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</si>
  <si>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</si>
  <si>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</si>
  <si>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</si>
  <si>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</si>
  <si>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</si>
  <si>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</si>
  <si>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</si>
  <si>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</si>
  <si>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</si>
  <si>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</si>
  <si>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</si>
  <si>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</si>
  <si>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</si>
  <si>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</si>
  <si>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</si>
  <si>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</si>
  <si>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</si>
  <si>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</si>
  <si>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</si>
  <si>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</si>
  <si>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</si>
  <si>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</si>
  <si>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</si>
  <si>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</si>
  <si>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</si>
  <si>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</si>
  <si>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</si>
  <si>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</si>
  <si>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</si>
  <si>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</si>
  <si>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</si>
  <si>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</si>
  <si>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</si>
  <si>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</si>
  <si>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</si>
  <si>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</si>
  <si>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</si>
  <si>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</si>
  <si>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</si>
  <si>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</si>
  <si>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</si>
  <si>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</si>
  <si>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</si>
  <si>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</si>
  <si>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</si>
  <si>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</si>
  <si>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</si>
  <si>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</si>
  <si>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</si>
  <si>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</si>
  <si>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</si>
  <si>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</si>
  <si>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</si>
  <si>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</si>
  <si>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</si>
  <si>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</si>
  <si>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</si>
  <si>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</si>
  <si>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</si>
  <si>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</si>
  <si>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</si>
  <si>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</si>
  <si>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</si>
  <si>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</si>
  <si>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</si>
  <si>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</si>
  <si>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</si>
  <si>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</si>
  <si>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</si>
  <si>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</si>
  <si>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</si>
  <si>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</si>
  <si>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</si>
  <si>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</si>
  <si>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</si>
  <si>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</si>
  <si>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</si>
  <si>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</si>
  <si>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</si>
  <si>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</si>
  <si>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</si>
  <si>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</si>
  <si>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</si>
  <si>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</si>
  <si>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</si>
  <si>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</si>
  <si>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</si>
  <si>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</si>
  <si>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</si>
  <si>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</si>
  <si>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</si>
  <si>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</si>
  <si>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</si>
  <si>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</si>
  <si>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</si>
  <si>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</si>
  <si>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</si>
  <si>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</si>
  <si>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</si>
  <si>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</si>
  <si>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</si>
  <si>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</si>
  <si>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</si>
  <si>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</si>
  <si>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</si>
  <si>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</si>
  <si>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</si>
  <si>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</si>
  <si>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</si>
  <si>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</si>
  <si>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</si>
  <si>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</si>
  <si>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</si>
  <si>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</si>
  <si>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</si>
  <si>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</si>
  <si>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</si>
  <si>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</si>
  <si>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</si>
  <si>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</si>
  <si>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</si>
  <si>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</si>
  <si>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</si>
  <si>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</si>
  <si>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</si>
  <si>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</si>
  <si>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</si>
  <si>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</si>
  <si>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</si>
  <si>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</si>
  <si>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</si>
  <si>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</si>
  <si>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</si>
  <si>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</si>
  <si>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</si>
  <si>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</si>
  <si>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</si>
  <si>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</si>
  <si>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</si>
  <si>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</si>
  <si>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</si>
  <si>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</si>
  <si>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</si>
  <si>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</si>
  <si>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</si>
  <si>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</si>
  <si>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</si>
  <si>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</si>
  <si>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</si>
  <si>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</si>
  <si>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</si>
  <si>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</si>
  <si>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</si>
  <si>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</si>
  <si>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</si>
  <si>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</si>
  <si>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</si>
  <si>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</si>
  <si>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</si>
  <si>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</si>
  <si>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</si>
  <si>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</si>
  <si>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</si>
  <si>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</si>
  <si>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</si>
  <si>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</si>
  <si>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</si>
  <si>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</si>
  <si>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</si>
  <si>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</si>
  <si>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</si>
  <si>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</si>
  <si>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</si>
  <si>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</si>
  <si>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</si>
  <si>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</si>
  <si>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</si>
  <si>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</si>
  <si>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</si>
  <si>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</si>
  <si>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</si>
  <si>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</si>
  <si>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</si>
  <si>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</si>
  <si>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</si>
  <si>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</si>
  <si>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</si>
  <si>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</si>
  <si>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</si>
  <si>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</si>
  <si>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</si>
  <si>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</si>
  <si>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</si>
  <si>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</si>
  <si>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</si>
  <si>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</si>
  <si>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</si>
  <si>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</si>
  <si>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</si>
  <si>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</si>
  <si>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</si>
  <si>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</si>
  <si>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</si>
  <si>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</si>
  <si>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</si>
  <si>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</si>
  <si>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</si>
  <si>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</si>
  <si>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</si>
  <si>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</si>
  <si>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</si>
  <si>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</si>
  <si>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</si>
  <si>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</si>
  <si>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</si>
  <si>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</si>
  <si>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</si>
  <si>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</si>
  <si>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</si>
  <si>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</si>
  <si>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</si>
  <si>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</si>
  <si>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</si>
  <si>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</si>
  <si>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</si>
  <si>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</si>
  <si>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</si>
  <si>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</si>
  <si>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</si>
  <si>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</si>
  <si>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</si>
  <si>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</si>
  <si>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</si>
  <si>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</si>
  <si>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</si>
  <si>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</si>
  <si>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</si>
  <si>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</si>
  <si>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</si>
  <si>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</si>
  <si>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</si>
  <si>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</si>
  <si>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</si>
  <si>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</si>
  <si>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</si>
  <si>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</si>
  <si>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</si>
  <si>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</si>
  <si>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</si>
  <si>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</si>
  <si>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</si>
  <si>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</si>
  <si>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</si>
  <si>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</si>
  <si>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</si>
  <si>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</si>
  <si>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</si>
  <si>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</si>
  <si>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</si>
  <si>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</si>
  <si>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</si>
  <si>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</si>
  <si>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</si>
  <si>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</si>
  <si>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</si>
  <si>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</si>
  <si>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</si>
  <si>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</si>
  <si>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</si>
  <si>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</si>
  <si>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</si>
  <si>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</si>
  <si>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</si>
  <si>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</si>
  <si>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</si>
  <si>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</si>
  <si>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</si>
  <si>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</si>
  <si>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</si>
  <si>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</si>
  <si>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</si>
  <si>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</si>
  <si>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</si>
  <si>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</si>
  <si>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</si>
  <si>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</si>
  <si>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</si>
  <si>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</si>
  <si>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</si>
  <si>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</si>
  <si>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</si>
  <si>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</si>
  <si>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</si>
  <si>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</si>
  <si>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</si>
  <si>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</si>
  <si>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</si>
  <si>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</si>
  <si>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</si>
  <si>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</si>
  <si>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</si>
  <si>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</si>
  <si>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</si>
  <si>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</si>
  <si>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</si>
  <si>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</si>
  <si>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</si>
  <si>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</si>
  <si>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</si>
  <si>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</si>
  <si>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</si>
  <si>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</si>
  <si>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</si>
  <si>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</si>
  <si>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</si>
  <si>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</si>
  <si>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</si>
  <si>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</si>
  <si>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</si>
  <si>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</si>
  <si>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</si>
  <si>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</si>
  <si>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</si>
  <si>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</si>
  <si>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</si>
  <si>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</si>
  <si>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</si>
  <si>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</si>
  <si>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</si>
  <si>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</si>
  <si>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</si>
  <si>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</si>
  <si>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</si>
  <si>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</si>
  <si>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</si>
  <si>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</si>
  <si>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</si>
  <si>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</si>
  <si>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</si>
  <si>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</si>
  <si>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</si>
  <si>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</si>
  <si>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</si>
  <si>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</si>
  <si>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</si>
  <si>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</si>
  <si>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</si>
  <si>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</si>
  <si>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</si>
  <si>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</si>
  <si>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</si>
  <si>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</si>
  <si>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</si>
  <si>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</si>
  <si>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</si>
  <si>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</si>
  <si>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</si>
  <si>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</si>
  <si>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</si>
  <si>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</si>
  <si>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</si>
  <si>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</si>
  <si>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</si>
  <si>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</si>
  <si>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</si>
  <si>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</si>
  <si>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</si>
  <si>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</si>
  <si>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</si>
  <si>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</si>
  <si>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</si>
  <si>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</si>
  <si>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</si>
  <si>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</si>
  <si>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</si>
  <si>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</si>
  <si>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</si>
  <si>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</si>
  <si>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</si>
  <si>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</si>
  <si>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</si>
  <si>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</si>
  <si>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</si>
  <si>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</si>
  <si>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</si>
  <si>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</si>
  <si>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</si>
  <si>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</si>
  <si>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</si>
  <si>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</si>
  <si>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</si>
  <si>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</si>
  <si>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</si>
  <si>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</si>
  <si>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</si>
  <si>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</si>
  <si>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</si>
  <si>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</si>
  <si>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</si>
  <si>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</si>
  <si>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</si>
  <si>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</si>
  <si>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</si>
  <si>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</si>
  <si>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</si>
  <si>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</si>
  <si>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</si>
  <si>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</si>
  <si>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</si>
  <si>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</si>
  <si>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</si>
  <si>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</si>
  <si>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</si>
  <si>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</si>
  <si>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</si>
  <si>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</si>
  <si>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</si>
  <si>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</si>
  <si>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</si>
  <si>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</si>
  <si>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</si>
  <si>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</si>
  <si>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</si>
  <si>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</si>
  <si>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</si>
  <si>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</si>
  <si>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</si>
  <si>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</si>
  <si>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</si>
  <si>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</si>
  <si>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</si>
  <si>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</si>
  <si>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</si>
  <si>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</si>
  <si>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</si>
  <si>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</si>
  <si>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</si>
  <si>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</si>
  <si>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</si>
  <si>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</si>
  <si>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</si>
  <si>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</si>
  <si>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</si>
  <si>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</si>
  <si>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</si>
  <si>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</si>
  <si>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</si>
  <si>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</si>
  <si>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</si>
  <si>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</si>
  <si>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</si>
  <si>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</si>
  <si>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</si>
  <si>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</si>
  <si>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</si>
  <si>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</si>
  <si>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</si>
  <si>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</si>
  <si>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</si>
  <si>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</si>
  <si>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</si>
  <si>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</si>
  <si>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</si>
  <si>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</si>
  <si>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</si>
  <si>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</si>
  <si>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</si>
  <si>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</si>
  <si>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</si>
  <si>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</si>
  <si>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</si>
  <si>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</si>
  <si>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</si>
  <si>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</si>
  <si>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</si>
  <si>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</si>
  <si>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</si>
  <si>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</si>
  <si>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</si>
  <si>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</si>
  <si>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</si>
  <si>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</si>
  <si>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</si>
  <si>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</si>
  <si>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</si>
  <si>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</si>
  <si>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</si>
  <si>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</si>
  <si>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</si>
  <si>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</si>
  <si>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</si>
  <si>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</si>
  <si>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</si>
  <si>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</si>
  <si>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</si>
  <si>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</si>
  <si>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</si>
  <si>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</si>
  <si>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</si>
  <si>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</si>
  <si>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</si>
  <si>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</si>
  <si>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</si>
  <si>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</si>
  <si>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</si>
  <si>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</si>
  <si>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</si>
  <si>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</si>
  <si>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</si>
  <si>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</si>
  <si>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</si>
  <si>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</si>
  <si>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</si>
  <si>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</si>
  <si>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</si>
  <si>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</si>
  <si>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</si>
  <si>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</si>
  <si>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</si>
  <si>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</si>
  <si>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</si>
  <si>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</si>
  <si>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</si>
  <si>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</si>
  <si>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</si>
  <si>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</si>
  <si>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</si>
  <si>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</si>
  <si>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</si>
  <si>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</si>
  <si>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</si>
  <si>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</si>
  <si>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</si>
  <si>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</si>
  <si>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</si>
  <si>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</si>
  <si>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</si>
  <si>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</si>
  <si>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</si>
  <si>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</si>
  <si>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</si>
  <si>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</si>
  <si>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</si>
  <si>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</si>
  <si>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</si>
  <si>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</si>
  <si>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</si>
  <si>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</si>
  <si>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</si>
  <si>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</si>
  <si>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</si>
  <si>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</si>
  <si>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</si>
  <si>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</si>
  <si>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</si>
  <si>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</si>
  <si>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</si>
  <si>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</si>
  <si>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</si>
  <si>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</si>
  <si>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</si>
  <si>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</si>
  <si>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</si>
  <si>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</si>
  <si>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</si>
  <si>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</si>
  <si>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</si>
  <si>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</si>
  <si>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</si>
  <si>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</si>
  <si>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</si>
  <si>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</si>
  <si>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</si>
  <si>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</si>
  <si>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</si>
  <si>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</si>
  <si>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</si>
  <si>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</si>
  <si>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</si>
  <si>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</si>
  <si>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</si>
  <si>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</si>
  <si>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</si>
  <si>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</si>
  <si>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</si>
  <si>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</si>
  <si>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</si>
  <si>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</si>
  <si>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</si>
  <si>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</si>
  <si>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</si>
  <si>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</si>
  <si>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</si>
  <si>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</si>
  <si>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</si>
  <si>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</si>
  <si>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</si>
  <si>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</si>
  <si>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</si>
  <si>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</si>
  <si>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</si>
  <si>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</si>
  <si>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</si>
  <si>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</si>
  <si>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</si>
  <si>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</si>
  <si>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</si>
  <si>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</si>
  <si>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</si>
  <si>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</si>
  <si>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</si>
  <si>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</si>
  <si>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</si>
  <si>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</si>
  <si>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</si>
  <si>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</si>
  <si>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</si>
  <si>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</si>
  <si>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</si>
  <si>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</si>
  <si>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</si>
  <si>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</si>
  <si>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</si>
  <si>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</si>
  <si>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</si>
  <si>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</si>
  <si>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</si>
  <si>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</si>
  <si>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</si>
  <si>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</si>
  <si>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</si>
  <si>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</si>
  <si>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</si>
  <si>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</si>
  <si>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</si>
  <si>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</si>
  <si>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</si>
  <si>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</si>
  <si>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</si>
  <si>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</si>
  <si>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</si>
  <si>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</si>
  <si>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</si>
  <si>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</si>
  <si>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</si>
  <si>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</si>
  <si>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</si>
  <si>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</si>
  <si>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</si>
  <si>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</si>
  <si>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</si>
  <si>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</si>
  <si>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</si>
  <si>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</si>
  <si>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</si>
  <si>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</si>
  <si>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</si>
  <si>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</si>
  <si>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</si>
  <si>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</si>
  <si>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</si>
  <si>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</si>
  <si>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</si>
  <si>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</si>
  <si>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</si>
  <si>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</si>
  <si>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</si>
  <si>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</si>
  <si>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</si>
  <si>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</si>
  <si>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</si>
  <si>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</si>
  <si>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</si>
  <si>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</si>
  <si>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</si>
  <si>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</si>
  <si>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</si>
  <si>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</si>
  <si>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</si>
  <si>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</si>
  <si>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</si>
  <si>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</si>
  <si>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</si>
  <si>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</si>
  <si>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</si>
  <si>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</si>
  <si>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</si>
  <si>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</si>
  <si>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</si>
  <si>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</si>
  <si>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</si>
  <si>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</si>
  <si>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</si>
  <si>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</si>
  <si>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</si>
  <si>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</si>
  <si>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</si>
  <si>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</si>
  <si>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</si>
  <si>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</si>
  <si>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</si>
  <si>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</si>
  <si>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</si>
  <si>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</si>
  <si>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</si>
  <si>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</si>
  <si>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</si>
  <si>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</si>
  <si>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</si>
  <si>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</si>
  <si>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</si>
  <si>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</si>
  <si>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</si>
  <si>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</si>
  <si>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</si>
  <si>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</si>
  <si>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</si>
  <si>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</si>
  <si>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</si>
  <si>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</si>
  <si>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</si>
  <si>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</si>
  <si>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</si>
  <si>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</si>
  <si>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</si>
  <si>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</si>
  <si>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</si>
  <si>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</si>
  <si>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</si>
  <si>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</si>
  <si>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</si>
  <si>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</si>
  <si>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</si>
  <si>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</si>
  <si>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</si>
  <si>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</si>
  <si>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</si>
  <si>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</si>
  <si>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</si>
  <si>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</si>
  <si>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</si>
  <si>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</si>
  <si>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</si>
  <si>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</si>
  <si>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</si>
  <si>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</si>
  <si>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</si>
  <si>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</si>
  <si>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</si>
  <si>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</si>
  <si>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</si>
  <si>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</si>
  <si>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</si>
  <si>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</si>
  <si>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</si>
  <si>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</si>
  <si>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</si>
  <si>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</si>
  <si>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</si>
  <si>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</si>
  <si>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</si>
  <si>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</si>
  <si>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</si>
  <si>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</si>
  <si>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</si>
  <si>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</si>
  <si>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</si>
  <si>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</si>
  <si>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</si>
  <si>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</si>
  <si>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</si>
  <si>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</si>
  <si>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</si>
  <si>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</si>
  <si>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</si>
  <si>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</si>
  <si>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</si>
  <si>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</si>
  <si>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</si>
  <si>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</si>
  <si>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</si>
  <si>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</si>
  <si>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</si>
  <si>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</si>
  <si>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</si>
  <si>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</si>
  <si>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</si>
  <si>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</si>
  <si>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</si>
  <si>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</si>
  <si>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</si>
  <si>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</si>
  <si>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</si>
  <si>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</si>
  <si>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</si>
  <si>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</si>
  <si>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</si>
  <si>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</si>
  <si>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</si>
  <si>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</si>
  <si>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</si>
  <si>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</si>
  <si>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</si>
  <si>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</si>
  <si>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</si>
  <si>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</si>
  <si>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</si>
  <si>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</si>
  <si>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</si>
  <si>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</si>
  <si>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</si>
  <si>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</si>
  <si>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</si>
  <si>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Salesperson</t>
  </si>
  <si>
    <t>Kayla</t>
  </si>
  <si>
    <t>Brenda</t>
  </si>
  <si>
    <t>Cheyenne</t>
  </si>
  <si>
    <t>Joshua</t>
  </si>
  <si>
    <t>Douglas</t>
  </si>
  <si>
    <t>Katie</t>
  </si>
  <si>
    <t>David</t>
  </si>
  <si>
    <t>Jonathan</t>
  </si>
  <si>
    <t>Ralph</t>
  </si>
  <si>
    <t>Daniel</t>
  </si>
  <si>
    <t>Aaron</t>
  </si>
  <si>
    <t>Sean</t>
  </si>
  <si>
    <t>Andrea</t>
  </si>
  <si>
    <t>Anna</t>
  </si>
  <si>
    <t>Thomas</t>
  </si>
  <si>
    <t>Jasmine</t>
  </si>
  <si>
    <t>Timothy</t>
  </si>
  <si>
    <t>Linda</t>
  </si>
  <si>
    <t>Tara</t>
  </si>
  <si>
    <t>Lisa</t>
  </si>
  <si>
    <t>Ethan</t>
  </si>
  <si>
    <t>Laura</t>
  </si>
  <si>
    <t>Victoria</t>
  </si>
  <si>
    <t>Lori</t>
  </si>
  <si>
    <t>Jennifer</t>
  </si>
  <si>
    <t>Tracey</t>
  </si>
  <si>
    <t>Patrick</t>
  </si>
  <si>
    <t>Caroline</t>
  </si>
  <si>
    <t>Keith</t>
  </si>
  <si>
    <t>CustomerName</t>
  </si>
  <si>
    <t>City</t>
  </si>
  <si>
    <t>Gender</t>
  </si>
  <si>
    <t>CustomerAge</t>
  </si>
  <si>
    <t>California</t>
  </si>
  <si>
    <t>Male</t>
  </si>
  <si>
    <t>Okon Balogun</t>
  </si>
  <si>
    <t>Texas</t>
  </si>
  <si>
    <t>Efe Adeyemi</t>
  </si>
  <si>
    <t>Female</t>
  </si>
  <si>
    <t>Chioma Eze</t>
  </si>
  <si>
    <t>Washington</t>
  </si>
  <si>
    <t>Jide Adeyemi</t>
  </si>
  <si>
    <t>Blessing Eze</t>
  </si>
  <si>
    <t>Amina Obi</t>
  </si>
  <si>
    <t>Florida</t>
  </si>
  <si>
    <t>Obi Bello</t>
  </si>
  <si>
    <t>Jane Thomas</t>
  </si>
  <si>
    <t>Illinois</t>
  </si>
  <si>
    <t>Sani Bello</t>
  </si>
  <si>
    <t>Chinedu Igwe</t>
  </si>
  <si>
    <t>Ibrahim Balogun</t>
  </si>
  <si>
    <t>Uche Abubakar</t>
  </si>
  <si>
    <t>Zainab Bello</t>
  </si>
  <si>
    <t>Jide Eze</t>
  </si>
  <si>
    <t>Sani Ojo</t>
  </si>
  <si>
    <t>Emeka Abubakar</t>
  </si>
  <si>
    <t>Okon Adeyemi</t>
  </si>
  <si>
    <t>Sani Obi</t>
  </si>
  <si>
    <t>Ibrahim Igwe</t>
  </si>
  <si>
    <t>Tunde Abubakar</t>
  </si>
  <si>
    <t>Blessing Danladi</t>
  </si>
  <si>
    <t>Abiola Bello</t>
  </si>
  <si>
    <t>Emeka Obi</t>
  </si>
  <si>
    <t>Obi Adeyemi</t>
  </si>
  <si>
    <t>Folasade Danladi</t>
  </si>
  <si>
    <t>Funke Danladi</t>
  </si>
  <si>
    <t>Ngozi Obi</t>
  </si>
  <si>
    <t>Folasade Okonkwo</t>
  </si>
  <si>
    <t>Obi Okonkwo</t>
  </si>
  <si>
    <t>Bisi Ojo</t>
  </si>
  <si>
    <t>Bisi Eze</t>
  </si>
  <si>
    <t>Adanma Bello</t>
  </si>
  <si>
    <t>Ronke Okonkwo</t>
  </si>
  <si>
    <t>Zainab Abubakar</t>
  </si>
  <si>
    <t>Amina Danladi</t>
  </si>
  <si>
    <t>Chioma Adeyemi</t>
  </si>
  <si>
    <t>Ngozi Ojo</t>
  </si>
  <si>
    <t>Folasade Ojo</t>
  </si>
  <si>
    <t>Emeka Balogun</t>
  </si>
  <si>
    <t>Temi Okonkwo</t>
  </si>
  <si>
    <t>Abiola Okonkwo</t>
  </si>
  <si>
    <t>Efe Ojo</t>
  </si>
  <si>
    <t>Okon Eze</t>
  </si>
  <si>
    <t>Adanma Ojo</t>
  </si>
  <si>
    <t>Okon Ojo</t>
  </si>
  <si>
    <t>Ngozi Danladi</t>
  </si>
  <si>
    <t>Adanma Okonkwo</t>
  </si>
  <si>
    <t>Adanma Danladi</t>
  </si>
  <si>
    <t>Ronke Eze</t>
  </si>
  <si>
    <t>Ibrahim Okonkwo</t>
  </si>
  <si>
    <t>Jide Okonkwo</t>
  </si>
  <si>
    <t>Adanma Adeyemi</t>
  </si>
  <si>
    <t>Bisi Bello</t>
  </si>
  <si>
    <t>Ngozi Bello</t>
  </si>
  <si>
    <t>Ronke Danladi</t>
  </si>
  <si>
    <t>Efe Abubakar</t>
  </si>
  <si>
    <t>Uche Bello</t>
  </si>
  <si>
    <t>Mustafa Obi</t>
  </si>
  <si>
    <t>Ronke Adeyemi</t>
  </si>
  <si>
    <t>Abiola Adeyemi</t>
  </si>
  <si>
    <t>Okon Igwe</t>
  </si>
  <si>
    <t>Obi Igwe</t>
  </si>
  <si>
    <t>Blessing Abubakar</t>
  </si>
  <si>
    <t>Bisi Adeyemi</t>
  </si>
  <si>
    <t>Blessing Balogun</t>
  </si>
  <si>
    <t>Tunde Danladi</t>
  </si>
  <si>
    <t>Abiola Igwe</t>
  </si>
  <si>
    <t>Abiola Abubakar</t>
  </si>
  <si>
    <t>Chinedu Obi</t>
  </si>
  <si>
    <t>Temi Bello</t>
  </si>
  <si>
    <t>Tunde Okonkwo</t>
  </si>
  <si>
    <t>Mustafa Igwe</t>
  </si>
  <si>
    <t>Chinedu Eze</t>
  </si>
  <si>
    <t>Amina Balogun</t>
  </si>
  <si>
    <t>Folasade Adeyemi</t>
  </si>
  <si>
    <t>Ibrahim Eze</t>
  </si>
  <si>
    <t>Mustafa Balogun</t>
  </si>
  <si>
    <t>Ronke Obi</t>
  </si>
  <si>
    <t>Abiola Balogun</t>
  </si>
  <si>
    <t>Temi Danladi</t>
  </si>
  <si>
    <t>Sani Igwe</t>
  </si>
  <si>
    <t>Chinedu Ojo</t>
  </si>
  <si>
    <t>Obi Eze</t>
  </si>
  <si>
    <t>Uche Igwe</t>
  </si>
  <si>
    <t>Ibrahim Bello</t>
  </si>
  <si>
    <t>Zainab Obi</t>
  </si>
  <si>
    <t>Okon Obi</t>
  </si>
  <si>
    <t>Blessing Bello</t>
  </si>
  <si>
    <t>Chioma Ojo</t>
  </si>
  <si>
    <t>Uche Okonkwo</t>
  </si>
  <si>
    <t>Adanma Obi</t>
  </si>
  <si>
    <t>Efe Igwe</t>
  </si>
  <si>
    <t>Temi Ojo</t>
  </si>
  <si>
    <t>Tunde Eze</t>
  </si>
  <si>
    <t>Mustafa Danladi</t>
  </si>
  <si>
    <t>Bi si Bello</t>
  </si>
  <si>
    <t>Sani Abubakar</t>
  </si>
  <si>
    <t>ProductName</t>
  </si>
  <si>
    <t>Category</t>
  </si>
  <si>
    <t>YOGA MAT</t>
  </si>
  <si>
    <t>Gym</t>
  </si>
  <si>
    <t>CHEST EXPANDER</t>
  </si>
  <si>
    <t>DUMB BELLS</t>
  </si>
  <si>
    <t>GYM GLOVES</t>
  </si>
  <si>
    <t>GYM BAG</t>
  </si>
  <si>
    <t>SNEAKERS</t>
  </si>
  <si>
    <t>Sports</t>
  </si>
  <si>
    <t>BADMINTON RACKET</t>
  </si>
  <si>
    <t>FOOTBALL</t>
  </si>
  <si>
    <t>SKIPPING ROPE</t>
  </si>
  <si>
    <t>TENNIS BAT</t>
  </si>
  <si>
    <t>ANKARA</t>
  </si>
  <si>
    <t>Clothing</t>
  </si>
  <si>
    <t>BOUBOU</t>
  </si>
  <si>
    <t>GYM WEARS</t>
  </si>
  <si>
    <t>TROUSERS</t>
  </si>
  <si>
    <t>TURTLE NECK</t>
  </si>
  <si>
    <t>TOPS</t>
  </si>
  <si>
    <t>EARRINGS</t>
  </si>
  <si>
    <t>Accessories</t>
  </si>
  <si>
    <t>GOLD EARRINGS AND NECKLACES</t>
  </si>
  <si>
    <t>SILVER EARRINGS AND NECKLACES</t>
  </si>
  <si>
    <t>BEADED EARRINGS AND NECKLACES</t>
  </si>
  <si>
    <t>GOLD BRACELETS</t>
  </si>
  <si>
    <t>SILVER BANGLES</t>
  </si>
  <si>
    <t>NOSE RINGS</t>
  </si>
  <si>
    <t>GOLD RINGS</t>
  </si>
  <si>
    <t>SILVER RINGS</t>
  </si>
  <si>
    <t>IRON</t>
  </si>
  <si>
    <t>Electronics</t>
  </si>
  <si>
    <t>BLENDER</t>
  </si>
  <si>
    <t>MICROWAVE</t>
  </si>
  <si>
    <t>REFRIGERATOR</t>
  </si>
  <si>
    <t>SCRABBLE</t>
  </si>
  <si>
    <t>Games</t>
  </si>
  <si>
    <t>MONOPOLY</t>
  </si>
  <si>
    <t>CHECKERS</t>
  </si>
  <si>
    <t>CHESS</t>
  </si>
  <si>
    <t>KIDS GAMES</t>
  </si>
  <si>
    <t>Sani Balogun</t>
  </si>
  <si>
    <t>Tunde Igwe</t>
  </si>
  <si>
    <t>Zainab Eze</t>
  </si>
  <si>
    <t>Bisi Abubakar</t>
  </si>
  <si>
    <t>Emmanuel Victor</t>
  </si>
  <si>
    <t>Uche Danladi</t>
  </si>
  <si>
    <t>Amina Abubakar</t>
  </si>
  <si>
    <t>Okon Bello</t>
  </si>
  <si>
    <t>Emeka Danladi</t>
  </si>
  <si>
    <t xml:space="preserve"> </t>
  </si>
  <si>
    <t>Georgia</t>
  </si>
  <si>
    <t>CustomerCity</t>
  </si>
  <si>
    <t>Age</t>
  </si>
  <si>
    <t>ProductCategory</t>
  </si>
  <si>
    <t>Revenue</t>
  </si>
  <si>
    <t>Expenses</t>
  </si>
  <si>
    <t>Sum of Revenue</t>
  </si>
  <si>
    <t>Sum of Expenses</t>
  </si>
  <si>
    <t>Row Labels</t>
  </si>
  <si>
    <t>Grand Total</t>
  </si>
  <si>
    <t>Values</t>
  </si>
  <si>
    <t>SumOfProfit</t>
  </si>
  <si>
    <t>Sum of SumOfProfit</t>
  </si>
  <si>
    <t>Profit Margin</t>
  </si>
  <si>
    <t>Sales Peroformance</t>
  </si>
  <si>
    <t>Week</t>
  </si>
  <si>
    <t>Revenue By Weeks</t>
  </si>
  <si>
    <t>Profit By Weeks</t>
  </si>
  <si>
    <t>Sum of Quantity</t>
  </si>
  <si>
    <t>Age Category</t>
  </si>
  <si>
    <t>Older</t>
  </si>
  <si>
    <t>young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</si>
</sst>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F800]dddd\,\ mmmm\ dd\,\ yyyy"/>
    <numFmt numFmtId="165" formatCode="_(&quot;$&quot;* #,##0_);_(&quot;$&quot;* \(#,##0\);_(&quot;$&quot;* &quot;-&quot;??_);_(@_)"/>
    <numFmt numFmtId="166" formatCode="&quot;$&quot;#,##0,,&quot;M&quot;"/>
    <numFmt numFmtId="167" formatCode="&quot;$&quot;#,##0.00,,&quot;M&quot;"/>
  </numFmts>
  <fonts count="6" x14ac:knownFonts="1">
    <font>
      <sz val="11"/>
      <color theme="1"/>
      <name val="Aptos Narrow"/>
      <family val="2"/>
      <scheme val="minor"/>
    </font>
    <font>
      <sz val="11"/>
      <color theme="1"/>
      <name val="Aptos Narrow"/>
      <family val="2"/>
      <scheme val="minor"/>
    </font>
    <font>
      <b/>
      <sz val="11"/>
      <color theme="1"/>
      <name val="Calibri"/>
      <family val="2"/>
    </font>
    <font>
      <sz val="11"/>
      <color theme="1"/>
      <name val="Calibri"/>
      <family val="2"/>
    </font>
    <font>
      <b/>
      <sz val="11"/>
      <color theme="1"/>
      <name val="Aptos Narrow"/>
      <scheme val="minor"/>
    </font>
    <font>
      <sz val="11"/>
      <color theme="3"/>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3">
    <xf numFmtId="0" fontId="0" fillId="0" borderId="0" xfId="0"/>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0" fontId="2" fillId="0" borderId="2" xfId="0" applyFont="1" applyBorder="1" applyAlignment="1">
      <alignment horizontal="center" vertical="top"/>
    </xf>
    <xf numFmtId="0" fontId="1" fillId="0" borderId="0" xfId="0" applyFont="1"/>
    <xf numFmtId="14" fontId="1" fillId="0" borderId="0" xfId="0" applyNumberFormat="1" applyFont="1"/>
    <xf numFmtId="164" fontId="0" fillId="0" borderId="0" xfId="0" applyNumberFormat="1"/>
    <xf numFmtId="0" fontId="3" fillId="0" borderId="0" xfId="0" applyFont="1"/>
    <xf numFmtId="14" fontId="3" fillId="0" borderId="0" xfId="0" applyNumberFormat="1" applyFont="1"/>
    <xf numFmtId="0" fontId="2" fillId="0" borderId="3"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0" fontId="4" fillId="0" borderId="0" xfId="0" applyFont="1"/>
    <xf numFmtId="1" fontId="1" fillId="0" borderId="0" xfId="0" applyNumberFormat="1" applyFont="1"/>
    <xf numFmtId="1" fontId="0" fillId="0" borderId="0" xfId="0" applyNumberFormat="1" applyAlignment="1">
      <alignment horizontal="left"/>
    </xf>
    <xf numFmtId="0" fontId="0" fillId="2" borderId="0" xfId="0" applyFill="1"/>
    <xf numFmtId="0" fontId="5" fillId="3" borderId="0" xfId="0" applyFont="1" applyFill="1"/>
    <xf numFmtId="166" fontId="0" fillId="0" borderId="0" xfId="0" applyNumberFormat="1"/>
    <xf numFmtId="167" fontId="0" fillId="0" borderId="0" xfId="0" applyNumberFormat="1"/>
    <xf numFmtId="1" fontId="0" fillId="0" borderId="0" xfId="2" applyNumberFormat="1" applyFont="1"/>
    <xf numFmtId="0" fontId="0" fillId="0" borderId="0" xfId="0" applyNumberFormat="1"/>
  </cellXfs>
  <cellStyles count="3">
    <cellStyle name="Currency" xfId="2" builtinId="4"/>
    <cellStyle name="Normal" xfId="0" builtinId="0"/>
    <cellStyle name="Percent" xfId="1" builtinId="5"/>
  </cellStyles>
  <dxfs count="51">
    <dxf>
      <numFmt numFmtId="165" formatCode="_(&quot;$&quot;* #,##0_);_(&quot;$&quot;* \(#,##0\);_(&quot;$&quot;* &quot;-&quot;??_);_(@_)"/>
    </dxf>
    <dxf>
      <numFmt numFmtId="166" formatCode="&quot;$&quot;#,##0,,&quot;M&quot;"/>
    </dxf>
    <dxf>
      <numFmt numFmtId="167" formatCode="&quot;$&quot;#,##0.00,,&quot;M&quot;"/>
    </dxf>
    <dxf>
      <numFmt numFmtId="167" formatCode="&quot;$&quot;#,##0.00,,&quot;M&quot;"/>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border outline="0">
        <top style="thin">
          <color rgb="FF000000"/>
        </top>
      </border>
    </dxf>
    <dxf>
      <font>
        <b val="0"/>
        <i val="0"/>
        <strike val="0"/>
        <condense val="0"/>
        <extend val="0"/>
        <outline val="0"/>
        <shadow val="0"/>
        <u val="none"/>
        <vertAlign val="baseline"/>
        <sz val="11"/>
        <color theme="1"/>
        <name val="Aptos Narrow"/>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19" formatCode="m/d/yy"/>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65" formatCode="_(&quot;$&quot;* #,##0_);_(&quot;$&quot;* \(#,##0\);_(&quot;$&quot;* &quot;-&quot;??_);_(@_)"/>
    </dxf>
    <dxf>
      <numFmt numFmtId="165" formatCode="_(&quot;$&quot;* #,##0_);_(&quot;$&quot;* \(#,##0\);_(&quot;$&quot;* &quot;-&quot;??_);_(@_)"/>
    </dxf>
    <dxf>
      <numFmt numFmtId="167" formatCode="&quot;$&quot;#,##0.00,,&quot;M&quot;"/>
    </dxf>
    <dxf>
      <numFmt numFmtId="167" formatCode="&quot;$&quot;#,##0.00,,&quot;M&quot;"/>
    </dxf>
    <dxf>
      <numFmt numFmtId="166" formatCode="&quot;$&quot;#,##0,,&quot;M&quot;"/>
    </dxf>
    <dxf>
      <numFmt numFmtId="165" formatCode="_(&quot;$&quot;* #,##0_);_(&quot;$&quot;* \(#,##0\);_(&quot;$&quot;* &quot;-&quot;??_);_(@_)"/>
    </dxf>
    <dxf>
      <numFmt numFmtId="165" formatCode="_(&quot;$&quot;* #,##0_);_(&quot;$&quot;* \(#,##0\);_(&quot;$&quot;* &quot;-&quot;??_);_(@_)"/>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Analysis!$A$12:$A$26</c:f>
              <c:strCache>
                <c:ptCount val="14"/>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strCache>
            </c:strRef>
          </c:cat>
          <c:val>
            <c:numRef>
              <c:f>Analysis!$B$12:$B$26</c:f>
              <c:numCache>
                <c:formatCode>General</c:formatCode>
                <c:ptCount val="14"/>
                <c:pt idx="0">
                  <c:v>5151515.8999999994</c:v>
                </c:pt>
                <c:pt idx="1">
                  <c:v>8021415.0000000065</c:v>
                </c:pt>
                <c:pt idx="2">
                  <c:v>9039991.3999999985</c:v>
                </c:pt>
                <c:pt idx="3">
                  <c:v>8273426.0999999978</c:v>
                </c:pt>
                <c:pt idx="4">
                  <c:v>6483549.0999999978</c:v>
                </c:pt>
                <c:pt idx="5">
                  <c:v>8499907.5</c:v>
                </c:pt>
                <c:pt idx="6">
                  <c:v>8029014.5999999959</c:v>
                </c:pt>
                <c:pt idx="7">
                  <c:v>10935727.6</c:v>
                </c:pt>
                <c:pt idx="8">
                  <c:v>8439774.200000003</c:v>
                </c:pt>
                <c:pt idx="9">
                  <c:v>9654830.6999999974</c:v>
                </c:pt>
                <c:pt idx="10">
                  <c:v>8268638.9999999991</c:v>
                </c:pt>
                <c:pt idx="11">
                  <c:v>10436412.299999997</c:v>
                </c:pt>
                <c:pt idx="12">
                  <c:v>8699909.7000000048</c:v>
                </c:pt>
                <c:pt idx="13">
                  <c:v>4808506.700000002</c:v>
                </c:pt>
              </c:numCache>
            </c:numRef>
          </c:val>
          <c:smooth val="0"/>
          <c:extLst>
            <c:ext xmlns:c16="http://schemas.microsoft.com/office/drawing/2014/chart" uri="{C3380CC4-5D6E-409C-BE32-E72D297353CC}">
              <c16:uniqueId val="{00000000-AD86-8047-81CD-E4C04E8D6234}"/>
            </c:ext>
          </c:extLst>
        </c:ser>
        <c:dLbls>
          <c:showLegendKey val="0"/>
          <c:showVal val="0"/>
          <c:showCatName val="0"/>
          <c:showSerName val="0"/>
          <c:showPercent val="0"/>
          <c:showBubbleSize val="0"/>
        </c:dLbls>
        <c:marker val="1"/>
        <c:smooth val="0"/>
        <c:axId val="668817840"/>
        <c:axId val="1180756448"/>
      </c:lineChart>
      <c:catAx>
        <c:axId val="66881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56448"/>
        <c:crosses val="autoZero"/>
        <c:auto val="1"/>
        <c:lblAlgn val="ctr"/>
        <c:lblOffset val="100"/>
        <c:noMultiLvlLbl val="0"/>
      </c:catAx>
      <c:valAx>
        <c:axId val="118075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8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0314960629921"/>
          <c:y val="0.17171296296296298"/>
          <c:w val="0.68629352580927383"/>
          <c:h val="0.72125801983085447"/>
        </c:manualLayout>
      </c:layout>
      <c:lineChart>
        <c:grouping val="standard"/>
        <c:varyColors val="0"/>
        <c:ser>
          <c:idx val="0"/>
          <c:order val="0"/>
          <c:tx>
            <c:strRef>
              <c:f>Analysis!$J$13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Analysis!$I$14:$I$28</c:f>
              <c:strCache>
                <c:ptCount val="14"/>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strCache>
            </c:strRef>
          </c:cat>
          <c:val>
            <c:numRef>
              <c:f>Analysis!$J$14:$J$28</c:f>
              <c:numCache>
                <c:formatCode>General</c:formatCode>
                <c:ptCount val="14"/>
                <c:pt idx="0">
                  <c:v>772727.38500000047</c:v>
                </c:pt>
                <c:pt idx="1">
                  <c:v>1203212.2500000002</c:v>
                </c:pt>
                <c:pt idx="2">
                  <c:v>1355998.7099999997</c:v>
                </c:pt>
                <c:pt idx="3">
                  <c:v>1241013.9150000003</c:v>
                </c:pt>
                <c:pt idx="4">
                  <c:v>972532.36500000022</c:v>
                </c:pt>
                <c:pt idx="5">
                  <c:v>1274986.1249999998</c:v>
                </c:pt>
                <c:pt idx="6">
                  <c:v>1204352.1899999997</c:v>
                </c:pt>
                <c:pt idx="7">
                  <c:v>1640359.14</c:v>
                </c:pt>
                <c:pt idx="8">
                  <c:v>1265966.1300000006</c:v>
                </c:pt>
                <c:pt idx="9">
                  <c:v>1448224.6049999997</c:v>
                </c:pt>
                <c:pt idx="10">
                  <c:v>1240295.8499999992</c:v>
                </c:pt>
                <c:pt idx="11">
                  <c:v>1565461.8449999993</c:v>
                </c:pt>
                <c:pt idx="12">
                  <c:v>1304986.4549999991</c:v>
                </c:pt>
                <c:pt idx="13">
                  <c:v>721276.00499999989</c:v>
                </c:pt>
              </c:numCache>
            </c:numRef>
          </c:val>
          <c:smooth val="0"/>
          <c:extLst>
            <c:ext xmlns:c16="http://schemas.microsoft.com/office/drawing/2014/chart" uri="{C3380CC4-5D6E-409C-BE32-E72D297353CC}">
              <c16:uniqueId val="{00000000-C8AF-4347-9759-2C5BA666E4B5}"/>
            </c:ext>
          </c:extLst>
        </c:ser>
        <c:dLbls>
          <c:showLegendKey val="0"/>
          <c:showVal val="0"/>
          <c:showCatName val="0"/>
          <c:showSerName val="0"/>
          <c:showPercent val="0"/>
          <c:showBubbleSize val="0"/>
        </c:dLbls>
        <c:marker val="1"/>
        <c:smooth val="0"/>
        <c:axId val="696784384"/>
        <c:axId val="696786096"/>
      </c:lineChart>
      <c:catAx>
        <c:axId val="69678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86096"/>
        <c:crosses val="autoZero"/>
        <c:auto val="1"/>
        <c:lblAlgn val="ctr"/>
        <c:lblOffset val="100"/>
        <c:noMultiLvlLbl val="0"/>
      </c:catAx>
      <c:valAx>
        <c:axId val="69678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8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Analysis!$B$56</c:f>
              <c:strCache>
                <c:ptCount val="1"/>
                <c:pt idx="0">
                  <c:v>Total</c:v>
                </c:pt>
              </c:strCache>
            </c:strRef>
          </c:tx>
          <c:spPr>
            <a:solidFill>
              <a:schemeClr val="accent1"/>
            </a:solidFill>
            <a:ln>
              <a:noFill/>
            </a:ln>
            <a:effectLst/>
          </c:spPr>
          <c:invertIfNegative val="0"/>
          <c:cat>
            <c:strRef>
              <c:f>Analysis!$A$57:$A$67</c:f>
              <c:strCache>
                <c:ptCount val="10"/>
                <c:pt idx="0">
                  <c:v>TURTLE NECK</c:v>
                </c:pt>
                <c:pt idx="1">
                  <c:v>SNEAKERS</c:v>
                </c:pt>
                <c:pt idx="2">
                  <c:v>BADMINTON RACKET</c:v>
                </c:pt>
                <c:pt idx="3">
                  <c:v>MONOPOLY</c:v>
                </c:pt>
                <c:pt idx="4">
                  <c:v>TENNIS BAT</c:v>
                </c:pt>
                <c:pt idx="5">
                  <c:v>GYM GLOVES</c:v>
                </c:pt>
                <c:pt idx="6">
                  <c:v>GOLD RINGS</c:v>
                </c:pt>
                <c:pt idx="7">
                  <c:v>KIDS GAMES</c:v>
                </c:pt>
                <c:pt idx="8">
                  <c:v>YOGA MAT</c:v>
                </c:pt>
                <c:pt idx="9">
                  <c:v>GOLD BRACELETS</c:v>
                </c:pt>
              </c:strCache>
            </c:strRef>
          </c:cat>
          <c:val>
            <c:numRef>
              <c:f>Analysis!$B$57:$B$67</c:f>
              <c:numCache>
                <c:formatCode>_("$"* #,##0_);_("$"* \(#,##0\);_("$"* "-"??_);_(@_)</c:formatCode>
                <c:ptCount val="10"/>
                <c:pt idx="0">
                  <c:v>666102.79500000016</c:v>
                </c:pt>
                <c:pt idx="1">
                  <c:v>666560.64000000048</c:v>
                </c:pt>
                <c:pt idx="2">
                  <c:v>670747.11000000022</c:v>
                </c:pt>
                <c:pt idx="3">
                  <c:v>684575.0850000002</c:v>
                </c:pt>
                <c:pt idx="4">
                  <c:v>695271.34500000009</c:v>
                </c:pt>
                <c:pt idx="5">
                  <c:v>705160.36499999999</c:v>
                </c:pt>
                <c:pt idx="6">
                  <c:v>726596.2200000002</c:v>
                </c:pt>
                <c:pt idx="7">
                  <c:v>727900.09499999997</c:v>
                </c:pt>
                <c:pt idx="8">
                  <c:v>769325.07000000007</c:v>
                </c:pt>
                <c:pt idx="9">
                  <c:v>783078.94500000007</c:v>
                </c:pt>
              </c:numCache>
            </c:numRef>
          </c:val>
          <c:extLst>
            <c:ext xmlns:c16="http://schemas.microsoft.com/office/drawing/2014/chart" uri="{C3380CC4-5D6E-409C-BE32-E72D297353CC}">
              <c16:uniqueId val="{00000000-B095-154C-BA75-01668D9B377F}"/>
            </c:ext>
          </c:extLst>
        </c:ser>
        <c:dLbls>
          <c:showLegendKey val="0"/>
          <c:showVal val="0"/>
          <c:showCatName val="0"/>
          <c:showSerName val="0"/>
          <c:showPercent val="0"/>
          <c:showBubbleSize val="0"/>
        </c:dLbls>
        <c:gapWidth val="219"/>
        <c:axId val="694918544"/>
        <c:axId val="694890944"/>
      </c:barChart>
      <c:catAx>
        <c:axId val="69491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890944"/>
        <c:crosses val="autoZero"/>
        <c:auto val="1"/>
        <c:lblAlgn val="ctr"/>
        <c:lblOffset val="100"/>
        <c:noMultiLvlLbl val="0"/>
      </c:catAx>
      <c:valAx>
        <c:axId val="69489094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91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Analysis!$B$77</c:f>
              <c:strCache>
                <c:ptCount val="1"/>
                <c:pt idx="0">
                  <c:v>Total</c:v>
                </c:pt>
              </c:strCache>
            </c:strRef>
          </c:tx>
          <c:spPr>
            <a:solidFill>
              <a:schemeClr val="accent1"/>
            </a:solidFill>
            <a:ln>
              <a:noFill/>
            </a:ln>
            <a:effectLst/>
          </c:spPr>
          <c:invertIfNegative val="0"/>
          <c:cat>
            <c:strRef>
              <c:f>Analysis!$A$78:$A$84</c:f>
              <c:strCache>
                <c:ptCount val="6"/>
                <c:pt idx="0">
                  <c:v>Accessories</c:v>
                </c:pt>
                <c:pt idx="1">
                  <c:v>Games</c:v>
                </c:pt>
                <c:pt idx="2">
                  <c:v>Gym</c:v>
                </c:pt>
                <c:pt idx="3">
                  <c:v>Sports</c:v>
                </c:pt>
                <c:pt idx="4">
                  <c:v>Clothing</c:v>
                </c:pt>
                <c:pt idx="5">
                  <c:v>Electronics</c:v>
                </c:pt>
              </c:strCache>
            </c:strRef>
          </c:cat>
          <c:val>
            <c:numRef>
              <c:f>Analysis!$B$78:$B$84</c:f>
              <c:numCache>
                <c:formatCode>_("$"* #,##0_);_("$"* \(#,##0\);_("$"* "-"??_);_(@_)</c:formatCode>
                <c:ptCount val="6"/>
                <c:pt idx="0">
                  <c:v>4057251.7500000019</c:v>
                </c:pt>
                <c:pt idx="1">
                  <c:v>3072474.5699999994</c:v>
                </c:pt>
                <c:pt idx="2">
                  <c:v>2861120.13</c:v>
                </c:pt>
                <c:pt idx="3">
                  <c:v>2559294.4650000008</c:v>
                </c:pt>
                <c:pt idx="4">
                  <c:v>2448310.1549999993</c:v>
                </c:pt>
                <c:pt idx="5">
                  <c:v>2212941.8999999994</c:v>
                </c:pt>
              </c:numCache>
            </c:numRef>
          </c:val>
          <c:extLst>
            <c:ext xmlns:c16="http://schemas.microsoft.com/office/drawing/2014/chart" uri="{C3380CC4-5D6E-409C-BE32-E72D297353CC}">
              <c16:uniqueId val="{00000000-4980-9E40-9CAF-B86A93CD36A4}"/>
            </c:ext>
          </c:extLst>
        </c:ser>
        <c:dLbls>
          <c:showLegendKey val="0"/>
          <c:showVal val="0"/>
          <c:showCatName val="0"/>
          <c:showSerName val="0"/>
          <c:showPercent val="0"/>
          <c:showBubbleSize val="0"/>
        </c:dLbls>
        <c:gapWidth val="219"/>
        <c:overlap val="-27"/>
        <c:axId val="694835312"/>
        <c:axId val="2076276719"/>
      </c:barChart>
      <c:catAx>
        <c:axId val="69483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276719"/>
        <c:crosses val="autoZero"/>
        <c:auto val="1"/>
        <c:lblAlgn val="ctr"/>
        <c:lblOffset val="100"/>
        <c:noMultiLvlLbl val="0"/>
      </c:catAx>
      <c:valAx>
        <c:axId val="20762767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83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 By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Analysis!$A$98:$A$103</c:f>
              <c:strCache>
                <c:ptCount val="5"/>
                <c:pt idx="0">
                  <c:v>KIDS GAMES</c:v>
                </c:pt>
                <c:pt idx="1">
                  <c:v>BADMINTON RACKET</c:v>
                </c:pt>
                <c:pt idx="2">
                  <c:v>TURTLE NECK</c:v>
                </c:pt>
                <c:pt idx="3">
                  <c:v>IRON</c:v>
                </c:pt>
                <c:pt idx="4">
                  <c:v>GOLD BRACELETS</c:v>
                </c:pt>
              </c:strCache>
            </c:strRef>
          </c:cat>
          <c:val>
            <c:numRef>
              <c:f>Analysis!$B$98:$B$103</c:f>
              <c:numCache>
                <c:formatCode>General</c:formatCode>
                <c:ptCount val="5"/>
                <c:pt idx="0">
                  <c:v>433</c:v>
                </c:pt>
                <c:pt idx="1">
                  <c:v>454</c:v>
                </c:pt>
                <c:pt idx="2">
                  <c:v>454</c:v>
                </c:pt>
                <c:pt idx="3">
                  <c:v>456</c:v>
                </c:pt>
                <c:pt idx="4">
                  <c:v>480</c:v>
                </c:pt>
              </c:numCache>
            </c:numRef>
          </c:val>
          <c:extLst>
            <c:ext xmlns:c16="http://schemas.microsoft.com/office/drawing/2014/chart" uri="{C3380CC4-5D6E-409C-BE32-E72D297353CC}">
              <c16:uniqueId val="{00000000-0393-4A4C-B79E-D03F55D855A5}"/>
            </c:ext>
          </c:extLst>
        </c:ser>
        <c:dLbls>
          <c:dLblPos val="outEnd"/>
          <c:showLegendKey val="0"/>
          <c:showVal val="1"/>
          <c:showCatName val="0"/>
          <c:showSerName val="0"/>
          <c:showPercent val="0"/>
          <c:showBubbleSize val="0"/>
        </c:dLbls>
        <c:gapWidth val="219"/>
        <c:axId val="2076615903"/>
        <c:axId val="2076617615"/>
      </c:barChart>
      <c:catAx>
        <c:axId val="207661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17615"/>
        <c:crosses val="autoZero"/>
        <c:auto val="1"/>
        <c:lblAlgn val="ctr"/>
        <c:lblOffset val="100"/>
        <c:noMultiLvlLbl val="0"/>
      </c:catAx>
      <c:valAx>
        <c:axId val="207661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1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Analysis!$B$115</c:f>
              <c:strCache>
                <c:ptCount val="1"/>
                <c:pt idx="0">
                  <c:v>Total</c:v>
                </c:pt>
              </c:strCache>
            </c:strRef>
          </c:tx>
          <c:spPr>
            <a:solidFill>
              <a:schemeClr val="accent1"/>
            </a:solidFill>
            <a:ln>
              <a:noFill/>
            </a:ln>
            <a:effectLst/>
          </c:spPr>
          <c:invertIfNegative val="0"/>
          <c:cat>
            <c:strRef>
              <c:f>Analysis!$A$116:$A$121</c:f>
              <c:strCache>
                <c:ptCount val="5"/>
                <c:pt idx="0">
                  <c:v>Chioma Adeyemi</c:v>
                </c:pt>
                <c:pt idx="1">
                  <c:v>Uche Abubakar</c:v>
                </c:pt>
                <c:pt idx="2">
                  <c:v>Ngozi Ojo</c:v>
                </c:pt>
                <c:pt idx="3">
                  <c:v>Ngozi Danladi</c:v>
                </c:pt>
                <c:pt idx="4">
                  <c:v>Blessing Eze</c:v>
                </c:pt>
              </c:strCache>
            </c:strRef>
          </c:cat>
          <c:val>
            <c:numRef>
              <c:f>Analysis!$B$116:$B$121</c:f>
              <c:numCache>
                <c:formatCode>_("$"* #,##0_);_("$"* \(#,##0\);_("$"* "-"??_);_(@_)</c:formatCode>
                <c:ptCount val="5"/>
                <c:pt idx="0">
                  <c:v>453597.18</c:v>
                </c:pt>
                <c:pt idx="1">
                  <c:v>446403.08999999991</c:v>
                </c:pt>
                <c:pt idx="2">
                  <c:v>399352.75500000006</c:v>
                </c:pt>
                <c:pt idx="3">
                  <c:v>394396.69500000012</c:v>
                </c:pt>
                <c:pt idx="4">
                  <c:v>366870.20999999996</c:v>
                </c:pt>
              </c:numCache>
            </c:numRef>
          </c:val>
          <c:extLst>
            <c:ext xmlns:c16="http://schemas.microsoft.com/office/drawing/2014/chart" uri="{C3380CC4-5D6E-409C-BE32-E72D297353CC}">
              <c16:uniqueId val="{00000000-FFDE-7F48-B2CE-6323DC673571}"/>
            </c:ext>
          </c:extLst>
        </c:ser>
        <c:dLbls>
          <c:showLegendKey val="0"/>
          <c:showVal val="0"/>
          <c:showCatName val="0"/>
          <c:showSerName val="0"/>
          <c:showPercent val="0"/>
          <c:showBubbleSize val="0"/>
        </c:dLbls>
        <c:gapWidth val="219"/>
        <c:overlap val="-27"/>
        <c:axId val="448449696"/>
        <c:axId val="832386591"/>
      </c:barChart>
      <c:catAx>
        <c:axId val="44844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86591"/>
        <c:crosses val="autoZero"/>
        <c:auto val="1"/>
        <c:lblAlgn val="ctr"/>
        <c:lblOffset val="100"/>
        <c:noMultiLvlLbl val="0"/>
      </c:catAx>
      <c:valAx>
        <c:axId val="83238659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44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strRef>
              <c:f>Analysis!$K$116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443-AA4C-B5C6-C66578AC0FCF}"/>
              </c:ext>
            </c:extLst>
          </c:dPt>
          <c:dPt>
            <c:idx val="1"/>
            <c:bubble3D val="0"/>
            <c:spPr>
              <a:solidFill>
                <a:schemeClr val="accent2"/>
              </a:solidFill>
              <a:ln>
                <a:noFill/>
              </a:ln>
              <a:effectLst/>
            </c:spPr>
            <c:extLst>
              <c:ext xmlns:c16="http://schemas.microsoft.com/office/drawing/2014/chart" uri="{C3380CC4-5D6E-409C-BE32-E72D297353CC}">
                <c16:uniqueId val="{00000003-9443-AA4C-B5C6-C66578AC0FCF}"/>
              </c:ext>
            </c:extLst>
          </c:dPt>
          <c:cat>
            <c:strRef>
              <c:f>Analysis!$J$117:$J$119</c:f>
              <c:strCache>
                <c:ptCount val="2"/>
                <c:pt idx="0">
                  <c:v>Female</c:v>
                </c:pt>
                <c:pt idx="1">
                  <c:v>Male</c:v>
                </c:pt>
              </c:strCache>
            </c:strRef>
          </c:cat>
          <c:val>
            <c:numRef>
              <c:f>Analysis!$K$117:$K$119</c:f>
              <c:numCache>
                <c:formatCode>_("$"* #,##0_);_("$"* \(#,##0\);_("$"* "-"??_);_(@_)</c:formatCode>
                <c:ptCount val="2"/>
                <c:pt idx="0">
                  <c:v>9254232.6149999853</c:v>
                </c:pt>
                <c:pt idx="1">
                  <c:v>7957160.3550000023</c:v>
                </c:pt>
              </c:numCache>
            </c:numRef>
          </c:val>
          <c:extLst>
            <c:ext xmlns:c16="http://schemas.microsoft.com/office/drawing/2014/chart" uri="{C3380CC4-5D6E-409C-BE32-E72D297353CC}">
              <c16:uniqueId val="{00000000-FB25-374D-A31C-35039D161BF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[Salient_data.xlsx]Sheet1!PivotTable17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Age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42-CF49-B8B6-A80A5B29B1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42-CF49-B8B6-A80A5B29B1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Older</c:v>
                </c:pt>
                <c:pt idx="1">
                  <c:v>young</c:v>
                </c:pt>
              </c:strCache>
            </c:strRef>
          </c:cat>
          <c:val>
            <c:numRef>
              <c:f>Sheet1!$B$4:$B$6</c:f>
              <c:numCache>
                <c:formatCode>_("$"* #,##0_);_("$"* \(#,##0\);_("$"* "-"??_);_(@_)</c:formatCode>
                <c:ptCount val="2"/>
                <c:pt idx="0">
                  <c:v>5966911.844999996</c:v>
                </c:pt>
                <c:pt idx="1">
                  <c:v>11244481.125</c:v>
                </c:pt>
              </c:numCache>
            </c:numRef>
          </c:val>
          <c:extLst>
            <c:ext xmlns:c16="http://schemas.microsoft.com/office/drawing/2014/chart" uri="{C3380CC4-5D6E-409C-BE32-E72D297353CC}">
              <c16:uniqueId val="{00000000-7071-F742-A2AE-64BF351B055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[Salient_data.xlsx]Analysis!PivotTable8</c:name>
    <c:fmtId val="5"/>
  </c:pivotSource>
  <c:chart>
    <c:title>
      <c:tx>
        <c:rich>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r>
              <a:rPr lang="en-US" sz="2400" b="0">
                <a:solidFill>
                  <a:schemeClr val="bg1"/>
                </a:solidFill>
              </a:rPr>
              <a:t>Profit</a:t>
            </a:r>
            <a:r>
              <a:rPr lang="en-US" sz="2400" b="0" baseline="0">
                <a:solidFill>
                  <a:schemeClr val="bg1"/>
                </a:solidFill>
              </a:rPr>
              <a:t> By Weeks</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4"/>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5"/>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6"/>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7"/>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8"/>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9"/>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10"/>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11"/>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12"/>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13"/>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14"/>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
        <c:idx val="15"/>
        <c:spPr>
          <a:ln w="28575" cap="rnd">
            <a:solidFill>
              <a:schemeClr val="accent4">
                <a:lumMod val="60000"/>
                <a:lumOff val="40000"/>
              </a:schemeClr>
            </a:solidFill>
            <a:round/>
          </a:ln>
          <a:effectLst/>
        </c:spPr>
        <c:marker>
          <c:symbol val="circle"/>
          <c:size val="5"/>
          <c:spPr>
            <a:solidFill>
              <a:srgbClr val="FFFF00"/>
            </a:solidFill>
            <a:ln w="9525">
              <a:solidFill>
                <a:schemeClr val="accent1"/>
              </a:solidFill>
            </a:ln>
            <a:effectLst/>
          </c:spPr>
        </c:marker>
      </c:pivotFmt>
    </c:pivotFmts>
    <c:plotArea>
      <c:layout>
        <c:manualLayout>
          <c:layoutTarget val="inner"/>
          <c:xMode val="edge"/>
          <c:yMode val="edge"/>
          <c:x val="0.12980314960629921"/>
          <c:y val="0.17171296296296298"/>
          <c:w val="0.68629352580927383"/>
          <c:h val="0.72125801983085447"/>
        </c:manualLayout>
      </c:layout>
      <c:lineChart>
        <c:grouping val="standard"/>
        <c:varyColors val="0"/>
        <c:ser>
          <c:idx val="0"/>
          <c:order val="0"/>
          <c:tx>
            <c:strRef>
              <c:f>Analysis!$J$13</c:f>
              <c:strCache>
                <c:ptCount val="1"/>
                <c:pt idx="0">
                  <c:v>Total</c:v>
                </c:pt>
              </c:strCache>
            </c:strRef>
          </c:tx>
          <c:spPr>
            <a:ln w="28575" cap="rnd">
              <a:solidFill>
                <a:schemeClr val="accent1"/>
              </a:solidFill>
              <a:round/>
            </a:ln>
            <a:effectLst/>
          </c:spPr>
          <c:marker>
            <c:symbol val="circle"/>
            <c:size val="5"/>
            <c:spPr>
              <a:solidFill>
                <a:srgbClr val="FFFF00"/>
              </a:solidFill>
              <a:ln w="9525">
                <a:solidFill>
                  <a:schemeClr val="accent1"/>
                </a:solidFill>
              </a:ln>
              <a:effectLst/>
            </c:spPr>
          </c:marker>
          <c:dPt>
            <c:idx val="1"/>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1-D324-3149-939B-5D63D12E09EC}"/>
              </c:ext>
            </c:extLst>
          </c:dPt>
          <c:dPt>
            <c:idx val="2"/>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2-D324-3149-939B-5D63D12E09EC}"/>
              </c:ext>
            </c:extLst>
          </c:dPt>
          <c:dPt>
            <c:idx val="3"/>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3-D324-3149-939B-5D63D12E09EC}"/>
              </c:ext>
            </c:extLst>
          </c:dPt>
          <c:dPt>
            <c:idx val="4"/>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4-D324-3149-939B-5D63D12E09EC}"/>
              </c:ext>
            </c:extLst>
          </c:dPt>
          <c:dPt>
            <c:idx val="5"/>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0-D324-3149-939B-5D63D12E09EC}"/>
              </c:ext>
            </c:extLst>
          </c:dPt>
          <c:dPt>
            <c:idx val="6"/>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5-D324-3149-939B-5D63D12E09EC}"/>
              </c:ext>
            </c:extLst>
          </c:dPt>
          <c:dPt>
            <c:idx val="7"/>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6-D324-3149-939B-5D63D12E09EC}"/>
              </c:ext>
            </c:extLst>
          </c:dPt>
          <c:dPt>
            <c:idx val="8"/>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7-D324-3149-939B-5D63D12E09EC}"/>
              </c:ext>
            </c:extLst>
          </c:dPt>
          <c:dPt>
            <c:idx val="9"/>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8-D324-3149-939B-5D63D12E09EC}"/>
              </c:ext>
            </c:extLst>
          </c:dPt>
          <c:dPt>
            <c:idx val="10"/>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9-D324-3149-939B-5D63D12E09EC}"/>
              </c:ext>
            </c:extLst>
          </c:dPt>
          <c:dPt>
            <c:idx val="11"/>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A-D324-3149-939B-5D63D12E09EC}"/>
              </c:ext>
            </c:extLst>
          </c:dPt>
          <c:dPt>
            <c:idx val="12"/>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B-D324-3149-939B-5D63D12E09EC}"/>
              </c:ext>
            </c:extLst>
          </c:dPt>
          <c:dPt>
            <c:idx val="13"/>
            <c:marker>
              <c:symbol val="circle"/>
              <c:size val="5"/>
              <c:spPr>
                <a:solidFill>
                  <a:srgbClr val="FFFF00"/>
                </a:solidFill>
                <a:ln w="9525">
                  <a:solidFill>
                    <a:schemeClr val="accent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C-D324-3149-939B-5D63D12E09EC}"/>
              </c:ext>
            </c:extLst>
          </c:dPt>
          <c:cat>
            <c:strRef>
              <c:f>Analysis!$I$14:$I$28</c:f>
              <c:strCache>
                <c:ptCount val="14"/>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strCache>
            </c:strRef>
          </c:cat>
          <c:val>
            <c:numRef>
              <c:f>Analysis!$J$14:$J$28</c:f>
              <c:numCache>
                <c:formatCode>General</c:formatCode>
                <c:ptCount val="14"/>
                <c:pt idx="0">
                  <c:v>772727.38500000047</c:v>
                </c:pt>
                <c:pt idx="1">
                  <c:v>1203212.2500000002</c:v>
                </c:pt>
                <c:pt idx="2">
                  <c:v>1355998.7099999997</c:v>
                </c:pt>
                <c:pt idx="3">
                  <c:v>1241013.9150000003</c:v>
                </c:pt>
                <c:pt idx="4">
                  <c:v>972532.36500000022</c:v>
                </c:pt>
                <c:pt idx="5">
                  <c:v>1274986.1249999998</c:v>
                </c:pt>
                <c:pt idx="6">
                  <c:v>1204352.1899999997</c:v>
                </c:pt>
                <c:pt idx="7">
                  <c:v>1640359.14</c:v>
                </c:pt>
                <c:pt idx="8">
                  <c:v>1265966.1300000006</c:v>
                </c:pt>
                <c:pt idx="9">
                  <c:v>1448224.6049999997</c:v>
                </c:pt>
                <c:pt idx="10">
                  <c:v>1240295.8499999992</c:v>
                </c:pt>
                <c:pt idx="11">
                  <c:v>1565461.8449999993</c:v>
                </c:pt>
                <c:pt idx="12">
                  <c:v>1304986.4549999991</c:v>
                </c:pt>
                <c:pt idx="13">
                  <c:v>721276.00499999989</c:v>
                </c:pt>
              </c:numCache>
            </c:numRef>
          </c:val>
          <c:smooth val="0"/>
          <c:extLst>
            <c:ext xmlns:c16="http://schemas.microsoft.com/office/drawing/2014/chart" uri="{C3380CC4-5D6E-409C-BE32-E72D297353CC}">
              <c16:uniqueId val="{00000000-D17B-9342-AA74-49948698E594}"/>
            </c:ext>
          </c:extLst>
        </c:ser>
        <c:dLbls>
          <c:showLegendKey val="0"/>
          <c:showVal val="0"/>
          <c:showCatName val="0"/>
          <c:showSerName val="0"/>
          <c:showPercent val="0"/>
          <c:showBubbleSize val="0"/>
        </c:dLbls>
        <c:marker val="1"/>
        <c:smooth val="0"/>
        <c:axId val="696784384"/>
        <c:axId val="696786096"/>
      </c:lineChart>
      <c:catAx>
        <c:axId val="696784384"/>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96786096"/>
        <c:crosses val="autoZero"/>
        <c:auto val="1"/>
        <c:lblAlgn val="ctr"/>
        <c:lblOffset val="100"/>
        <c:noMultiLvlLbl val="0"/>
      </c:catAx>
      <c:valAx>
        <c:axId val="696786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9678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[Salient_data.xlsx]Analysis!PivotTable11</c:name>
    <c:fmtId val="2"/>
  </c:pivotSource>
  <c:chart>
    <c:title>
      <c:tx>
        <c:rich>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r>
              <a:rPr lang="en-US" sz="2400" b="0">
                <a:solidFill>
                  <a:schemeClr val="bg1"/>
                </a:solidFill>
              </a:rPr>
              <a:t>Profit</a:t>
            </a:r>
            <a:r>
              <a:rPr lang="en-US" sz="2400" b="0" baseline="0">
                <a:solidFill>
                  <a:schemeClr val="bg1"/>
                </a:solidFill>
              </a:rPr>
              <a:t> By Product Category</a:t>
            </a:r>
            <a:endParaRPr lang="en-US" sz="2400" b="0">
              <a:solidFill>
                <a:schemeClr val="bg1"/>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Analysis!$B$77</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Analysis!$A$78:$A$84</c:f>
              <c:strCache>
                <c:ptCount val="6"/>
                <c:pt idx="0">
                  <c:v>Accessories</c:v>
                </c:pt>
                <c:pt idx="1">
                  <c:v>Games</c:v>
                </c:pt>
                <c:pt idx="2">
                  <c:v>Gym</c:v>
                </c:pt>
                <c:pt idx="3">
                  <c:v>Sports</c:v>
                </c:pt>
                <c:pt idx="4">
                  <c:v>Clothing</c:v>
                </c:pt>
                <c:pt idx="5">
                  <c:v>Electronics</c:v>
                </c:pt>
              </c:strCache>
            </c:strRef>
          </c:cat>
          <c:val>
            <c:numRef>
              <c:f>Analysis!$B$78:$B$84</c:f>
              <c:numCache>
                <c:formatCode>_("$"* #,##0_);_("$"* \(#,##0\);_("$"* "-"??_);_(@_)</c:formatCode>
                <c:ptCount val="6"/>
                <c:pt idx="0">
                  <c:v>4057251.7500000019</c:v>
                </c:pt>
                <c:pt idx="1">
                  <c:v>3072474.5699999994</c:v>
                </c:pt>
                <c:pt idx="2">
                  <c:v>2861120.13</c:v>
                </c:pt>
                <c:pt idx="3">
                  <c:v>2559294.4650000008</c:v>
                </c:pt>
                <c:pt idx="4">
                  <c:v>2448310.1549999993</c:v>
                </c:pt>
                <c:pt idx="5">
                  <c:v>2212941.8999999994</c:v>
                </c:pt>
              </c:numCache>
            </c:numRef>
          </c:val>
          <c:extLst>
            <c:ext xmlns:c16="http://schemas.microsoft.com/office/drawing/2014/chart" uri="{C3380CC4-5D6E-409C-BE32-E72D297353CC}">
              <c16:uniqueId val="{00000000-730D-3B4D-AC8A-92A4EEBA3A2E}"/>
            </c:ext>
          </c:extLst>
        </c:ser>
        <c:dLbls>
          <c:showLegendKey val="0"/>
          <c:showVal val="0"/>
          <c:showCatName val="0"/>
          <c:showSerName val="0"/>
          <c:showPercent val="0"/>
          <c:showBubbleSize val="0"/>
        </c:dLbls>
        <c:gapWidth val="90"/>
        <c:overlap val="-27"/>
        <c:axId val="694835312"/>
        <c:axId val="2076276719"/>
      </c:barChart>
      <c:catAx>
        <c:axId val="69483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076276719"/>
        <c:crosses val="autoZero"/>
        <c:auto val="1"/>
        <c:lblAlgn val="ctr"/>
        <c:lblOffset val="100"/>
        <c:noMultiLvlLbl val="0"/>
      </c:catAx>
      <c:valAx>
        <c:axId val="2076276719"/>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9483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[Salient_data.xlsx]Analysis!PivotTable12</c:name>
    <c:fmtId val="6"/>
  </c:pivotSource>
  <c:chart>
    <c:title>
      <c:tx>
        <c:rich>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r>
              <a:rPr lang="en-US" sz="2400">
                <a:solidFill>
                  <a:schemeClr val="bg1"/>
                </a:solidFill>
              </a:rPr>
              <a:t>Top</a:t>
            </a:r>
            <a:r>
              <a:rPr lang="en-US" sz="2400" baseline="0">
                <a:solidFill>
                  <a:schemeClr val="bg1"/>
                </a:solidFill>
              </a:rPr>
              <a:t> Product By Quantity Sold</a:t>
            </a:r>
            <a:endParaRPr lang="en-US" sz="2400">
              <a:solidFill>
                <a:schemeClr val="bg1"/>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outerShdw sx="1000" sy="1000" algn="ctr" rotWithShape="0">
              <a:srgbClr val="000000"/>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Analysis!$B$97</c:f>
              <c:strCache>
                <c:ptCount val="1"/>
                <c:pt idx="0">
                  <c:v>Total</c:v>
                </c:pt>
              </c:strCache>
            </c:strRef>
          </c:tx>
          <c:spPr>
            <a:solidFill>
              <a:schemeClr val="accent4">
                <a:lumMod val="60000"/>
                <a:lumOff val="40000"/>
              </a:schemeClr>
            </a:solidFill>
            <a:ln>
              <a:gradFill>
                <a:gsLst>
                  <a:gs pos="4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a:schemeClr val="accent1"/>
              </a:glow>
              <a:outerShdw sx="1000" sy="1000" algn="ctr" rotWithShape="0">
                <a:srgbClr val="000000"/>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Analysis!$A$98:$A$103</c:f>
              <c:strCache>
                <c:ptCount val="5"/>
                <c:pt idx="0">
                  <c:v>KIDS GAMES</c:v>
                </c:pt>
                <c:pt idx="1">
                  <c:v>BADMINTON RACKET</c:v>
                </c:pt>
                <c:pt idx="2">
                  <c:v>TURTLE NECK</c:v>
                </c:pt>
                <c:pt idx="3">
                  <c:v>IRON</c:v>
                </c:pt>
                <c:pt idx="4">
                  <c:v>GOLD BRACELETS</c:v>
                </c:pt>
              </c:strCache>
            </c:strRef>
          </c:cat>
          <c:val>
            <c:numRef>
              <c:f>Analysis!$B$98:$B$103</c:f>
              <c:numCache>
                <c:formatCode>General</c:formatCode>
                <c:ptCount val="5"/>
                <c:pt idx="0">
                  <c:v>433</c:v>
                </c:pt>
                <c:pt idx="1">
                  <c:v>454</c:v>
                </c:pt>
                <c:pt idx="2">
                  <c:v>454</c:v>
                </c:pt>
                <c:pt idx="3">
                  <c:v>456</c:v>
                </c:pt>
                <c:pt idx="4">
                  <c:v>480</c:v>
                </c:pt>
              </c:numCache>
            </c:numRef>
          </c:val>
          <c:extLst>
            <c:ext xmlns:c16="http://schemas.microsoft.com/office/drawing/2014/chart" uri="{C3380CC4-5D6E-409C-BE32-E72D297353CC}">
              <c16:uniqueId val="{00000000-FB68-7F46-895C-9A2262F8F8DF}"/>
            </c:ext>
          </c:extLst>
        </c:ser>
        <c:dLbls>
          <c:dLblPos val="outEnd"/>
          <c:showLegendKey val="0"/>
          <c:showVal val="1"/>
          <c:showCatName val="0"/>
          <c:showSerName val="0"/>
          <c:showPercent val="0"/>
          <c:showBubbleSize val="0"/>
        </c:dLbls>
        <c:gapWidth val="90"/>
        <c:overlap val="-24"/>
        <c:axId val="2076615903"/>
        <c:axId val="2076617615"/>
      </c:barChart>
      <c:catAx>
        <c:axId val="207661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076617615"/>
        <c:crosses val="autoZero"/>
        <c:auto val="1"/>
        <c:lblAlgn val="ctr"/>
        <c:lblOffset val="100"/>
        <c:noMultiLvlLbl val="0"/>
      </c:catAx>
      <c:valAx>
        <c:axId val="2076617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07661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[Salient_data.xlsx]Analysis!PivotTable13</c:name>
    <c:fmtId val="2"/>
  </c:pivotSource>
  <c:chart>
    <c:title>
      <c:tx>
        <c:rich>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r>
              <a:rPr lang="en-US" sz="2400">
                <a:solidFill>
                  <a:schemeClr val="bg1"/>
                </a:solidFill>
              </a:rPr>
              <a:t>Top</a:t>
            </a:r>
            <a:r>
              <a:rPr lang="en-US" sz="2400" baseline="0">
                <a:solidFill>
                  <a:schemeClr val="bg1"/>
                </a:solidFill>
              </a:rPr>
              <a:t> 5 Customers | Profit</a:t>
            </a:r>
            <a:endParaRPr lang="en-US" sz="2400">
              <a:solidFill>
                <a:schemeClr val="bg1"/>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Analysis!$B$115</c:f>
              <c:strCache>
                <c:ptCount val="1"/>
                <c:pt idx="0">
                  <c:v>Total</c:v>
                </c:pt>
              </c:strCache>
            </c:strRef>
          </c:tx>
          <c:spPr>
            <a:solidFill>
              <a:schemeClr val="accent4">
                <a:lumMod val="60000"/>
                <a:lumOff val="40000"/>
              </a:schemeClr>
            </a:solidFill>
            <a:ln>
              <a:noFill/>
            </a:ln>
            <a:effectLst/>
          </c:spPr>
          <c:invertIfNegative val="0"/>
          <c:cat>
            <c:strRef>
              <c:f>Analysis!$A$116:$A$121</c:f>
              <c:strCache>
                <c:ptCount val="5"/>
                <c:pt idx="0">
                  <c:v>Chioma Adeyemi</c:v>
                </c:pt>
                <c:pt idx="1">
                  <c:v>Uche Abubakar</c:v>
                </c:pt>
                <c:pt idx="2">
                  <c:v>Ngozi Ojo</c:v>
                </c:pt>
                <c:pt idx="3">
                  <c:v>Ngozi Danladi</c:v>
                </c:pt>
                <c:pt idx="4">
                  <c:v>Blessing Eze</c:v>
                </c:pt>
              </c:strCache>
            </c:strRef>
          </c:cat>
          <c:val>
            <c:numRef>
              <c:f>Analysis!$B$116:$B$121</c:f>
              <c:numCache>
                <c:formatCode>_("$"* #,##0_);_("$"* \(#,##0\);_("$"* "-"??_);_(@_)</c:formatCode>
                <c:ptCount val="5"/>
                <c:pt idx="0">
                  <c:v>453597.18</c:v>
                </c:pt>
                <c:pt idx="1">
                  <c:v>446403.08999999991</c:v>
                </c:pt>
                <c:pt idx="2">
                  <c:v>399352.75500000006</c:v>
                </c:pt>
                <c:pt idx="3">
                  <c:v>394396.69500000012</c:v>
                </c:pt>
                <c:pt idx="4">
                  <c:v>366870.20999999996</c:v>
                </c:pt>
              </c:numCache>
            </c:numRef>
          </c:val>
          <c:extLst>
            <c:ext xmlns:c16="http://schemas.microsoft.com/office/drawing/2014/chart" uri="{C3380CC4-5D6E-409C-BE32-E72D297353CC}">
              <c16:uniqueId val="{00000000-4828-CF49-B06D-8BB48776045C}"/>
            </c:ext>
          </c:extLst>
        </c:ser>
        <c:dLbls>
          <c:showLegendKey val="0"/>
          <c:showVal val="0"/>
          <c:showCatName val="0"/>
          <c:showSerName val="0"/>
          <c:showPercent val="0"/>
          <c:showBubbleSize val="0"/>
        </c:dLbls>
        <c:gapWidth val="127"/>
        <c:overlap val="-27"/>
        <c:axId val="448449696"/>
        <c:axId val="832386591"/>
      </c:barChart>
      <c:catAx>
        <c:axId val="44844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832386591"/>
        <c:crosses val="autoZero"/>
        <c:auto val="1"/>
        <c:lblAlgn val="ctr"/>
        <c:lblOffset val="100"/>
        <c:noMultiLvlLbl val="0"/>
      </c:catAx>
      <c:valAx>
        <c:axId val="83238659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44844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[Salient_data.xlsx]Analysis!PivotTable10</c:name>
    <c:fmtId val="9"/>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Top</a:t>
            </a:r>
            <a:r>
              <a:rPr lang="en-US" sz="1800" baseline="0">
                <a:solidFill>
                  <a:schemeClr val="bg1"/>
                </a:solidFill>
              </a:rPr>
              <a:t> 10 Products</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18377360996005"/>
          <c:y val="0.15718100890207715"/>
          <c:w val="0.71681622639003995"/>
          <c:h val="0.8428189910979228"/>
        </c:manualLayout>
      </c:layout>
      <c:barChart>
        <c:barDir val="bar"/>
        <c:grouping val="clustered"/>
        <c:varyColors val="0"/>
        <c:ser>
          <c:idx val="0"/>
          <c:order val="0"/>
          <c:tx>
            <c:strRef>
              <c:f>Analysis!$B$56</c:f>
              <c:strCache>
                <c:ptCount val="1"/>
                <c:pt idx="0">
                  <c:v>Total</c:v>
                </c:pt>
              </c:strCache>
            </c:strRef>
          </c:tx>
          <c:spPr>
            <a:solidFill>
              <a:schemeClr val="accent4">
                <a:lumMod val="60000"/>
                <a:lumOff val="40000"/>
              </a:schemeClr>
            </a:solidFill>
            <a:ln>
              <a:noFill/>
            </a:ln>
            <a:effectLst/>
          </c:spPr>
          <c:invertIfNegative val="0"/>
          <c:cat>
            <c:strRef>
              <c:f>Analysis!$A$57:$A$67</c:f>
              <c:strCache>
                <c:ptCount val="10"/>
                <c:pt idx="0">
                  <c:v>TURTLE NECK</c:v>
                </c:pt>
                <c:pt idx="1">
                  <c:v>SNEAKERS</c:v>
                </c:pt>
                <c:pt idx="2">
                  <c:v>BADMINTON RACKET</c:v>
                </c:pt>
                <c:pt idx="3">
                  <c:v>MONOPOLY</c:v>
                </c:pt>
                <c:pt idx="4">
                  <c:v>TENNIS BAT</c:v>
                </c:pt>
                <c:pt idx="5">
                  <c:v>GYM GLOVES</c:v>
                </c:pt>
                <c:pt idx="6">
                  <c:v>GOLD RINGS</c:v>
                </c:pt>
                <c:pt idx="7">
                  <c:v>KIDS GAMES</c:v>
                </c:pt>
                <c:pt idx="8">
                  <c:v>YOGA MAT</c:v>
                </c:pt>
                <c:pt idx="9">
                  <c:v>GOLD BRACELETS</c:v>
                </c:pt>
              </c:strCache>
            </c:strRef>
          </c:cat>
          <c:val>
            <c:numRef>
              <c:f>Analysis!$B$57:$B$67</c:f>
              <c:numCache>
                <c:formatCode>_("$"* #,##0_);_("$"* \(#,##0\);_("$"* "-"??_);_(@_)</c:formatCode>
                <c:ptCount val="10"/>
                <c:pt idx="0">
                  <c:v>666102.79500000016</c:v>
                </c:pt>
                <c:pt idx="1">
                  <c:v>666560.64000000048</c:v>
                </c:pt>
                <c:pt idx="2">
                  <c:v>670747.11000000022</c:v>
                </c:pt>
                <c:pt idx="3">
                  <c:v>684575.0850000002</c:v>
                </c:pt>
                <c:pt idx="4">
                  <c:v>695271.34500000009</c:v>
                </c:pt>
                <c:pt idx="5">
                  <c:v>705160.36499999999</c:v>
                </c:pt>
                <c:pt idx="6">
                  <c:v>726596.2200000002</c:v>
                </c:pt>
                <c:pt idx="7">
                  <c:v>727900.09499999997</c:v>
                </c:pt>
                <c:pt idx="8">
                  <c:v>769325.07000000007</c:v>
                </c:pt>
                <c:pt idx="9">
                  <c:v>783078.94500000007</c:v>
                </c:pt>
              </c:numCache>
            </c:numRef>
          </c:val>
          <c:extLst>
            <c:ext xmlns:c16="http://schemas.microsoft.com/office/drawing/2014/chart" uri="{C3380CC4-5D6E-409C-BE32-E72D297353CC}">
              <c16:uniqueId val="{00000000-400F-274D-8C03-5E41A77ED4F0}"/>
            </c:ext>
          </c:extLst>
        </c:ser>
        <c:dLbls>
          <c:showLegendKey val="0"/>
          <c:showVal val="0"/>
          <c:showCatName val="0"/>
          <c:showSerName val="0"/>
          <c:showPercent val="0"/>
          <c:showBubbleSize val="0"/>
        </c:dLbls>
        <c:gapWidth val="109"/>
        <c:axId val="694918544"/>
        <c:axId val="694890944"/>
      </c:barChart>
      <c:catAx>
        <c:axId val="694918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94890944"/>
        <c:crosses val="autoZero"/>
        <c:auto val="1"/>
        <c:lblAlgn val="ctr"/>
        <c:lblOffset val="100"/>
        <c:noMultiLvlLbl val="0"/>
      </c:catAx>
      <c:valAx>
        <c:axId val="694890944"/>
        <c:scaling>
          <c:orientation val="minMax"/>
        </c:scaling>
        <c:delete val="1"/>
        <c:axPos val="b"/>
        <c:numFmt formatCode="_(&quot;$&quot;* #,##0_);_(&quot;$&quot;* \(#,##0\);_(&quot;$&quot;* &quot;-&quot;??_);_(@_)" sourceLinked="1"/>
        <c:majorTickMark val="none"/>
        <c:minorTickMark val="none"/>
        <c:tickLblPos val="nextTo"/>
        <c:crossAx val="69491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[Salient_data.xlsx]Sheet1!PivotTable17</c:name>
    <c:fmtId val="11"/>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Profit By Age Category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0921219566224301"/>
          <c:y val="0.24772450486597092"/>
          <c:w val="0.40644340173590832"/>
          <c:h val="0.6684730857141532"/>
        </c:manualLayout>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AD-0C4D-9CBE-1CC3AF0C0D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AD-0C4D-9CBE-1CC3AF0C0D01}"/>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Older</c:v>
                </c:pt>
                <c:pt idx="1">
                  <c:v>young</c:v>
                </c:pt>
              </c:strCache>
            </c:strRef>
          </c:cat>
          <c:val>
            <c:numRef>
              <c:f>Sheet1!$B$4:$B$6</c:f>
              <c:numCache>
                <c:formatCode>_("$"* #,##0_);_("$"* \(#,##0\);_("$"* "-"??_);_(@_)</c:formatCode>
                <c:ptCount val="2"/>
                <c:pt idx="0">
                  <c:v>5966911.844999996</c:v>
                </c:pt>
                <c:pt idx="1">
                  <c:v>11244481.125</c:v>
                </c:pt>
              </c:numCache>
            </c:numRef>
          </c:val>
          <c:extLst>
            <c:ext xmlns:c16="http://schemas.microsoft.com/office/drawing/2014/chart" uri="{C3380CC4-5D6E-409C-BE32-E72D297353CC}">
              <c16:uniqueId val="{00000004-E8AD-0C4D-9CBE-1CC3AF0C0D0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3.9548627223595985E-2"/>
          <c:y val="0.12244176168879803"/>
          <c:w val="0.18340440127053861"/>
          <c:h val="0.2778619378547847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[Salient_data.xlsx]Analysis!PivotTable14</c:name>
    <c:fmtId val="8"/>
  </c:pivotSource>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en-US" sz="1800">
                <a:solidFill>
                  <a:schemeClr val="bg1"/>
                </a:solidFill>
              </a:rPr>
              <a:t>Profit</a:t>
            </a:r>
            <a:r>
              <a:rPr lang="en-US" sz="1800" baseline="0">
                <a:solidFill>
                  <a:schemeClr val="bg1"/>
                </a:solidFill>
              </a:rPr>
              <a:t> By Gender</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0.26917014720985966"/>
          <c:y val="0.23059036594553969"/>
          <c:w val="0.47468081707177912"/>
          <c:h val="0.64036974807510127"/>
        </c:manualLayout>
      </c:layout>
      <c:doughnutChart>
        <c:varyColors val="1"/>
        <c:ser>
          <c:idx val="0"/>
          <c:order val="0"/>
          <c:tx>
            <c:strRef>
              <c:f>Analysis!$K$116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CFC-C747-8087-6B924DDC6415}"/>
              </c:ext>
            </c:extLst>
          </c:dPt>
          <c:dPt>
            <c:idx val="1"/>
            <c:bubble3D val="0"/>
            <c:spPr>
              <a:solidFill>
                <a:schemeClr val="accent2"/>
              </a:solidFill>
              <a:ln>
                <a:noFill/>
              </a:ln>
              <a:effectLst/>
            </c:spPr>
            <c:extLst>
              <c:ext xmlns:c16="http://schemas.microsoft.com/office/drawing/2014/chart" uri="{C3380CC4-5D6E-409C-BE32-E72D297353CC}">
                <c16:uniqueId val="{00000003-FCFC-C747-8087-6B924DDC641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Analysis!$J$117:$J$119</c:f>
              <c:strCache>
                <c:ptCount val="2"/>
                <c:pt idx="0">
                  <c:v>Female</c:v>
                </c:pt>
                <c:pt idx="1">
                  <c:v>Male</c:v>
                </c:pt>
              </c:strCache>
            </c:strRef>
          </c:cat>
          <c:val>
            <c:numRef>
              <c:f>Analysis!$K$117:$K$119</c:f>
              <c:numCache>
                <c:formatCode>_("$"* #,##0_);_("$"* \(#,##0\);_("$"* "-"??_);_(@_)</c:formatCode>
                <c:ptCount val="2"/>
                <c:pt idx="0">
                  <c:v>9254232.6149999853</c:v>
                </c:pt>
                <c:pt idx="1">
                  <c:v>7957160.3550000023</c:v>
                </c:pt>
              </c:numCache>
            </c:numRef>
          </c:val>
          <c:extLst>
            <c:ext xmlns:c16="http://schemas.microsoft.com/office/drawing/2014/chart" uri="{C3380CC4-5D6E-409C-BE32-E72D297353CC}">
              <c16:uniqueId val="{00000004-FCFC-C747-8087-6B924DDC641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4.975060547624751E-2"/>
          <c:y val="7.6514347977186745E-2"/>
          <c:w val="0.20842954924939802"/>
          <c:h val="0.1584506622045954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Profit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Profit By State</a:t>
          </a:r>
        </a:p>
      </cx:txPr>
    </cx:title>
    <cx:plotArea>
      <cx:plotAreaRegion>
        <cx:series layoutId="regionMap" uniqueId="{C6A24B5E-D4EE-9445-B001-18C4D5C4F768}">
          <cx:dataId val="0"/>
          <cx:layoutPr>
            <cx:geography cultureLanguage="en-US" cultureRegion="US" attribution="Powered by Bing">
              <cx:geoCache provider="{E9337A44-BEBE-4D9F-B70C-5C5E7DAFC167}">
                <cx:binary>7Htpc9y4suVf6fDnoRsAsfHG6xcxIKtUUkmyJMuL/IWhtmRuIAEC4AL++knZ7r5ttZ+778yLmLkR
43DYquICINeTJ1P/8XH9x0f9eO9+Wns9+H98XH95UYdg//Hzz/5j/djf+5d989EZbz6Flx9N/7P5
9Kn5+Pjzg7tfmqH6mSBMf/5Y37vwuL74z/+At1WP5tx8vA+NGa6nRxdvHv2kg//Bte9e+umjmYbw
9HgFb/rlxZuhCY8PP70O9+HRv/jpcQhNiLfRPv7y4ps7X/z08/P3/WntnzRsL0wP8GyavWQoZYKm
An3+k774SZuh+no5ybKXCMuUpxnNPv+hv619ed/D8397W583df/w4B69/+nr/396/JuT/Olq403+
RSi5edr7m9efD/vzt0L/z/949gUc/9k3f9DLc1n91SXYet8MReODaz4G/MuL28f1/pk+vrnlX9UH
fkl5KqnE+Is+8J/0kaYpyYQgX/Qhv9XHX27n+3r4+tg3O4ezvX/xF2b4/6RK3t37GnwzmOE32Xzx
k29O9y/qhYqXFGNwFCm+yF18qxdM0EvGOJWIflEc6O2Lj37xk7+3p+8r54/PfnOGX168+5//lhrK
73Xzybihuf9NSv/nGkrFS8Io5xnOvus5GGcvORZEYIq/qPC3tb9o6O/t6fsa+uOzzzSU/3tq6FTr
ZjDNf2Nko+glJvQpl3zNJNm3HiSzl5hKnjLJvqgHrv/Rg/7Ojr6vnX8++Uw3p+f/lt5z8mhc9d/q
OuQlRC4iafb9pCPTl5QCQqBI/g4S/qiav7Gh72vm9wefKebk39Np9tq45uG/MaYR+ZJljGH+NWJl
z32GvKRSpJTI9LuK+Rsb+r5ifn/wmWL2/5c85r8GcL+D2+I+3O8+o+I/YLgfX/18dsDrzx79Blx/
I4DfItLpAyBnziWA4d/R9tNLvglY7xr/0Qy++R2F/OGpx3sffnmRSP5SIk4YZoRJITPEX/y0PH6+
lJGXUmIOKI8CHBScwaXBuFD/8gKwCJIpAYwIV4gA/b/4yZvp8yUwiAygfAZQhCCZwQ5/O+SV0bGC
/Tz7/NMw9VemGYL/5QUsYb/c9bRVKrOMCZYiQiFmE8zTp+sf728AW8HN+H8QjOpuYjU/ZpVxB9fj
9YrhwR22GLstD84z8IXfBfR1A3+1oCAcZRQzJDmGg/1xwQ5ObYnt2TFlRBZ4XpqTLZvWK67leKii
x5c/Xo9954CCcpBXlqVSEvTtelnLN58RQY/C1Py+zWCBtG3xrWdzc/LjpQCXP5clqBp0DSgRCUSf
Hc3VS11NHabHrl/YfSNad2Bha6zipMKXYduyt6Jr8aUr2Xrz46W/c0qwJAbWIBHOBH6mxmXs5ogS
R4+etPR0kBYTlbBBFv1cDX3+48Uw/vNBwQJxRhjHkssnH/mjDlejfS/Whh4Xw2EhYR2a1dIi3eRz
EG2lhrS19Vm/rl7m0dWzf0+x0XWx6ibJERkyiEE/Mqo/H58jMCaOJBZcQKz8dkMtrstJVyU9yoXC
cbN+bE5Q0sE//3trYQxOg8GEwXCeGVTVpkjXMdJj6hd8OdHEP4jQrzdTS+zdj4/1JMdvnZMD9yAp
YwIxiRj59lhNsC7hZqLHuaw/eeKz3UT65C+0+T3ZQRCC9AOLQZR6pkw0t1QEoulx67w5tnKurZLc
JjneuqRRPz4RfpLO8yOlANAJTymIUD7TlCxTPG8JTo8tabq+SGdYE5eJ50o7b+/k2LF7yiM4aZOt
N7EO6Wk1l+npX2zjzxbMEYWwh55clZLnBlMSTMqSd/S4ykDO0m7AiRrLTJ7bxIOFjlnf77qOOK7i
NkVcfHZeZn1zAhHEHX68m+9pALAX0C9PmgaS5ls1dzrja99ZcN65XG8ABSxqGSZzpNZlu399KQ7k
A8MCUgt5blGrlc44MabHhoF4s6wCl030CqFectDEjxf7NrdA+KYUZUhkFDKL+LP52joYPY42OSsj
ajeVJM7eDam2d9si16t5iBAdfrwi/jYEPy0pJORGSNxgzTR9yqh/jEy22yiBCjE7Q6VrTqgcEq28
8+sNX5L1pvEl6DVl23pVy5bcNhW4VL8GcxTJYJdCNnw8bCOkv88RJNDOejAA0myqrJMNFw02fyUk
9jnF/tMlGCR+AdEUDDFDacohNX6750GuLV37lJ55jfo92uptbxqe7Cvsu0kZ1Me1yrVunSlz09rI
dxhedu1covtdbDXssexLUGTJqvCwpX14WEkHppvVG/gVGROIvMi1eFYML12lcJXR+7GW643mozug
Fh5ziKenIsJzhW9JerqQdrwLszBHWdH0zLUgQBW7Nl5VjU7cjgOB9TZsddLmdVaO+IA9g1d7Ubul
6LOad7l2TZmqampSfqKHEdaQIGnu63g1jlCFKDpTUqupsfjS1wYsxFJs76IRYTtJyi3jZ4tNzdGH
qndFdHiozzpdh4eu1eOdsAOxZz1u4g2WgFoSEpJZbbarmg84ZqAysaW869Qil/LtqA3YXuj4fdcQ
sHbaEnYfceYfPLZPGXqe2X0fO/LRbiU5zKMYbxwP/QlbxJiLpqKzgvg7M7VkDDIMjhjfJukITrpK
eU7LLsnTlYJEy6Z8GylpTso09Q/OB1kkhuDbsBGQT7aU4sb7antLZuYfbEZBTz1fsrd4df6h6ytC
FE9Dttt8idNcRpe9nWyEu5IypqdZOcBb+jbi2y2A3OiE/Pglow6QqffWc52q2NeuPVR0DVpFIcCy
ac1pVP0QN3FWPwGTpBXrVTX22TlqyXrTmcjXnUZJwgs2aHw5NiNYTZcidi94B9KMbWtDPhsZh3xG
peBn9ileJrMY/Ymn86hPyEpgM0Cwdf3OBciL3NTgfwZVsdr1m8SXddJrUCXrg8xLI8elEJFCvgld
WWqFhxRseW6T7K1HJbxWhkkWa5KuVxZLyEUhiG7dRw15WYWBkTS3abVdbEJvVY6bnt3PZmT3vJ4y
ovzgMl2wiN3rKt3IYduWShSk4vTDMM/DrdyaeKHHWRejXw1WbaKx3OMGubNGm/m00hGW8Xpd82XY
zFQgX/JbrbdmUYjLoVOCtfFSQkF97GltrOq7LMsb5tN8ZQnN47DF2y5DbDeZ2tqzDsUGkBHvarUh
P1wH6+Wg2nLqHw1z4ZOkmzllREyXGWfTkMe1Ldd86iAy5ZuGwLUg60AISbTvue6c33sW+cd1E7jw
YRjOjUeu2qNUikVlk20K3JrhZDaTuczaGS/5sPn6Q5UmTAkT7EXkNT8Zh1gecQxiPJF+4Xe26cM+
Dnb7wKvFnKW0r6JaF7p9GPTY7RgjW+7xDGqUJZvzrluGD61tRSiGufZFh5w4eQKjXol19KRwrk92
I2BANQN42feShKfAVKrBoPJm6nxyOnSjPW1d7feRTfGxrMyyq5MmuY6Z6d833UxzHYeg7NB0qh19
o0Tn7kWg4B/NlhQl6et8mh3e99bAi2RySdcaQfhPS2NU59IaF1zo1IS8GzORMuW4kJV50rxdzgHp
ygNJcWTF0MyLomUJC1GdlQWdqvpUGutz6P/UxWZisiO9md7Yjo82nwe/n1gX86FGH7Xw5n2mG6Ka
DK97n5RpMWnYR1aG/hqy0taB4rf6nNNxUbZCoFFRkfbciGy4QmGyV9oHMOqEAyK7j2XAlwlpwSW8
h4phZ2wg7ZGvJQBskq5hzCHahofKIQhIZsvwbUQbmCwKc/bWiWmtdnJaGdp1Tb0OKpgRzaoXpd5y
whJzV2K6Xul1THIRtTsEn0E+lhMrG6UJNUfj9NPb8Gr9SdcECEEQjQGYWQPRdoU6yvsWIByfN3w7
WwquP9VsPNCVtuuB4c7eWQtmmxsxG686Peg7YsYK8Fw9LQqnhhjw+drb/gNra2k/RTtT5WcRyp0W
we+Gli6PvVzGKmddwt5lvMxOXZ35gzaxqtWwVs2kNG7rX/0c7lvL0h2jTVXlZYTw8V5vyZS8bjZr
0oMktbycXdvkXDfdrl6W8dAmfNtHOdg3W1b1QmWCLm9m5vobXtlPRG/vV2A7X3WBhAPEVaFzkrlp
RydLHqpQVw9b0yyvq0mA5sDj2904d1WmaCWWTc1100U1ai/OOIMeS7Eu2va55xDH827y1XII2YqO
dDTxYvQhveHb2iTK9d2EFQcttDmAnextMszrsFtx0Berc/TV1mz61YjpdNM3csydwf4jnRO9M2FL
fzUZn4+B240oVpKGKy/TJu9qV6tl2pZM9aOGcJGVrGh7Sc/iMv9a2mR5vYSqu8bThC5cU7EP3cK7
Kne6ziBXDrhRY0yry4zG5sKtLD1LsiXjqp4rf0+axR57kWa7oWHTEXOUlIoG37sTDCFvnwCYnYsV
E1KqhpZi3dd6SG95Z+1hHtLttW3q8hzFabsONTIqm6vlDvqt47RD3tPmbG3WleXSoIQrWS6yu+Qr
WuxJVk/+AFVuct6KzbxBjSNZnnRTPyiSCNQdJjCeywUy/Cc8j/5isnY+WSERHofW97qwWV16ZTCU
FzUEt5OOlrjJLSCLJK9mMV9XZF5SNbQls2CX2t11a0iVi5qdrw2BMJqimIV8tPOwFKR3U5nrwZCL
IOLGVMxGLHdSCwoBES+PhvCp3GfJuO0rW9FTSkeySzXfDn4SzY3v8fhmwtG/lTrS3bxuXb61a6M6
wamiqK6xWrdWFKldRJPjcqsfUB8gDwUU57xM5kYXFER1NW9Qpwx6Ey5npmxeESTWN8gtyQVrQlqp
Jh3TvUxSJ9RgB7YfvWBLbkiT+ZMJbPdTqev1nZVp+LiwUjwsPPBmjyyffO41ZjpvjRZOlTI1n7aw
jU3h6i1OBxHsJ1av1ZVv+xSyHLRYz9JlrY0yZhiLem3GqKhwLu8gO79K9NLuCOJlKLIKMHu1xXVV
qDaiVmyiQR67CUWVUDG/r3k0Uy6qrX2FRCmQKu2gXw2Z1kENZE2u6yQFrWkgkOiht4tep7drPa4l
/VLBfmUfvxJYXxi0jwaAVVPVXzv7v3/8z1vTw9/PLed/fvk0GPDPTxe/TRT88C4gx586U/75TU+7
+f1dsJmvu3viH7/58Ccy9Dfm7xnd+WVA4b+4+He5UCAb/1CN/ZkLBVLzp7cNtC3+0PP7wod+fvIr
HyrES6D/oD5Ln8iGFJjP3/lQCT0KRoDQBC4c0yfS9J98KHrJU4TRU28WylcugAr5yodCUxDyM/A/
AgooSjKe/Ut8qPy2GmcACrjAwLkIgTEQrc+ptCrSRQ8tpH3guKajkQODEECsP6axp4Wm4SmZTSm+
8cAZxL7SCjVrU2iElwPEWUgDZTmJvQuZe51JuCdLdfa2kUGf1FlSqbSZMkiuKxv3E+9Dl69dzU59
Ce66n9qp3HIAjwtUb5JppmjHeDFnsSuY7dfDWNKzQXbTDFGocqrqZfUGDxDOFeStMs94+z5blrfY
65IDjvHxzRZmKHcWHffNnKAi0Ha6BmCHz6C33tRqHfyyC2Wi53xLyvGGxbE5h0ewLRwS84k1yXVT
2taD97bLwUHJc7EtcVCrT9G7zbn5CIRYvC1tTPfR+fqKZJ6PKtueTq6HzgNe4g1Uzq3ec8HmQdVL
7F9XNWN7QDE2bz1cFmjExww3b0xnmKpkmC8kjXs565AnIzJFNZsZysuGhtcdoM2r0uD0ugSKZ1WG
O4r3Jk5wYi2TrcimMlNSzHRH7Ay5NI66gD13ReoDzanJ+qf8IFS5pu+mrrMH3NTngkZygqf6VSW3
ORQkIqoLMdckp2yhatDVRs9D4uYSKgsegCLbAtTd4ZAtQ3hDPdRHyjYb3iUzcZAzY9or5wcG+mDT
+SbJIbToroG6s5jgLLuuDG/LIaKzbHFvYhdpnkU0fHBLG89wbYXqo6wLwJa7CgdW6Laqbjwd0qGA
olxfyLYfL/VQ9yBq3ddC2d7wV9Xk+VWXJmWR1GK+K11JruNo2h2r+HoeN/sI+BLwPNSBfFeOTXW1
La0/WzOtoMJP8xQq6XPNuxJQFS+LaUjKa5yG95U3Q86g+jqtuSur4xKQnq9X6BmM966q/Ae0jNOn
BoqMa95bdmyrMX3dcdoWkJ6nc+b9yPMw9yCyxfbuYiLow7LS6TKxBAD1gh6Btv0glsX4vGfDeAqk
JCC7JkWvohbYF72L8k5W9XQLmM7k7VzqHR9LPeVbP039AdGJtfuSm0FDCl6WD3W1GVTgCOzCzieA
81XXOqw20PKOAV+7awY/o+vZbDrvUI3O7VNhkK84ltezJVcLw3fQOLhDblIOAbZxAvX2kPHGAiIS
9ehOZg8WgyrC37FS3lalfURkKqNqhbY7B2MkB6bnWb6qNbVqyGSTtzUnhwpizg28oVIi9fWlH5uj
5NlyuuKhBzTCaQ1FX+UXcgGAfKtOZLm6Kp+AO+ubxE43LkQBW/L7NpnKq3kajHJjB9XcnM6Fn/m6
n1B2Emlan3bdNo/XZCOyP0wl7jOA97E9QlXfdrvGQwZVKzLswrO03InU1Kd1X+LdaMOiuEiSAlsu
31HXR6bCdhyQSA4V1EEnndSVKjlJ9qyMs8pQXPYDbRtVrbp7D/gwFn07LkfZiD0dQq9sGfGkpKcd
lGMtu65N3+0s72bFl7rP5dzRvB378azt0q0w02RPZuqhnYD76mKZ2QISaLftdtSInbIg3cWKQvJ2
qYp60scJdVXRa2+1aiojd0AZ9PvWHnlc35Ny5YVxnpyuW7ntGNx11AyZC6zTsVGMJqtToxkJKtjE
UnHa8VlCpHLjdZq59FYyWeecW1nUDNdLHu0WT8qkNCLPdNfdbW02KbqK5cgobhUEiA+6ky1A46le
FROZ2z+1UQC6zZdAU8RPU73NcFWIfc0qqpVo7HSylgDiSz5CmVpnnar5gAtD0HRa9lHnxpTuvNHT
B0gsfL8EPR+GbVzAS0uTbCrYZeF53zfhI7Q7Ur0TVPhz2pfZfq7w60pweUiTHh0bJGzuBtmeaJH0
qt7cwVuJFMzVyN0gTMzxkMwH4gZ0iqLAeZl19Slf6LqDehkdeVgQ1O1O7r1F5HyCwvm4DqLZrUTf
lHyLufCVOFksVJIKCNhPUxMnAxSUpKq3EHsXIA6KLCXj6ZjhflNt1Y0FWtMrh02emJXEnIGLXtS2
ai4btMq809CJiFuXFYw0+CyGsdwv03hc+37coW31D8y4Na8A8u1are15SAHhbhOtT92W/Sqz0J9W
zD2MWTXtpm75te8p1BXA3+2mCdINdlDfO18dpkWnRV9CkYjLm+CH9DLtyaDkNLPrhTb93iX+sort
DTBuyfVSt1cryPWsXBkBb9SXlei3/cq7DFIjFFAIKEXP92zzrqBdVg2KzVPIHV3jG9rFCNUYyPVm
nJqKn21tiNNF9KgyOwKZ0ynSrCnQYih9qnPpYiLa8UFuaFeXmd1e9w3KkveLJ2ssGiHkVgDtRHI0
d4PY1NphrelOBIzjwbLmNROOt8U2bwBlfKfp5dxhB2bFcKpI27YGqnzXP0aDV6bQtI2viCFJXdjW
be9SO63veoPWMxFafJzGwZ+MMVmADIQmIAcqtJvPEO8WCP16ABnMdTjEHm073EPElF3C72Mr2wLw
XHs2o2xKFbBc/Y3cpuasR70v0pTthMiWfSSyehjJlJz4sLArH+W4X+SI96kL7QD8JYTXbkxBQF0E
JrBGVfWWxtIWou2DchbYJJUBlX5o3EbnAm1sUouZ8KIgu22LMtSmR2envt4F4iz2isQpkwoyF9oz
D7lNyQitAWBWpkZtwDafQUExVMUm/TydojpOR113yWkyjhyAX4mmTqGUZq8wS3jIoQQfm33Hxmxn
ZLa5ok4nXnTViO48cBy4WFvUXsvajTdt1i5eZTw2ucEZO/FNue4d9JcPG67XWY3dOiOFohPApLkY
3mlocBelz/B538qeAUezxvdb2tA99+wkDeU0qmYLU1RygKp17Joy9yadD1WTLLNKGl/t0jXpL2nk
TwxSIkad95zIU9pQ9K4s6zavLCrrvJpS2e1tpMMM5hJQ3rgQ3kPw3qB34vnRZPhXKoBaj4KhXoFG
y1FpoDdXlbmu3i1haqNyEyN5CHyzOeV1/2oYvcQ5sJ/TLrD6wrLF7rOlD+fLJNgpBwIIaDToXF17
7aZu54GGPqEDd7sMlHYmJz/OhR5ofFhLWX/IAHO/IZGLY0nrgedNnMW5B1qVF2UFDY6LHrE0J1G8
D33q38USaHNeMbrXCXDFBGixU0fi5nLftvwutXReci+tOzSpgDigSXah2xgfSVJWeRgbfA/xtDlr
lgTv4kj5+3nuPBA5Dgi1fTI2tSwCAtKlCr0D+hTonAkboKP4MigTRbfraJOdZGs/7dg6z8dNzMtl
BBboxgOZqdphWfOWdUSZztb3cVzWURFjKBDSJgDzhq3bjWQOeW+AEkjLMO4SoG/3ZEbigUAFfA7N
ye1Sjpt9bRdoX+cQz9tPJmB/mw1Iv68w0hXQ4W12BuRZedYIjc6QLce9AHs9orHi1+kWlhxYZnNK
NgQLbCxRWFC7i4PAgP0RB/63nIDRC3UHobkf9gu37KTVyXC6IsDiNtPLLRCH6T5Bbhfs2L5qKuCe
2rafL1uYeD5CkJgLcEBwFjETACwQ+dLONXmdjHbX9S3fRYp7kwOJPCrTe/B1R9ujbQCj6B7BkEgW
9Me642w7CF0vu2ac+Kc5mOWB92stc6uz9WImZE33i6Nm/7mo/f/1/3fHc7+MAH6u4qFxCaMBv09l
/Kn+/27p/+Wh30p/9pJQDl/BEC9M4kgMRfzXUSgYP+QCYAnNoBEK06FPrMDXUSj49QVoi38euYa2
LgwkwYDcb6U/fwlvSyWU/kISArTCv1L6C5x+M5wAm4LlUxi24k/tWBgoeTYKIWduDDgHPkjoculF
QbcrdzCIlW9DHM+bJd2tQ/khDlCZqwmqkTdoslVOETQpGxj9uUwNbyAEzumeiRKXUDMweVXHyh4d
H/StGeJQKhj4OB3LcFtCsx+mY6bxHqUWHKBwwK288S4Z3pLAoeXVL9ATm0niHlg5AGNQV9k5jSu7
H9AIHD4029h9ajncRGAe923gJnnsVqD6utT062MGU+6iPWs8XS6BUtu53ueyWtsjgH8rT/hcDrdL
SqvQqiqZ6OUUCMYFqU1ym1Bmg9rqYd5ZCblCjK5Tvm9GWgio2S+xW3UBkV4C1NWSQId2liAWQ8gB
r0t13lo8QeOKj7VCJDW7Ui4L2+MRUVX67lfab8OxWqDtyuRGC+Zo9961ftgxXNIigUG5XJfp8paQ
Nt70gFKqU+qn5sTY3l6V2YYE4OWanqJ1Tu6C100x+XV9UyPo0HRNq6kaoe4RbyEiQsAUfE2gneo2
6DNCRw2N+/Lz2IPYaCCvxibdxn0CCP3WjZLeT5bWm+J6sXe0ovIcZtHx7bqkT1LuMMiihux3m3UM
ERXJgm/h12yAENKWPbUxUw0tFgdB99LDb3gAXxk8tG9SKLT6nWQztFNknUG3JnHj0O0/D3kAEIOW
z+cfoZMBei0th1bLOA1wX6x7eAbKqU6c22G1d4AOoaPCQl++bansmpxNXAJfQ6E7qqHmxUW1suyt
NF065UMooa88JaFSTgLnAKZJ8S3BDI7RTzD+tggzbSdryNLTtA7s3q4auq5AvEKb0a1+O2bDUw80
9tgcYYQN+uYt3eBA4kkoZHwKy6HbACQlMsIGFjxCz0lULcwi9HNp7/TS96WqyhnaRCy6tC3kKjQt
pDCcXJazXsq9DyWqToOdocdcmTY8ABxN8qaDNgeUVU+vrc3o9IluW+h4GeiGeCgaEwQXYLwDXg+E
PvwstwADBNBjBwm6ZYVvtlGkp5T39HSFZiCMBvhg73g1JTlNLByiBBLiSjYzP/+8IhcTIMo5gTGI
RWOwzXEmIN92qcq3i+ugYQ0DTdBApv+LvTPbjhvJsuyv9A8gFwaDAXj1mc6ZIjW9YFEhBebJMJgB
X98browqiYpSdPZzrXxRZIQIB9xgdu85+1xqd1qOSjni1Z5XgkUkBqrBpj/vXIfWrvONoubKffGY
5GO0L7wuba4yL1P9Ppaj5207N+PnJ17Jbc0V+EAal/KDGPLZen/5lGG5jMkJFyCrt54DdrTxW8kq
szAp7yKFqka51Xv1ppea77mopm55N+iiKQ5NuX6lrr0+nzDHhr0bcFGvo5XumVXDP0dzluSbMEpg
Q6xmyY5FY7EgLsRLgPQZb4IcKkRUNEmHrGvLP5fFZ0Xm0lrXlOOWzSbxrbA6NuOkQWecyozbtC3M
1gTFoHdD5GJpLFI/2RfOJ5/bTx4rzdvalOIh67SunA00FM1aSDHR+uFMR2B1VJvuyrhVdeKBDfbB
HZhlfJ1Hc/SeL1OmNAqB85Sn87BsLrjYIMY+PgQQDO8mVvEx12F1WDxnbYUS/3HMhv6P3PJoc0oO
nfdlVJp3obSqbeAqFrartOJmeAA30EQWd1cVjbdZGr/ut4OmjNn5UY2xySOblpOBpT1p8Ms/OiRI
b+/UTejtRayBHNy+EFdJAnzp1evznU0aY8IG7CBj10xcsNL32vHFXkyJm+ytwdOgObGDI6dEe+WZ
zDs2ZZimW8WJ8Vg7bf1UTo2sN1NR0qEFReq+RM0S4Kep+ZsIKu8cqyE75VPofC39YHkfJqMJDjZb
4E2nZPbN64x+Hn1/vmqr+oIKARBl1ovKLfU+dUW/q7tiaDYl2tRxdqx8g5FS3jim1vx/pj7YYTXv
68RevmVzUvAG6LK/DkFicigNyI1NtcTeJ6ig/noAbOm2gLbO1bio4rYCh975Wit0IjO4FOgI3Dd+
0t0pSavp+1Eq9kuoJiSouZvP9WDCu1JbT05luWZv05riEoVT79yUFxVrWQUtusfjsEpcy0XsWmUv
vQpgxSqF1ZNiN0Ecqy86mVPXH71EO5TvFx1tAkS6aYvadl9ijOz3Oi3Vu1KLh9SfuifIp2Sjk955
ioE/39VUuJtyNEN4361KHtVyu7eT1P6YuNpcCwS/ZVX+xlUDRMtv1NHXdRPxfrQltqYy64uvT6aN
qi1+8QPMT7NBG019KBvkRr0Kj7jUg/0I+9SgoAT2HsbL2fS5pwwC0ZC2+1Lbtb1L41R/jlvSrVts
X3RO+6J5Imujf1qOKPcTsvw2RBJ7dusi/JS5kQ2Kscqn4yqkVrbVXk3SY1VrL/9sON6vdTmOd8Oq
w6qwu237ZR42jjat3AZ1PNz0csl3k4jcd3NkiWtYFOexcOTw5ySM+jxflF9zUYGziyI8qKUAmSnq
bdupj3RW8SOGZbwrVjGZUtDcTAM8U9lT0gRSncfes+6VGuS+vyjSc1B9Kwdtbrolw0HxZ/cxz4bp
E0hevEuqVD5EbeTfmxGIZ1NcdG/bD9q7wIqLW2Aht0YJtK1HgX+wC8So9zyuYDMJac5tX9WfsxH9
yW/al3hsbVgc9X5YZfh0FeR7lHnHTa5yxPAba/bFR60T9PugmBVGa+/sYytNr/tEJPde2Iy3Y6BO
4agHvFlwltR2RnbNpjXiRqeD4A7pdN1UeOUuad1x4PCz7vCdkYtxGiodNie3dD7EkLebpJQYBW4j
trUeip00ZYnsim3Ru63Yp0ZGnBRRvOwS0ckN/TBeB3kCei3Xbb1H6Dz5EEZqeNcoYJWNqqeG+6G9
KhZzsAKMlEYV/qYdkxe5miy1sgCDVuMlqWf/gD5WvcvyBl8mXy0aF69/h5yX9/vWNtZmHKTfbeY+
TR8qo7wD2vH8bK+2z7waQMidbFAyaW7ZgaZTZvqs3w1V9OgNNuZRPYIEDa5or71q6Z5Sn+YPLgrL
aby4T+lqRI2rJZVl0t6pWF6FQx7eNEUyv9gXE8uvxvfpmH7MYRy3vu+EFBRmSl6mNuo2QW8GTtze
O8vVHTOo8RsRpei3o+R7GFSOkVZVdgTfGoySznz12qaL7dauDpy4mHFQDsmmC6ry2GoRvm8jbnxq
jXoX501w6E0X53uOQ30K8z7bdSUKbRjHG9so5ymNZd3jnqRit8xJf90IpHdMbJQis3af+tKI8nfM
bXBpTwP2m6/52rOGl+710sima0/bBkF3ilREn3vpeNfet1y74OXSEJdrb5ytXXJeTxlSfjjeakD/
XTzjks0T+kixdtjF2msviBneC+dbcTvUpZdO2wrx4SEfMm/bF37zNFYmkU9lZHmr4RipzTTgYCEd
iS8FSdjkEMm65gWyqQUL6RT3CYdsMpXmBk+v389jEaFY9GH82FMG3Lpli2dVz17yMaimutktXk6N
JaJPCULI0xLrHEAuSQ9dMc4YQr5/19W4KJuo66zd2Pjj2WvK4do43XwM68w8OP7QP6e6One6u27D
xey6yO3uq77p/5Dslsdp6NTZmfz4qJLwPYWaPgSorVOgxGM+zWWJ5FoUxSE3mLTnPl20c8iiZUF7
FarNtw2sRr6pXLk8jZ7dfjFFhavBlldOoGZVufFqLIvai5ebYlRW9cc8mf7Biubl3kI6z/ZJC+/y
JRza53ac6wJXJhtF7B4ri83tCt/h2KVe8NQ45YfWK016DWQSxDdebb8OOmpvjU8hl4WshatCZ2ho
Sz4X+7DI0+ApcoVvf8gq/qT0RhV1/ACF1h38DKvOKrd+qz8sqWi2wlNhEjwkbts9cPpdDRUnqD79
0Mn/m3n4MbTzcxDBF1DcpI1o2kNf2PTpdOc/YtUFxVIse7s5+fNKjPtZTpk4OiWV++8vtP6gH1no
y4UiokghbbDnyjcXChXFPB5PcyrT0n+lTwV7HOqOWo2vQbz2WUiblTSGenRhw/2HvMWvVw+hIwlC
hIDrHgGrn2+ztWYnQMVsTipv3WepdbjLuhUwruHjGmNxVTkE1IOWrqjgf3/rzs+ZhPUhkywHlYig
5b3ol3vXuY+rFKvm9B1JnnQyitug6NxncCU6KOFIbn4Sc3M9JHDOG1vVIz1AnQTlCvs6z7//QG/w
fT4PQV0vckAghCPE2+8iifQ4uwnNTAB2dqU95Ac/S93nZQ76r5Fy/ik+5b8lL8A3PCckgQLBL6gP
kYd+XGVlOs3St/vmVFcquhlS+rWe0/i1sIYq3bnN+Edakrq6S6Zw9K6Ukh4oHRRGWt3mfl5y3LGb
YwvXQt1XanLuKgC/9qzIvrzHlIj2U9GwksRSx9Tqley/2ontRag4YljeudKK0VhNgQaM//hpaHP/
tfEnPbzrEej7w4KfovttTb5CfF5oIottHBq69CT2PRq8hAa04Jh4hoVrP0Fc9F/ZJ+o/4Qnqd16U
0MYNXc9/L127/WRXwpibhIbYWg9Mm67awW1frH7sD1FOt3iEUFWnmf9Q3YumdeRRpQ6Udu+EzaeL
AFLJ7t9xuf+VN/9J3iQMxHr8n+XN5291/a3vv337KSD6/W/9FfV04JfAhtARERD/S9uM7H/RpHsB
Vgov9qp7/re2Kf8lQwdanPcehdNZd5y/tE3xrwgUCY0O0IfXEDHyL37rJ0iNbOvfbeDBL9omMVO4
KmE7niQL+TZ4FSC/WKn26ysL48LBXg/iJJ8obLUGpq9I1m0csCt9M7jzvK36bt45vfGOQRIHp64S
2Sb2477au36AuoUD8mwKu9jLzK53SYIFtdXK21eJNB/J/XXdbvZ87xXj07lyW7vcjhGMYZcm+JIg
hWPdDleT1ydHnyjqToZFR6FdpNsFB+s4T6RDCM2IZrNEpj/4aVeBdYRFucnn5qNou/C1Vn11BeO8
HOxMHsY+CHaAz/Z2yrPk3lFxeKrnrHx2U2/KNlMvEME4b5qPqTN2R3eyljNEZ5Tu6OLklzgMWlio
qi072vEkoWaeh5ciH8Ibky/206iVu6vL4HEanejWzr1uF1ZJ8rlM+xS+q5hOSwDjWmRdvIlzWx1V
ENcnnQkMIm9+bNomuFK1Wx+kBRS8jJNzX6/AYw3W1ZjiwQpjaxPEbrFxZh3uS3ibzVh0/jvQk3qv
O2Fv7UWImyg3/dXYL9YpJo50FkVqncu+xjdxuwUHJV/WXqa57WQapPsutOjptR6f0bOAoRw/uEni
yj+K1qkObuf5/NR+eWwnt78NMqjdYuTYM5X5Yy5GOjOdp5s4KPrHpYj5QbME4Robs7NaMz+JLA++
jCQU2nr+bFdZf3RaLz+NyBtHz43i91OYNYc8j+VXmrhivuU0yW8Tv0K8CluTbo0BwwlXOwj3LISw
VurQSTfbzbbjIpdirAOCUe6QgfkSqlr/meg5Oix2jW7exRV6ceiJRzHrvryZ8/YlHZ38JTTN/GpJ
x4baW3z71mqK6Tq0kGubyuZLziL66jYJe1K5MVDHUmDi27K+J5hIF6Odl9RYqN+WJzp6vKZ4NE1n
nakDp3uXcwlgO5MYXaXI1TZzrCo4jRacw0H16BTkLkQBtzsafZbZcshrd4o2y9o5paINt67TYeh3
jVud5hGfuV4iHy+WGE+9Ld2RQKRecMXyDqWxd6psY9ylerAs/xT5HVzIWHe3SrqvBOuoJLtLVdlS
X8pMBatUDpkCcnjVfy9Ey8HLKUsnELXoD7iKjpo1pnxd1kK2H8GC/ogu9a2g0q1J27z47QpjhGMK
514WwTMIYb4Henf2SVlHZ92gY22iuC/nXZvK9qnFUM716r4mpxZPWL24SCqF2fl2UQ/prpZBE5zr
3g97a1f5uWvfs1Hy3KupXeC18tXgbZLY/rSkHUiB3VrJXYcYEHyw/RCJGR94dh5rg8f8NQfqp/Zc
og073CZ1hCX29ti8Y+X6dGRRRaxglbhBKqeS+sweovwLAsFsncJ6sgnXNChMmyYcx2I3jYoSKjYp
RZZOquh9NbeUGg7RVRJLM56Dk9LDbmqs2Id6CMRX+rqhOMITTe0pmLsAEs/KaAUHJ45h3/2CSy5l
QpFYGaoAkklNBehcogZCq2dH9j6u+D3qBCRJSVMhE3ubKYvq5j4IZ7eRqx+UesN1UWrf3jXNZG2S
wATJ3sbkvjer9OULzT/C3+Ub5fOMt9KJ5+dS48MoafXYpY3qbLi4SB9z4cnbOhLdVZHBGAjjxyCF
MKxbd/SC4+i46bEOpvDYpKp4qN3yZkkih0bG8Zsbk/rpdUxbd2j0IJDD1jkVG1rPtoMMJKQw5NI9
hwHSl1VjItG5s38lMturpPGsgx1k9jt0s3wv3X5xUA+xk6VV13dBOjZPITrQ3SC76ZOfx+5MpCW6
nr0QqbZTzq4wIjkOalj6zbKMpb2pUKj+6ObuC2eUuqMEA4QKYpyCKbPDjWt39jvsj/hg7Dx88UXS
PwphxRwOdXlVJkF/3wyhhfsPcTnVdvzH4kr/YY7JQgQyuWLrjE8VP+pjESCA9FUUfpqwM5rNELvt
Kfc7cx0swXJL3RpuEqrEXavn/HOKIn/2EXjvsAEOg1WLjYEDyLcDmaN2k0+e2OdzvDzIKM/3aREd
+3LNm5C/uprlNB4dVS9Hf6oQWXJHE/TqrWmryya9xyv1850ybnideWzxkev5u1ah+muu/84QJt64
kKubxI3Th3ZO9HZa0mIv8ig5Sm7g0PYF8qqjRcrWuIiPntfRzE9+1L5OxLBuSSQ536bRbQ6MKfD2
hRM7J9l33gfLcD03apIdiExyyLMWoLEeyrsCzvP9yHt4O6pBPSDHRDdh4NRbvML8pgDwP3ZoDXeI
cKgKbilP5TJ9xlfLbsj5pR/iZrTvYkRvfkgvqQSqZXVSG3vbVJ5915u0GrYZb/6DTz7xSJOkXsOg
3na9hN41y/Coet9UG1GF8qqK+uixkOly7eRF80X3SbdBJCXvNDf2FWzQh1hBhoBV2hQP8L6WNXt7
4p8qhHeyPuLl2nuhkpZYRGZfe1ZPb83p362Rw5Z2KxX5htzNi4WEF+IxJn2/EYHZR5ZuyIMgzW07
3w62SxSuyb7EJQpCvi2QGxvFhJws7324eKvJq0CKiWL4r+4aFzUipVcI7BxXUakCHrme5JwG7zyV
hwlHXlIRS3ju5dxmj5ei9X/r+3+o7/GuI4rr/7m+J7CRZsnrT5Nc/v2X/irvGbziMJYvclw/woSW
/40vUOIzOIkukHdS2owog1H4a5JL+C+HqS9rLoHC22PQz3+V+IJ+IWI0I/gjkXQZ0jP8ByW+w3i6
H7UTBgQ5HnkK0kDoCEAHaz//wyiXzlhkAsseiReaCa90YhWZk1rnnMSpXSMzN+lcNTd54Vj6JTM1
zmg7p63a9BFHX5BNtetQfOXeBLjK3JRZbWpBnXOduGTIOfbX7DH4H63pD0/6b7qT9ZP9oPqQ2ucD
hzxaO2R4ivv2k4c98GWsFnXtJbZ5clLyV77OoxuYLvtOWzOvye8vSNf1yyXphGCXIEugq3lmPz8s
Kyu9FpI8uZYyummGgBx7OTn02LkQ4HpQhlZ3chSNeqS7qAPJFlMg4L/HKT74Seo0VzElMzbzFPBU
ahmvtusAt4F4iTfY1My0ST389tJ1yLOLFeHIeweJgQANhaJTxFQKneoqdkozggMkGoT62pITKfKl
C3e4yf7rULcYvzmlPGRJGk8JUEmcVzuCWRQqmgM/3Eq+kW5bDf04HmIUE4K9mfusAPc7/B50NOVV
GHwClXe/DKTGFXxARpgKV2+vs4h6wlk/uZ0KYr30aO6z41j471nQc2+9YhSAlc7kxRkCsJakWWgg
AV1whEkDBcjG7dJ79m4+UTSjhcwrwviiOj9dCA5aLrAA8GN/jcsRuHdLoQMLwnqW7UfXG0n1D+zq
r0HS491bLhmRp4VmiXg9iCMxNMdYnz134MllveHzzENjmiu1aoPbSa2GfywtLl22xC8xOgo+nZtP
CC1mWSOvlp3n6UM8ORjeDCyk7hLaW639ovZfL/7+OEsUoktBGGlI2B0l/mMqR360TSOc7LNZ8C1I
MQz9x1TXFIBisZEmv3MWfubxWDKrJM9u/AEvfqb0W7YTEpdznSwRhMSyfiXB+nCibh18cplsEHUo
jrusHCwOkQkVPU308miFNuQ4yT9z8hKm7e068MNh36uZl7CMHG6S+LIOds3kltjPQbIr/Q72HGdy
fpakVe8spnsE2yqPBeWTPzavST74t/OcyPcE9p07PbXlg+cVyasL23xqLGq7bebWwWudFBNqtZ2b
g7OwZFNtEyjUE/xDmoNzbKsyLuazaySJZJ/k8ntLkl59ZEbGOjpgClg2kwp4vDqrpLq3B9IABNUT
i2RGNcLuMkpAhOni7XJWpPuHrkiGEklshf5zzmeEN/5Y5X+2RjOwY5XTcskgw22TsEZ6SEdYgxXB
wbDl6ykLC1fMijXfbaFJye8vsjBPhpcryGteyqJtVswEC7T/uOaon0K2eAXcGPCAM4ZRyWOB4nxN
sB15NTaMd0mmHJSCqtQ8CI9IM8j+bNDtRx49IANXkabgBMcaBC0yJue5IFcAo4y+aq7rlMkxz8Wy
WNZ7awyWDk1FWephNox/OJSzx/a7VPSyL4C3VfEUT7k6mQooaBtPnne1TIINYpkrniXkLc+SuCvN
xfdxLa1dqVNchuidgl0lPbcdUNZ3UKUwFl9cY0W8x3JaX4pBCX7Kd4CpFg0zT0am72xDJ0zlR1OG
o3ufxxEbRQjf0/wReMw0SuUKfYXlqnFbRUKaG61I5Z+Vo3QCtDUyL8SLw6H4oNghHDr5GELkvqnq
WoYbk1i0Q0GZMCXkOzJls5zOfcc8jt1QKucup9o0H0Ko4eKbH9Su223oTZMYj21y3fuK82eBfh3z
RF7FNV0qHVlDAPCKantRDDFZk/RWltifM0N/kGVJeFd7dvQRxB7CYXHeBVNi9BaKdHyZ18h+sYb3
8Qv6rbcG+gnkxTvvkvKv1sA/EjjZ/zSo/JPFDAR904i8s7IPSQpfchCtL+lvCIvGNZtMc9WSmXjf
+6279Sr7M0QSQxnqkmTLOqQgS7UJT07hJl/KPg6+mcRj1gFl/v1QyhuEpG7eF6Uyj7IJks++N9X7
ikNqx1g37yns4vqzI1LUmdpO4m2wAHrbQ6AeomQutkEL/L5x4dJvszYpX9y8J7Vu98NhsQazsSZm
VdQqWfZTpdv7qVyqG19M5B50UD6yrbef82hM302ifNCBbfKj6npxoKkidXsZFZE12Tu4oPJFV4LC
X61TJSIOsF1ZdMu5tKLigORCD9FpTM8yCNj2Jq955tBpP9Y+eMMuX/r6EGZ28yGVcn20VUYY7zLQ
AsTK3LXSMBQmm6odwmL/J7qF2pWjECd3yZODLl33zk/6QOxS26+ZPDFTDux65U7XXV81x7DsCMTk
zHK4ClLjHhLfeczjpj3adPI7xT1+zAvVak6pSV4x28KZ9jNBzrtuEPG7CNHiaPVLccDylFsrt5bw
MM9S3lnp0F2zYc8nu67nKzDv6GoZCr2fe+LKWNjjtiM7dUrrXj5P2bR8pQXPryMo/2t1mTTy+wrl
l2JOwKHyP2gi5tb9Itd29EMho33isxmA0rH/yq2tPQ4hYalwl9tTcx3zlp9+f9U3Pt86PgnyFWEF
x4fRZtEbB0aQKQ8QiaPzZV5OJjI2hnZwqTF+f503Ts/lOojJYKlUe8Bob6qvKW3IkkdQ6KJYK4xg
peealW/0L9Mt/vOLBTa6d0CBHEZvzUuQmd5KKALPYanJZTSQo30qy+3FLfr9pX4tZEMbpT6iFrcd
6vm3JXgSBa1lbHn21hFmjD3IwIKikmQBk4/6oAl3//H18AzwCxmILAUj4n6uYjGCeG3Lyj8vK272
/QhiFAknBgQb1UifzTze31/zjUnKd8fNMdWGQ0Xw5b0t1kk8C6LNgzjDNFNdBRcUkw2VE7g2Lmcg
w8/XISbVxJ9tK+f4+P0H+HWRhj4+YAT2HbgunPbPN93UorOJGcozAS510tryyE4CIv5/XCVw/EhK
cup0Jj9fpYxdXcdZL89M+sCFI/R+RKLT//Aw/+5eaCgRs3F6ePHeXEUOZOF8i3uJSMfsJJgZ2RSy
hr+/l79Zlv7KBJGe4csjqffzvRQEK7M2a/yzu05Fy1TKophmjZRxGTIztAak9feX/HX/Yk9nN+G2
0Bi57M+XZI5OPOtSirPVxPKjAy1/XuyV8R3LBrE0nBHkZb+wRH5/3V93FvzzdbYAd8t8yre3Grk6
s5fWd8/FiBccN+yTA4HO3ZLDSf/+Un9ziyyOAKmRV52W/81mGZRacanKPRtFhPUCSS8rY1wKFkyx
dnBmXTW/v+jf3R92Ych8BF+SpXhz0Qk900sx+s6X0W11Jbyr0g7TI43OP77pl1EHP/flMACBL4QI
oiD89U1LQwJp7CfnRfWk5HKn8jWRVrt8aqdF3TU5KO8mnimTjaau09Ra/d3UTSY+MBZT0Fw0/muZ
uP1XxvwAPodLXaYPYSHb8h8ey68rfIUH+IUJ7Egg+e76nv2gfTB4RmczNsDZrTwulMVZ+yk3Fucl
SXKW2v/D1MbLpNq3T4dfqrGSIji1YfBms09K9JKYMw76ndGGexN6awQAV+trqByOzLSN1/WeZ0xT
G5lYN00+fP5lriWDsZiX1iVELQ9USdlxmB3Grf1+qfzdM2GnXH/PhMd357556+0O5GkKeesvo9dy
288/O4nlMWYQRHmjO/ufZJxf1qb0GM4BK0L9wOzHtxfsMrwOS83LeRIxrA5zBeGg12mKnOx047+/
u7+7GLoRmTPJ9I9f1ma4wLgmXTSfTcLIm7wumGQHjQb0Zbe0i7+/2C/bNHcG/IRFT2yD7ezNW1cV
ltP2sT2fZbyi8N8zH7yIdIm/v5D7BgJyQ8l2uRYPPjcn0cV+XsiQepmRbaCpIBiI9mDTw8H4hv1Q
vMTQ+v11y+wDtb9kU5g3XBk6ksAjwV6ux2DTmSfmTqETWJpmCThmYdom/M6J2UlIWahe3sEuV/WD
kcE0x9pN5ocBcLmp/tONWPqMT/ERTCPmS/9SCmX1HLZB1fdnd5nD3SXfUuk0OyaMTNr//qH9stC5
FGuA9BiCLYTFm4U+JLY7TCZVZ7UOsQzdnPsn0R/tIckZ0Fibf9QP19Prh1dfcKwFocurD8jr2798
S/VSeU6nfHGWnRHfSK1NZyUI21wEERn0qDrdUvovjTHuP+x07tslwtAvhucCGXFlLB/OgJ+XiCjj
IRM6y8+Og5K07DC8ZNEfZ7mMnrvVxGO/wGsWYsfYNYe8x0oR1R5ze07usAbQLrEqe6xQEZdi1Ws6
FayNxaj48xKwjhRsVI476GQPwTBbGJ2NzrCgraTIES4Z+/To5/3yXq3Lq7Q4DI7zoJz2PKkZysmV
vXnwtSEu0scFul9xyQFl3YSrHSbaLW59pjOrne0U1aNGbSAUMFhHIzL50MyOtRybADQSFbteNnbA
bIYbZGks8j7wR5xf8M2boRAMKMBeXPSumTuGRtRLdtZh5mzFVPojvpKTdqTxxy4jL4WnS1jl1Vvy
uuGduSStRpxz5yv8e4EobuW8LxHjABFDCTukD9NMlG0fMK6ruZINEuVxRXPTk5wKuqK6W/i3l4zR
pficICTMISrXuqZredeYKObPf6KWZ3pbOImicZ+ViYDkQybRtmap0gevIq5zQzx8Gh57j6FZO7cN
eLsbp2qLp4Zhgc5OjYPTHWCIGNJpu+FNImVTPAUYc19NbyOBQfT7yzdP1hjZqiNzv/2e4jF2xl/k
1v1XogmIki10EKkEBoTfTDzNCUWDgReHrBgIPsl25vLoIChXjHVFCCf7IT2SBYzM3Y4yjZ0vi/bq
q87kDNUzTcaluzX8tYvsWiDhpKXXu/c1wzqGJyez1lmQLJf0gX61gaKfA91uLSsTV9NEtKfYjcNk
bZd2nbsrXbZwf0lYQTX5LmbWBjoLbsQUO/oKHKOMOVedKbv7PpIwbEFgjuYyBtTNIlTGZITFfnZq
n0RVmPkssDoNiZhZmeJsuNQBaPasviUBcz2lzIlJz+BO3nzNLDETgt7OjfkzGpb4AVzPPHyX4Pxy
5MN4KWilICfwmsVpGu/7sddMgrm8VjAkuHzrO6MDL4dKgs9ViPOz8+wYJ81OqL1o8+4g2MaV9FlF
XSjpzMBbea4uQ99AW/N+/DJnjZ4OBrbk4bs1w4yqV8DCtZC4gANhE4jXyslXJVYhz29aIMGTcew1
lrcef4EcERlTtCuCNgF+xKZgMlV+aMLC7q+riAjTsWotnAaSZTxYEU/CO+SRm2SP/YWxdYiGqkNb
uv1TveB+fyZP5DFVtwz8ongKm8iMt74pnWeZ57VgJk2czd9CCydjn4edKx5np0UFTmdqY4/3T4PU
b3xsACbAMbhiXSsCNweORQxe8IHCvADL8tXQtNj+2dSCK8XxUqHNW6Wfn8l4odbPJaLkYTXKSbaI
XMQMjbANUhsK+bBOQoCngkG5nCn/65P+g0/q8auTOD//Z5/03fpbKP7P9lU1/Pag159gyO9/9a+w
N7/XhB8VMOpt5Rpd6rf/znqvxxZnMefo93/zV9SbgLjNb8rgaF1/HYUfcO7+hUO6/7LxNfllFURx
EY3Ef4RD+pfm7McTnJy5zckNys7noFl8UzOMYAA100Cbk8EP0fsoJa21rWtmNKR11x5kvSp+dZKH
jxEJYYY/08rdaWma3VRCq+2UN+JMxJn34TLQmjxr/Y6dK/4cCYZRt4vHFsEoRf8EsUGTG/GMrjOL
bE5QcABxShey2g2WyftN6iHc3ISlld4VTmOBxzE5/0xrUHb7LsoSTIB51g5DQ2VqmOKS13/2FXOt
ICRncShotO5TJzcPRRqLdYjOZO3tjjpfxXNNhkn6NWO4vNQlPmd6AHJGPd+6lopbZE1GX450TGe9
hDhTBphzTwZ4gk7mQ+26Kh6+cRWHULOoI+YBjajUm7Bl3gU/uJz3F7vPxFBc20IODVOlLO2fIHKi
YO9hkf2Z8YWffGyXB1kzxWnvLFn8dSFT1G0KaOoP7WKtc4b4ZB/Q2fsPtbaLp6jAdIpNlt7rkZQ6
c5Kb+6FX03xtSBj7O0F0FzIxDaD4yqp04q3tdI1NYr0NH03B5+pky4PMIbOYT+IxWmXDUNrgkVBx
SxMUhg9x2QBxmEXZzi5m8Gu9Y3JFcwhCZnD5/5e9M9myE9my7RdxB5VRNN+p/XhdqugwJJdEDQYY
GPD1b5qkGC/kkc9j3H42MnUVkvxwwDDbxVpzryGd8Vrelk4X34khw7RVEOueBu7fAcR0DCMt745r
lukrw5o+zNnEbp6Lpn10nC66t3xWS1FSFoiXSJxqJ6VxlvTOU9JiEyVTBaBacRTOY9jeln03WY+r
j9cyCAtUnQM6oK4qRx+qjyuG02rViu/seAcSt+6rXuvuUz+27gdpo0nbxmsngq1I4YkjR4z2DJiB
GBLRX7qfJWpDZlXEjy6gy/vZWzFox3NvxVsxeZ/RsiFpYeUJd6cyS3+JUEMiWUPVI6UXpodxsdOz
PxdNfsLeqdaLERHncsyT0bpyIY5CC4Hks8eNFjXZZvDiQl1koqRKkGo5PlC2FOVV5s3xnYxoO22c
PgieG2fxr7PBsoF6eZVv2RiVi3YVCNn61Tum82LDM6RwqCXwT24E5TeRt9GnznjYLUVDntwa8T/P
x5BtgDiOnd5HYRQdUkJSdzwlbW+pMxjc0b5gBMGSfwDgGKsztW+BqIHl85GWlvW46H7YumWCNaue
LqEFDB+QGt8ksZdeVSOdi1dMGcWEU5hQzbfOaW0j+wvdyn4m6ckP+bqAOACBuk/6pTzYiHg2yrOr
i25N9UuuELNacdZeY8jr9oNUDwVBKQ1fmo50J13M0CVr6CUIkjQ48XpbT1ifk2PbI4agl+jVcovs
RO7ABoIGK+f0YFGNT7+JhmvAGpDPo8Fqj7uFusMljePiAoWV2C1xQ/gIGKAYkguofMM2jtr5TNIw
7hncQtdYZUaGOh+15VvfxMpOgwIDVS1xVeQUxyV3nc0iVXgzLPMjKrx0F6b6iMRPvDh9D+RuHEeC
prG91ZH9gDDFpe0L1dsajKba7ygwVgmDRGSQHhJ8p0Mhmku7kcP3Yglv7NVNPgGVwCCru+qxoUJ3
W5CubJfSx/ZfDdMdlkrv0NGZ3ug8W45+sN7kXbQcK99W2ywbqsPilGDVqPFsHWhQQIr6Vu7KaP3U
JuBv4AberrK/xhafbKWLAQ4sRn+kwdYfisACc9wn+jYYKuhPQ/s1Zrc9NjnA3hx49IEpTYhzEzEA
Z3KZCdG2OfqQyToXde5cLhXQu5H2XZu7wy4lztuW4dLs3BjaWaXa/oMuOn2y61Q9F2OvWBjaOqb9
/GPsAzz/WbHsVQ88AiJE8tkrBTC2n4aOoKD1vbGYYnQxBq0uT17ti8uG6u0hjjFuQg1v8yMSB/+M
YrzazpYV3o8yi4/5ytFU1AOlJOHXrIpgDeELdY3xjxtLbdTl6iEeuuQl7oQZglETybZjdoN6rfva
wN2ETj7n5UcZVvXBGSf4vrkbHepBxcd2naB568T+EPeptVdQB7ctVPybJnLhCnS6P9VeHd17/MH1
AHDjdojSlzDtkN45cTceUngAN72bOPNmnFWJZnIu0qu4rCPsrY3owKvnY7gtXa9FMYJyGo1GDRVA
4XCbXAcYG3yqDTkTsD5Lmlp8m0THUIbl2epTYCQyHVGajNaLkvbwgRUHbzgfAVPbXv8Q4OO8Rz1o
M/qpbHaR8i8Qd7AMfH2w4aiAfcxoQLrgv3AKWBd9EhbfvcGvv481apAgw726nVSiAccznOaMmDCm
4750Ygfb23lus3F6gNsXfZujMd3jTI2uusT9bMVAMfE3fGTqB+3ZpbG3gy+eG19Y17xT5dbFOrCZ
HPa5demS57T3jzMGbTARr4ifxXFtfTgsyTptvXz5uExLTAe9dXdh2H/palrOk2dfILss9zj05Hc6
qhOcS6vd0aAqTpOLN37rrtCk1yBxoMsjti4HXUIXCG6Yrtpc1StC7xobOPrbdMrVVme9hpgJnA/Y
HSB2WQ/fxiJ7WtqdkZ3RNAOvsNHeVJ1CB7uBSGxyP5SY6lyKzgQzXbRVfj/QubW8fUYP5Ytblk8W
3gvE7Z2NZDZEcZJH4ffe6R+wQvxIgJiCHAEfYIWfGD5h7zqh8iP+kvAcI569kji0oGV2n9p0lYc1
Hs+6wVZeMlVhP8EwoKgweadiXuoLb5IXwiThReA850BfryrWPEiAwKQQQ3x0CyTT0qb3PVXy3Kr5
0V+ZPOCgYMVsK2DYF+s3RfyJhBdtOQ6vaZsPK/c6qcFaMohg2gvqAZulGerDPFI4663oNUndj2j7
k092J7xbL6aRU8My6xzFuhKvtVs7F/k64qrOcnkpcWlD0nO/h7XeEhd8GzDAZIBhK4ledcBoLDFc
DD6ujbzLoC1EQXYkYgkfHGuBeQk4+wD/cr5FspPc9Ul77nnobdUf88y+yZYBq3soWaJOlO4W+uS7
3mHwmCeL57mUwYORveN1xr66Cd0GMzCCbMy8eFAmEF/YueGNzwz3QHe7gwTwoor8aILNzmlugX/B
PNLxpSvbHyJPT51LlpdZ9i0qnNu1MiAaNWzJ8TcFaP++ogazDvOTHsY76ahbRNLXRGs5KHyAkZXC
QbLgJiYGHNPtUvCaC4zR0054uYDugoTvqikQzQZ112zBz26AuglYKJS+7iBVlr/6fv+b+P1L4uf6
tM3eS/xuy+oLWNY/Ur7f/+h3yhf7/8HACVsO0XsMszGmeP0756Nw/h+bUn0oQtd26RDwR38lfYw6
/Hsu+FfCBxGMOUaCMo3vmn8X/TfiWJTnf5ZswYaRsVCMxuTEefGPwWP9VEbNHDjd2ee92Xl+dVDZ
pA4eo2juRdaA6BExIrUNSqFV7MueYsozTKTiW4Wxj/Io7l+5NlBW4zw5ctB4/dMIgYPxSHFe3Kmg
6T9PyKE+iTVozpmTViBRCncXmzpnZ+d5jWYuKQ8AQqedIocDktUxhKPJZHsNA09Sm1mcI/q/aZuu
mSsP9aT7+NOU44k4oQhE9Ke6Be6gnsfobiF5RtBkEhO3Vf7eC6am2eIxjfIvk7Kyj2PPjL5T20NS
wAcAi+tKCTtTBJAw9CjdoBFAZFjrPPL0TZX5qJMPEVgxedMOOOw3GTq4EBTIQr3lpIYAJsm+ZoKI
VZ8bgRKBCrub0IDdlWNYJzeRuya4b5KK+wmGcsGKg5hNxLZmUyPD3jKhz7FfNQAZve7LjH4dGlt8
QcS5TdEmJdrAfrWWTTCCuMaL5FrIN1XsU17LorXznZ0opL+SZTLQEIgtXI0sxPRTjO1afFsTUEyi
3CqG1YjdRJDEeeFC2jm65Zz0N2GtrAtbN/0dxfIEU6HlbfTkw10csgbzhzUdU/Rcj7BK4X56g42I
0Wn0vYMN5xDEcvkSSpDJMFOAtpQLIXyLF3+K6vKKqAxwD7HCRdtiXSybqVOIpFsG2k3VeBFN8zYc
s/JQ10ARYBilt8KNGaGUVfMu8NNy5yuorAV7LsykOLnva10Tv1hKbkpUfpvVmuRtVQTPZVun917a
DXcaevB9JcvpU1ZH8w7HTnLuZTbfsx7awzK1+Us1zMld5bbLBw5Ji67AODIiInSTnXby8CaOy+Ql
w+t1mrPAurVmGD3ofC2AwWHvXSVA5Y6IowjDnLAvlxcMl8wMglL13AVO80hOQOhdJ1k6b0XRefM2
r/tw3rbLul40vRtAr2f+B4TdRl1okuyjrsr0hckx3mW8hrRJHSn0E7OKB2ilsk+K3Vj21Q+sKlBV
vXAVMyb/pqFY3SIXRY9/R28CC6UWT0WHM64YYWz43hxeOYtM003BTBQ60f043Y5p6l46MyZ+34fM
bKBalCKrob/PqqB56YeZkUhJKL9qN/tAE2faqiqKzjxpCEnSY2wTSOTrdanme5AH2bmBd/OUOt76
cfTWugZZOruvRdvbl9baAELqOi88M24iPviF/D7FXXJyBPBMgjIKsASSj8SF40c7KKoPjFTNP3ha
5WIruqj80FlNvNOMHTkFluqPdojvMQ61OuQyYLZmAdQ5yqtjgYf0tokbcdbzEGsoGyUwDf6tdesU
OWG7WDFqYkzI7xq6EGf8i3OPYLbEW+bQg81ENEPGZiLXDrrCsm/1KLc60cxeY+DQJoSiuU0te0v9
RZ9bO2523iLcF5+yNqd1/5yv/WMhrfAbnCMIpXY82eVGaJQDW1euxVPYF/5lbS8McVGgzgOSzh0j
0y5ifwivSbE7Xo1xeFzRrO5Eb7evwYhlS+q1vfPA+X3tNI61jcMcQihkhOxpkfrPaC+pCHRMItro
GjMy01PTaxqA4yclrF3TVkz5wW2/XUvHoQA+gxRCE/lloIH6vdJU24epu4LHroln9LwDx+19dLMk
h4QdYuGatV6ufkpt/DIAxKuUa/HG+YRPFL6tA2N1LKy9dtTeg7eihC+VE+8hQjk3E/OADXo7p4WS
1Rp9k5up+aHVPrX6MtXeI6lC9JWmF8nrmI/0lX4qz8hgcM1aCXibCeX5aKTCjDTqmTGJhZC/ajPo
LHUa0uYxymijad++RjyE1tmBPR2mMWxf2LwafI+ocG3k2UVbR6hP5eIQrDluewN+p2SJinar7Pm1
48x7cHSwXKDJhf6YDek2LZLhQpQSkFbnz1fUE3KKAzJ69dte/Ggt/xv+PvfKCacBqExHElbFTDbq
C6x2tVVeM84lusbyTF3HboNiU6yvmUkBOhsuHEiD59buH+dutdEY9xk5NNXPnNLGIWceCPyjNSYo
7lvotW7mbal1DaeUymdVTunBH/Nkh5rS+ZB3wj8WqbAPvO+vxdpED5076G2GMPEpDbHWOVkvz5oB
VHsSeVFdixbSlxgaeEdIZ08WWvgc4Fagjr7j0K9sEd03dqzv8qUFBz5Tf9q4NAAJe0D+pAGDNbjC
ZedqSW4rpJAw9kR9VyeWOFTu0l44jYIrN9jzDlJ3fkXeGW5g5LRHNc4j9blZfXL7PttVUUvSHZaf
1eB8LTowESvH49Wka3LUYNDZnR91WL6GttzNNQMmFm8efjjeVO4Z/zM+FnYg9pOvjTEWDrMfIRv0
eit5zCnkGCSeOuoYB/oy5P3txDxaZ1+s5OUb360j0JKZdaHHyz73M1SA+mvPIIvPkOBIwhmd9K3G
r7dfVhI+tr3PWVR978t8uPAsjnsbqDO5F/8rEWG8WajFn0gKgcED1dxNueMeXJU7VyuNmte4iAR7
Z2ZRcWisjT8k1X2hKu/sDkV+kKroLkYCkv0I++iElX84hDiUdnjnxLGkHnOZ0/3kPZqxkyqHYQP2
sqrtLIFyeeHQvCokPVuuHcV66mzHJQtOGs4ZVdbr1ae63vg4yW1J9bV1xGtny/txZJ5ekzcMzipo
Ifc281k866OTM/owyxhhBFWSCKMCY1za7Q1ji+9DRDAURY6rpmaCFl/vMNo+RJYqz5Qk00ODzWTT
xUasljegQ7LsTC5IScuvrr3asqiozPpYBWN88pcCTrhX31tlc8dcoewAVQF/EMhKZo4t9zHsAAgB
ZQXbXLY7Retz5zOtYCPwrR+bCQ5TaoXeLUpul3ERVvhE0zA/raibt+gsvne4XPbwm+tNXo9MMMkB
L08gEzgPvPFeAzl5zeulo2PN8msH6xTMU3MfWFPEYbxm+D5HZ2vHcryYsbGfiibFW5yv0blWy32V
i884SZ7/t4n2c/z8v+RSDpKQ91Kp/1N9Gco/Eqlf/+J3HoVm5j8xhxDCptCzCb1pg/3Ko5wQDyLG
NZvIGq2bmXX0VxoVOv/xjDLXtLQENsO/oUQEf4Relj+Fj4nazfuvemfen5mUuRzHBVTpMPub7wmj
5E/9CYN1lroebf97hvyx+FEZCKS90xqCp9opVbjLS1EhkToMi1cx8W5gH3lFgyObK6cVbecepAVM
HYtdBJyBpZ4AnacLQR3rubdrq1i2EDGDNdjQt0kRCcB67HxKYNW4YCGhho3OwAkp/jEACWCAJk8b
aUFXBcaUaOcz/JXzaKUOHh0hjHCU0CkuRNxvKz1D2jg0UzHInEAvI87+F6WYaZb+TRqEDJRE03WC
iP8TvhGL/Xl32iFwWjWs4rsc9MRcnToNM4pHvY/d6jpO4YlalBvzpv7RBX2+PPmIGrk0NxtxQmAU
0en86y1kRNj/zH75qbv7f71OLolyJGkvWZkAlh2/nWhl8Kh1O/TpN4BdoryWjEgsz6s/MknzmFlB
rstNHeb0EE1FLRqpIM4SbERhy7b80s7DQrMuHGmEnMEbD3a2X5N0HXdrhRRk2Cs2l/Ul64PEYkzI
WnbBzUpQxl+rCQDxtdvpMHKa/O2Fuft19f9/Ipkf2txk3LaIwNF+BbwLf97mJCsZlshMye82/tDg
UcD8bB/wprXr3fsfxBv19+fJB1HJIFVAY4bIk8/784OWqu7ilaGb37DeUljYS/xvPqGDzRs+e2Hh
3+qhFUy7g11VWWornTScHkp6gcWP96+EjvnbKzGdcTrFkYcA7a1l1WFwkx3PRfBtGqI+uBEodhRD
L2oL48MZ184qgv/2JgsviNhKsKHYIXfhzXe3kIsyayr0Xqux69tl1y0SehDVSPLtf1PC/yniMw+U
jcunbsSCB3cUvnmg9NerEp6e+212UsZ8fXdp4GTZRSJH1h1zpswtrpbAqLrfv61/ajv5YETixrQd
oJ4C3vAWc+ZRKOnjohxeZwZZRMykCatoekhcK+fuvv9Rzj8fITg1EG8BkDM277eqg6JtnVJPbv1t
oMcPOSbHU/1cEVN1hFKQllJ5O8drYtdXbd43gb0XU1auL8UQ0o/d1BUbIp4KUJjxPWMrQrLVDBFy
dUXw3EcLM2x8H3Pg+xf9jwcjIlwQqA6N/NVBefjnC+CQvrqzazevDRo/roIqQVn8mJzFEh/btg5a
b5fUU6v+Tcn/Rl9tHgyzkemMRLZDCRDv9Z8fnFiOPcteWF9XQW6zbpF05EygDCOZ9bSVcAcPFYZs
vwy/LFkFhXvX9X0fy21tYf56yutV90ybi2j8fAVDVcS0zwN3uRT1Qqa2+5e7FL19tlxgCO2B1yQ2
jK+3z1bQ8e4pYrVfsyhn4tOmiBa13tEM61lUK430ZSLUlANeMy/JeZuGxvc5DJpgWdgs49JPl1cW
IN7XYLC5Mxx/fsnQmsnx2+LHrw3YTyS7C37xNPg4pDGThc0UnpKVyqS8gafTgNTlGG48hySU9DQx
W7QFvpUPdBcMn/dJJtX8aV1MCLHpGIrFvWAIkMcmb6950BUH1+8E73eXaTCcMvCL+nugRyd3NkyZ
GVYUckksPhJoszT7lcHt2PxkEcMQcsDCfCyHVhbNfgRlu76sCL2mp6nvgulhKPgvegMqhB3EROT4
uBk4QAsY6hZ5O3OUC1z5vOhJxM/w0Gzi3E4PC+ybRmzAUbn8zcBhrDwcJ2S2dQA6Zc7UvUJpxmG2
IE5kCx56v0iXfYEba3qycpIlWoeeNp9mpYsMbrwYUtenDqXgdEr8qcuvKx9LylFDPGsuM1zZ45mc
bmYtzRFERoYskfwsl+CoMw5LGwEuv3RRAhDqJKNOMXup9RtZlqffX0DQZeKrNqHNSMadbScWN1TY
DctvmFOziVV1SDF13zFUnF/yUC41Y4ckU+r++hkdBeJ+j3gF6uKWJdfqGS3iaqQzI+1APnqWcGvO
i9fyndJfdxX6lObOCTSS/AWtGdRyhl450ix2sth8IvUPorZFJgG3RS4h84d3bPRmubSx4tTySuAF
wx5wV1E/NApNc3goPOTIjKGB4MQ7NTVxzKpJ3b7imXmzzQ/EIOEk4UGlCn3w2fLnHFxPPU/cQyRJ
6PngwaBlSB4j8i8zjSocqYpcQM+dUKOnK+1IfI3O7PFnC/VH8yWKGLfodeclU5PuWyRLXHHoTuwC
e5QiE1+mdROzfnuv8/ldGnmdN53jAexzgSq49XkVxoJ5oiigUhVydkFaVlzSwrfnP+qxMNcCMhie
0JYJJbyCS8ToJUq1axD4pymIfqICGLVs4raEyld+M/gR6x/EljHaxd4Sclnog8w97qaaOwj9a+R2
rsw54CdVhID+qVAzCdYhpRDIEjWh9fQko4b/3zlRxQscFpTZbwgdV6IM9N285wtmCrN5ZDTnv1Bn
7c0r7cfmh5LVo4jcIE4a+QWogzc9hXlJ2XzPsA85LKdptlEUX0/IZPmBXU95t9quxGJmVXt53qud
LBk2Jk5zVDGzAFPpU5yJnP4E0tPQ7ExZRTP0wDzng2CEmfQOqlxSnyGimdH9ppMt1zuxLDPLPxqM
qXRP/Y4OKYGCboObQADg7cFjqwogFU14L79tEUskqLaK0TxhbGLA3g70f4bJusjRM+dYfvuOkRrb
uRoGS1+WyYBLD97dwLPpfJhyDEBhJhdfhmLnkraPTC5I/Ia+BfpUYBg24vhqz0bMdrNn3DFteuZa
jW0co0gNaOduMO2o7JR4xSioHUcl22zwumrGrpIlO+TxKwBOyreI3PpszrL0qqTD74Q3aqbRzeLJ
C7OlhEovSAXLJTHr0h7ngTWUeHlXppft2q78WedOI8Yo5q6xVSLG4C7tagqWtDhmrB1jd4Pd3GXL
LZoOfde+cXDVZPt2qamEb2MGn3KTGDAfs3LtXCZqou0rNX+TFKbjz1SfmH2ptKd6vo8hOLOQMjjg
bE/SnwPuH7oudoeJu8i74LhqYEFNHRXl9oKn3y3iMgIL4Z+iClt0eonaeuSjfYfB8PLAdslxNC0y
5JSvGYPNmxcBCeEmKDV2LMcZAUTLBPmoX9gfGFlq+bezvaDHMF0g4Z9kpxq+EhrwtkfA4ZoQy7Z0
ubzWUUc28jsPYdc3N0e3ndfGRxzcEf6NFOQEJGUz+bFHSxR56a5LsGXufRt4wGPSzXz5vOXwX/bG
z8gVh4W2uEstI1F5sYtxJZw+RXBhuYO/l3Wda/NnID0QrG9XGAJcedBaZrsfLGZvvNBkx05MGao3
8GUi0dTm/bQYpKa2fkRtDAVE5kCfd3O23d0Ql72id746SwAOQDNXwK7n6il23ZjCfN93eXcOGvAk
h6CdRvkqa86Yyz6tLf864Uq9bdvIvPucs+euhzKkuv3NZxZMD9IvqPsveqU9cUvXCg4awybwEktP
UKek/dXEQm473/OH8aC1iKabvssSuGVBbdfOlVdxrDJ/R03OtuMZoXBpkbuvNAUYl+AzOHEumWS2
wc6nl2rjhwuTzzaytxb1CU7x6D8GlVr8lOGcUP3MRF93SVrGfPH9E9ZpkqoLlXGSVbAKKr0yfBdj
gN0fEnfFkjvzclDzVJSNbdtBOxmHKTM1CNDWp7Rg1hAHH0Tl84ACINp4vnKd7YKtqKVMl6oh3lmt
GxbUJUNm6qaiSk+4ktUOrade8b83tn10tJO5B6YjUJ7dqLBamSSWeMK6kzTM/GfGxvVFe7RluMhu
H7f2PD/NavbUtTWoxqIe72NkUQ2reoO1K+hhs9FhNDKuIOzlMZpFuoJHmEIZ7OIZHcgxyRVWD6Q5
Uc2wegaGuNk27Nehi746jOZrvtG9bad5hyB26b7HhfBGpiGFMECREQ5C2UeVNJ2AKFbaogqOCWX1
4AbsnlWWxymQhLXZ9wzgpEJxi3gfQNsOGLoZ2Rt4ygOQ2Lt8meLud/RtLwx7dh6AGLY0bnWbmwNV
oseS4lkvQkp/JxPdJxg+bDslRgGrJIjGEmBu8tAjt2T9N1YP2/7Ye/NkjhWEnObl7uivctZygPM6
0CQ2O1yNsputJEfID26vWCrNCGy+mNTR5drRaFBbeK0TR4/I6oJTRjUidXEIhSE/8zCK1kR/wVCa
zAG968rVLv5UV/Fx7Oo8+Ih1HdcMNFErhJeXWopagxw7wTYphoHI3oyUlO4RATlRsLaJ3Sx0tlqy
lxVRbg4NqLaJ5gyvB2Hv6eQGq3eKfbciJGpcMn7rghIq+OwNcQlTcrZC1L3ZEJn7xxmtYVwQmiCg
Vdwg2YTm5IzgQHKlfZqFfDZUl7BdHydfQMbatgma2sYwNBh1tBmYBsL1D3Fh9klsShV/xS2cmCui
uTM4/RecRCZejRmBtL64ClXgV61pGh8CtwibK+YgTRyLSkoTSzUyNCELIwLMPVJtEyjnx2gNC0NR
GVU0YXXiPKRusAklI8VWula94Pazhy8mRPpZ7gmG2pxSv08w32m5j2Vrm4pFQEuTq3e8xOJGyhSA
YIsAtCbpqEZw99roc80VwFHIWD5/3Ym14xXajJIBWtSHmoyf2NYqYEh66eD+o6HFVHFuGTw/lpuo
50R8BP9C7enXY+TAdJwX0r9RPQE+gZl58IrG4RmNA5KBHoVaOdEtYUS1naCEKENRlCeUv2mNeYVw
dHpaQ6xy2QYbmik+9fR/6YlJm7HaDgclXWG90e5iEnlMNyyWmnqdQ7da232IpJr2MoGzm5hofmpl
34uTLdNhiu5WlbltfhXgDuJ6ltU374Hn9TZfdQLCMj1VIIV5RbDWm4JXA8Sf8U6TbwI1B0H1x7xz
zALzkjHv3GPnhhVxdvrrdM0mJArWdsTxwwvleZIoEIWFiTcVbrhlmzDtisja5g4UPxic0/Ab/rv5
20Ql/XqnqyjkuHQyrstFDhua0LAMxtQE88i8uJhfr0epBM+lGjUWzyPNb0/VV97sTennKdIpBiJo
OmXIW03/jmWaL8QExcHvfbN2qwapwnXNDB3whWk1RA5TGhgY4hHU6nbh2Y7WVPNZzdrzFWwzxIti
BQTqYhczu2h6SMM4779MPbN3amaJjlKxuSza96587aiSnr1wWWe17ZoksJCCjM12ZvNABj8mvCTx
5DmrRazLpccsjeUywJAwT8fZ9bryy5Q5Mzcl+RX5DKk9EWsMbdTzbXPcdgQGvzNivOcxgcGcpjbZ
V5N2Hr+jk0jheLEsa35Fu9qtGG4n2956mcxIR6asT2mkRIH0xqdgrTyGh1kalfqdhdrTxOxBZKKw
fnZMkg9WygTyKTKH6SkZkpSnpmoKuu1uZi59jER5Eg0xSiza9YW7bnbc1enIeS+6UDbA5ckfWE6B
4OMp7SH85MdK9uTgJEMxq2zfhDNL/+RETkaqUkbEUb9evQa1CX+5suoY1wdD39E9IjSii8vCaLSp
H1mJt5glCexCN7c2zdqm44asJuMWsaW4kdoJzStOtgwWMwhKn+B10UUKQbCZx/tgDtfhIqILXp2i
wSWn4GCzIOaRBCpUFYegKlt+TOwrdH/HomtMJAq0i118C4TYZI0g3NAeXXTI0tmkCPjHYAsAkN15
j0XNZIG/EosqWc1Ft+usl3TLW7ZgeVHRSsbrT1HBQidJsln9OmsaHmnuILMpT2ODbbPeI3BMlNpD
MvXL61BSHOEvrgsrCnCY2bAUj9ECXVUOKHTB0qLxpDOQeU35xWtnk6Evv3YOAOQm0K2d0qzK96tG
/0PNiIkTAH5o6IT4pd8UWGFVRxpfnP46J8rkmVNmVZnYWeCwqngzIB3nkb7/kW/LnZSpItJTZnmA
+IkInP6sqi2yaSJbBeorsgjTvfm1NCoQBhxd/+1HhU5EjOuZhhGtKeOi/huUwc1SuU5UJ77mPpPK
iDwD30P3OrNZsw7e/6w3rAq8vpSOQ4QPYIvgbP6jKzXYzlChMvK+zl4Np+1yzGqXlYiCPOM1zPoa
bwwy6JZNY0SAPVBEmaouqrYSRwVqaKj4pgpHymv2nl878+/eh0FqmRAJ2SlnQoh9k9+9f/n/eCoY
JGwCW3SSpOMMA/jzVs19UqtUh/Aec2fmOjigTFrI4UoK9f5H/WPNeRSGmSkQ0AlygV++eSqEUYD+
CKC+xFnkjcspWaJCvzhraF4RjCgga//ly71toUBechBJgvakm+C67ptP7LvBi1Lq91+kn5k9Ss28
bHcoY8wB4WKkXbBgEe8TTCz8/nsFjqe/ZberxcX73/3tbaZrijKUIi1tUuE4b1ekZsrcpOPU+0xN
gtRxyTKqVBEofnbA9z/p7V128f/wbSEf8GkUx94Ur0sCw8hDc/0ZCX5YXitZmdQ8B8jNIZ+5Jmp8
/wP/pNHQNIFURNmZJq+gw0f56M8VxNSslc1k6T/3DX2ibN8zMIdtjk1x4bkmfVfNzgYC7pLFWyY+
Z5yM718ADsw/+1OEWnD9bY8RGHit/oGmIUvMKkeGzecus5e02dPLWpnjzZinuDj+ClumPjOhMR5s
s3//Lopb0KdJL5DqNJwLcCvMzanxC/ELpf+Ft7jF40W2gIKs4UgYSt1Gwy7ylBXpTe6Uit061MIc
lkhpYf4wMg8pWrbx2J2IRVQ4UjxydD9r2HUlJbp9RDDvKqa2TF0EO6C0TGw1TIMJu6zeDclihrwz
x3kgc2KbcGDOEmex7CWXFf4q0A+E9uyaZemaoKmI1M+Iz3VMsAyktWAnsRnxzf2P0qKnMulOM5ie
y6wpKcu+f/v/seBC34UYgk4aBs4/l/ZIZoEGf10+tVnnEbOmEr9Ku4tXZSKA3yXr9z/SvLd/6yuH
ZquNf/ZoIrQA/0B80ChbVDdE+lOcBqbGOOLFB+0AOay0bhBKcQV4ueKRJGp2EhMUIj42V/P+Zbz9
5sYrbLNzmlG8vHNvsTMNA380zzL7VLaUP89IUVX97Jba7a/cQd28/2FvFzkichF6VIoCDwqT/5YE
Ezh2mmdyGD5PnSzWFzDlZlkUhTSR1fsf5b55pfnpQIWMQTn8CZ6x30QHqZ7tqmom97kZlB3tEsqX
CLgRfOVkunmBitPb0PCu+SWkYMO6nIUXv5CsCRDnkrIuJRhSHtO/l4CAiUOd1TeBep6SoYD6463I
2iIzZa3ZMmWAiCnSvIT4TUyZuKzpjjzBEfX4clYpOIvS1DKdImfC20ZW5TA0t7uwLPbR6tC0dupf
v38T3txv7gGQd8/mPfWZ8PqPjqkQqYrrYJyf4ZWYkzlpaVVA/9QtmfP7H2VmjP99PZtnyuYFlxAW
N3X9t/Q+3Upqqo6fPEV++/OzRkHptJwYksrRxFbPFvSr914h0uEuNHNjqqS/f9dPo6kQWNrm5gof
c7JpaAAMpfNWo47TF1YJO2O9GnhVAzpYEr3ZcfFGEqY9hEfSY+RYJi353fijW2SaSFZVuLw7a4TR
dMJ+XJsHvoqCT7H+L3vnsRw3lnbbV7lx56iAN4M7Qfpk0iWdyAmCEiV44MCfg6f/F6iq/otU31L0
vIdlpMyE/czea79vx72fo4kR3gKDGc1JljOZGVQtE4YeHvyozVqM2HRGP1do3JFcuxk7D957UcSU
AziJAZG2/s371v94+jwPhqS3GD4ISedd+AulqeEXjL4uom/FaHlfsrZykBCyHt27uS9sZvxJv41t
GVwohM7RWgC03ZeQfR/HeJHXVv5QsTSNrTDQ1BLZAqXzIaJ/7W4K2Y3JKvFHc58G2W3Jqu3bKGwM
7m4LrHrFLse9JhwQhLGedpe8kRJIN2Uy5muNiNWnmT3ySIIusWuEuUAXWzM1zB+1WcPA0JPWN626
oL2xeSuhwYSudOmpFuuGQGLHTrx4xIJqH4vCZEuQiZ5xXo3il+AHo3hBNeEQmRpj2MTGj8PcEq13
b/J+fhUJakWU6m7CCCPuOvxoFTnsnjU8ppaFKdfXMY+viT0Tz/kQdG/gddo71yaZitnUgMltyLas
CZRYVeyLyFyegpSYTrscj+QZbvopAGjrJ1n2NPiuy9Q8Iuykn9r6fsYrsab8RNdcaZq90l391u6V
/tVUffcCVNcmJsIBryzd8iL3unRjpyr9DVbx48OaC4K1MkWuQ6lgmxQKn55piHRzr3Hi6o3zJW8C
E6b8xi1qQuhd6E0P/3xHf7yhf34YbiQEWQu2n4/8WBORGEhp1wbVG6LZEo2Q1GHEMF8NyzK/HG1r
oP+L6/KWFaGX/6Ye++XKf/+ZaHVY2fAQ/yybGJwuwOvflm9YcGlcLfwacgs26rfEw/e/6X9fw++/
0jZNhAeYm3ghf24ipVnm5ohW5g0IJveMZfK6AHReLkGuSeGdK6Cc57SL0LfrhROItTUKXAVj6rhr
WfTIvhDrudet2wbHSmu8B963HXXSUPSPZUnxYvZVKUKzN+xbfaFPlIPlnyrGs7ejqcynYLE4h0Zt
6GTK5vG1VQZcx5pXukxvcnZxxgQ7QW8D9ZbVcc8qYWi3BtruV1321gqQm/WbWuiTCI9DspQBlEEc
F4t39OeSwNAIhrV9Nb/Zw3Lwk9RKdha4wr2c5WtlBMWzpQVyPUA/w8jUau7eJgy3Wv/z5ecsF/OH
M+MtYs1FDwKfjNf4pyYAxH/J+iDx3gD9FTnjtDYPpY+0GjBrMffr0Sa0Fm8SLn4iq0u2PTWeLeZW
l6Nwxx7uTqxdz0Zs761ZMThro+ClTJmnr9pcu0xV5Z2UpXaVVVr3zECL61rjpIUuizG1mnvJ2iWr
OzDSIvDOlI0jcbR2+kO5WXpleUQSEYMMrSOuxXXp9MUSUbKQiIpkeNCBKN1qFUzD0JXGtLXMfhpC
C4rE/URsWoYSX+cHgEYKwrGPWQF4WZOxCOGdeGc7mn/CtW8/GUy1CezNcxw9/3xwl2P3+dgCGqQG
delmMXN9vLcHRsKcdy96a1LbudIaK3sUqaXUOm8qPBwTvcRvPtH4KHzlqvJos1Ddokcihwi52seP
NHSzaEtend8zkdlHxmbY9qNBaRcMKrMti4ieJ70Tt28CBMRjGsv+lKaBfquNgbX9za//9dKi1OTx
aZIngxL3sxiwnUoHiz2RhbFkwUDfXkcvdTvjm8Wy4eDGMHMmHGWNr6R3mBWus8R19hhACDcCgxwQ
2qDBVmpr1/uS9ljVGP0yQq+0LrnM3bTbN5Ylr9whiQ+x48V2COrfnELIdiaJQzDoB0KifELHy9kR
O43Dss3yXrsETTryP5DwcHoH4wBR43WWORAMYrKxG3gKaX7CScgKXLPKMSbuqVggBRNMhJGl56Mz
0ppSi3R3vSkx55UFeMOWRDCdK5F10YrIwe7GClJMBx6KOslGk71ST0pAvOrQPlxOIgBrUqcCKg3H
rzYOiFMm/FVubD71bZ1+Gcja/mGnJuapbswAUv3z2fn1+cOVEiCaQ7pGFPEvcz3LZBOayyn/7rvM
B8JgCrKvqDwUW0NOGT2V9zZ3Q3RwK+2rAl5VoR4dxe8QjP/ugvUXCTKvPrjXzAY+XrAopTpis7zi
e1S6ali/nxAogUlxSgsXKsU8BvcNIbJbBd8NbEEkn0G+km6RkNd1/5tj8m9u2CUXE3S0Y6K1/KzY
nbGEjmQdZt9jT3fv8BF2Z7PA9uEx2L3gvThcAUntj8KuykMhLYPcam9xpxU9RDQv8REkA5c7pdpg
/UA53zghSIv87jff8peSwXPRuzrc4mimaSo/HTKY1aoMGnv4ztS7iR+oLGCAMElU4dDp45UJsoyd
EjQLf+23Tv0jmTHNgGgwxbSzwCg+OkERn3Rvyh/MFj/TauAtsG2ztuBwx5m3shvWvT+vt/961u+V
+P7//u/rW5lW67SjSfnW/504xqW9PPf//7AygIDAytaved1/sFv8+Qf/8q27f8AjQwKMuhWZPC/r
v/wWSExtuGOMSnVY0oxWdK7qP33rdoBvnaED/xm2LspPLpU/veu28wcIahTN/DFuQB0LxX8Q7MSj
48O7DjUZgxY40ybOdYex/ec6lgJDUOp75mnWSbabdylaqD5a1yaxeKq7ZHMTAOrgTglHHz9uyH04
P2vErxkrMzX23Si0U8R336hGK7cxy6EV2+vuso6rfdJaw5GVrrdmVONe1EOl3UGtRLWHQeiiT30D
JVHp3o1kdj5kPgrBcKgzbWeIpiaUL2uIH8LFy9+HjoukmioMxshi9RNEi69Q4j6N9yx8Ll2mUkfa
fMqxJrqd5uZaduDQOI7EuQlj3yzyVfpyYi4K90gbzsCDDXcSN2+DY+AjzwR34thmKzLw1GVETOtm
6vW1HPVvi4shJPtK20RZZmyVPhOqVwMhIpRtp1VO9RTwmIXAlKcMEe1NIdtrfM32BqJp/9qavbUt
PMxzuP7avVW6fH5pdCFHyka+4Ad71Q3p2YuTel1iN92L3AxWbECjkMXauI/77LpVgU5OXT5vgK0b
4cCQAYiGQDahO9Ya6ZAT4jGT7JmL7pin3mViQLkiHuMc6OW06SNvF5QDIZrLkKMweSMEYDNtErHW
ZqTvtDQz0FWoR6cfFSya5UeIHHHFYEVASUBnoJR2NwS6fC3RzVhSlkdRGemFwGSysky5qWePgOxC
bKE9VWhPXC1MGeWGDSa/IAqOPal5Kz83RZjOkfaorLQOLX1wWKfigbMGKbemHQekjJTqYNYJvt9M
zIfO8Ed4NFOz7aThbE2iQNadpJ1GmeSiQ413cnDtsKGp2ARG9iKksC8azT+AogWA6WBkHLp2okGK
d4k18LJE97ouCkJbsuYeO80jAm4oB5MXxqNrb7Uq1TeGPic7T5SvjEFesqbHK0py+mriTbrRg0w7
NqwRbFaFbEADZ801wb5ehu7EJeG38W1AbsJ2WPazZkyyRk5XMvqUFnaHwsronUODXuNF2aRW5m13
IbX8KxQdyVbRF5sszdTeqUC6zfhSGc9wLWA6bCBkCdiiCNo2NmlZK/JBGqQQ7RdkEuU692S0dqtu
pEZRzY5qwN7UdHNbVLbIpazsAd98fIlWrtxa/tc46HTQ1l6zYgal3SPiLLsVNlp77RVpei7BWayI
ItFDKHNqJ9KgvV9ycfHrB/mZ2Ya97rr5kkdqsfUzYkzIiHS3c07CLDJcb1PhsgixPOs3qdvOG33G
R2t0frJCbGiuE3JjKfgy92DARFqRrzNCsYkPvTOaFxhnh7VmJuIBQBlH0Y+stQlzdOWSGL92MGuH
urPgXZxMf1ARXpleMxAYjM0MckN4q2CYjbCd8+ou1yx1g8NDPxp9B1wJ3D4orUnLk40rfMK0+tJd
DQUjAkvha+arDidPq5gGudqpAkG7q1FOaXb+NR3dBAqqXxzGxovxT48UFjPHU8yds8eBlRExpf8A
ssUCGgfqEWbxwgjq73Q/PQzELx59AqFCu3UWWlTDAs6qN0kgMZJNhbu2bQAJZhN8G/rinBKFFhnD
TQHeANFPaqCW0b6X9qy2RUscTO+d0mkBKnjVDvO1IkWvqrb0cu2qbDuxVtEIYAOQdWjY6WtTx+Dy
/Pmuq026wQXjT/KuFk7+gE5Y99XGTEE+tVXDJRW77aUyve1Qmq8BwoHQJ0EWC0Dn3EXsW1elF2zo
SELm5dlO2s33kWofZaKKrpw2s3Z6YRjHCK/dNivMkaRMcM2qz8V6Ckp/n1j6dV2YL67bnfDgZ4fO
kY/+BMnHS91+RXKVexhIILgPgvEJXty0FsL77ibwCkdUcSuUYPeIBi881v9XwjePKWOI0Knr4hKK
Sljp7U2B545JW+Kvoqb5gWJHX6dQPmAuDvXOpmBaR3hcN83Uk+lMwsIO/AIWWTgB+yKrQuz9LyAV
g3tlq31dVMbF7GbDljlEs+19oqSlzydW83zfjHZ6g8jslBm8hKQGAjKfENTBYi627eCQq1Q6dyKn
CXL7JgVi1h3itoGPOVoYY/uBQLmE10uCIOO5yOWXKRoGcn+9t3owMf7HRbIdaIp3zIC1bQwrbuWV
Y0DK03ij4/kLG9tevvh0KdD4r3rHxJgSnXFL1JsJL7JsUqwdrl2QM6w9MW0HJaHJNysVAIGLYSGH
zGB10WkT0hFBB5QyPSbYwlHE8ZSbfA1WVeuXGCdNC/yb5aBmmaytia56JW0BS8bLniamPIdZ8+8Z
8V10edOGBCz/sDThMS0soq2GYDLEbGlskfn7G8Mu9aMvsDujGgPbxFN1y1yoXk8MU6zqa+F2Vf9A
LFDU5VyzGnxtCH5AnZGU9w0Ohcc+wo/CrdhAEGe0wtVX+tdA84MJXmmC9IKbrM5oXi24UUgVQXgL
IMoP1jBVlpsDq2zpazds2nl647GYoVThETUj52zZpee2z0grq7k6sk7rvGCV1T6bKRgyBcjpIqwE
5MT25w7iv+X178prnUTnfyqvL19bVbxWbx9q8p9/6C8KsEP57NHQuViFUbos9fOfSCgv+MNmeWix
GaB2huHyr8raCv7wUAkgU7HdZVCsW/+qrC3vD86nhZyAQp3Wmf/0H1TWH1tSjFrU775OR4pplzXT
+0b7bwKVSh+ytsRgt/diw5lD5HtoL2WsHkoD6lscO85/NBR+/0Bvyd9ZAoXYH37WXvRMznptdtWe
zMD2Fq3ZuHqP//jbSbj5OQT7uzf2Y7vw/im0DEw+bWfJ8fo8/ewdOlWg23LPejbdTaZsbskEB2Pn
2WKD9p5MaCqutd1k2rmbvN/5jdEbfOhXli9gLB0+MlkfnyPapo9zh2FgmzMqr+cJ7RJTKKdkpr5O
9D16WdKPTaIaJMQWMgsir6S/iCwsIa0gTnXVsTu4qzGlxiGER3UJLoMBbmwgz/bnKd+i3lrsIzgk
SgzhGmRmKTKX2WiEzXzV+wrmfq/yMzD2fD2jht0ntrOgj9zmWLpO8yVKG7XjIfUO0zQUwQDNstBk
jDPvdQwF9/Rh4qqdcuPelKO86a0hOk5uJ17JG00BONaj+pEACduOVTE+UgOoXZfJ6hQBsFlBRPcN
OgOzOiFBqF/Yi4pnI9b5g5NMg1PXSHNjwHs9ByODX9aJglx6DhX5KDEve1DIJKtYO2CM/Ezd68yN
N5McqmpCNDxJLLjTzBX5hEgNQ5J1ilB4aXtbs16DuOpNTNd7zw87UrEvCVkE20tzQdRh2hKIZDa3
XdlHx3nw5M5tDDC1/czXYeX4mOnl+Nhks3vH2TE3c6ebm8p0CmpO2XxT6KFWiCW5hqZK4beP6ucB
t6Ag66DS9+4UcA8hMUcdWgUnFzr9vmkS9YMVtXpAFKEelN52Ty4P6xOefvvQxL1xT75q95T1U3WS
dR2cytLniARZQ+y2XU4MV13sG2FeFAApBWX6xC58Az8gPws3Wdw8sbsCf9Z+syP+MV58NeBtzDne
a5JlYWUPzTdJq/zga73auelQHGqfk6s8MgfYo+Fh6qyqpWUAA3uAMu2H/ezka8/W5E4zovwcTwae
DT9prmwiTlYFAsXvua70sCKWc1sWus5Dw6jJoWzGxyio58ugGfmrrKUmLyMKPMkvDiZNXEX4LFau
1jjXGirVlR3wW7BWBmEfgIke85xLccSU8R2doVr4u/Z1bHMmopHkJbyFao3R2y7XhRg4rnksXr0i
cFj/0fGue6kxQamTKDq7etR8w1k7X1ZToh7MiejfChfBumibfAubpH/TM9e4J9yPFIK4mLeGxrHt
Ys7jYspCsMMlWlRy/K5afv2cK5PU55kzYbs1IF6D67/N4cEWsRcdiy5/nrRuOCZpW17H/g/UtSyh
Uq1kw91FpXlIOudFpz77glVveIwR2yWhqeXpztQB29jAafDFjd97Gz+NyBwuSty7K4mJ4sr1tH4b
Nba4xs5gXwf95FwP2A7uq7QTzwMYzhdmH1ytXj5vocvWL1bpqIvM0pw76SsfSBYTi5VfkfwRI5iu
VmwIMLG0Qb5+/3F+wk0A7k47S4SR/RpOxHxJrdM9iU7Lz6ruQTSPS4togGg6yiIrV+6kp/seX4qB
H5DAe0em7TdRoEnkqs2B2KrEb4DOkMiQ6XgDNy5K5aveNWPffPJz8nvd57FmAP0tbQf7OSWfPo/3
4F8qe5/2s1ZtLF2fhkuouuRZTbE12Gcrp4tobKkeDFzFK9IToZUai2mvaWZ3y3Xo0GaxBYX8Inse
TUN1heON+FeusKOt5Te93mm36P3PmjNcMW8pt37iObdz6/Ds9KR11TrxXeREVyWrlLXucRNh2kgO
LOMfOmAgm6GICBK11dfUL2lwx+EtT8zyoFXxNzXYySGh2wJfMYhTDblwU2DMJf2FpFiG0A2Z13TR
fUP6LUFhRzkz2DEUnCGSJeJ1LOL0yp5tdakFgukGHOmjm/lHLWcSkBYNITDMppsD3rhibWrSXjV6
7IRlmo+MoIriBzrTnhEFVOzd0NkK+XF1ZjmWbsxSCy6wEAugxNm0dRNu2CYrjYtURXIzBH58mBUn
0jRGIEeVNu5Lr1ZIQi1/U09w84RFhT1iHt8luidW6Iv0iwmP5B4m0Z1VRsGWWKLuZFSBVWxMjv03
fDATstMm0OawnDmHYVz0tM8iRR1tTC8Vg4oTon3si6Y+HGJ6Epi+CKd4hblAnaLumwWgDR5hzDuP
F7i/HcnxChNT9psMsdMZ4YrBkCLvtvE4AHFMcmIzAl+++M6YhURby4sKbspCVMmfAy2qac2lq3YB
JuZp5dFZrwOHVt9jA06FaDW3VGc+8C3H8g6C56u+VjxE6GDyZVcuuK8uQXKLiwkSMY5b3TwATuvW
qBW4q7pNHLNqqmquQDhmdNZuKx9mUmlWbVaOGEOr/VSwc9bqI/j3+VUAITmYqpzvRSbqeGV0AWtZ
J8CSE6mbNLfm9RgNzTEvEYi4eHa43KEkYzNCTIh88tbr7JziQBlDGLMHC3XhbxumUhtij+dwcqD0
IhfMvnhunCKnUNPWjhZedzBq2yaBUjbE5W1hALzrUn06pCl6ktAex3WsxcFjQRDyDja/gdmqThZ+
Y7Qhttm+xEBB8m0+aWcWtj6UuFkdFdsSXHNOkNibxm3L72THXyUYNk6B7E1slNMEl6tAlbou0SFf
CvYqB5GUjHVSULYXBeic5yHzlB16zgRN0JyK7iIhf8iH3Zvp30VZlsUaN64ryXnSxwOazgBzl9bu
BqNwniFSpow08zQ72X3cfSutzNUvjc4e5xg3Plv2Z2h9+n5K0LmHOiHD4MUlihYvccavdWYAiium
pS4QzS3RdcXabUZkJP5YpheaLBbssfIyj8uvTA70XO2JpMraXrWy60Cz1066l5UPXI4sDeda4aXZ
Q1IWX03ha0CABVR8zo0evpdIUAZ4DxUMUDNIbSfUHw4PZ0FgXhqRDhRPZg1EP+944eAmUz+qovDX
gly/Mzya5R7IKRO8CD3ROnYGCqIkLVdNIpzrOU21s1YLMs5Glv3bAdAWRgIdRFlJkZesbVeKr1IM
s9gwkG6ujJm3M9aD5viz+GoA3t9nhureROZlEBEc9D0hag0QZVIpc0MZ6t7JvKEsWwrGamOOds5W
1SwOzO6rE5OfeW/r3bQua9imfbuk35XCbKJ14nS83IOy1s4VEL/H1LTi67ik0qgcV1zF8/u3CJov
loYPIWQwsjyU51L9QNULnj7wKE+CpjFueAxWb5bARYqf3WWUSJl4dGMeRGHZ8nVUJ9QuMbThMUl1
zp3BoLVaYWFSu5gV4AXyDX7/ME7rGNX1rqbYehYdk8xOLeVv4NbPXi+LA6g9PVzC5+/9UqofvkIr
ACmi3lQZac5GOjHxVwv6mwwpqzgwDW9u/7mHQY39SxPhWaZP06j7AZL1z5s4B8SuKKBH7iW7/ZXy
UsFYqAzUtlbMOUVaTWts+94PZj/jHowtaFvDfPUz8TQRorBJHV5TGpEj60GUIHZb034ehaguGZXk
FzoBJy+mDXLqUsTQuC/aJPGBERj5WicwfZtKDmTJKdzHQepc60YiNi0R7WdZlMGJF/e8rSTpUXZC
FdU2Axlky5klNEY7w2Jx7zTHUz9KP9Yd7C+2rYUWuD9eFi71BtpFgjS4cJJoEezQpFAPxjn/04xs
vQoxBnMHvNdIjDqa24oVOecyWMqlnEIqYHzCbiF172wrFxu4wuIqR7N6ynAwbUeDVi8ek/ERZw/x
H4FjFi8seQiZ7QvMrZDpMfc8TcSm8yjoerlxiDvTV4OwokLbW9jirXblmD3BMgx2h8p8rCPbCDvG
jfnBwwYVH3JeJetoXv5FRCEVrXW8YdiwoKz7Y+hQ6VywN+vevMKSgqcgtVSrJxmTvyjhF8dVUG8k
Fz9IH8ZaO48UK/D4FFe0MfqerodL27e7JyIk3ZVZGQ7TZI11SInS4vI9btVPbPFVZUO+bVNY8cPI
W03Pp3kfzT2FHMSQ4bFPixevpW6fpSGe/amw0nWr0pFinmMX5ITFHeeZg8/Nrp3bzLQOBjfsbW6R
2wxZz6tWPrIYxt5+/QrOvn61iemkzipMCH2S82n1fntDB+CfFP65cJhottyi6p4q9nJPUhrWAY1T
/dIvNTU6+GKVlD2pKTbsrDFkvjkAno/LQ9tlVIuVZ2F7Tr3b0mqHR90YzA3WqfrV6dp0p9tUtsKg
a2EUPHPn9bXRPZkZjXzTFOKq91iSh5Et61fsxRAjUaP7/LPde+AsZ+6RTh8qAjMM/mOvz82398Bt
9BvYR6nKQye1532V8CxiAcM0hCTdIAR4wKMLH++8dZS3pO2YzZdJef7JmGhvO6InTrEh2mOq8K26
RAjsWh5cu4p9Kt7lanz02V6GkBJSgtnovJHyiKuSlI49xDE6M0IkfvjcpfMm9QkTJBXpZpTQefuh
p83RnfjaqGwEe1PirpB7OasK/fHt+7eWdsDwACAEF0ZdLOfAmpimLreqpJPlRQLOUdCkvjiNHLay
LTNksfpkbrCJ0pEuTUNKSl61TpiU3+pVy5mpM14B789AUTHUXXpsdZFDEEHU0k7005bLoVqaQcBY
6oI8OXUpR6Ya75ehKWl9ubwbfS8HTV3aMZ2mBUDt9r3ThsoDEG5a9DrAWFCj0n0ww073hc2LrGD5
eRoi11m9t2VarHEY7IaOgkEPh34ZoMypr7a5oBGfkuQH0nN1OXO7VSupYl4C8O1wKsdMDXQh83Mj
bFkCrcwD6kNehUPtyZtmGBmKwHWZkekQVSNnfhF7bjC18cwtWAcTo4/IhdIcY1BfITGuN3iZaSNF
TFRWVS6Iclk612buOne8aHRYtO7YPfUZkeA8w/Lmy2zZDCicfmq+xeTnbDq9Vw8V63bgG21xQBG1
1Os2jzU6qej43iFrhEKHPkuTdkWUI39TadJkNzOPOMvg49/7Zg+056XMicytliB3Tde+6/p7OoO3
xBEVJS+pptPz7c9LE8veFndtcahqIzrrRlGdRG0ukFPbP/l913ypDWYXBrooqLvLGGeCRHQ92lS4
K6gPPNw14ovrIqhfJIwtuCtNcEJnPW/rKeEQJk7TftMrixOS54Ox6ShbNx1QjD2W1OC0XM/oC3kM
d1HdXRRdwSQoSD1qjbzlj+MwVxcpotz7ZJk2Tk22vAUojF8Mn0vCngfiN5qofgW3EF97YOK3Rrtc
P7lN4cWTKCxcfk60TB3eywo/YDIV51V+Lid4EyhgeSLBlb5/fzcYPaM3sriTa49HPv0+w6tRc+xr
llMOr4opILgk4Ag3Kjfvp1aNq6AEvejWVCA2bQgBDOxShWt1QH05kShSi4Mq9Oo0W0N1ckyKh3I5
BzirxHPXTS2EgbmmKJpgW7M/Hh/VRHmCsd0/6eya7rWSNJeI59iXuvOJzXSL6Ejf6K7eRzFIC20S
XUV0jKtkWmeSQUbH00SsKC/zbYyNh5AgOe9Jk0QMwY296y2L6VONVWil9LF+KUw2Jf3ErA6UEiVa
T8FiuUQwmgz1kDgvF8/7Y1ZCu9/RsauLtrbjJ7opJUJllksd10m6/xY+c0uz/CA8qiUNwAWbeFTo
157O4y0ZuY/ywOKthZaL2triWtP06Cwn5hRmIcv0gPGwOU6iYHizPCrx7JubNrfyawjB5L65qcO0
QcNp3gS8HxJaVe7Jlqlg1XvqEsWScW813vDdqyK56/nqIekn3Lis0PK1KGrxtStbSo4GSO0BNgjF
oyBFzcSUNY4OR+093tX0E24VbOwTnadOFTpOzReqkswOB6lgcRZ6HVC3DE56NWlgRMKpoZyo64iw
MUJo1uPACVd+Pl/mJqPM9398vzGhxfCKAWzTfnMm3qmCl8qhQol6I01NbcuEHJEanwVUK7s5xp7D
QwaNfnxtC28myNFJ50vIn1TCk6e2sst/DPZcuxvSw/l9y4DO68SLbdIRTO0Sui4bSmFhzsOOBo5f
PB28Ipv2g28/z6Aa1vMyAe9pZDeDs3Dn83rwj33U179T/H3Ujf0ceWOIArDqYHf0gmXV8LdVwlBb
dSlQIuztlOHwCpWdc+25vbmJ+yk6sq3UQ2xwYkNYsbzxEJ1vss6x9jPFQQyF9MxWuzl2FhF3GHKb
L8Ng29djasoHHgnz9p9ra4P9ifhf7ezPL+sjI1rojmAIP39ZhE65N2pWtye7QCfyqHLv4IE5K93I
kmsNCQDl9VKIGkQv3ec9PhadUcYxp+Z5zQSj1feT/c9f6n0r8fFLIb4yF6U8Cmj7l91IPHAlk3bY
7eELNFxoAcKWzh+a0zwRz8CmOFnTvc8bZVnMJqKBIVtGEOHOS5ZOzh7zczZxUVmFy9Mgcuo3RO7e
re+CoOYpS2GotTWY8oUe/8/f/N90KosCdzn7GBoWs/PHc9+aQGBiHO6AzM3mGAXMbZjcUz02WdPe
FsvwdbaaBSdALdIp3iIVgbwRCbjOn7uX/64qf7eqxGFLA/kPSsDv0/95rtv8w6ry5x/6a1Vp/MFa
CUs8CjvuX7bGf19Veiy0bJZAXJwORN1/7SqR+kGQ8h02ibjPkfNy8v9SAeosOIPFjksL6+BOd/6T
XeVH4wzliLPkpbIOdeBi4tz5ZJwxRgYz4HtqvHkMz1d5FTvXVjuJK7BLvzPTf96L/skJ1hfFI3b0
hT/994cZjF9tbnyjOnjWBABiVMYVTWHwqDgCJybOv0Owfn548nm2bqPl11Ffggv49NtaDemj8HU+
D8pCHE46u5Mwk7MBcc22DlUPrW9jEUx4j3LCvP/bdXDz67b0o8vy/cBSr7u0IZw93Dqffmyj6Z2s
u7Y6zG3fv5U4VIluMUbaCWOWZxnNwWNk6r/7yf/mEPOiYEOKe4Fr7TOGAVMunZvv0fqxa77JkZq8
jVVJAHuwRFbHuvqPPxBds45WlU9cPNqfzY2ZrkmmuYDfEybCF5jffILB+mBT+pb2AmHRff7nw2r8
clyhofIsx5cecHDNd2vg396IqkOkF0dy3A+1bPJwcCOw3TN2OCbTeAJ4eQ+pceUXlX3wVG6cG9go
j5UQHikPbj5XYcwz9Nwr08RqALx+xHydMGqXgfyiTP83VwHKxk8vRW54yAvc+6wR0O3+IgYo2QZk
ZT/sHY/JF3Wp6UQXXVzozTaueXqXDd3P0agTcHBhh6ninntQnRk6t3u8lWhG044Q3VIJ5zW2utYN
qWW5lrqIiMRy9o0rAm3L5DhiIymh0ozGVQlWlwFm7pDzPpDryWwWn2Y4KXP2t8KRxpXWejBAB08H
+aYpeTZ6F+0Z2OAinNuxdr76o8VqEA2fHDdkyJnZRWstYbs8Jdx16o85pH991J5YdgbRuWnNlksO
gRv2C69TGklvbHkM4ztXqWQgZKRpJi/RE4/2razUdEKPWKQr18kQKwW2jWZueRC0ip1VKMdO3mgT
1V2AsshnHdawlctMQe2lW4cl3btZyZFVoV9a443edTWBuDR06UrqWbDBouq8+q1OdkpbGGZYjpF4
tpYsFa3RjHunZ8Sbzin59cywqkOlAvns1j3ZLsge6o4j68jzYGPfgmRpT6yCOj4wqNLo0cxycrcG
f3Je3zNbGLFx3Fr6rCHgpM3QBR+nZnZeXc2VZ6qOYNNYrA62qk4JWA+kRrHYjZE8/7xWk4w93Cqx
UhZzaS6xZWY1nT7eM/HM/FF0u26C5QU6QOXJMfCitDzkjdaUuLEQSgwb1pTJE2V38IjtVLHyYVMo
N5CIuU7GyrVff3Y/seDmZ8p5ClQbPIqCESTL35QrQ+ZCY0oo64uWpB1SkkQtb1BaMGAYaQEhvpns
RNGVIIyIaxA3LAFbTlKQMIQi1JD+dhLLb51sqPR+XMOZXY4/wkZnZVEwb5Lc89aBryVgiKpAv3r/
f/ooIvRM6RnPjTnZa/zW28Trx/UEfXg7NB0XcLLcHkD+COXouiyKLowONCit0TTgxpJ+cMY7bbTQ
Kn1LJ5Kp8PXsqkchJvBwYF6Ud8JFGxhj7oawui1Ym4aRpfEHqiI19AOkKG8kEep/2Duz5biNLNr+
yv0BOJBIjPex5iqSxVGUqBcEbUqYp8SY+Pq7ULJuS3SH3H73g+XotsiqQiUSJ8/Ze+3CKInfaLvE
2GukOzS+IiB0DzR1HVLCKofIljIGvHptzYF+oaMxvg3aaDiap+2c3I3asMaPLZc/3rdlOexbKy7H
1WxmFZGr5AxU8FxXhkMIpB21T7RD4+2UkOgblnSdGfAxamim4ygbe1f7qTzTFuzXwzAeQohUV11U
TU9uQZBiXIdEz3DgOdtOBlXCi8Un9BTNpo61u+r0JG4NnMwPY9y0qHDDwfnc2VkAzFu2I12YIJmu
BtoZB6JfomLVm1ZFRVnNZ1/10RvUfnF2i8Q7YXFzz9DO0JH3TE+ZQhIxs2LtthXSvWhp2MzdW5DE
HPRao8f6xeJmHBx2E3HX9tDSyve88FliGC03wrA/dHFEzI9q8Eh66TllUmcfmlGyZQuP7vBKmYs8
VWdETceC/8HhrZ8eFrPchMK4jBOCrBjPjzPtGk3MyYsDC+O50HGfrrzIL5yVMwzTwzzF4TMOa3Gu
bTqzaHvJp8JY8woPKXpOmetfFXRpnlLDTD+maubGugSNhybwkIRD2NGvAxLA4V+XGx6j1ZNLpC0p
t+Wm5WNEO2T1vnNyIFEGH+e2Fp8LZRjzcQaN6h/xIcC3Wou6nXZSCZWdmNDL3+docNwtgZKnPKjD
azQb0R192fgYITfFXts855161cW07P6JeG6LoN+kPddpClL2eacWySmoautzb5CFtwYkZN4AyvQe
QZxnHgjp8QgK0hg2xKCKNfeld2UTVO3vgtIqb6feokk529Zzgch8A3qIJOShoOlha6vxkJmjYwKT
HZbnEuTW77mQ/P2aJ5b64MSM0n4P/DFRq6apw2o3+6ijV1aU9TZ53plxDTu+59IVhEvNnRN9ooVb
HRKo17deTHpHykfaezRyszUzvPYFSCi1SE3n+1qOiYFqduBrbUiq2CaQ79gs7DxSZ+W3+qjRWp2N
SfNYgBlYAPlw2zfE78E1ue9sbxmhEChIelZKy0RugeAtS6mno7PBUUEsqRWwlzaXmMU04PcMEPH3
MHrRS418NeucCKqI7g5Av5XnAyRMagjfjANLluAkIyRHeZ0UAKkz9ns1QOyLB/bBwVkc9vgQ0ODU
ubFO/cUPmfIwQTzm+cDNJS/vOmRQ7z3Ncxw7EV0ZfOOvs07Z8C9boAdKTBGrg7d5pemYxndIlkga
6uvRvh773tx7ucN0EgZs+1ZKMjSwdShWBFQYB5UOz8c2cdinCyfJ1WZBsxES1UGioGvOEWX/7W2J
0lH5volTKonQWGIjPcVu3+RKHaDaoESjH/BU+GOwFaTd6ZM1WvgJYCYV9nQj8DbKNSbr6mW0mpqe
jzPwrpOi5rOOw8JrLnGCeA92U+ctTwuXaOUCiXPUZMxxfXPwPLq6tnvqs8XUQyKBfgyNynlxY8HG
qpWRXkO4nxiB533a8sgQWIG9mR4YshL32p6l37IveuIxrwzzVPex8bVTTbCP+zGYYDTmVDmJ4QXP
1jSyLPxc8SRvgo6eFoRcus1qGUwrD+g97yRZrigxsSDtHHSMjKd8hwemYqtCp8I3yjCZrwksCJqo
lq/REA2nhs6CPmtunLY2EtwwzCgXmq/t0NrSlJaPrsRA+DjApndrxGxxFPsPeeYHLo+qOmCixaOR
vPgdcEMjEhieqJaxsIwd+YcIbh5ojTnbxLRJrAzzIoGswIAYkb+1R2pCDeJZsXnC9x+fJZOeNaJk
veWfZjOhEjjl6Vzf8PU3D5XPzpLBe/s0GUFyMrpoyZ6OefRov0B6g8RDT56xg9zo8Dkal/AyOnOm
F1zZGj15U8j7yGdLlypiiGRGYqNmQRbxBI+lom2KhD0XD4wewfVShhB1OahkJTIqEhid2VdE287O
H6rwEMxVkaA0AZtkVWSssSt8LVXz1cj1bTDZ45F1TWHQNyYKrNq8dQo9bAYTJRSzIeYcToPlKQof
J7fXu5SH6CYlOmA70cGyoTDdTMRQ3/Nt81wup/zEk6/Yo5TCvWvIDgOxu42C/IZM83YluVS3pq6j
DzVJnC+qsuS5Goq0WjMXpICcmn0e5OXGHe5kIR6o/JjDA1z56rhopaRE858wNghSkyAwb7RD/2Ck
8xcHbUZ8ZjYbZTs4JWO8Kfolro6KYKjXBk9gXBD0jtlBYpMdgucVu2GXXjKajaMLQQcFUZazSIuY
3QYjCityHhZxQAjDpL3T2ZiC76Ps/pvmkv3+VLLI12E70FhYNLXvj/3zYKWMC2R9qJ1L0Q/V3QIM
yUr89XHtL6cf5NboI+lloDK1Obj9fOQPwrjr06qrD3npshn3HiOKZkHGr+xJVFeuvRxdLtvhr1/3
L0d/XtdDnua6nEzJRFk+/w+nRI7kuUyrqT5Mae6+dgbkKprtiIZH+nok4BWlfnBdjGGgMZcq99ev
/l4pzYuDy+JUzA3Om3hPadNtSvdEuNVhdEIOILOvrCd/2XVTr2W376KaP02YXy9yqbzpXrK5X97C
vx27v+nY0a+zftmxuwLj/9r+2K/780e+u3bt3xxk7nQZ/CWf6WfXrvUbpamFut+mo2M7NMC/u3bp
Lf3Zn5PubzjtfaIWlkY4CIV/5NIV9ruWDrlfAecYqH6YFnzrLx26JsSAlEaTe1UgfkJTSMOQ2ZsY
NVHIoJNruELet5jkDIJueK5KjbBBOaahgg05Kfby5GyI6OCMc8lbNuZJkQ0LwQdtRS8HhsDeJaI5
i1nR3q5QQ2GP545jCzJAbGGjvbZbY4GEdW1euNeD3bR/kEh639mJF66FZTBLjl0PYlXAkaZtomV2
oh8Nn9CJa5jHCSz5QJRms8K/T4aiJVRrXmMWzB3i4U3Fng2/rz0Azuybu9QIs0fVhMFLm88yXquW
EIO1UoiMrtxSgRSodPDJwPlZ8RLanbcT/Phkz/iM/VnqkjCSKvFvIXa4Lw0e0o0RVOPnBAzE3ex0
3q7q0fQnMAM7nl7oH1eVjA3UBJVR77O5YMTV5/Fnt0XWb7XSqoDQJMEfVeD/kU/67JsqveD+9BHm
X3gz9K68TZzEPAQBGZhdKoP1JE2efYMMGiBATBjXJmE8PNSZzmGL8gLsAT25Bbkduno1Cmc4lMZc
3PWibznAFOHRUnrcz7On74PW0icDRZVaod6GlR+GyODjPE3eWA/OfYoAnNyGyjJu46L095PjqkNb
TeJ6DLvyKcYZtZ/9vrqrZttbDxOl8dr2O+uGut/6aGAbtlduY8lbhpP9hnq2wu3neUeSaeYrykke
ykSS9FthlQif4oE+Eqa3nRzljL4gnSpCT5r5s6GLegdsy9iTSjAz1LXmP8zC8tBpi/pxprdw7o2m
uq6MqOc5TSY3R5PZHYTYTQOAfoSq3//dZZY9xDcGTZC6B/NNiBwDFtpEpTph1o7G8lSE7Zjj8u7C
hvwlSxlkawofcdmA0JEkcPMSC/7vjvq/pE7CO1rIAL+egdx8mZI/qh931T9/7M9dVZgSrMHiu2Iz
c2nLs8v9adgC4sauKnFyYdYKcGDxn/7cVbFlIdSDdwDpiDXHk/w/uyzhk9ZCJJUi8CDB0V//B44t
5109hE+Ll2feYsNxdQPHfjcqQB9BhBShG9ccHhL9aleLNKa0vc5mLQVkYq/kCNNNHxJZtYVxrDAq
O4oAVa88VPCi9y7g/DclWdxrw6wxUIBVn6+m0vW+NCrnmA7GSc3NoewiN+MQl+Wjth/B4nBvYrHp
Laum+4dIhZaMxlTgbLOZ+O3g1iQdxLsfqn4A58fxCu3rI+4SQKLuOHTmS446iXSb2TY49qi4ovV7
SnxjXE8+bl9rwLkwY6rEgDLF1+5QNrX/GONKqkYCMGicYdQp7G6mkC/ron2i1+yKrZ/aMjc/Jo3X
MQMnYsS3EHOaRWleJVgQ+u1sNtARWrXzmlrfIQUsvfVC9OZHXW3Mn7HveMm/fskv/9sNaAbU1b++
AQ+vRd1ihvny8z14+cnvk0jzN3ipS0ViutYPU0jrN4cJOZpYkm6YzC235veqxvmNu5WYvgBv5FLv
UFl9n0Jav3Gf8Ne5PblxrH/mmHx3++EHXTh6S1ll8i6or34u12265VHjo37JSidey9kNV1ALnn+4
KP9lIveXUefyIsw4F2akx7/Y1H48E3TVYNQkfzLGzwhynbx23sTe4K1p8nfbX7/UXw4AvNSyn3js
JAQOvierVEWIVDDiCTkNCXjmPMmuQMrB5aigMS0htodCKAPtMw2EwNfV37z8Xy7n4ntd+C6C8PMl
Qe3nT2rlM9pH12pIYx6frML7SHzJ5tefcPkVP8oqONbBvAYvz9SPadz7A6RShNmZoWgIehifJkc+
twGi/559nLi/5suvXwxu1l9fjrqb/RnfC9JOc1F1/3Cek1GD0h781sGmT36KskJAkgmoaTMnLE75
YH+ww5H0c4wSnYk9noYh4JaAba3IVKE2bUXv3LMisHIxFs5jP1KErYdqCBglQfiqVi3BKiUsBlEz
8UFFqdIAQ0payN+tFHM8gQdfS9vnDKs603rWS2CXoQPAFxkam3Pc9NBR4kxuelNPzzrFjZO40RjB
TfQIb7eboKCbnEcfaZYR71MoeR9GWBscOKAPLiG4qwGqIx6SLjr3OIMYSwSgeKiHkYU6y9Rlno+Z
H930qTHsZFF8hc/2UCX2H+7s30Mfox1HctCpNqfPEXZ+XiJ1EarzOzFvzHSh5mafNQ5RM6Wgj5WO
X1QcNEcPaU6tXQNcQqUI90DdPlaje54mma0Dww1PViSfPWyLpzSGxdC0HiSXYfgiXSN4mkjU2WiR
puc5aKKnDu7Auge1YwZDtPEqmk8YCQfkpXm4Tc0pvilb5KLxAo6m33rlRKabbUeFjxKXho6CY+en
/bRLoMI9NR5djxhtBbC1xLuuCW00r8pahAKNvFLuByicxsc4G9QtKkx+jz9N1hNJqMNVrpL+wLQa
NaGC2sy36sRXYdEommSmg/oZy2IBmoIOFnlHTUWzEcSL2NIPtXZDkpvPBK4wyB5gY8AgtvqXPjEb
EVHGi2tj9qInhh/ztkwqsQqXZJqYqVO2GhMRQEWgI4UeXd3Xc6nu6CxeM8eRL83sd092L7NDY8Ti
RkzSPUCXpYs2g23ou3Lal4V8idFv6lVGOP0u9eR0AJkZ3EOYS/f4FtTNHBnVXZ+D/m17fUPzoGYy
ifVpR3HSvFTukjyXuKSkiclBMx3Y/RUeGNw2c+zeJV67I1SO/mzYeWIViOgzSvf4yI99nIboRHo2
DcV6vMde8yFFvAqUBySTXWBkAAqbrZKYjtZADNy9EY5ib0kOPeA584MuOvvowDm+gvZDpwsfXXUL
MNC3WNHMKcgIicx7GTb6tTXgAeXcNNdDlEKCilxrL6cAXAbxNiD9Cpq1Wdh4m8ZseLUokxX3i2EQ
ZoYjgUSuWJ+WuO0XP+tKbM0RWU5hOF5NaZqCn2JC4gYGk7jBxLySFZRAtsmwM+ynNdYY6jg3H0+z
FYvrCcnILkzdAAlila6LDMm268WvMpQfAzFrNHad+ZAQZHWwBonkP7wmxi16zCrTZnDFlZbJfKLf
zbQuJJCQEqzbhMhjN4hcFq1eShhYU9+nTZhvymZ+A3jT+uQWZhp8bjQcQ85CWwxj95Pud91URYfU
YKJVBUDfZiSF6wjr3gcFdpSQm3Y0NjVxyTtyu+RrOyAvrQgt2jJtaupIPjGmDNalyFCclN7Q3vVG
LV/Zt/1jUowQWkQMx5uIACS0Pd+QY9fzOcyzDixIiJu6En5OQJQzH1FCjLjzHNqkY8uB3V+YMWG1
zuvQ2hBmcY0ufB/zAGCwbkITjRaFeF6I8twW/jEfrA/AT0iyDkW5jnx1spVvbObZALyVGf5NFGZf
QkZb67lpt15v2a+9ieeC+f9wW9tMv1YOjfMNW4J7m+h0ug5c5OxuYUHQ8pNsU43z+KmaRgl+VfHK
cJm0XsMdLKeVUU7pVzhN+UcAoeZTCHv4Xs6pu5E5iBbB2Bt+o5NLJitxtyUitOU+cae3otDG0i7A
soCZN1Ne+uzETnkg8r1iPKvyHpMA/tDUZvega57v+9mzrzF+jA0T83m4LVrfID3HdEmU8f5A0hUB
TaOzSrCgkx791PcWUpTYl05SbPEMAZIedHKwMmzGHEjiQ4/f4IqAGOfgdI5z6xI/wGg8inBfbosI
63auYy4/ZNQPgp1rAyDB33GR8ieJs3ANebDOVwZH50e7cbfuWBQf4RXYn6fBjc8uBsmPbSlhSSdE
FaS1Uude1N0uK6DcdDjxDnaW049wWWQ8PL+WmOUwjCmsRVHYHnk+jschlewZzVR57lUnCm1hms3b
/ltd8W/f8m/6lpJ69JdF/kfNuKSMfizv//yZ/3/EtpdzNFpCyntTiEX79f2ILQT/iWO0pP6F+Udl
/J8K3xQ0Kn3qKoCD7Hj/qfBN+piUkFTkOMMXlMo/OWG/K0kXPKcpbKgsaKFoq0rewo8FHJNrkThh
M5774i1q802c//7rGvFdhfiXF3hX86pJ5kU98QI+dpwYe3UfvOLJSgK8UW+/fqlLGsMPxe/S3PWp
q5kR2/QK0L/9/GG0aOlcwk67gSuAhoXxjWFxkNLU8vBxnc+4UiOfCAQCMs29iYLGmPH1ODopT6Y0
m6h4q5rK93BrYnHnCLeHOmjutV/2XxKOaUlx3Ss6rvaV6YLCy6lMQ/Xko19hYGJU4ZNuul1qJc4J
uZ+4S5uKhiQlZ1N2uNrw+PlSOXDFBtdgBx9pQ3YbJy+aOHtsAhAgCqFTOXgEm1egMagXND6tsrdO
StTJB9K8+6s8XAxCSDTzcVdQEcniyuucdONMLnoRkTnjZ57jtDGMiEYn7US1xrxky1vb8Or5KoU+
YTySWMDQb0sqXBgYRLtmaTeF7L0qafeXb+TfXeNvdg1W1XIn/ao1MLy+vf64afz5I983DcGmQV8N
hBInYojC3DbfN41FSv99m2DwQeCQ57mWjZzRW1Cm38cdKJWZsy0Hd6S2lOPuP9kmuId+PunRbqDT
R6oT/QCSh/6S/hJ39jSUqiYXgWxhXD22gxJEGArncg5BAG7aUqNWJ1cEjVhVohnADEbtdnR9HstW
2yAPMXvrkxPP2bliscVXzTRIe23VzeRsuLH0MwPd4VOXcS7sIo3ZqtbWtA4GH2x03aXwOlyIKft+
1OKhx2D7Ug7hcDsrQMb4g8qxX2Wz8oh9AFW3Swo7O3gwCcCmZUO/8mrd7d2At7iqY+Ke4T1VNhE1
GpePrbXn7uKJiMQD/QMCSAEXm9Q+OcbnXGfZW+MZzW0SOUOxGsdiug2xdyFyARVibqBr6Az9cpJ5
x0ore97Nop/qfcuj2MQO6NTWYsLSdw3uMX2MAJSmG0qbyTj5vMEKWdAM/aZqcELcW35d3QfIXR5m
Jgi3DTg/HOqw2scYe/EarOuwT0flHQoG4w2VTwW6I5kQnSi/z0iSsNXU1Tcysz50dd15M6w/yERd
cwiFgyaoCDk3envfKbNo56nEnEGqgqQsTTTm/gQnfi5Kse40Ad12K6qeZOmowY2ZknpQgmZMfIIj
J3R1ud3KhwHr2UrRmkRI4SThMJ2zZrCDcIsASZEsXEWqQCVS+0AapS3daO0YcRreEmNt7IYQT+u4
dtpOsjliVPS6a7ToAzqhBv19dTDbUYRXlorJCmnsdlgWDs2oeUqdeWdMS+BSVrh4vU7EU/c1HHgc
SZ2EH962wzgX4BussRWfojC2rPllSggrV2+4FLsCTiGN3Dy8/3fD+996obQwf7nhXdDM61dV5Un5
buO7/Oj3ZqjzGypaIpB8kG+WdZk6/Lnx+TajhaVLSsHCYrOXmuj7QAKkM50v6TvkKxI557Jdft8H
5W/8VbHEZAWUOgHD4X8wkKBJ+PM+SGafTX0RsAFaPtMTb9knf+h4eQQgFSpvU+yYizqAbJjY28xt
hOjSGlRABv0A4wsQiRe7x9DSGBrR+wUk1c9tX66t0SVNWs5TkW0rp4qag5FXRJWtavwA5spEE/pW
JOjwMObZ4Fk6ceZkZB87u0exoC26CXntymUMyGlxTLkZmVlM9MZmzJwBiIGXcjFW1uaMnmIgchQh
cIlbmths+/WbDD1AWbvwnl0XtjMbzt7CbKzwshrLj8gQKV2WJvrOalBz9qSPMVusqRlWWMOmh2hy
0HgmYvpmoQ8zDKActiZP3UZWmVWnylGVf3IDr31rIeY/5QvxaCVi0oZFGSEvr22Iqhroe78m84aP
UQeLLtqyInUwhRRPy0zo1bOmicxroz/IIZYgZhDwlRIdcytN1OBu0QrCfAmPg4kWhc8pgQAJp7yk
ZmyOQrPdo+9q3zAycwVKu7KekjZH2BEujoRJKv7aRepSICR+1dGiSOsj3gB9U94tgbvTnSkjjLRh
TA+vlyDWVjw++NR2xmv6mQSJBUYtJCR9kQP2oynPLsbuq5KkrbOE0nPtDyHo2zGZbtIwGY6yCrJj
uagy0UIt19OdwkXoCGjC3bCu+X++faE5ud0KiHSIeK5fvuGLIJCvtG0/ubDhJqR5AHF4StEIBcaQ
Z8k9BgY+QqVTfkuN0Izqr81R0jp5z3UZ04WdF+MXR76mbSyynuEhGWYnZMi9YFHNj8ptbcDYxWxU
zGvnr3FIsObKHEqcQPn40IHW3WmIAfY6D9Hcz1ab3gMVCmyoDg1J0qKwnkr0Zy8XqW/lFCz0bLL7
cIfCi98ENZ8/0fnw3uJlEXUmz96Ysy0t4G5gNVgKONcqkB0YrYsCGO9WbwOT9dBfkdTM4gNzHm/C
gTHfyhtByXh2MEZbs6vFOR4bbkIvmPiCYVgjnPKDaBnppTXyyTINFh9VkOPGwEnBemNyHlxXNSKl
g5eG8mggOpBrDcqITufcI0UsMhwB0lzAAGitWTFggNu3CZFcRAaywXc3LOsEowJGiEWz6csOS4jT
Y4EQLb+sa8wEQapFXiGy/r0eBsjtiwZa1Wn4fFnCF4mkzlq6DMvNni6LNHRRTY+y55KMZNbcTRG3
QjFjLLGhamQ72JbBM2NYLlwHkUWu69xf/A+Lb+SboOtyS4B3Q1ebLHLKi8SNh6o8MidsXmYPlWnj
1AsNt4cOZ49V+GwszpFVjQa6WhGGAKFAedycUOCC7Uyvd09W7TjQTS34OCZO36Ql3JfskcWfQB3K
AjMkN3lLjHe0vbgvLspebc7sIIwR5NGLIfrAQwmu52YhDnSJ5jdUtUiXKGMfU0nvtbHk6DRE3sZQ
rWY/jeZgY+a1d3AdZe6+KY2byUBXHVN+wuXgMshJReNubnVPqCs3BXMqBbhghUp1eigszPsPup3q
myglOzLR+Eil5l7OgsVvXmYGxihivBGB0DU+Zhkd7hRSwZPJKOWpc+qeK4js9oGDLH/JirPmJYOZ
dQhoxu7DLraeLtY5l+lxCGkNDftjG3BERS4JZUTOfOApy1hRRmDxReFRF08h1Pr6FFUeOldZFnmM
egK/dApncd/boHPXw8i3lJMO99omFluzCDVrCmIkCxx5DV+ranPn1RwD7vCpxC3e9BrUAInb5OKo
AtNPAQMq24kW59eF/0FcGHdEAQ3ynFSBeCpw4Cmau3UUbgcw29yJAtrmyU4XySO09PYtyipU+LHD
6r4Y0pe1pxJHpFd23RPeLjwsU5c1b1s2P2TCUpZrq1nWf0/8xrlPhuCZ+T6mARoavMQwiqa7HxpG
3zvC2tjfkPn6mzyWy3oMdAuZv/GDZ0POfJHftrS0Feg1kfSylJwQZ8Qx9dvGQH9ij2pbC0Pc2S53
Fwgrepj9yOUlAXF3ueOKwbeflzBYEH6No+LdZWetqhgx9gi971kksiyfxyjS2UcHolqyRgHEGxXD
mOztuHNeA0J0tjAVinsR90u+J4lm8RQcVU0+KMkkOPtXOlyoEkDJxHmcHTaynPoBUXnl13BY4rgU
yLR1rA9sPxJyjIh6SohVVDEmAbkwB1cFzgxoiV6I6QDhVZDfz2n+JTVxNvvrvDOiZx6lCq0CmtyT
XZrcNVmPbQylA2emmC0Ga8toOelaNsp9q8riuYqEOnFA6s1xpf1xog6R6gll47EKlgdR65b5U6Kj
+opnjH8nyGkLuXcHuVONRKUvRHd2gKNftT15O4MfxR8SEt0QzZbh5wbDu2FVDVU7bErVeTQbUu4B
kohEYYyHrtPHNu7rKy8N6AnfmbFd4fTuPpYNXgbGEjvD9YI7iB2rtPAeQg655keNuN/gOVEVbgje
pSrYVemjYHR08VVzhNzUGEbBOVhzSTIr7gZ0Una6BvRRHIRogG8AqPbXcOLlLiutIQBnDh6mn8aT
k5IZvja8EUCcVTKyIApH594hYFmqddT25FZZXhxcIc+bb/2p806genjMQfzklIWoD56L+GCLobox
TLe8TebMP3lWyOoVCJrd2K+2EVAqpNv1hHsu8/orRWTFDSZDkyhbw5lec7tKwdEUH6DoN/l13rT2
fZPF5dbo2tEHAqKCHT6/4Sve8eD32O9of4/AHecFH9E4XrLxlVY7baTBwRyaYaOnrsDYWU/xmqRd
vJeyTW98Faf6huvlvqWdX+7mfgx5jpOmECXjhwA4wY5YCrX3wvEzxre1k6Te7xFJYg+xo7EH5Y21
k5kHo4540fvW5LK6QelunamY/kh7SB6px+B8bNsbP4nn+2JGvFd5fQGwy7D3IcDb6zpI7G3UtE9N
0DNJJQXRI5SyaKqbbg7ZorKC+mQE4BNRN5z6AlYknlXj4ARVe8yC3r6u5GyuuWjlFn4FlE+XodPU
ND7wP9QzKTsWs/siuwNuzFzTPxlzJm55CCwQ/qEEGGK4x1xJfR9Vci1LWR4s1DF7f3lCSF0DkIfj
dXAyvrCWRKyXFoHAhj58cDOnzn2fFBaBIKX5kKnUv6503n2wQFtcI6rLG1xkHj83Urv+3g2wnjch
p8wTbqtmnyZdBa+gQphf9DTqWN8YnEhX8AHnSuJy3QYEFz2XTebbu95zFil9VhxH0/NejazAJrAY
NYQHD3FQql3I7Xa10h5aOj13/d4EWLV2sICu2fyjzcwIex9GcXccSuetjiN7a3VicT2ZCyGoFEed
KvkaKhPGJr2L6RMV8ZbqWlEJJma50ZmZbTum+U8hVOQzO78qtsxRccgllsdJfJL7ImbAiexR86Xl
YryOe4NxZS37NOjZSFBSN5vOMR+GMcvFNnJypRcJK8f1hyQUpN6JtLDzgze3Q/TG5h/t4hSbHF7Z
ehMaQwmCB5iiWlWRDPedGxtsTCpxD37Wj88Gow/AD25oubBoBFlmdccJJG62CLiqm6TlvkhkNz7X
NJyOs4uRL8CduZvnbt728WIfS71kB2HS/DBGk88Sl0VlG6eEIT/qSbIyEJNi8I+ucWSe46FrPxpx
0F8Vyr9xsxILDNXAY9Fb5qdgbF216jm7dKeswT/ysXXr3jwWmRt0J6MRs9Uf2LWCHbK7vhmxvhpU
ThEHN1ofXYBCuEbjsGIWXPkvIbg3dYDrO9aa7VubGPwcgWlt76VpNTtrK7cNcxWRxDFG68gxe/ni
xwVPXatPtbv2LzQ8D3xscdXghml2TEIx35hOgbcVEh4uLqenBo1VTLVVji2FiAsNFBEn7iB9Mhfn
u7ZG8YRdhyxu8mXvENd9177/Mf3f6As61VzzqPoRVC7f9RA5O3Oex/jiLvrrv+rvPWyiiD6a+FC7
EQ9MpldV3oMhop81sUnLtnys49y3j5q4X443aPqyE3CmAdvvEBCisRhqTVNTvKM34TEtOqpqI6Gm
i2wS2HbJ4uzNw2opKZajJ75WLFhGEXJ4y/BXgdmlT/H2rUZm/oqfeF4OJaWup4c4XIy3QzpDbOGx
8pqUMH3LufUzYK1eTUH2QwPkv1yOd4HPcFkuFBEbSB5hbS7xcT+3EgA3NonG+bmXMSSclVXNGF59
0jWbNdml4ol1GFzjfR+Mx9JaXJFTEfO2dNLPj1NANsNjJElxWTszGLCUfhzftm3x50RUd7S9nFal
tXgaRpVyaOxHTKGHKuJADhy+HqJtNDTqMOsFREAAJGdJN9MMXxmy/N1s5kJF+WE2w4fFg88/EgMG
9t9lCvZj32QIyESSzOkPJTR2tcJC27eL8x9NhMLwzUeui3LrTm3zSudWPzQdHYYm5gSeVJN6KGh2
/vry/xWLw2qkxy4X0AaxU+85LobTGHPP0/6gUoNi72INBwAdPLc0ZrgIFwfgaMEDgyIgj/XAqQC0
NK49QU4C7Pq2Xk5OGB9//caWr/3nK2U79L8s+kxQpW3r3bJAhoPzqEvSQ1gFrF5SQuX0cbZhg32y
NUSFnV0EFO0VNujMXY0LHO3Xb+C/fFdweQgyFYi6JO9iGRr+0OMCvieq2eqigzNBScAQveRI9oEI
rbNAGhtxJgvrfSKTOLrq6nAuEcC24TkqO/Hkm704I9Ph8PXrd/VfLgtjUHgonG6Zir5fQCVgflKo
7GiR5NO4AMYd4deuOLotA/11R7xjsemLmTOEMUT13/Et3gvruBi8PNmKPlNcLs672WIJP5DcIJrt
js7pGKSi0Uz228YvUr6QWDuA3OToy6fMC42jWPywpY0Q/wpXRm3d2q4esnllZl0UHwhQVYe6Qdf8
9QI1IAuFeuRyuf4dvf3d6M3iS/phZW1eu9f/803Pe34tiBc8f/ldvbbZzz3obz/0Zw86QF6LrBaX
KF5hjEXL7/s+fDOXYT4ONpeVeGH8fG9B24uQnpsFC5sXeJd52/cWNGvlH7ScLX/ZGn/YEBjgISVc
hvQemk7MT+9uxxwXOT2WeLiWNHlxYMyZogWecSRqUo1ey0tsXRfHZAjjL9RkfoNOLRufHF+5x3bu
wse88MOZPCZp3SiRureWat3rCSGlDZ2BCbDV5jEHIqmMHSjG/hNynwKzt0dRPVhBvws6Pzlbky/X
maNQ0CxpWpy5IUc42pHnDrgxkRsUHubgF3dZZpZ33Tj2D5wXLJK44FuDEBnHk20wpFpNYCM/maDS
n3szNqwVQULBQ4404EFZ3TPmeVLmfDHhT/eiOxc26QMgR/UwURVST/H2Z4gGW+P/sXdm220j2bb9
lfsDyIG+ebwE2IiUSEm0ZFkvGLJsoQcCCPRffydkZ6UsZ9knz33Nl8waVWWDBIGI2HuvNddgcPii
x0smApLI3tZGcthMoKVJVucfOsAmT45TULahMUVoNkNSqWshrxH8xx9r0P2Tr1Yp8dhRr2+8GCOz
Y9XxLZP0dN2rJjNHhYi1S/pK+qVbyzsmWpzmaYY7zcrsDd1XURh9KNsOWaU2fs5GEk5WRp/JHSOs
5JJoREqxUljyMSnnAbw6v+FdziZ7dIc+RiMUz/umwHyxiicjCvLedYg0A5S4Suk9XOseMwYlj05D
lqYbh4llMMdU9hLA205FC3o5xmV3CWQzOcZagZavJUX3TLOvo+vqZX5rZ/qJM7ncARQor5xaHS5N
WU47zmbGE0aCap96WntGRZyjwcuUjAQQ0TLOi3X3Ahp7dzVrtbqpNUcJyjAvbxQatud2MttPbPL5
C+oE9YPek+FlZ2OJ1MpSjgbYe06o7QP3Skx+PZbedS3d4oEo6X6juaIMylZX10OZzVt4r8paMZrx
S00ZedJaUV2mjDJ9DyJvvWIEgZbPUzzveaEUNwi+NFBwCslUSObyOFubdhnfkLGnZtSmdUtyVkHT
Vq36jYuBg/av+dTrvXsoMftuTcMSR7NBLdqVuJkVfYbwIiPyajTCwdc9Xq5LMZvmLo+ES2Ft03kp
o/RaFcQsJFk0nzIrFQKeQKg8u9WSFBBGEuFyPZB6s0Jz3h1K7CSsX3G8TzIcI6zqaYDszXpItIIG
+4hszvYyFZyC7K44gtFuQCna34AMnT+B9dUtwA9iPABSjD4AebRObm1ylBXRtu+d8jpRZXurL2rB
zDJaQmp7kvx4JkuH2LW6Y2TeMku3ZUtIrRxKBXSCSxfFSFOsa57WXBC2BufcrTVoE5S61GR2Exb3
LCPieipziMCMXtd9V+B6VwRtixjKyIJbFr5DNsG6wdt+KqIiOjWxqUOPt43HPMm9bMW7zVQ4jB1A
QW43nW07MyJflCQ7zqkW77BsF/tu7gl/LmjAhH5POEq/IelEPdF91zTK/DIrjgpi6ntHww+zcuwq
BCdd18TnkOs+B3NRfaGpBui4s4vxypidYuKnsZAfYutR7lGDc/5PMU6Efq5EY2AkGmbyOS1pZuCU
ZyLMLHq8oQbUPjYyLJFyCr0R9Sa3CTQAq8CUkSkxLPSiG/UN2cjIvRcJtE1I2ah2Uj0TPKRP9l3k
FNSfrQFdfcfknrd9P4tXQRFS6WIUgYl/eTg3r4ojaN9hXPqxk6uDdVeQAF07a1dYCgktXdemXyZH
CC3b0mBtGjYudCX/ngN+cw7ANPPLgXTwNX8ann705Xz7M39NolWGV8D8TCLXQQT+dQpwrD8cF0fc
d2mO/pdujywzjFg6mj6DQzznRPbyPwfR7h8mdD1LtW1L51j9z5w5mvdTMY26B9uQqVKSLO6gdwfS
LO1j4tG9ekcLM35o07YUgS0MVDAj7wk1YFO0G1FP13mlzwufpvcpzNAiE6iwSXu2Jw6ss0ZCVlfE
K6QdNlxZdfg6trgOXP5yn6hPKLVRe126igLBhegeNvDA6Eh3J9mAPC9mY+uGUhThtOlAyy4s65y+
JjwRS3PMU4jQK5fkqJ1DKKLphwhNEAiBjOgqAhrpacUrEMX1CslRcxjrJmWsa6CXHa10i5GVvdFo
bHFBJlZ4Qa+qvS0Z2OxpjT/SOlUekrxQqJJL2gHsNNsOEd0avr/BWy7FaR4hmRajvKFr/YV3jS8Z
8k0ZhN+YOp0hj9F9wPlFWaVULltmri+iQTqMdLmt4G/M7doSdI4Zgwu41Fwdl+2NbYzqKnHaq5Yk
sRX+wJtEcz+EfXelhWwU8VieIY2hYh+IeMyzknMV+z3/KOgfFpemKx7CotX9WWvHfTZFjx4LtA3X
dpUbxk02ZY8si+CTquo8MrT9lOWlGgjCV+gUim7TqUCak6T0eQQ/jAa9enJbV1lI367vyDWz+KsR
A9M7mh31xBRa2bR9Vp1pjOT3FdE99zgcyi1bKN7vKDQ2dCfGJd+qRgBfvMhZXKs2ZPiQzlhrTvVT
ZWrNB+G1TI+TkJGOIfL14OriOh+sXejOLt2Ctj5Nfdw8mJn7wZZJtaViT7aanKJLO8wcAps8befV
NvtH7t7ls1DqlWkMd5EZLu6GSjq+E8niRvfC7llRyahnt1GNG4DXxrFI6lgLBh15Fsp67B15XJ4N
heOe0eA6B2Ji3Mq89TbSBQ9lGGiVAMZoHB8ILYhzpff7YoRLwzyD/IJIaHh4kokRJ4s9iLLero46
zcnDgnTtNpherDvHHJKDWdjqo8kXD+TUJn6RoOwMLO5lxTmmCRtmjhPpQFNttRdVqsK6slIg9qi7
ZmXrNuCTXybPGa5yvTGY8pRmts7pcTUrjUGKKFLt/O9C/z+SHlGhsTb+d63l1ZOUT89xJ7+2rfxB
cvntT35f723vD7CVLKnO4kPE/UyZ9b3qc4w/WLahaKKjJDbSWnaWvxSYS0Il3AnIFKbrLt2a7wu+
qf1BOYiDmSbKdw3nPygD3+uOkDc5SI4NS8NByKdbisQ3PRnPwAwGE1Ds3CR/iYkf2SrgrTjfMdh7
c3f+pi/5d1eiR8fOt4TQv5rM314JQmdpzqPGldg3OE4LXMPVuBrCuPP/+ZW4BtZz00F+7i6f5M13
ilqFdr/IxK4dss4PO/Ukof8wzpvv//GFIDXjKLK4nMq1frxQ7+TEqTSzINg9e8ny7IUK6yXl3/+b
y1gLUZhf/KffiJHFLBmUC+DTjIs9l6BJCRXUz8bkf3HreFbpGTuL21d7j7KJhFqYVcw36sOiueRo
ipcMLddlQ0/p11/qfeOLB4+WFwAQfifUd+/Brk5fkKdInu+O3GfqrG66naJxoWzdv3ZEf32x902+
14sZ0IEcV6eQfe+QVTSr4t2sBLsFm7cj4QOlbo0IQEmeVBdNSmI2xkqbsNn/+sJ/89DjtTDgIDgY
Ln4yITNCIqGHJCvackl17tgsVpanZIhi+E+/vtTysL1p57BIcEMRN7Iq0Ejirf7xYZy7tJsS8PE7
paP7XpCZuU51Rku/vsrffqE3V2HJevtuLWm7vYICaEdxa6GhHe/7AkLHK6Hg/+9K71amAfFYRTgq
D0jewaYd06eZAQwDid+9XtpyZ364cxiMEYdS4XGGJrTuXWc8YoSdmgRB7Fob7ZW1gC/bMY38wTAf
6sRRdngxwQ2T0rWxGhQJUdPuf/Ndf9J/cuOww3Py97CSw7BeXpc3a1bFGdctsIvvRK9XSBF6hRRr
0Y7Xs1lMaw+tdaB5jbapsbvvVOBSQZobHhEPZrlH8mLbxMWihHHHCCwEuZDPr6lmrwI0+n8as+Ds
ZULRehHNWn8lHBkSlTsj2tE9ePaV4P8yxWGxVtE2M0E2iLtHkXqDVED/mDl6dWGFafjYF+Q2IFTn
iOYwKK+m0tuCRXWDzBkRYaOTQnEO4B9KfY0Eqm2RH3QcNdct4RHnVknNverNw3MdstFAIeaz2xpX
QW9+GFzZpxSzblytJzNHJ5/FYEQln0fRablgsq+CrOfQXHmRQBQ6V4yFTcv20ZaG6UrrcgCBtdF6
WzskMKRWCWdMa+i/SgP0tlD5djN2glWROq1PVq5Oc5H1LY4SBkQ2u1BJgtSmjRmv+z04do6Q9HcQ
XVUHTeXo7lKOU0sXik/BrX+M4t46jJGWPkZuld/bA2GktUS+WeNe/Bjy3RctIaI8UZjdzGcC9LaK
Hc68vmFMLDcj7h7m4ETc3CPQsA5kkRQ3jIzax5Bbc4jTWpzsLn1RUfT4XWrrHws3eRnlEJ5be64Y
6i+fHhzyYcqXyLuGFA4eX8+DLZkmQHrxDpgXbCqtz2ws2fZRbnCqthOiOYDp7ZOIucjKZHh3jAzh
nVI7Kl+weWtHrUq5iV2OQRcuHq3D1zcvlxRJM1buy9jmlmUJNyGECezPZjwx3hXRB3de1KaRk2SP
3ryoh+uhCkIrZgRIfGWFLWpu7HybEFoprjT6P15gx2H/EIeCgYuu9UwZS1yLDJIJUrpUADd+xIJh
4TzPiheGatWe7zitS0JAVzRs6p2Zahh6ebk/GGXF84OWbzG9QzvKgBbHPQbakXFnM1K+kd7NT9CG
Y2atRl1AAWAWp/gE2TKcw2sbCFOdFYad7LLz5Lnblve+w6A6iPi+LZUIk4hbpk/eoCvgVnmPcBMQ
MZ14fb59xTwPjdc/zM2cbRH3tflmUBo92aTCsGbaVcgqVg1AI7pjY6Z9nj0YMDryywtTWWS3VD7y
DrOC+BSlpnV4RYkW6BAtamTF2EPUScikHOCogrc391YcZY812uj9GEYl9bLU8bKmL+SyeMRI28ae
D6JttKiYsKNINKwxabrHKKMr2UW5t00VfqHOYPftDBbWGJ1kAAM2PKd902VBjPDnayk8a0cNvygD
Y3u+RDj7IOTUbxE5LOPWjgdhHtxyP5gJQ6eF3EQ718cwt/Wa6GvbNU4Qy/FMp4y02/4zEppkX9C/
X3ehsA/sxs5N3PFSkn06rmnI91d92zB3z3jP4VYhuBRO9hEpx3xQvXFTzMQWRfMoWr8YQNIyklhE
XG3OQ82qiMAgB2ReIh05GZxrN7XCW58tDvq+F2hzZDqtZ9jmu2Jo+622bP0Cx3KgF+kTkkH35A4p
8FdK/BujX0TyEfKF1AyN/djxRCFcCh8Xbbmv5lMV9CVf35Izr1Hh1t6pLbvhWSoN3toIdKgfU7ne
aDadCFPNnyyLhbJpWD/QoDg3czISGdQ0UxA6NVJgy+jcm7DKGkLROlay18Ne5zXAKtUCRjASbL/Q
uyqwBy5NIdgwg3CxAGra8Ix9+YKmKLh7T6o8wXB+miQ/GaKtNvFgQFYgm/Mk6+VoXyH4zbH+sZLX
ICpXhQbd1+HuIAwHL2uTP/W66pKZ/qnNXO2rOrBa9cszYiEAOWZhmxxTC51NP8W0FAYOMytFaa1j
GlkbSbQWpI1G9y1jGai21ej3s13doXXzTrNDMT2qTuOz4Q5+xy9MO0NFkBqxG3ygMRr6rl2W+xAm
643sWHsUePrB4PHSZ33BPfeqbmOkVk3t2ydHg1SFz57WtQcSqDgSV93JzWS+k7aKowld8LbwIuWq
bZKTkRj9g5Km8jSNcXsVpvPHRDUG0pRJRYfKQi9/1qzd7CWwHuK6OAnYDtd59smpmwIRUPwC4SLy
zTa5432+b3o12ulupazjqKh9hhjiBFSVMK1qgvVqm58Vq+rQ/bHpvQqClSTO7+uSlbcpWXHUgiSK
BCM3nWR+UojKy/HGNqXYzPwGG8q/AerxSBS0a5Y+3syx2xEnYDZbMgBXOgl1w6p9xZhMr0iTlDqz
5hFJQZ0QFo8nYKhVb+UKJ1mVr1gUCBfooHJhJAW96Fd0yitGRRT6nSz0Yj/URrGvnBbu+sIiIQYH
x3f3zf2NgGvxgk+DPhYzmw+E5Cu7oOV+W+sD+ZVqlsbQIxJo03vUCwasdb0Ie3dv9l1VAs7ocL34
lANNZ69mr3EQIqYxfR6wel+FRe6zlkTOBRwrofnD5DWS042lrms5sq5PrpNNid+SrnENZQt1R2p2
XudL4hbWrYgbExVnp/VwqzT56CI7I+B6zM9DakAFF4CNOSFMIdm7wpn6fZmnWZAI9bPpdjsBS2KF
Yw+eDDYyZPC8Xywc/Q2tF+VKQ3xONrpT0FmkwbflPdWNVZXi4etyt93pddcSFRg+ZbGVrZ1Bz9a6
Sshm5dTaAy258dixRyPVjSAKl6beKWjrjPnI6xo9R7lDAHGmSWWVO6PH6VZRLpLRUt2NExWsbyjH
WfQjTicUbHBeFu6+FZBh0eyQr2GpcSer/41QY/GU/nwgxqsJL9ZRaV28O4yKRf/gmh1IgqIw910v
i5fKqLmDQzuABVvRYBuRROfcNprF7ZGhFtUTyOqT0DhWAWp4YuMq964O0p8xIQrVZCFI51NnHUw9
QcPQpA2xdoxV2n7xyLRkLe2ikHfQGKmU1iYi4rNhquaTQduwX3n8Ywv0z7khuJ3lNsS2fK8SM/H4
ugaipcQKNcyZHv+mqvpJtEIPHEYVFRUWLyB34D1/OJjLeY5MBjT5jvAy1l596K/aqFOdldtwZmo5
Zh8ngMPoq2fOWJnX4LhodAupLxwHfFy/q5vfGd/BPPF5FkCXQ8OI3sO7noMT4dyge5/viHxh0j0d
moz9ZXCSpzLvbsOJLf/XtclPhTrVEYgBrgR6b0GdvrsBZm8VEWlzu54596kMO+S5JZTzsoyrg2JO
1cWvr6f93dOHe5wkHQAFxk85PuUC8DbxPLC41gNS/JI9L5FlL4KUB6tVKm+dSZ41BinD9esWPFQz
mvsYqeEmxm/hhxn+hWqu++0oOeP8+vP9VGdDFWN4bXFbdGYy73VUgEoGW2B32XnU21uL8JODMIff
vYM/dSy4Co0K3TYcU0fh9u4V7JKuD+2yIgrB5ORqR6waJThAv9Y9Dvl2VhkgADi5k8rZP/z6C+o/
18OcD4hRczWcF6jY3l170jKzb/IhhkY0RCHYT9w1Shh6j0XHuVRWgzWdPAWnVWlO95k3AfkW1rDG
3GtFflsR4LAsduBW67xzDbg6grOciRiVwy8BtcSHf6lDLWwvlFBSNb5++n8Hk78ZTNK9MN78zj/p
k/5v/vT5qXh626j+9ke+96mxwS4tCBSjf0ID/9OndhkxEu5Jh4zuGTSApUHyp0N2wQGAFvcwyNLf
QqL0nz61of7BosFTTPNhUUR6/wiM/P6tW+IVeBQ1nSeTGef7Hk2qCR1juKnsYEOZiH/SCbCfZ8oP
b+7J/6BJvVyGIeuS3MaE9qeXe9YkaaVzr+zkbBLNVLH5Gp3qnohBpbPx62u9X1i51vJ+GQgy4aCy
mv+4sPJbpNKjd7GbtArwp72cp6yl7TAT7ijIZvndXgYK8N3GzhmBxYthMQBVAibfc/XGTFrobppw
hwIe9VJYV+1lRYZGRScUx6rvkt16DzrC0DG2RL0BRyRPp61dDXq5rS36ECSvcArpRgTSIk2anVeN
VPyc1tTP5Zg05L5Kb/va3nmNbyEuXmc0PJb7qaHRk2fUnTkT17vX5o/X06ehQkuOIbOwoxmldBwM
Ej22BGGjPIvktK7bZYKnmPNXj+CO+5hUhHtHRFcqq+96cPLS7wCi7WbdyK5IlrJdP06N7gZgWvHC
ILo6IZ9M73Q1SVGqhfkGMVbpY/rqyTEuh51ahRz25lrfuj3+6qaehrUWj2KVt4Y8OFpbHRvhctDO
M+NJzSNlBzUJc0GDD6nG44MEbPRC1PIYlp5RJBWX9lyMN141x90KNRo61wYrhir15lOCIXDIgjFu
HFmvnGmIBvmJPcCa5CU9YuRYpeOV/hDynPsqbFexUo2i/EwRLT6lXeR+xGyq33qR6sX+oErvC2Y1
xsE0Bp0l53iqspWSJiMCExcImuoa8ecM4Tv0azSjJxUtmKDAiKpLB832YerK4d6dZqqmMGkCnako
Bj3gGiszSa1TYmi38UjQcAjc9jauPXstNbX5VDgIoapRbTcMORU6KZVdfGmKIt7GZfw8NWjfaCxZ
h4jAKozssxUXa8nNiRF7XdX4gD+aeJJvjDKZL3GTkwMKKSu7AM+lKgHlfEiIe6WcTWJsL0JOgLt+
KCkFpiS7JMi9Aydkt58zbUrz9RzNRDcobeLtuQUyiEP7uW5zf8D5fixzFSuEk39RDc4ARB0fQqUd
V1kW3XlSoTINRb5VBFY5MBmjz0EB9zqzHt8jgB6uR3tIlcakTQc0xAeslj5BCQj5PzsE3XVGEFf2
tB4du74Nh1y/tMlvsMZhIEvcdcy9B6Y7GC29h5kB9CvV+q9jQRKHBf2QvNty/gwBbvL5Za3PhGxn
p8Qr9SCb2/aWyS+bfeve1rWXkDg7PyhdYxxJWCP7eJrlUXHmeT149nAuS0ogKJf9Bh/pDWbijwQs
VfouyRAHoMKM+nh6Lu0kA+/Vd0vvoMuISMCyJ1BQzjLtgywqMmtt691EaE9e0+Mh4n4aL3JPjSZS
uRBuEbetoCS7z+Sw6BdJ4uBcwI2o6qBD159+MLExERSCEWd0++GDM7XYZTXpRIE1xYQBQXhPGGRj
FCaqGtzHligZ28GMZEbUOYREWxck0kg1ACg+uRsJXgB9WlS0NiHUwxzBAyGefGOIpI+Odk2I64ru
UzlcR7YSUQ0Iu5bxwcPsUyXkuQ3WJ13EHbIPtQyVGOLk6On3aTco1qYeWSO/OIuXfBW3casglhBR
15xhu5dFvdU8mX1SLJGdvaVn2qjEY3Exx9r1apvfO+GkNH5o6CEgd9rke2vsK3U1zD1dPYpHb2uR
HL0f9LAmY5A+uV4o1AojtesUILMlE50ha4rAe/mvndAOz9NE08jWS/JnS63kpJSRTFXlxPytOrPE
ztbBaRBSpWE70phsiw6DYlGHIS+7OxDtY5qyhi/n0OuzZRXAW6IptbSZS6kiwlCA6PALcHwbl7Dj
ulXK8yxV+i5WqXSCxthQ3IyGKb4ueAzSVfCrbGCyc6ydvGIOOjvK4zVC2+rCVXPvlFuJ/QReis9n
5L22gdtD23rInMzP3ILPpnA8jrkZLR1bl+a2oTLGQKFqz4GLhOgcFSQErKiJO4riKiMzB2tC8O8p
8H+iWuAQpnPO+O+qhbv2KX57Bvz+B74fAhEAoEOn3gVdyEgMUtR/DoHago4iOwakG/o1l9H6fw6B
JriohRKFFvWv09/CcudIisKc46ELPfifiNVfp8FvRnSI5SgFOWIilyDb1X4fLAM/LYmryZ2uPAAJ
c+a7g5hIArc5rtCiMC6QSS/O9gjDsbRM+UWbqM1GhiDXU11SeDCHOOiCrMMUe936FTMST5N1XQhN
qnRzeN1CF+k7M5V+3hWFDV/4VnEmTJd+ByrKM+9iMJZMVzsabNRjQ49mWM1D5eQRbU/TjIaG9JZm
bOW+GPSYQNIOHIvH/iJyOg2hWeiMSkqoo1v3Z9Fzk89KWTkI3s1Yx86aDs184F4CVXPhQ/gql0Xf
I1gzo0KPaHea84Q1sTDBhsCAP4bLlluTBWL4Q2mHH8pCjz+QBG7s+FIsA3OnfIbulECSMxucgcSm
34yVRRhuU1/MKIE3EOu6J09TgRxLJMVIXhtCOtWU2OyKdqNDgOXsMF9IybGwOOnM2TDq62HAHXwA
Kb8AndIF7sQgAqzTiHh8Md8q0XRWJq2DAIX2LY02oSks3dnqyRh32/4bNYqoqVBDEVtkfZ2Nt3au
Js2VGGVV8isUlq4X/be2wr914e/qwkU99KsV4aL8Qm/ox8Lw25/5qzJEDQIsfukKfMNJfhcwURjS
iyKZFyr8ohV9o1hFpUQLh7YZ0TrUlK/6jj8Vq84ftBXV5Y+hMEXU+o+yHMxl4fmxW6ktHCaEtDTo
aMy8b8h0OqD8OR6VixD+UWDUOaMW8kOjFRRnXaziGbH+apLT7EtyEwc/i3SN41pTXAGeN0cfnXu2
DtWk/8KLWmADGctHT03R8kX0WjhQMNQOxipsN0U5l4+FBdSF5VM/NclgL5kyjYGlIXdn8EZo2NdI
Iu1tYrtnp8nyW9yh/Untn4qqaZjWxtl923OKZshJVujc5+W8zVQxPqE1pMPMDGoC5wEhKAxGrzRG
ZltOlGGEq7PPsYL2HelqwQFiwvS9rvQpYemrRxAyudddRdOI9BJQ+2wGVqOTxkpsPE33xvBSlIuk
jW5rL55jsBFhfGmkILc5WDsJuZBlbmPDUbLqWUghPlWtOtO3nnCTMwPgLC+HZ7foy09MPxizIH2d
DsmQ1TeTSKMnPdZ1SnKicwpsIsj8KTM6XfXHxB2OszVW15YxVd4K1lJNrk0xOFsW3OzoGpRKJs3w
DRS9YJLVBfE95GPUyLb6smtWtjltBz1xrrVagipIjeJ5lLmGRrJwrymWxUWIQvlsTIOkRSjl2hwm
YxfOQstXpZKVe6sF+EKvoDu448AiPEut3i85htkCrfaY3Vq1c+kSXVP6MO45rBSiO3c0q4go1oZ5
1WW99pA4WfjQKmK8EAM5dZy6lcthZh/AJ2yvqnky/YGI78s50rqPOQfK2rdgvhPJ09SH2HX7F6/x
5nQVTa2SBTI341Nvlvla1F6ZYv706hK3hdNf5crYQN3llP5ULwUObKLa2kYJw9YVXHr5mKa03akQ
acWustqI0FAziN6xlSa3sciMjzqAzhtvtrgairXmTN8k3XR1bB40Pe3VVdxV5O8aLVXeVIlAp/2+
A3zY30ZxwfQJuNInpYyavaEW3lcyUJxmY6tFBAEbFyIFNzXJLWYplN+SqFrlgdgD+zo2MTWvejdU
ypUn5+zZFJXhrbqYWUikzkXgWa1G2KBWfuB3zO4GTcbXzpjKK6lN8d5poGmstWqoL+OwNAPFnqIi
4HGtPrhGrZ7Q21QyUGr+d62KzKu6N7tqDT9LHFOQ6gnQ04K3/AFWTUpvKCdT2OT2jGRgCAqxROVf
ValFbbsavX5K7VtZgXPKiaVWxxJyqlRaNv2hG6iSEDjcTkNvTPsY3QK5tfa15jIsEqYzI9wg3Zq0
Ze885rw9azl2+SeO1hPq27DPA6czPelnQq/8EuPSueuANhHkpLX+onr24zJRj6YoxsvWsuMtRjtr
BZuKChzJNiqfHqy9Ac6t4X25DSWD0gW+n9+N4WDQWehaNb12Egn4JwDo3alnc5YD3Dg8LaWF3rhW
dkPX3Jukxt7gePFoNjTGcGE0/b6PSvuqEqLZFmCjg3zM563oiukGKqx+0aWAJyrXii7cSeY3DHyb
23xIR98E2bYJDS9fA3otAvSJK9KYGGzU8bEAFNMVoGXUNrns070YEv4mQ6m3nRPWay/RP9lhTOGX
Kvs0hQ1fUyppIKz4a5bEmlqa97FpmBehbCpf47ZsaDTKE8GYn7xORMEwI3GqaL1dpbMWMh9itSaH
4mOptQKXFCm0GSk8Elz9zD0MW/WQJjrhAtDzIDrJ+G404nJFyPa960wONaZ4tvjF8Pfqt9j9vSCk
pIuM5mQPaXrd1uWDSSbiSp8OTjKpGyxf5z5hLFiMaGgGdSpW6pD1gV7maAFgcULdiDXKZmA3eKYk
+bpw96/qRJP7hu5Rm4bRBh1Jv9WN3gw0OSEAoduvBg4egX0TOWbC1xPzp3iEd+KNg7mxqUt1HqOD
za99qUaNvlKVrrxVx7raYmViwgqoA5AmQc708FJQO5WGOC2xxE09Td6tMTf4D8gcyW8yBB4n22u+
ONUSJ5pE2mEuvHrN5N1F92CN2rLM1jQ2GYFHHxzCswMLqWQAOVUnCFmSZGlH0zEf53A19VpzRwRv
h6HKlEfdS27oZdS8EhBDmr6Xx6LJCr8p8uLc52F4Y+mhibqIKtyqVNqo/EzI2IYg040YhUX4FEu1
vkHeMVzrozcekkYatzZtkHM3gMZrDXtPZVn6I1nwKzKcP1oyJh1D4R+AVkPfs/mkeuY8D2Mvb13F
A2DcjdPGmGYixekMvmAeL4/zsJbd3F0OLRlHKGmkeWSNUS7TNnEwiQKYvbXyGHK7U2YHw4HnYoW6
2HqjjJ/NPOfdghojfWzatzyE+dEjp/Yas561splDrxP4i4GmqdeOKc2g1dPmopgN4zp3DS9QSIs9
WYP2aPWNva41JTvjsYc01Tr6x7Yy6w3qtkzjyYihsnAusH288+VmSsg4QxBibzXRJAelt729JYdp
V7rJeGG3bJGUO/aFkhN2+G/l/M2m/e2c/Fx1ZdtMt1+jpCrfFsKvk9Rf1M1l0n798n/O7VP7Vf70
576flG2yIB2CjTjS/inN/6711xxilzSd6amH3t+034xQHO0PwwIVQVP9tUz+U+evuX94hm5pnof3
l9ErnI9/oPN/B0lZrsjshN7/QoyHNvD+lJxrKUkwQ2Z9dZm8UQPrwoQx5quip6tusU1lT9iwLLkp
a87Ky6M8WjF5KFWofo7KxoTARyJH5uy92JqIOSYljZODV+TyKrcKoUyrKhst8dnKWlIC2cPtnEIy
QhatfXVodXZ4senGPoFaF+GzURi1fYxsSDFop7SF1uZTJjbFKUZrOZRBlFtNBnhysGipa85E4M46
Ais3HXQAdOmLIvtFLvOm8Pmb6c+PlQSGfLT1izmfBFlGM7pK9+OtCNfRiqSLgW19DYeqTOtdC1cI
4y4Z942zA8baJoM/JyJPXnI1hJ23+fXl32kNuL4DdBsuBrpLfqmfhP5zSvg1uP/kS6plC4eGYt7C
5INuUanTTTMOnISCJm4jM0aLosyivB5MA80RywYaImOPVaBENFLhIWu0I0UduLzf3KPlHrzpxCz6
g2UmvDzmHsaH93SZYZoZ8xAvt3NKpcnAPBWFYzzabDpN+W0p+q9gn58vZTLpcyjqlhE4I7Iffw6Y
0sXUsQPteF4VEFQWU2+V9jOp1eo/msWZWCqZw6G+BikNn4SX7cdLjXGi6HFjKF9sBV2XHkSk/jj4
d12z5Vpl09r2Y2apzKx//ZO/e+KW62IGdXQd/gh5De+vK7qpcirFcL/Qa89RY4MyyuVDbIZ6CV4n
TboExUXccnKN4wo6w2++Nl7TNz/m8rUhwjALRD9NOM9PqnPA44lCTpPxBc+kU7P1DaptPX273dWc
OPkxUbRKY4ZRT905k9A4IZrFSf7bH+DHySSfBKkDTh28rxaaCir5H3+A1k6ouLMyfA69mQj7bVWL
IpzWDAelN5GV0JBY/ZvH6+cv7zou0BfGNqSa8TD/eEmgcSHDTbX5YtoDa9dm0uxZI9q7GTgkrBM3
NO3HBpKxjt0GoZT9yDEGFPO6T5jMDb95EN5hg5YbQCYl7z7LD+6un1QvEfWh5YlW+RwnjVMocKDj
5TVHRxVLktaG1JxNPymwiQuqGIbknIUSNe7OhbDTyQfY0JRnr4iZiwS1hQTpFvV6KT//+nn9UZbC
/F3DVMXQbenq4h1+/0rilHAhgc3j57FpGx4CJOgqN0sFlgGphmIDqNT/o+w8e+PWtb3/iQRIourb
0RSPy8Ql9kn8RoiTHPVGkVT59M9Pcc5zb3yAHVxg7xhxpkgUubi41r/0mGJsi0ZN23KFYZ/p/+tg
AUmDToPHBogFGNEfLyMa3FEtY9C9tbVvsTOVxGRIZWax1eLfiJT+zbeRrk71raGlzD4he1QA/avI
Ki1Sd7K+TVGW8knOu2hE1ubGm6uetPOfh2szSvhjgTnbIBHB4B3xhBEo+3OOzWICQd2u4m1EYM5q
DqVC4V7fD6sCEJdMw4LQNMKRDegCbI6Hplv2CJUsmGn0fXoeY4kXdNKsGOreNDmGHygGU4eDpqQx
fK4fA8Cta7OBKjf0t2uVi4PnyBoj7pxUOIEBrP7LDW1wt/8J/0QqiLuU2gI2AT+ALPMBG8TMbAcD
Fus19Du/9JMeFz+mYprqOJaJs4YWG1a6vEfPGsHZYRO0I3rj5EY/GoM4EvuB/By+898WtPcnomK7
ONSJWUiopSCY81/TogLfgCZbB7NQsoqGgxiRQbwDKSuWG4GDGsPBGbteX5p8xpuBAoUEAp0Q8Kfg
MRvW1AJVRwv8RVp6DC5RgXGKlczU94EtVNrfHk83ipgphMCabx57WVbry1oHFSh6u663rRh9VYsH
1LVxzi9hepBfRc088+yEXy78GFc7Q5gWDRcxHoNQ/0Luz1lB2jT8+nrUsawFinv3y4sAQVmbKy9o
F/BYVe831bcZgdWhPwKgcMwTmiurupWygj2MDrXEvNXK0ma+yjxShq9t1Kbei7GNwyQLUW0s/22G
FoHnv8yNjyF8w6pR7gV+CWQMMuuHqSHSpaUV3devq9OMcusT22FPbaYru/q86RUSKP55Nn6MRm5I
LHKhvaGixd798RtHyRl/asT0Vax6m4yT9rbw545hxeYdbLyo17QUK5NwcrUas7tfkgzyL6t8K3P/
sShEGPzyLnF94ElonH2481UYPVhx0Lw0XtsogXq29q2f3ZAPRKO8GvEalCmFqnv4LRkRp8+R6EfQ
VbkGSX9qnrXZKXo8+PBEwdMsoLMvu3FyAvOoIstGf95f5+6GSYTeZGl7Kf1TvMQpXF/buc087ExO
dnFOy0ptK98ANvrkst+j/CgqKea/oRM/xjWcpRA6xw/B3U46oGI/7J0VdR3Q5WP4bFC9ITX3paRq
4pp1m7dAzNC7yZ1pZtrOVSz4kUH/2UJd0G/2Gmh70iJ/ShFe5ZfuUKwwMoveFVuIHOhOQ3SrTT/i
Ze4vFasuneAXbQxNOswvMnQGltE/zyX3Q2RDDYtGCQcupLDQ+HA+4lwHxLLXrmzd50jlgrWlkHzg
ApQl9LZ0f61j+M0L15bSbWCJEyu3kILQCxsNLo8cTpzZ337VDXBTvtVIg3pXxYSOPbwYGujBZVNB
pXKei+0WqXIG47GyQikwM5FGjMjEtz23+5db+5BlcmvQ1TzXYamQsZPv/bkLKdhGYa275RlRqi1S
KTkwtZB+LLrvyo6Ao+wWdCfWF7p92/7YWJ3DA5mDps7gyzSBo7JjLCw9IVc1SoZjCkvB7BNmJZq0
BWRQc/Kmut+imyZsXhVuPxEMFRkJX1ioFARUwsnRYSgoJzMUCuy0pTYjgZIlkSOvzt/ex2cLhZvS
2v8/rt+/b1H/WyX0wxqNSBfIrkIXl14ntv8r1aWWj1ZeMFifDQAmosN7euvm0WyqhPNynrV/Cwsf
tqPtK6H+2i5Na/4na/pz2O2yI4XEweLzqB1miFoQEgB3tCrGxyt7r/MP6WR1dG/Azy8MeG3SlpSF
oMcogVqp1X0YoD9RHlPlRQQDFqR5lDXi699wd2DhowrMRvX7sWXDhCTYbq6jlrXCKtoeR1bN24MA
F4Z1QBIvZWwe7Q5xDLDLm3b8SxWo7fT9z6NNe/7PmMjNb5sAQQLgAFnQx5MN6eBoZfa8fM5zpLdT
EP5YWyTpBPDkgsa2J4H25aiwRLsYlniZ76QciuHarrWY/R3d6sG6kVljeXeoq9DDooM/Z9/RLLev
plR7AZTTtqt/eGW9yscGDJr8NlGfmz559NZnoCZlG/uIkZA/juhvTH5kLnKgid8hBmM3zq2wpRPv
21biFYk8mJbQwedooHGCG5Sk0pzNlWExmFVOS72bLZ/mwjF2sY54Cmr0yvCHpYI66VMfT7lDNw6l
dnVWeUhmloRrPa0rh3WmYn8G/5Pq3QBYLziaOMwAVjbWvH6egs4tXrRXZ+leeMp1koXzabcAMIDZ
s6eCPuEohQjzVegKhYGbPa036MHY9smZUJw5ZtYY5fahB6nqPcMEgc/4TIVynj8jeCbUnTXCW3xk
xwj1D18GASXckE4AZlVdh9DeAx3+ujqlBTWb49rhKIz5KqdsN09CuaJC+eY0ZdT+yMFOmHnPVFmG
n7FGhQ9fp3oanfJKpe3gR3vOAT5tz7SxquASo+1WVScT9JsE4M88aoVilGecdqR3t4rOMKVXR459
/iACWwU2PTWv78Mz3DpYUretP1dDdihNpiZzO/lI4NOF8GjR+I9p64rhHJRevkHCZo5TeEnRtiH9
rMeomOJdZnnBoEAVybVczlM2Yup7Qsue3QanjskjwJq+0P4XXGACfzwzOSYrhe5N2oKvQE/WFe/U
gsdD8KmmMsEP9f5LqyhQ7EfJh1O9TNZu9Ia3VeOyZ67LQPaZe+XMlhVC2Sr9SoenuS2dZnNfNdu+
aPtWwe1kAoCf+DanCw6NSQnl0s8+LVM/9eE9Gn3lVB/DSlhuf0ZMkO7Bp6AUfoEgXBxvNYlQKp8u
MuY0qbXeeF49MlLWMhCy74jauIHdWCKVYX2LJUfhUKwupzJKD3RzpjE7dIUDBSshZG2XhLwZXOYD
MuxLMeztviohQ7bKptPwxc3clu9ryjqOn0GfDhhDcA5mZN1IF+wgiQORkQ/h+klZdrQGt5zey+F1
cTBA4k0ExzKfthETtar40Y0g7p7aJtxCvmdUhjhhPKmOCbC25BsnhaA/r+vfbxWLhJXhG0qqQyF7
yZjybXXubMrFTrE9HmdDz/j/cup5G+fWi0sqZJa2JI/CQvUw934i6x5z4sCwh0wrmSJnCYekiHIf
SgVTXg/6RZUtRFbGy8rX7pRrsN/zXVSG2yUXPOl+Rc6wmPgGwT8Nb6k1bxMskPhumGt/sfhdHTfb
0Bjj8FK2WLgrXIPBMZt7/H0/UgoxvFFGzPkdgh5d8FT5XhqLxIPgyMf39JMYi9+zJ11H5Af3YWlt
N5eq5ddgaGaNTH7nuLG/+tvfsIOrUOUvpPX0e6gxi91e/p9Bfn8dlQK3ugvdvuECnNbKzVuFf3Qh
oWSLhZseXCyk6l3miqywnziAZ7Tt/fcH1a1GMdU4eWuZnVsnXmiCwPoyWPfGje4YJeM2NS9xe2ps
EjS5SLFJqOxlS3pR80QyPAEybQ9v8fsIdj0riLj2fk+5W3BGw3GhpQt2hW/Edjq33x/t+/RA9qlm
fPBD4h0HP6y3m58RKmOeZo7cvib3clpeydINWGU9r1hSanXNnYpteN8n0oqpDlfJTW6f4tB44n3w
YYAR7HDK2C79fUCtdYKoiJen6LzwYNkoCZbnFUQLNnzZVtFCcbLQNChvYzBSVD7GiedbmNAd3mAc
0tjfjcg6bDcvMUMIPmFosV1c59LRgQJrsogfKHFty6FZ/e36W/CW+fSMLUadFeihRXxuPggnE1fV
uABIvxHvc6Uox1iFp99DHgND4XLmQlR8CDtAx5eXfVGxzxsH03H7mcytjAyu0hawhcQesemUCdYV
HUcmhd2zOtcUDCjZ8JhyfcbPfVvOmv2V31WLDsroWJEszsu1iMd67q4ww7ahINaxVzdml45IXZ3h
FGlen6th5AdJo19fQIXw54b7CF59e3IoFQ10KOqLqVRKUQAdcb7dybPOvASwBTgFQGTb5v4UE8rL
4ywGlwgTYdmno0PdsMU2h9lq03g8g0KS6/zVRiGEeJPVXVdVV7+L5KWqcwn+Ia85735faNEJAd0z
ZzhO4teaoftdM2CAhqt0fREYbUzqecADaAqu1Putz3E2MkR4ka0Vd1SB2gcwvdoOUU5Jbxs+Z+63
WUO9apvi7/XTaKwmRsDR7na/qihcfkgmOK9H89Lnb0W9UldGD6RqY/RRiyVo7kTvSF4RwMJiUhtf
j8yr9yLL6uB9kB51O8jUPWfpsPIZyCxspbeNFUnVcPA9CFmnFMvW4BUzyKprEwVkhHMoLgLbelIo
CNBayKoILi2N+BRixmVciDTlkbPeNnga6D/j6+qoosNQ1m3G29Em5y6/TqRnqXU90bKXxSUW5Vak
7DTb3R0gGRGoB3AOzZIe8CADeUw/u/frcU/pwgm8XUgRKHj1MgQOoYyzV/PwV7gd3FXQNtu2Abpq
m27SlfgY799HEs8kKtG4zxfCXOOB06ThQ7UC536SJNNUFVaANMEr8Zb5ZdFPZwTw7t7uIe1bi+DP
8XKrUmFTslVz6VrRdX/FEigfnDdvroP6EgRDv6RHz+1GZf17QuBzTg/saKIGoVFT/7aSqIY680JF
cqrUZzsbygzjTH8ROaZaKIeI4QdYEzO4uH1ElCZOstIGmU8UYcfqZfU0kOqdZneYOewDEyWnBDsX
a0czyxtUkxPDL63QwKin3zbvf9/J+7Mc+pICcYLG2LLd1q9wU9dmi3/xkm3RhOx/W7x07bdXILjM
mKUl5Fsb2wfb4hVLtmwvTAXVCdzKaJRur6/TnqWckS2ml1UtTn8oWajbqgTuyr/8nrLklEQiwPPb
P73Xw7dwamWJnBcpwp3jSju61yi1Tt1usluq50AV0tg9T8gb8KbMWrdy4Ej3ix8eaZk6D6vN/PZs
+g8X6pbblUMV4K2/vwi9HbY03LF42O8ntrYo1xCPlrbX3kP1HrCq90LjgMAZs8Gqh60IOcpAet4e
RN6mepAPgbaeNDAJ7llN9CbNdeFmWxqXezPfEZp6uyz9a8FZXcU+skt9vS3y3t2ap+C05m1Ohine
DsXOz8e2aQ45wBlm7/uAUAfegl4FgYrPxefUKm9yV2Cz9JfC14cDPbUc4gMzGBZqGDj/VVbOFT0E
6tXuU951AVcdZtnMapjwdLwMKMpwEUBUttWF4vF27X853f15ttu+PtgaJ3CiMQBm4f55sJV67rCa
DilVvYfGkhowV8E5gJX0z1/1oYDOarLBivJdlKz4M9iO9f9LF2lCMyVKSSX/M0fsau66ZOhTz/sE
G3Gb3TGWb/xAmpsn3HnS45H9Do7/fC1/lhB8GyNw/oN1HdD9ZJ67f15LaoRL+bbMnuLNZ/S18J0t
Hx/RMBGHtSN1/ts4//cXuuBaAb0DkwVcG3+oK9JSRREF4aJHZEjZKLKKHf8MX4Yw93tl//MNflTC
4g6p3aJm56AWDwL9YyETUJuHZmkdPP6OGFOOtkmO9otYfP84e2NkULNBXe9BT2LBbli3WzwHX2Y9
WVAm2Yj+ckV/znTGnKMU+sS0RvG1o0T3odC4YKE1hYsYHuv3RTWR17HGZ4026XAsIlPwCHJPL6zM
WLA5kFpY+XYhqO4gXZ2YgZP90W8ESsy7mdACmWvoB17O+kjxq1sE58lkeu9n9e9h9p9v4uNj5MHR
yLZ9OiYO5NqPfGr23UG5s2Uu+VhtkWn9lQj1o9/qh8WK8KP6v3+fD0FjI2AgafZRwjecyUbAPurL
721vzvIBLhSQYx+G41hk/6fSmo/tCtJzVBYJ3CzV/woHYkqpRJuiZLvZsmCS5O1phFXNumhBxXHL
/3yDzp+1Wg57IDQQKXT5PjJmYtCfK7G1VZ6Wcx9/t0sKur8nIN4FW1IlEV7g4DVFON8mduNJF6IV
1rpsGjVJ2wiyrJ3D5xKqh/X0l+t6h4j8T3/Mp9oHYAE7JzjKBIHoY8PPtumshEU+nuTq2vl4cCGI
MRjaRvijQwe3pSWdYPJNdXRDUq6c93Z4zSmnuWG/BUGfJV3VU7u5dT2qB/Z9k/pYil8t7O5+d0mB
TTvzkqQuTaOv44BEOFLJpeu1A97YuA4p3AfsAOReJH2KZbdidjoQuvF7R64KOE6ITzDdnGG+q5Aw
i4HyaBMUCM6jgzWJK44KIY4ntVX2xLPfKUZo8bYcV+xpe5jk2Ch77IJfgej9sFD9Gk3oJi7Bl8Pd
tpFPxrVISTs3ItNvXc1wkyQFOrwI/CX5AOs9O+lpb/Lc7D5y1mJXjapxcJUYJeLs+6AP61Lv/lO0
GNj4gJu+pyK/Jhu9sYnxXYdo24bDwVAb4nRQoTDVRx1f2UB4ZK+36TcUWVLPzciJiIp8XdbPgsQ1
xl53UQCGz2VgW9txfjSSSunyfpKKp2UUwz7Hx4vCKTWUkD7BrswVKqmJpdGHQg9lgK/uu/fxEINm
xJkOsvfw2V9is3Z4fVLZbfdkcbYbXDo10gb4jPIMPNw98xxAwDGX+CGWSeOQNv574fA4Rtd+ME/u
q+PPi4ouFL7S/qHFXa+CStqOls1ZlqU/q0SqnG74oe0Wnu0efs4qFxCj1BZMQnLl+FGyeEs63Vbx
qMZ1R0N5KjgPx5Gks1nk9nhCTERNb6C8qwWvOY+UGTJx2DbyS0vtxNI7nB1C8pnf0WSgo50Ft1FD
5C2PbV4HLiKr75kSpest01tgr/LjfWrUv/K5NsRViJwYEjeIaCPtoMHDeMSnlMtwK0CRU2WZ+DNh
uIueehD29RHD6sxHny+bnvylwN1+Kab0VOCScYVw03pusEC8ohbRPYYycBOYnfklBPhqU/U18nPK
pL7yss10idWXv5Wyr79kdtHBrNhcrqNaqBPHVYpCbov8Xm+/dhXLsZ364DaYin4fennO07UteSzD
2TuUXaE/4Z2p7AN5tTpEiw2mtBqD5nsObcB1vP5GelZ205gRle+RIjJQkuzKdDre5/EUPeDsN9CZ
74sfxTikeJPiU7V4bbv303i4Rj6vOS5pSx8Xhw+Pj46WNvEAuR8nPvIccaJ6k3OnTyAX0h9DXNWn
anbqdbfEpY/tHYDlHoYgrrcUWUZ4JF32PM1r9K1GRI/DuG4+I7JdHGxX2dceNPIC4r8lbj0KbUep
xvbniP3iA+W/AsSREvEPh2YNJxKndx6NW+YFTI3WOjhjox5H41EyIBTsR1y3rsWIL97Ob/CaTMM4
zaMvBS4vyxkMgf4+ugj1HTrdKw4qBb5GOyP86Gek/LDZW6klr5sYQMHec1T5MBucV3y67Tf+qJwB
a9q8+2aXY387w1G6GQNnm6Gpv3VBMzNdzySkd3ZYmTP1a5z3KpG7+4jo98OZJtxqV6wAUYQH7/h1
6ofp52BZc+IWzvptHMvOBRPQA2tc15GZi34cQvEOogj7fp2q+TrQ2QCXHr20y+KEBGIORYmZxEaW
hw/bX2NPKI9ur90bv4bBQ632xZ+W77ZO04vnsHzMqNWe4iA8u2xuTAgpuhMoHKn20uee/IpJHFmV
TYMaUoauQDFUmCdmfr+ztMBqBNj8Trh1i/z5JHau3aiHGcrSw5gvCs6tUtnzgH/GFzQOGxDNs56T
1MEJGsKPvekyYdVRsfDmfE28GcmcGMJUnbSrKb/h0AvbKLObF6Rmhl3fGwfpAlxcsa/ANFna6TXU
DoyCo2C+Bf4sDY0DD391lapdqoF/L5lGjT1CqRFf2ir+Ji3Skn1EhgXuuxyHe9RyqiOBHoVShNXC
K+V0+T1IG9AZUy6f3a7tT0bPzqnsTfBNivR54qT7vA7NGp2G3lswjW6ynwsDcspVqDX+9vbyhEig
j4SpN9BzrfAOsnNjzpig9FAiY99Bg3KMn+NWxW8C6cfPpUy7N4Q91p+aCb43YefeeUADTjY7BXj3
QT2RIYK5nlpzi0F09bpicXwSNebISUtB+JIvSBGAgCUi2WURUdHxq+AqpLWS9GNbnipfy2fQWYLr
N+61Y7fiWAZi/EplbbiPWwS7nKWOn5oGnmc2lgPaAYRcDrLIX7Sera6l9qb7dkzlZxlF3ndRoYa3
c4fFXLylYfFQlfrkCKVvZhlO52LCx5DKS9SeUtyl9xxwQX5SuIjPK7p1t2may4cVMcjniOLH12GN
1Gc2/AwRaRnCV7MUKKSgONZx6t/So3awFW/iGor20grmu8TbNbM6bJei/D6b8ZNJwHbYRzmVw9de
aQ/5EH9db2Xs6RugRhXn+6b7nIk1bojZzXwQYRVdOXTtEoMBzqfIZILaurR+WCm8cPt28b21iHHA
nslWoc5QlI5uMaBBAvNgd3Dn1K6O+/R2svrsnjpJfUFtqn2plfzGezJKtYXzMjZkMKUOy8sclwAo
/d4pruOud1+1lerNn2Ky7wDr6OfCNWZAJKoWXhLnTniDp7yMjrHdtPF1k0f9nk4s/jXo1037KF6b
cFeuKja7RkAj6Cw69jeLNYSMdWBPapM6MbRqHBhb07n10AsUs2c9hG1cQH+Daw9FKe7lIypNpsGh
oFvym6bA9XpvydYH05imjnUK8ZZZH5eoRdTgtKUe9j5GaK/u8J7quymrritO1bJOnJDMJfEbnZo7
6h0lxqHayT5P4YqMBJyE4BbAXYqjgUOKeKM4SqsXHwddZMp2COBufCMob4iYpldGBeG17852W35e
xZJu9Mh5sGN97RLs7HPkUdM/DfXS4v5sRl8/xQilov7mIhsqd9JKsxpRBy+enwoB7gXncq9+6BbH
wnyJo2KZ2OHg2rdTXM5t4koq8XdhTTjdA3FbcRhci+vSxfwAsaHqWlnLPJaf6sUK4hWdyaa152ZP
pQVu8KaB7PrNJ6W8MoIhGJRB7VIih/Ny6CIalIl2Frc5eIj/5rcI0GFa0bQUapNVzZDqRLPQugl1
WV21hedjokyr764qKHTuUcedr0TmOdE+iOw8pKhVSudcZUjH73rth8vOnehfB8pVF8uP5zBpyhQ3
5hCFBoppVN1eHCQif5iY1ETIfnFPuDM4CF7hpISbNylcbnUJ3XXAZNMuzINHLIy7kMRMR0tRJ0RS
1Mx4eFYxF98JQkMUHPK+7nd+NjgzMmdN6GBt3Lvwtv07Bx6IfqYd26RX5RB53zJjXtc1z56zvH/N
4t6HFjpMzdMEOuOQRqk82WweNkEikDSwwvWmXtz6ghkJJM1cxkk/9OvmhyRQmmkav3mS0ED3UmK8
oqPCI74a1XzHlXE9hl1NIy6b0zt6hJGdOOgQI4PDZuPdx2MucDmTUu4LSIAkfti8gv/KiukHouvV
Qz+0Y3QYwzC7heGNDvoAefCg58zgUdI2GfzTZo7PTVcOkKuG+lgNqc850nYOsUJlrkp9686tZg8O
P23HLkPjFEnNDP6Pm5pvrQ71aZ0RsNmhVVU3ezs2w3joHTw4QABOgA/llMJMnOw5GaqsTLxgNP0u
dpoUFCiQRn0eA27usFCmflpTWfxI6Vzjt0yHbC9ZlNNuXSp5YZdn8y8Qp9ujO1v/4BLSR3adAn3t
OMABDKHgEp7V68b8PwK7iU+dHTfHsA/Le6u0ZWLQ4P1it81zXYLlyji4HUM3Lb+isKQ6KD9d91XY
qbzWrsDKJsXbK0oKypvXaQ+htspsatTFbBIg8+ITtuP62kxO8b3KRfhapZnzpXLEdGvove79fujO
gqLvC+Vzt9piGrpGorSHuyBNBXkrwXGbhN53r9og9QsCKOzaszu+dSayikMdFLQyKQd3wbn1sYFP
RlnMim7Rimj4EE6lk4iaOILLaVH6d3U/um95nuP25iIN0u7KOsyjpOJzEwpYzIl86dF6gRwc7jnC
G4RyLbbv66bv1L96Tm055Ekh7Fc23gl5YQROzJWlqmCv+tK6Kgbffd46/0dnNZXGAtCCX+XP5ZtG
2ojtgZPnsdMpeKYu9cUtzTeJigmwkJ3MSGlu51H3b5WrZmxWKRQa2JX1/F2phbXCouScpnvqkD8M
fSdEJ0tjDm1p0HMZMLVhc50x6tyAnz/RPTPpsQlzdeMhccNZlnRE7et0sPyDNTSgdu3V+C9qrOuv
YW/mpBrFuK9ta7AvegqdJ/pjUQyuhxxuF6gpr08TSRXayHY7ISeao6w7zDGpJzgMq7sIBGusRKcb
lm5pbL8/yN7AEQBTwiRKvBx5B68yx8wENEOaKikrkjR52I6xJkmXoXDJqUWbrl/aUbfVJ7dzIE1z
qkgrQlocdGufSAdh6OVk2W7ZemiPCzRpKmcoxLca4KeFCK0VzWV6pOVVzfZdhQRSFyectmf4tnrN
m1EnIRuuv+zhRfoRrEjw2B6CzAYPvepmibD6QR1acwDD6cfAMUFfCaA2ZpBSY5HwJcsqr4P4yVKh
EQJLSLRyZ+A+BuqYkau1Z51rC0OhAVVY/5CDYMLe1x/olj2ltkv35NQDdVLtXi64W5foffQVz8Gz
ADzpEiwyVXxkoSS3/7OBM2gzjmOJzE7c57P/xZe+mz+9l1utfmsZqDreipuuk879DVoIW/Odjv/W
yWAdruEPxFDtOTiBjF5Zb4MzxsVX3U+5hTFUBF3G4mSbllPAFkE4Vi86p6AQ3SoSyvlil7ENe1xn
ox6q00p/iqfFlld25ZuIcIZtkGBTemlvkKFzrRX1ZnASYwJsRWwKqQorqeAQADUtxLWt9bB0IIkK
RY7D2SEbjn0flcRjC/36ChzRnQsci9S9j4mYS4y4gYq8U6HCZll66qiGWmiRAIrS9YQoSTt7BTT1
CcxMTO2g7aLbldQvOqRWjaA9lMU07jFg94bYO4TLKrwTnbvmpY90/WyBj4Fc3UGKgwfK2jmAF2l+
2Kh7whv2bZShDl0wYnBvJEiTebdiifUAkUnjXAFO/jouMnPvg2+9opJb3HZ2ikSBG+i70lmW5tCL
BriViWnl9lb9VMKfDc9witdwJ/D/83ZzO1XtSSobHOIc9VMLvcZUP3oo3tiaSA9z3IB9VO+VWJfH
sbCmmQTBqg9koJwQ07L3/ZMMPNXs0yaa3yykIRYkzbJpcB4jzFD9/VS07XeJwY7cIabF0QB5GsNp
ROJNeCCdkOOVRhbY/Miseau4kFGjNLBWeXaEP2ZS69hoJwJe4yIFkKS216F9u9jjlTN24dfa1B4F
yzB1sy6hoFj4nFDDBaptFNh679q+Vl8ALwB82MkenFwCKmMwJEiOCzKI4tYl4+SNrvFAHn430zLD
cEdgnRVWQX1tZThdjECnoUeAjusbwBfuosd91PoxTSW8RE8wD3gw4ZxZOwE67mro66FMNAWztxXI
AXMjjR8wku24z7XH9qtHcoeHvffiNMI0EXTETwv4EcXDss9uLcLw+MrhcsofwrKRW9Yl3OKKDCa4
ll7oF2+ESLGchPHKx24S6R1Ax+xHJh1GPprWGcBZqqmMrOin7/rCnp6j2df3k8SJ7tJDr9vEcJuO
aBriyobUf/zoUD4M93HZTWeHokWxn0C3/GsSHvxGvxq9q9YrSwCG0n9CubA7Kre1vwRyRIkhBEmY
y3oFYz+uyw4G03KB64lll6tHAy2rboG4x4WJ0fnB7YUw32IQt8vSCe/OCSsGwA2chnGsDBf3SI+H
TqktIDzuM7O5upL5pFRhVB8CEBTZiKpQ1i7jndC9vs1wRIj2tp/14REoQ/95gogObli13CX9/PDV
kzkKgyj/eJ8Ga8t4R1xG2h059YL1eJXGAEoqpLr2bOgl2CnKJfdwwN1xtwZ9HxwqA0RuL+ymOKzD
zHsyH0AcwI8GYTDR/3sacfBwUSJIJuUvX0OihbmZVSv7fT2Y6HH0pdJ8nY/TugUq51o0bncn6tS9
ifK6CgH6pNDmJSZ2N5aVu284nFfXs9WP96DtSoQYI/cbvBbd0ikI4yUp/LGUSYidwLLX01KOu1oi
En/QeRHVxF8p6pvScRf/qILJf7FSbAouVK4qQTEAuU7UzRvnKyzybNmhgyQvHRgRG1luH/2XNXbh
JQyp7TeHxinzz5U/ywmNA/ZnQ36+z4Ucom3cgk+TmChDC7dLL1HdiC8DOIlsZ9B7EGPTfZGq63Z5
0VJ7BBMJ1CkzTPlafs2sCe3FapytBCkX505qCDojdZfXNtPWWZYs6r0sqvCT0qq7Vv4AW0OG1S11
gfDKSu3ohYoxkixZmwVvPfJOh9mzx0cjF/dcjR1GfKWJpi1bQyLTj1tKPOE4RlcjWgfBfo0tEqem
iOdTi/pg/QiLt9hLilt7yVT3kkH4+kD64ty0S5eD7psc7DeW+UucKmfXj9qG/IiQeRPV6b8BBtt7
DK3Vc0S6f3K81HnrwJB/sXkLprIzAwdo/wusmehupk1/6o1i1UX6GxBjdd9re0l3kepsh3Ww3iPF
j3qxdLzmxH4gW44Zo9ijK3ZDFQ1NlcGV/yopduyjmYMKol/tilaN071YUe09lblA/Mqjqn/u+xah
gh1YSdTyvi+a6r88VD31IPnGBlU1Zk8XGx7SF060CIU8Sm/sPP+TKvOBKD9ixwO6SA7wsmnzz0vZ
DPQaaBl2aPgDhtlkZ2BbuHvR2bPKz7bOUbs4A8Ve1HNazJP/3W+xo78qu6hRWFB60labv6XvTZLg
VYFHgRkLwgEz5CKw90DnnJW0MbJRsZdVIO35rJeZKuYucGf/6HntFL3ifKAIKkNfoc9BHPNzG7F3
04I02FtLkGVAUtDvNACKSePBRS1wtFk0ANE9HzBn3nc/7cFa0MKkJQnU7jD201KhTr4WWQXeB3+F
DQbOHBxog2RltqLBYESkOMIUYg6kfOmiKTUl2hs+7t5HSD/FXF7KshuRjxynAPuwg90LPQ5vulqN
s+z4FMwk8B/y/h97Z7IcuZFF2X/pdUOGeVj0JhCIicGZTJK5gZHJJGbAMTv86/uAUlVlpmSS1b5M
JlmVlGREIOCO5+/dey4l2UaJlJ2BoEdOxQFYVGILUCG6iR6U+zSRk9c+jcAkiSReiWv8N9Tsnisv
tKHnwHyRL31cuqGE5+5Nu78fz/08S2ZqiFZCZ3S4el4ZVf6KTqdV5g86Ov/vBC2tAw2oZqtwwHLq
jpFy76U2adBQGKSGVSHLGdH9wxv4eRC8vgFG6thcIVUxJfwTxDhzFtNzksx7L35/A9XvGo2qCEru
OK1hLvb7pPR/1LN/pJ55Bo6EfxtE/oTDPr6/ps2PHAfAGutP/AuEaBi/oX/gL8NG5equ2P8/oGeG
4RHACFt5BRGyNf0Hgwg7kXG0zhxvVedAXPg3DREaGhxsXJMm9AekS7r137AcCLllvv3DlBmFBnoC
3hZ7GO6KP5mFCyNGUQk99MpJbQ0lYC3bCwqMxYw09M0rq0/SPrOIBmJ8Xt7DLHCCNzAT39NGOfc2
8nInZC784LqGfCo8LbtwLE9SzSDKjDeidkkhD1Afw3GgNB7utHIlEKbJPLePet3G2oZ5f2lVF0WQ
9XsIRXmOCSWlaJzb0t9lVA1H7NtW6OUjkSSLkWzrqgSBY/iMqTLDZIwZjLcFlFJAW/ocn0tLiHM/
msN+caf2xOhwfufc/tWuBv8dqJL+UhJwttdFJr52VaGHtlO5R/rrrxa1Np/XTxeyaMwuvVBLKg86
cwo2L1+7qnMtloxap12KuqeLQyLNkokaQ0B7m3YO4DVSWrI5vybFwXyaFnm2R0tsjUyKsGdCerf0
POaHsa3ZxfUn+KfBo2Qwey1rAnGFGTxJSeNu0hnLW1N1a+cauVRjZ15BRe6OI88hMqay7FxNVKD0
YbNLppuvwdA6I9daRI5wi4uWXWBfNtr01hdefERbbe2K2ii/V2XWreFRxndUkwS8MCRuDoGZfR9H
s4sCmhLPjuFzuEky0uta4SeQtkr/q2mOReR4OGuk3zxVWfWEMCa7xDaqmJbM00tM2RZxwObEUWTo
0YVX1av2cKLmqiZmKFYWVPeekra7ifVUHNc78rGdencHQwTEK3U4GAhzbLNN6nkD757hFgayibHK
ZLnLVpRyDbsqjOTOLozihieruo7nVA9TZQP7skyt32S6dHgVq4nWDMU9hh4m2JVmZfez25dn2CLL
GQuRdWliEdsRFzZT7DNyq/ue1o1vE3pk6BaO6EITHwETvXGTzLaxx2QwnzsVZwfp1P15iH3VkLk2
J7hZyIgohXDwKA70UJZReBeGCNIGo5qnX831ohNgHyjaRiSV1SFeB1wlfj9+IZwXShgHFHMHoaNd
eFB5nAUQUtBRNR0IepWWwws2g4upqiSEOGHD85raptsFszyjxpvPXuuKE8eJ/jEB3F1tJmJLPppR
NRFKieBAepp77hxYFArJEhHNxKzQcnc3FtBxkxhuQqssYYmdl+vBUzYxdZ0670LEdXbDCCXdlYmj
vxGsV+4YcrrfaKaqE7L+KQ3dKXX3axYxNdgwPzPqs260Iva2uucjLB5I1gvrYl4umlmzh9D34+bk
Y24WWzqlabSMproBUdpwWOC46roS5bi0zGNvFvDCdI7LfjmPXxz8rbekSTPmzeNCo72UQDES1sJ4
OAA95Qd8JJc5I1rzEmAaKULtRnXTEtHXy/dYpZcom331SOdHbiaO27sUai0jdESz3WDHl1iKuhs0
u1sExd0DYHX3jun2oastdT2POm1NyYhjZFnTgzTlMYur+eBjt7rJK5P59Wz0nM+EvwC1KMVl1U/m
g2m2xMnoRgu8pog349zN0NCyND6SLuMRm93in2uYu0ihX1aeFul1M98mlJznJRd5yOapX/V0mMLG
qTmKV5nFptAG4NBn/ahag3G0414Ju62PHOzMI+0yd4MtrwplDTRh/ZJpn8SIMDLxoHnokTfME4d7
FaTLdwJzRQh8fDlQrNq3EHEquK0G/Wl8jykHKafYYyUX2yxmI9dNNWAzHeUjGHR714o6CdH+uJcA
7zT4MGxEATaDbVwE/gs1bnpYxIw9V5ZB1NnDom1zyrEXHoLqYAeB9t3IW/gOc2pBO7PHD3xKzZXt
ZM1d37pGKOgxYCDVX6ERUKMaZbk1m4nEnok0tJABaPpiqgSPelXC3mvGUxq4dWh1nbgw1yR4kB/N
bpa+utGNLLjuaQ21GzKBVGRzqt6TSZtxziBWknb+tB2p1L4nSz1F6K6/MfmZ4Od5KDriYoZF5jra
OdXsllRLZ34SMshCm/y4O5fzOK2exn3BWcLasFyxpcgtj0ZWyMuaviIbVkLEkpPZX4tyqje+12ZX
RgywnGmw8TqjhdiSQP8I/j0OzXkxDw7tVqhwGuOKLDMkwZ3KPzJGvUN6c6R6QJ3a4VuP8MDwBdec
/7deNt3OokieiKOvwnysIDG6dYrOvl/qjdYm8xc9cdsTtmnvlPgpDsn1IH9g39TCftDPPYyFO6XG
G5Ib14wVvbwAZEB3l3vvAYNPdSJHacOSyPZ1YNQEEiTpMfC1uwKedyhnBDYby1qTzHCXHDLpjjus
6GXUIw8JdT8+54Uo9nTmxmOs51DJlU7LRFT2kQWV7saKlKZkoJlqypIpth9X58Tp2L7neH5NM13s
NUhmF2rqvW/4jss3fH7aldN3t/QsnXvl24/0PPurIgCSjkDDO3YDk0OfKU7UOt702FfpiACqekUI
MBzT3Et2bUH8+wSj/jCq0nNxYyY9+u2Yo2yW2Hc9lsYb1ToMOXhyTZs8vzXoNL1ocz2fA57KsMqN
eHoysowABzU550pk+YmG2q6x8jbEw3tduPYXqc32RverMsIPFSOrnsoHYAxiP+LnuhY+FEvZC2un
t/F3v8AxjFcn3ft9IDZz2pM615TqnNr2fCGcInmeAkiJHqQqtCRlu0XfrD6ctnxIq5q5aJF79yQv
0MkwCCvj/WH7zK3LiV01wj33Ne5tbVM1wEJz0ZzLWVsuJTIMArDsx7IFbtrmlh3ZWjftsy4NduQJ
xl9R68u9LbPuK/YY0NEB5vxmMqcjw5pxV7r915kYtA1Tb2MHxHpT2BBryzF91Ua69t3Cecjzc3UK
YFp6RVLS7LnwGtc2N3RXUCKUTUJSpN6Eqe6Vj7nm1vcUVcVF3forAd+IIVbOhZ9fN81g7LG6iqsy
sXeVa4m9L/XukrYbUnrpaHsGFtVOT83k7OHVjTozH0E85pnDjp+7N60j5JHBsrGjndBtlxxl4WzP
X3uDvbbxOkfsZ1o014JpZ1g4nXEiXLTeEQolX0c/9stN30IrYrzhOpuiTGiOuUsLGLdR8lvNrPir
u0whcbT9a5UE8ZY38lGNVbvLEQQ0ITKn7rhA0GfqW2iHBKyiG3ptQZC4YRf1pUC1FpLt4EbzVAER
IcvgPR46/I94sHmkueQfgfyRd0WRX1P3hkOmEwhqumqnx4InKMP6k2IfYAJHtQklVj/ElqZ/AC1y
cJ+ChMBn22yZfCR41AjbpPToor4sbh2yd4lUozN7EceMQtvazI86X/XXxujJJJRxHHn1SGMyIZj8
1PVjHyap1m/bmUkic7vYe25TvQt2xuhxDlc6ujQeSJt5SfIrYx6MbxLd5bWSkg1hMsvQigtzF9eq
rI17X8ZjHm9J9kubb9lYTfh6qhr744MnmccwqXQwQF7QcQ+ah3mZuGrN8I4tdtkENZXyJu9cQwEy
xk4zhfWcO1snoB+2XTiabzUE9sNmgmT8XbgifZ8D3iE1gvPMzzRftWSOd4s5Af5dYtlt6I/KrY7t
98QEsL1sBX+6AQxEk45Y0GLpdryidlkEAVkVCRP6zHMEYGch6/cu1o3LJpP+0TUN5uAz6tsrb3Qf
VEp0b9s57rvNRJPID0+Ji9gJ5sjBDgiCnUC73K26k1aJ6laf03TrWoQ+bpp0Hg92OfjrboDJuG3M
LZRHiKJzT2pekhUHpBxMSpC/Xuh1b586vaMEID0p8sHjbR13qWjnQXa70MERPcpssp96RmlyTdBD
kdIbGhIvHfkFY8L8bsYnwnh4WF7wSF8nuc9lJaNB3ss5SLYT0pMYN5pCAcOUMGSoQheQgS0mHEQl
IwhV4V/7PIXzdcY2HvPeoEbuieo7ySrPHxK/HF4GSk/OTP10tdQqua8c1e/89WIzb8j3WjBw+nLM
Kr0iMZHWY1PLKXJHoR9p3rb3cVzpwzZr+KOjChw6mF19NyTISJA4tF+6tDOeDeG3z3WTfIkx9p1t
yBHZRtW6drBMwXQJ4hHTxUm/8DAk3U+wUpHTolL1LkeZknqStq+e6kpEGwql+0ZLdUU+gM5jPyO7
b3WQ0s4tyqV8ynWRP9IHj/cQ0YwElqxh7jkKDY9FN87vk4YISph2ctFXicCzltS7vMtZhLKjEdm5
tMBJCOqodUAVmFvYtvMbEiudil9z+k3XyOWm9Xz4q3VQZnddElCJtYrx8JSPJl1HzYgA5wfHubCz
Y6pUfnbSKTtWBERdQbLiACtdbiZdeyv9Rj1CAFv7g4bLh7MWNg3dKZangq3C5M7Hg69yT11rsGC3
5SjiPTyZ8g5ouL+FAutuOmUPG6PVk1OMY4kEAJM87SxoDnUewzzgWAYHoF4LWcPpzjjLyk1W03Bk
BwNGjJTEw0WV0Rp9bgaIsddGkfdWVC4uh7HW4CmwmZqe+T7MxB6FBC0R9a7Rlp5vjEDLDy6EZn4h
1venoZZCPiiSYnm+khQr3OFm1Ht4eNE4eqaHFsPq5HzBJUH7tmuSNnVDqzcaEq7/L/kKfWozkbtS
idzHmtc+QDmSX35o//wFH8T4GSbE8YHgC93xHY+qjO7Or2Qr0cqZSHVjvoKp4GxxdqdY2pC+yuqo
+f42Tr6albWfcvNkFc4Ok9XOSY3I91DEjCqiMR/xUfdg3LYMXPZ//+Z+bhz+8d5cUzdsqBrgHn8x
XFUGwCY9Nucr+M1XnqBWJMJr+ger1V+9CGAe2yPcI9C9Xy+Akw/0f9G0XWUmtkD+dtFgw9f+vQn6
v5bkP7Uk4cK6P3ztf2pJHl7n1yz7qSf5+4/8qyfpENGHG44ZJlYiw3Hxn/2rJ+nqv5mkLNAM9O21
OUi78o+EPtOkW8lIMnBofaP99nHY8SAb0v/3f1bCLBY+dgsLDw//5b9K6HN+XkBkwvCwWfGF2N7R
pzIK/dmUg/m5xKKamPd9v27b4MKJyEUF1GAdKMlgF3bS3cKO7L4JrzDhwhTanRm0yx4c8yLCEk80
BA/p1hty2mYO4QbIB432mJzES68jCQ2REJnJZo15usmRO3NkRq5zbFJZ7EabpqIw8uBsgrS8SYN6
RqNVLHsof8UdaFV1AJ/Rb1Ik2d/XEBnSGOzZvtYwQdDJK7OSdIZhfg0SsbwyFVqybUKNa4QpniZO
2kWHCK7U2xX3IN44COWvQzIvtE+Ibjf9fHlZOoUZVySFF8KgHr5PXQLLW5DelLCyb5PUvTUGCCKk
zfTmIz5qVfyDL/PTgfifvvDnV4AZ1ONbpRHNkGP1Tf3glqyUTfORUM17PPvB0cHou4oHeRQExPTx
DEFgQX1uVsFN4wnzXM8mH024PtF/WUFgtkrJR8eV3BwDNU6XKsZRYY52884RWXsC9NLfpYsmIyfL
88vRGZDV++lQfikBl+2TlDS/sWeE5vvd41CSsu4Iul3JTG8lNfdeSmBd67ZvPyySv9i414jJH5rh
fGgsousNzGOPmY7zK91K+K6fxLrAItpU8YuxfvsJdJtnAwfVDXJ0WrC51R2ZdA6RnRKTQ3dxULve
ytUl+kX9TRQGlyFwZnmd1HZxglvp3McL/6u1TPM77BvjItHM+TodXeNMcLa8YTb2JbGluQ8gwnwp
6nkKEQXqh6ye632qddq+oAO6XZpuiJRecU9bgz5d6Mp6r11g5J1pHD4zjyGbIpLBNbPN5FJE0pmh
sdCK3DnZSymC/GTbzfyN8CNrTSScv4mO9BFvIX+3G+C+xynNDzGNO9DE8o5FWVx5k8Zi6ovsUFjv
DPZzYjTizu23Ra5wuXDeC5m8yXGbYUHZNF4e7HVFXDvwDVTYdS3vCD1yab/gtL6sUqs9L35pPiE6
EN/9suUgUs/dqrRGI3IgIMjAA9T3h0CK7KIcBv0yThd549fGdOkUCD03YDbKCtiTyg9LlzIUVHZi
3mnZIK97jPBn9B+oYZSvDrOzrk2tULfVNPdPkGTatyApkrNto1bVEyn/6ZH3857FA59Cj6Eg4xwL
z575SbH6YcEwCCAoZvK0u5TAk9shGOu9ZvTll0XO/rbzxiCEfMW90zXq22wS8YKJSiyhPS/pO6dy
eSVcMz61g94+ea2NKCIt9X3ri2cZ2MW2Hd3qEfhFAJKvc0qiYqx6X/Ldnxvk+cQmJBQOzqo7rRrz
jtNxASKBXAIKUw77dhpnIdvVsoPnZ64basNhzhGDEQEQMqNMH1t+JzP4q65o1O3nbSvyNqDIc5fL
rnWMM+ny8UdT+vqzr1X9EzEw/VONUO0q6zPI/JVAN0gDsc7ear3Y06XWSJeSAQF71ji6ewz8iIVw
AHBM0Ntmif5+6f6aNMzlX2cWHomi2Jsd31uX9g+Xn8YukDDoD3dmJ1xtOxiesVm6VrvPYQFcdkaO
5tVte422VkYPB2ROIC4pxlO5x9/D48ViDTK9Kdv45OOXeC0ml+lB0M4iCVF/xC+dvfBhdLM0jm02
av8w0P2rD4DQlrdFcUa1+muGa604z8At8e5KVw2RzA151YqEfpUbo23ta/aZGMHBjWOikN3UqaNF
LnS2Vx0NyoUxu/EHa89iY16aV0t65BLNsjiB2xpjCIh+/ACWGZlaWiel/w8m2s/n8X8eFuu9b9ke
U0+mbR4l5a/vndwQQN727NxBq3Rqjr99/MHdHPuHrie2DzOmuswJ0L4uvaneDxWK4I1Z1+7RF9l0
aio/C2cENcfSmbsjSD3tYYBHuwewhbS/a8f6Wvl9dvZMPv9MT9TcYH7sP1Ceg6UMMhsm7jweddxZ
9G9bJW/wv6DX8yaPlnHuoPzAOkAXeIyfzBTSmOZr/olkSBNtu+fuyt5KdoJT80vnEqLUzYjJM7S4
kKS8mnaLacrvRtKzX5mVrU1hL0wjUpYIdlZTwDXrDsjW65YugRBHGO/xS+2x1KkJ5M3n0osRsdMk
QAIekR7K26uLmDlKZ96VZg8Cv8JXGgZmm77rolc4uNL4hTsPcXBZrTvIemkwG51AS6lLWwdFtLGx
Jt+BW0K9w3z2QUfeQ4Bs62bPXpV/s9DMHNsklcdiRuPZdeZEW4ls0RRy1xbakbzKDcWz5O9XIUXi
T09Q7oQAXpmOy549ey0Hfykb2KursSeJ7S4tjQF4mc4C23zuzSUMT5wq9LegZfMBCI9KdpRi4tU1
B3Wr6BcQ8VP1xxRnzDbFVHtqs7IHLFbpGRYWtLhr46PeDRAxWa6Gp78ts444NBuGN3O2p+9j5tna
Fpd35W05TdJcrinHLqd6cCL6AcRhSbvGZlmiKit3GLIIkcGdMx6A5MrtoqDGSbt6JH6O07tH34Ux
hpntg9YlZJaFNW/RNI3vNIfZIos63XakCR6koXC+smoPXpmtJef6vdJ4GJ56WRwcrZiWrTQzFQXW
8mQgN0IJRNIo7wdHKFLPeh8kNjdrbvY2kxXf+4YfvMIrMBWnxsgJJA5wtGxcS7V71RL6eUlbzsZy
MRZYBCYr+9JrZDkhl6GHg7+5yp+Q7iGyLYsW4n1K3SJD0LaygLdOHwypsnFHetla4OAAPZHsyaOq
r7BrIIUnFSwdh2iQaaXzcQu2vLLpuVD9jK8IdNjIMlhSU8Wh76ICIx3QqB8SIIO0+G2eOsrIrbfU
itHxJIYrCuQ4w1r+BMstuLJGI2q31d+qsmFfHdrK3y7s7Hqo1cqg+T8Xp4UbwWfw2jQXuLTSJnQM
y3o2YLZgQNZHdUuLF4Wj4eXyrqO2PAxaTfwW5if1YbqFf/RHpdGIRtW4wbBIT0nviG6xpwkRUe9m
zC5B6CIi07gLM9hSzHKTbjsEDvNFEiXIjrVU+QFL945BVJmFDmUrkn0okWE5F9WVhxz0xmTSSLOf
bNsNGi91+7mQ/ney/YeTrUcq0w9bzp8OtrCu6+/fhuzbOPx4uv39x/443JKCskYI4iRn7vaZhPLv
w61n/caTFdsoIYO2gRWBE+wfh9s1eZSC3wTjDyAEfi/v44/Dra3/RrogcH8UN//94ZY2yM97pA3E
xQpMHbyz4bFjflYCP5QqjrlARW+y6dBAud6anGOjVNVB6AzD8+IWb74+5ZhjqQJqCiiiAN1+Iynp
T75RiFAf/AeapsVJA4TIqaM8T/5qJdPcK7OlAMAYgvYi52ZfVo02yn+1sy0Wc5uAcsXiH+xEoGWE
HlFM8jS/FfFEviZxaZucoj8yWvTzrFz0xIk+hTlBwqGut/o2L/rnqQweRma1iEMaE+tA/uZqQt+W
0IexdygMVTxyj2Lqng3GjaFyJvrbkFQiQFtfkLPewfp9mzpe3nXEc9lkH00yYNwAdBF6rnlLK7Cn
MuDzQLvFu9m1zy4H8c2wxpLPGh+vRoYeSrwt20lj3Nf5RzAzQxT3XJopiKNkoO2t8uLDLDS5cV0u
ZcPBaKu3/FJA0NbGJrabj8Bl0BmwZjSy444/NSG/CCdha1GKYwugu9kccptzaAM/b+vyZA2nwr6d
fXbH9SdzG0tLFjC8VCa7frJwCQQcACpqQ90mTXmLxGCKSoZ8iKU5Lzk2zf56tmhUtrwhC6nOVlfJ
IygeuYk9jkxBU38sNY+U1uIU5cRLsZ2LhTZFUCbf4lIzuA7BAwf2IbLqEkmRjth8VZPu7MFn62fA
EnZ50D/g2CswlboYirWSSESlcyLy1+qw50Vnxzv6hvbweZNk7cIWbLf9VnjcB8ZicWKiHsOJgMHf
mBgu8g9sQrdTxptK8sI+Wto68MmR9ze4c09eMJjRJNa7iIMkczCPM4HBmaXpzcib0jx0Y3f1ZHBj
cX4TYeU4V9zPHzJg+GQC9diUc/ZGicl3r/h/+RqdBmO+3s6Dj2lhaviZiqvEwM7f0uNVlzAJgpDi
8vnz+64SlOpTyW0Fj0vtEo6GKEU4lTQtKvjR9cuTbiQfLHLuaqpmWg3cnb7HrdKsayFph+WxJMph
4/q4ZQzeCCvP30yiyK5GLhfF7wPRj0M0t6wTHg3xiTa2ukw9Vkfg9c8eU8DQBSLFguNm8lmNnxej
FiyKWeOPiqJ6AxZHyYml9UTd50R2zE1bFn18Whiv36FiFyEjC+yxHfNEaxAC3By9KM5k+rbq1mOg
PvEekrS/8HtN7hPGTWer5XDXDsqMCrzocL8tTNh5jXWDqENsWhmD+rq49E0WKvJ8LPVTWkbEtJWR
zjrRyym7nVLn6nN50clQBx3SIFLxEhZvQ+w3aJNmo1PXAWQNihO9rHovdauI6MixDAu/CT+/W22d
ZmkxMgEIlWwh3AI1DrIQd77AzcD3B25N7RrRBfs+sQvOqmWwA8NSbrHKiPDzBljvcJb4bWYrTPML
21iAOSKyVUCu4vo1D/CiWAfcRhL7XTTlRvwqMkc7OOshV2m8FqYV7QALld3Lyd7AMvEVGMVHUvD+
AovVo6NooCQaSFmujfikd2N99lCPXTkS3dGcv2lJtmw0FGxnxpVFBHYtCxl+Mbx1WKcoH43zQhNq
57ncZDURIGcNs1aoarYvzCiveO/9jaFqjF32PkhLuCGa5JcZdHfs3mKQOegW9lhGPa3Zd0f0aWvH
BIuGzCr9oDeOBXwuYVNMDDa3ma9O81D1xaN5m5KFu6foWvZiYDMRFDah0/Kx44m3MI8Gq8gTzaHy
2cEqD1H/595kBiQufy5aXKecBhLtgd+d3pCUpW87x741l3zZu7HmEyqHF6/IZ26mVoodNRPfX4N+
P231+ixdW16NXvFBEhCXZmEFfF5rlwJqW1T8Sgz2wc6u3SKy5UDcpu+wBdoOPiDyLG6YkFZbfGbl
3o/bj9bjX1djHrHoBcJD9hNbK7Od0XXffB1ZIXE0DLZb7wv6hSYqtPRGmxmuNgOxpLOfnJZMEmKr
lYS5bvF7wVMpZsrVWmrEwQOmJ2xpRYq6VARuRKezB3SpuvzNzBu5RQAQ0LDUzQcnwYnbEwaeXy5Y
6E4ZeHHELTrZkAw3DXuMVpn8Jm2y4YZhmksoMLK4xNt12AfzcCkgucgl6PpI2akw6DW02kmQio1f
rnnvg+mbnekNgkJLFh9+a2mK6lTDTBGyMOYDPphmh9lSov/otJbhYY5/v8rtSaN5bGJPNvz4Mpgb
pe1Kq57RvACc9451YPfVYaBJrD0v8FXCdERpco7TwBo2XUeqX9iSFZldIS8yF0C1dazd1SPlQ+q5
Dz+UYn/RPv2lA7bWNbYLuct1vZUz9yvUrgzgU8IwHZEdLgvUqvQjK3i4WLX/MHZ0HR2imUI7407/
+9dl9PFD15aibX1dxhWrWnrt3/4CdgsW21yCQYwHY/7c7FiDVla81zN9ajr7H3//ar/Mtn5/tRWV
aNrQ/4mv/7nRpGaY4Jmqx0O5cIOslUBQxFrEqE///XP97xDwD4cAg0Y87bu/Udw38+uP5f8fP/BH
/R/ovxmwQ8mmoJLn2/tjsBW4v6EtWr83b80Q+Jyg/av2t35zdNKI8FRQAvBzVOz/qf0tkFS0Mjh5
r2E07n8jt8f89PO9SnuEhEbLNdcuick5YM06+KH2X6phmGov8096W8kLDRIRJZ5Z3EnLKd6relLH
mYAGL0TXkeD9WuLiyrKq7iXnEEBQrddrN6AisYWlYplubEirXwpFPOpFm0n5LR0Qbh/Bu7RxGNej
pYUtGt/diGcuimXpfVmcYb4dO2EhMeDpG5/S3C/fp2lxzlM7+l9S2dDkVxjlUCb4mOOQLqDcYVxw
TAOEBijiygjzVIsWm1AE+pCV5b5D9Sq/17p3TMpSXeGenZ6GrLXvWBej2o6TiD/wxVbXifYJHEnJ
CGEi8KKwoL/aNM2fZIJ1zVz69EOzLFA1QeJgTu+kdwOkISAyfbF6klITeak8GCkoIe3lA5u0dku4
ItIzb6qSq0kzYUDYAk1f0vtGRlyQZZ+ZrhVQRCAOBYhOUacpkdQHLMd95Exx+kLBm8jQ8it/33tY
FzZBhc1hMdL0enTGo9MAZjsAtUn2iQqAqZn2tNcbKaytqir3vkoTRbQM7DJvs9AWoVoyzFFtUgT3
OBUwO78vhi5FyHTGQ6xeTuMF5FwSX+KiPY1xwYOvJy0Oc3PjhiU+/Yu1CwPwCCXnRg+ED7KnCYgs
ADxzN3lVe0joiRwKTe9JcY/9ARYSzZQQs7O4b8t5OBme/xmwycUJSsg3mqjLawOllr7xE5Vf09Fv
RqIgvOm5HHWUgiOnhwsjbdBopGqRHEYSLzjhZQFDkFRzzhmm7q5RtXYhdJGW3htggK09S1TutM6H
05BXeN/cVCY3/iA+en7LeNAH1QKo8a3mA/ZMafO0VuUMBF8N3+qO2OYD/eHySzzK/Mgwo43o0+fW
EcfI9CqMgFD2uZu2jaidXaBZ2Htzq7V2RhMgTJKZMV8rUpjyL61exHK6VZqfNSWib7pNe8+YsruZ
Au0G9fxilO98uzQIOSp1GdeWJiAStjPt8qXJrnTXq2LMzairK6NBDWMPExqomeb0YpiPic9rxH27
JR3k3u5lEs01mo+QcdNUH+LaEDuCTatNzQrlAGp6p2Wwi11fFRXLe6W7MGxmkgu1pTa6DRGOTUSc
SkXFbsRkGhRrncn5KWNUAlrCgpdYGBcmIReXWB09jsY2oRvBoYSFcFYCRhQ5g5Qaer0cXNly3Ucg
nSj/QfNta7/jDoTgqIOZaRZ32/ejhTg6RtIJgehkVl0VZTkB1pYM5vNoKeS42EX2rTOOA2YD1V64
fQu9BzHxHQlwNhVs4zp7N6+x7gT9rUpZmEWTf0BzfVyRZG7pF+9+19jb3IUL1GR5/6CNWC7p93ph
X3P+yqRj3HN6YdfykfdBT7FBRLpEglNck0I1J344mQiMprG4QdP5JbChFCWKhY2R7ZAPyZ2LrDmq
6IYS64PgNc90/IGyLxkwKBclcuGuV7uZH5jPpVt9WgKg87aKzNJFOm7m5p0rOL+wPXHqsDvniPWg
ilx62BxU7H68dMj5jlqZI4pFlvZklbZNIx0aT1pAi5ciJVt+HLwHJtrjhZjdUrJJ9ewpXsPege4u
1r7pJGsJVn6irle+BIKlJL9RE3tjgTru0DBSP4xakJ/hbwTwAfpE7mJTjeGA/zacGd8BtCvaq2qc
sr3XVf5F0ZmviCFg6EB+2sm4UghB2yHCZKAzg+ei3M5lWkSxoh+AgrjkaptWzkIlxDr4lmULDxHf
gtzMlzDIkMZ7fc7gTV/nlLrvE7DMaKoLRZC7qUe6T286tz0IGr1fPbeN79+kAyIGTv318AyaeWc6
I/rrQtbXxjRm2wU44ANmmvKDnN/hxTMS+94DeXHLsTuJSGjSdyWulctJDTRMdBusWFloeIl8s2TT
TbPxPiNy7uQDsni1em5py2rnM7ms9aVviP5AVI5x3ZNIEcqhHVlV83KfGJXrM3g3siuQDSSbE8QH
nwUdk546eTjlfYFU0mfLLJNrI+jzQ8a8AXXF6MEgmf4/e+e1YzeSdtknYoMM+sFggOHxJ703N0Qq
JZGMoA16Pv0sqlT/qPSju6fmuoG6qeqWMo9hxGf2Xpu4ioQzf2tL9jrMs9OFpKAa+7KSBXqlPH5K
kd0Sl1m77Tvx2WBrADFklwKL/bEVMTDExZq+FKQQbdgBLY/2YAuMCRJwQ55nXRL5TfuE9l5cLjiM
LpexGlCoeqbk+9ak967XWw9siwUpObLeziOzhw3c0PQFhhJe9sVDctJWa3+xnvbc6NNHqpB62+k6
IEE3MO2QuiPbFM6ykXwrzzjn7yB7gL5KtG0xRTQbSEICMwBtr/k6G0leHrGx6OyF9W9cEvpeeT03
kTKRVy9VimC3RLK/6y18MLTLE0gMko++Bt3g7WIFORJEP0cwrmmUAnpFIBHz0h9GEwrkxF4nUyMU
JjSiJz7KfNuXZX5n13O3dUv/3CdGvW08nW1+FH3/qY//TX0sLNdCsPXP6+MrhpZVr/8iAPv5h37W
yAEGU1yka84lKqtfimT3H8zSf3ejmv/wLHJSKViDlUa8/vCf5bHtYVR1hEk/BNCcwYPzd8pjyqnf
y2PfF5aDuysA022jVvxreawtTzYEqqRn/Gpoi/M88WCgODIWM+IiZ3gzk8LnbnOr+6yey+tlDNcA
kMK0NiWj2J3FFOdBduSeYgKY1E0adBIoklFKABz6MIWwbTrGQxGJttQwbjCxiYPrsBL61ejv59RN
Lwb8oZeI4Ll9K5Ff1jhibtdj/lCYYXqIqaQODgVNtyFTLF53ZB64nVSfFIX/Vd9yD9PW47Cx+xlP
KhRTcUFs+fiuCo+J7uTjl2HHNoAEEx2xPnC/qgajB7GcI05+84tSS/UB8zq4QpwfQ6OYAgZgDk/Y
iKNjT70DUyKeAsT8COUoKtljnrBiOEfuC+NzrHTz3a8xP9myDE4UJ/pbMnFwUf/U1m0GX/bQ2ba+
J8NkPEuFBjCaAW1jBZTimwT6zNhMLgyzwZ5HBnC668QsUTLXi/FZegluBLQg4hrtR3ki6wlvytTc
My3yDioNhqe07rqHMOymIsrRxn0hMSx51aR4hZseghMz+QRjJQsP0D1BecpN5aMGIHDolHIL+xsh
LP3RIJvpN8IZXxAJgoXty/wLh2t3DJes21tOln0uJruPzNQ3xpK4Z5AEAFTjZcG9mGMGcP12709B
K7baY5cfmTgOkZSLRL2GWcg9ybvU87cVRrsXLSgQkKwYeqvC44UCgGTWHPfkODFYlACGDlMT549V
6aQvitAltRnL2uaEJUJgV7AHsUDPuojLU2FDYsn47p0azc3Xs4htN33FuDSaLUBf6bq8JwvRbLnx
WSHnC4E83OrT+D2Tgpu7ntDQRGXeLgfiZcrbzKNGAU7qXyZIh7YutXUE9aa4qjtDolC0rXmjihGD
T+XMkAZdFqvPsc9SIgr7xPmCGBmklqpdwFK55v9Vm8VxqZfEh10KObpiZw/e3Q3vknhON2NgYBkq
GCTNA7FU7nUGteoTPYM6mRpK4iiBr2wB0c4HyujpYlk6kidl2JWkxcn41Si8xDjHDQ7IXVj61tdm
NNs+Ss2R9oW7MN7hMrXeujCPy01SNv2dRQrNu55BK4X1aH0obethM8zdfN+OPhWeY6uRdhUPCFGQ
M4icwp6c9eIGdtPHlv1sD2Z60Zip86X3GFBSwfOl3fh6yY/0esG79E3/CuPDbJ7YOISP9FeVsZkR
VIAzoiPLYVm01T5A0PfhJmn4pFGUGCZWVa/W9pXVe/M3t9YzXgfCVsqVh1i+yqRvrU2uJTLIMi/1
W+c7UEhmX9awPSowvcbQ00Sjk7ikLYSX0ek7qw1CXDMZz7M24dzQFDrYNeplUxA4Ey0DNSoAtGwd
tPf4errmrCoL+6nZ+hQbNOu8D448VFhDZaTt2d8YYW0egDtl92Iw3EOVEWuB5LyLHbjA2nwTKg0Z
SXKYDsKklAsxk8qD39X5iTKouVbOykAKK7u714AaeWPRj7yoTNLnNRaNP4dZjH0vmVDCBAZhN4M/
1/roGEF7bMyQ8ahrzu2N02rjs4LBjFbJksPt3MwGh8uSEtVmSEwaoeMMeyNIm3dvnCEnQwx8g1dt
XdktltpdN7YBnaU7Y6vHZtfcpHMYY8ITNcPidIxPqcCyvLHM+oHwipps63C8IJeFOT46h61HneGs
BQeEEzZvaxEyrOWIXAuTCqoYG4viMSnd/tCu5Uv2o5KBQUhVg+623IRrqdOsRc/yo/4Z1lKoWosi
80d9lK+l0kSIBmWTkzceRZSjxzp7WX5UV7PvAJl8DWCnU3ilf5Rh/Y+aLCblKCKX0rux8IvsQRHo
e+JQzXuYpQlQXPg6GD2W04Bd0wXgfd+wnr5njB8L2msZP4+okl7ZuQUYWPxyPKdzop6D0hMcUiOP
VUAA+K3ZT8UtEDpSRIhHwyKmnOsQOQ0bWTZD0tWQjS1uO3anMzstASevwZQKbrQtCmY2Zvfae8rY
I1lMh6jNUX6OJAk5EeAx77Kx+PWXqRNX6LtiDCxLFz84gfZOktLvERxRANSBeco3m9zeG9iwfXHo
jKa6nMH2XIdVXT+wymJCxAv/rLOGOdesXfzZVPUT8VPvypETe6TGWI6Jlc976cwY1K0OI2eHN1Nh
mMGuC2mb3njxTyk61g2zidsm73XkNiAsY8TQDoesiu/HJT5VnhRX6FvgnZULE7U56KvbZPHJb+T9
fMRhY5G1tsBSdgz/IBtt3CgFcGAnxOje5eGSYsJzMlytxkgUBIsQfo7ZzehT/PlOKD0ewjkMT4PV
t88woYvbwYIvx/ME85Tdm45s0DAofMZkwIQ0z+aWcEAwmb0dNnfjCspC/WOjSUGPs0vdzATFmjs3
vSpixlzhdILegMS7xqtRhsGnWWXhp9WCkYrc1m1eM9zK7/Au1KmtjPpQ2imbGzjpWLZTvFBUTcim
N0zL/X02SHUbh5QgNavLreos701UWXAj4HTuunWrEwEYQ+q0jKO77JCLieqhnMPXTJQJJ3bKMv+i
YTBgYRYj4Bb26Bi+ZUasHlw6rObW023WHhFWYO1ePNIzsDrS/V0Kr8u4x/AOm8Amu5RFEhc/73wl
lvlBNwkAfTuY93bq+cgSPH+TIguMNzIZUYSJSl50OmfBAd02fXVrwis/hMcjvsEDbbo7PS468SLF
IGTxriyLNIfuUCUKPeuZr6zQ6ozg0DPaD8AFb5S9IEqUUX7KYRLPYdf7jxaqiHPTZI8N0JNdYTfF
ifat3vj9UOA2nO69fGFQ2X93svRDdt6bT0zrF7tqqSCYIyA7cvs3/4dHyQ/yW/zqu9EpjEs+HEHI
XK1Opeqa7zZKCFaXdaMAazd2gPCoz/Kjrubuzkb0NG/63knBpmtYtI8Y6vSuWMRyl7L2BOlWjYS8
/qHV+0/39G+6Jwtm+79qnv43+cll+9H+ZcHw48/8396J1A2PuUv4wwRjso/6c8fg0Ckh3mE35NPD
0GD9l76ITokdA/O/dfAPDWjdTPzZRNn/MLHtuoiM/pQe/a//+Tn9j+Rb9XPr1v72739Jpw5ox37d
h9GJ8Q8hQehxgQe5v2dqrYZCp8ZrcXLzAEudS1yQLjssGYSNn3Evu8fFqCSo73Gcv5Jp4V+6ymkY
FFnWeA9SgQAsbPYfOR4VyiYnvF4IXXv0JDhiZDleuU1ax7+mcGrvZzlkjwXDlwPRL7gPE896r+qY
YEXpy3MgvF03o7wfWimZ5QSa770cMdu2fb18khGLixBPqNjE7PIfOEPUGQpdeRH7dn7oWVLYAAKv
KlcgV8pjwGWySM/W0EJJzwriIgvDs7fCSPwz0njSFuJ8uqnqID/UeRBezm2CFMP3JnE3GX1IoIcy
r6w5w8NK9N2A5dBu9myL8gNz3+TVoi+4tgx1a02AQWNhPUKsrLaWh9iwbAACY8Cs7e82Y/5oLGZv
gzqmRHBT6I5QHIubUpJSZDsu0EadZ/3Bzc36K6OaZm9ryv8m0/mBi0E9NY7EFTHlVHI1ZJdj2Hbk
UzojuGl/xqrEBuGlCrIYrl863nVVtnyG8zi/wlK17xKSPI6Q0fW1Z8vpjvaeBE4wkntA1/2FSZzs
l8LuJwohltP1kA+MwxUvA8sD0qcyp+ME/dIop0cJakeZdueNHULPKJOTQxztjoOJ4DkyC7atG18V
ql5di8YJBKPaQsBbXpxBN4emGdzvCSRMLrEuu+g8ZzwQJxuf8O8WtxZGZ8HcXrJnBsNm7OxFMjd1
ZvmczFn4Brem2EnyYoFRe+NDDZjlMYyd7GoxPfNqbE3Iuj108Reu4PZS9maOJcepwXfgwuAErcyj
yz5L4sa37btl9rOrJHGW/exDiWDjEfj3ZYYRPSq7JthmrT2sMSzmbaj5riA5W6+Yxck/19n5dex5
+ZHcEfvCoyw+FLWXwfXws9cGdsJ1mdTuHQjD5TjhRrk2jcG+oEJY0wyr5Ibc0vZRLlzjxAHlp8Lo
2WDEFJhh6QYI8mrxhrTHu2rQu5yIUK6PUuYgTgpgMfvRSd2bvB4vRIqZdagafTRQp/Rp0n2kfcBu
Zgb8vRN17H8Q2fDNbXCQJnNNkABTavZ8sbP3Qc9sZ78Uz7ajPhH/IKs1Eke8+UH5WA328txiM4E6
Upp3VcocHQoiqZsu6+oUMQycmZS6xUKj5DUfJEbIWx+dDJw922aATF7KoRz4Q2y58qcgY049UInu
zIH1hkz4EEfbzk5eD+wdfhKMJ7vtvthBOOioU9ZjV5VY1kbvXMF8LEl42yxMNRmN51Ld2ZaV37tx
fvRm1lZevJQncIugAVE2MxoI7Td0KBmj+gKjfkZ0kt92LKfKSd7Xrel8W4A5w02Q6WZJIRdJQBmv
BDZNT4iyjLtaFNWGD5S1l04VyRwAZW8RPO/H3GsuGg3FdBOGe5fl1SFuiXYA5JgTVXCHj2d4NWK8
2sqzrTtpkpdboj5oUf+aw3VpDvrT7mZ+E8fcjubkH+BfT7sht3q0g74dvHYgdWqkAUvOEtKfKyI0
5+RmaSt1MIC+ZGwKXX+jh8lbsYZkXNJ579BptoyWae0QAobDU7LMjmRcHmIF0gk0e6PFWEgMhHmR
MCm+msuYxGHLeJXUouilE/Ce9OpsjGiCN6EuWScaGRZviEG5Cbi0MmUTCamqLznxrRdxlYZ3Lvjf
E/N1ZjVEdHR3WWcoAGflxgVG++FJfzpI0w1uTYKJOmzftnk9BAyIILWAtALx5lEzVeFzyK1xjfAl
faE/BU+2DO8hg4EjN+JCp43jH8EXcnxwHJetBNgDFyi8LHpH33Yybq6kOTYQWLMcyn5R07C1yd4K
wXcvIsW22Tb2ixoLcfQ6XqWOg2qfTgyrFj/pr0Y3rD8cu1kvF+JVXlMwZ0+dsIY88jKFR0OGCcQA
1iSAFcaNYcXprWUBHYPMDiAkaaYHs+etx1KzbOe5q3ftJIILJPSsf6a8Sm9s+F980ayRPLJVxlSj
Qj/Mid0fStYqJxUu9VPekyeFnAhhXbzcYtlzdvUwMBGasYOBOTZKhyyGae811XBtDYk4gw1Q73BK
EWQibEHvyHWb8Yhf0PjVR0yKUxWpRodvyvOybVGO5mse6/jIyZSe4k5sZ4a7t0svjc/a8c1z3QUw
oDGm3lhZmZ9cxyAK10nau3weg6dkBMtloeN9ABMARnvwCSyYScqg9vb1NdONLyUgMZZYPcd/r7sF
uezkJIcJeu12QfYTida4cEtTMJEtdcZEASLzWpdaZU8gUUHVfQcrU3P3S5kgE6YQiSTGMmJv7LC7
a5ImP1YpjzT7NJ9CeKETR0wZB833cK2Uh7VmdqbRuMRXuiPIhJaK7dSxo8R211qbs5ayO1grcEUp
TiYJ7qf+u0+JHlCqlxZ8XIK2EQCudbxeK3pNaS/WGr+GK/eInlM8I2wrP+21F2Bc+Bb80R8wI+zo
FljUrr1DTa9DJ5H/0VdQagHQRb+6thyZqDoHTHqWsqZyfcjCUx/cNl0ze68tJqweuWFwzIeRD46M
LcF6mLCgDSPaQz9T9RyKtK6uGD4b1VvNAUrtFQ6kPscKMtGcFOfAUBo6qhRbijx1YUGnOjPr99/c
2W3eTabH8jae0vzCT11LP8LKTuMDe818KSEKjZDSo6Rz5dcAuoXx5Dbx5O5geyFbrQwyY06Nn9nb
0jBRaKE33g9e+9JirGXKjMzZnPkku8R5AVw6HtH90Tez6aKBL6d9iAxyQ2NzzrRz2YcCXLRpVBBx
SOp5hpdvHKlFnsoFdWmKCufMDULguJElhG3lFsM+a74e0qS51nya56UjQTrNxo81ZvqsQ8+IoBT1
B6uc1v55LbfsBUde6Nr6IstOKt6TVgoKpYq7I4FrDk6vIDu05GNsmH3fFUvabmVjJCdMod2JzKz4
rAuRnTuTWCk4YhuMv/VlGnukvyR+897bXr6B+D0fsmbIoGK34Q7Je7zTWV7txtipEXOkiossronL
4WM+9tisoi4XxcHFdvfd6YH4bmpVI4uIVsDmV7TFXvDSmn3pt5+9A+THfYobcgi6TYaVhOD4/6zA
yi7r5n/TxBEkQ9f1zzdgG2KN9MfXv2BZ//gzP5s4y8Tvscq9+Pp41uoS+a8mzjJZjtE1eS4SspBn
mCXUn0IxUK4W4FWMviFrqh+bsz+bOA8uqyXCwKPzs33+kr+zCXNWFeGvjkrQTJjvw9AP+HGIQn5b
hJmcEmZsLMYFxPJGorYPw2DuX/UQOqU+S7PwOVwh7gXQcCiLvMy9tMO8IDKy4FbzAUZVs1Mn55Wd
r+yr0hDoeZCadGliSvD3uYa22itAHfFBBZkLU9RNxoHjdeG/xv2RmRw/68l0Kc1xFjLPA5FzaQ0F
9HNmGIFv4CUxuE4HvvPFGcuaTZibPeYIpxsqKCbPpY67DdApTJoPslks8ozwjI/+HUdTn4Y3WYaW
Hfw/uD30OdiF3b4kY4+BHjNE3MuMl5ApVXig//PUfPt/eWpYqAqGBf/8sXn+pouq7H4dffz8Mz8f
G7xVcMy5HG2eAwTdKx3k5+wDbxWMY1YpSHE9MD8rU+TPx8blsXExctBM/6nK/PnYYLsCKIKcy2Fe
YuHA8v/WY/PXpwYyCeNG2K72OmBxHJPxy6/qShryfsmqwD0GAbSAIk3xkiSN/cfX5y8Tl18nLP9N
58yBwWtcGRmhyTvx27MZ9wPj5or0s16WpYVxCKcIKLPqnSHLdFt4vn3Kl4ZbHAtX/fbL5/Fz2vPr
z14/r18PBgcous3wKTDZ0ltgyH97iamX55OtgvCYOGGl9r5ux+0wWfxc11T3kpnpRwLcKsQxzj1P
RZd9m4yuLHeeZlaSa5II5l5mh24IgLE1BiJERYnbBrI0NsCAWB3MmhKYfoJdth/fI4cct/8fL8J3
eAFg69Ay/LdoY+2siStLeMSrvTpNqmVfGFAhM3+cnwhip16yFMMUo8AHs8on38aQtsitknldbYTT
rVeK6bZqMQuZAwLMMEyXPaa4nA3foICKjdZjkfXdHtAYRgGjKP8mR+nH54A3HKfzD13w7ya+luOu
n/0xPGZ2PW41vV40DXo++Gjj/vW7xcX23z5xgCRcA8E6UlxZ4L9+qd3Batnb85MGOzGPM8CwQ+cF
zVl3dnNHokfxh6zmn36912/QL1fPj1cGtClwBF9xOBbrN/AXibKwWkICDOjBLND0HScKXWmfhH8v
WXz9KQ4QKpvr1eaO+3EB/vJTQlYMAH4NBHxizA4B71pth4BG2uDxX799q3Hz99fjCos9Bw8e4QW/
Hwoy4dZeO6yjYPV2WnxMaSlT9QMxReN2Lmz0fRbYMVC2nbqfBze4rHNccg7GovuUrvwCu1pzp+cV
u+ANOHZqC/kh/RocoIRIznOV48XJ+G4+DYlfMk1bTLbxiWQ5ETkJP2SqHaw3pOWiH6PcHr0lO/7r
F8lc5vdXGZiMfXk7EekwmXZ/41/EIga9uejpOGKxjIoELK+fxO3JaLTaV6oVGMir7xMKgK2rAErw
5ZXHvIDkOVh1t1e1JpNOZfDyiIRhWFKaLxaot2sXe8W7PxbFi9t4O8TX4sEKCwZEmqDPjQZO8ShM
uux0ySA4D+kEaq4U2xID1UHRxMsheec4A1fIKvwm6YV7HDKs3dwu6bGoY7GzEy87YuFmIO1mxS7F
d3HAlB086tiVJ8nMd1taTQqfNok/Uy6eTdEqZpU4625qwt3YbC++c1kEOIqG2INThJh0gxC833i9
V+XMU0k9V7pSz8QSo7FGgloWs3HD3GD+OkMSpxxKu12iOvvgxo5sQTKmgmil2sN1tTh3bmqbj+hH
ixc/SdX3Gq30xIQ0nFmn67TEG46+A1xhOr0ydWOAUgh9dMMwP8kZRSmEa+8G8F6w7YKsDMkiy8ab
vivpuGXufpgEDBooTtDxqG+GMoIro8yNrZNkyc7w9RmZOb+1ZzU7JcLTNBhEiMZ1HImpHLso0Wg6
DL+EZy9B0cZgInNshEi16KcqhBNWYb+5qTfSWafmKVFFcUkw9/xk5KpD7VyYyzWDK2owMj8ABnG/
bGQx2gfStoIT8xT7Q8ce6nvep/LUmZiGG7+1H5UDrIfYHz1AFOwb2/5gfFntFWv6rV1PaGKJp9JP
BBD1xNBPIx8NDPOWfexxnPt9mtp3Ii76HWfbcOqINI2gQYG71Kn4Cocf/gHzurtZ51cZ6KiNMQ6K
jX7eb9HMw9uiKcWiytBDQKo3E3QL2A6Sh1ImVywU3okyMY8pCKH72EILBicU6pD6ENBytyCH5MaQ
XvjcuXHAbF5bl/7Uj+eSVjxiXQ4twURk3tNMRt1gAu8NDdC8FRmwVlES+Yhz7MIIkvCgWlJJZyOI
34w6nfllJgQ+QqE0V8QvRtpsBr5cwwjLfunUPksCtidyzDIIop446HadqCxVdUl4p7nR9KIfkuH3
XZ+1aFXLGZ1sRIJejUYTkFlktVZzMbNqOKXllB8tm50xMmfr4AFuRBAcNmJR/U6MqKpTn3XiQjIi
XHlJsNjgJK+wGvuvnt/Or/agx3MRBMNJIaFlCFY7l9pkjdx0KsZ5bA6nHjs3QEgFMDOfGXZFpvRb
i8VL6C/A0tcBfoEaD37yMj05g1nubVMQb6OSegfb19nIuWcMbvfZASkFsuOJyQRC57U14V9l2SsI
40xYzihYFIZAFEV4czFEtqbax3KYvw+dHqtrE6fqNq4pCpYBmr6umJgx3GWsn3BzWAsuLGH2NTNp
zLW8Yn32CVrd4aFVmOvN+WLpzPZlASZzI3hQr1kANf1Wxd0aY1tXwzdL6nGLkG6Bhy71Z0pE2Z4B
j/+ckv53iZLMejRM6guQFSkaASycOC0D7osRsCErEH47QKiMw2g6EeZ76h5OcfMqpY0f0iSrNjOo
Cw2XMTzafvs0Oo3a10B2nytCHYEJue1XfKvmMZd41CVSKOz1lF9eXkGJCeGmz7Ndk9u4xGcfycqB
KT80OQ/L0FYSer0L9cArV9DngDGPW7fHFvrDEAzijLmzX8e48x34WhsR5u1L4nnuhu0Kv4nqQ9RD
Q8dLApKXRJ3tL2A5lHR3dshywuJgYGNPwE/dCYzBhOZid+7J8gYAg+jZCyPqSH0esFdGFqi779TA
w3M2aM71SjRniQc+R9bjiINlFs0hLg2XnX5l3M/8gHRL+B/lRew3/NqIL9/HGKVKFHtpd2/6OIFi
lfT32hTNVvup9WoG7kWrLHpeiLiHVopljVAw7Qt3Mg9dw6FgsSO7HuzG2ddpM50KJbBl5DKFzh2n
u6rsH62YUJ6x67LIVaO7QzF6q+OSdGai9IaDroc5PfD2++pTO0GTXuq2aHASY52Kuqns56grsGZq
WxCNHcYFrlVnYtVIRKNw0uuJtKdiOf243v+zq/83Yx7bthz25P+8YX38Nv11U//zT/xsV8PV2BcK
IsiQjtAWrsa+PzmXJn5AOG0Qw9apzQ/ex892lVW9E3r8TxTAlItixQT+bFeF+48ACghNrGkyoqH9
+zvtKuXub+0cxCy++ih8KGpoJflZfy22Sfoy+Caj32URoF8GwwHMnM+fP0LLFstodikQuWgqKnXv
j8EVu7zhFaZF81BXxkODIvPcz5xjSLkAQ61xZnNse/FhqCQ27LIxPnrfryJwIyZBMkGMxct1RdLe
lr4L6cFxMiWKiHrD8k+LpQNxzXFjVk8kFgvIFvDzKnJpFCSCq4DNE3h0Tllg3oyeyHNGLIiBzdkv
S2L6Q1SPWjdPeQBuacLtVOQW4QyTx7JZxGG381MMIPs0h8p87qhuoHjJUlHWQuea53AHuGixzn41
i2cHC3bDgqCywEkS0jEFmHj82T31WcXkFV9k5svHeDaMfgAEBG9qm1Zu9SHLOPiaeBJt6yLaqW12
ZKebcMODlsf8YcL3XZMWnDvtQU2VuKDrWtW5lKIXMTwsMAGd77b7Aa7GsMOegXuZzgTuQFW/TWXW
oWgu7e4oSeDcjZxFb7QLDgabJD1CwXvA/ljzYfXyqhEl9BAxPssqsw+yg+lgFWFyRI2YLlFTJOkL
M2OkiTOqCT+YripHX6Rj37+g3isZsmMEKaaUQ2XAED4k3ieDOmb0/fgGGLXdCLAKarKJV1TPaJ7Q
nYYWeovA+ZJkld4BWe9JR+i5cBejYPEgng3SeSLXr8cD6WT+PhDlQYQhktzsmSB0wH5Zd8GGEm+l
Sq5xeRFR3ndvVdGeyRoqj4iea/Im7O2EjC9q59q7qGvT2utmwQ5fsKkS6rkmfnzbawObfjF887LS
uyq8Jb4dw8qL2OkbKJKpCVo73qq5VwdncCxCaIYbISFcDgMRgInFheOMQ3qJLFVfBR13Ol4tEztX
lu3LaXEjMt/Y+LZN8CXrxXAoBhgPyEqn86TneVc3rnGfrJmt1ILfYjuublyje3C7bHqg6s+pkxHe
IQ7IjiWLtajPTOJwqtkliMoFfgmY9sS5kO61FuEeKaWzcVMjPAze+K1yVXHqUgJwY84O9h7w2JCu
ZF8wmlabwUVMlyRcX9zCoFEqG/FfibnHXQwYlybOWYsdbhSI6dFij4ZIRD0beXxalnKMirZucMgb
L+4cE9WjJnlOGzfcGLWTfbd7V7/3iw+Np4uQtDqgvIYGWj68A+IeCbC+8LyOJ74nIXRrO4vxveq8
0uZyDiww9n5gJlsth2VmnTMZRzZZ/T1y9NF/yB1V32L9YCnfkFZ+XSPaAWuXEcyL0aHdWHkvH39s
fzvTWpJDJitxLvtEF5vZ7vhpfLHUEsVjR3wK3AIzHoZbOSprMwx8LZKQvTjTsWn+2tQcqrvEd+Zz
32XlUXTogMNDx1dr2hBJuCaq89sqqPtj991qGnpRGP313pv6Pv3OFhntdDCGzRI5ZlOP1yJw27eW
mETsS6lDgcZ02rxIy7A4jFlQb9LGEAdTVLwyRTc8SxTwacUpwR29qczE2Ln2QFQqWngKwcbexeQ0
HegysSMEy+uE7fzZz+rpOpfGB4/Ui1gywBK5QvLf4Ho1GudamlSjOhfyojSIem8DgutFnT0XpHNW
qKXc7EoAc6Ej7xcsw1Zh3UJhfGpIUQ+iMLRDWMZ5dbbCbo8hZrjEVVffYys3HpTT+jQsLvBgFTYb
olZBjfRJymM8TkBh4nUlN+ezSQQ7EgMSvwmC7bruOm/TasffU+6rH1u+9aldValsyAYbhqQ77QzU
17gBhts8dbJdNrfH0TJZvsYdMRdNsATRHHslItX5DcGSe3SGIvzUor3zJycdIyJSCVIOulePACFS
t0xjJ+zhRMBGsFU9tLaoY6bwPa4cZyeNzriYezdlKNdb29Jcwh20UzQQSZDsY8fiPAjm62wM1M1i
mMMV8iCQKnPvb7NyQgLcSh4tosF2nSOSAy70KTJHEWxCiYsEMOcBe5vmDO6uwp5Ta0GfFa1jrY1J
tXbqFDt+b9QuPJrxvg8WEcGrQQrgFITo9BUjyGk6GHMTnsjUjjeVNRFb4oXFJ5D8AVDMGgdmGeT5
tKjMZVERahcGon0MMxlu7UDN28bJw23bNafQAEOniQ6bGv+J3FWSOcKx35ttDZZlRghhQODd0bqR
fNPDOTFU83VQy1WOwPnCmlaE34gpIBd+eSOoTC7FtGpHzFnuoQmS+wRp/mi4fkh7UJLUVZbZJsBa
HRkBr5m1DYqMQnHeNd77gnaNinRVFqvuXVRKXYC2iyNrZvoR2yN2qlnS9yLiO7SZg+9Dqe+9B7dl
qpf3hNRQcpFRS0XUvfFVXFmI0QfJ0a/C5Ms6jtyYeadvMfDGGwRE7fXoBMTi5aKOPDN5qyz3ex02
3+B3Alp0KRiGyXkpIAhuUD41z3nAX7VoR0d1P3Xfde+QKdFKpm4couTcjOlt5ebyLhQVYXGBWC4H
1fE2+Oq9LyD0cZhWnNrZ8BLMTHicziY0iTHJkEw9HNuAc93L8i+iJOO2gIh66p3C20usC/jEjHLf
yqW4FJYYd6BTHDRN85eWHFo8Eh5kQDwSxG4otTPDJnhuTaLKlN0yoijJnfBorXva/lHV/PoDvdIb
j73qrroR0EmDWilC3I24uYdGQGrdhlFqcte3+Xjrkkjy5kvvwfU8csXy5NoRFbLpPkjQ5adyVbrE
vNGI250naDrjZnI9aItdAP8oRibZsKnnkx7Gebs0JBRn0BFYrFfiqwvp0gUSjaxC1FZ1M1hLd8SQ
7B/9yQ3eR9Wab705fco67m4W0zbkbhjS4ShhCN24hTdgnZdTyclad0P0f9g7k+3Gkavrvsr3AvBC
H8CUPSlSfUqpnGBJ2SDQAwEEuqf/N2TX70zZznLNPSnXKlkiSAIRN+49Zx9P0tmy+xBXnOdxR5jF
fUMUKZ56hERrVk0EfYhUYJS5Ld5f5QREpLdpzHcKfK/CBaP8fV1bHo9M6Xdo5Voo4GttLyDr2Hkg
5FWvQSCd6XunyCZC862MgWINMpo50kpyB2PnG0dD76H0E/urFaeMB2cXV+vKSPR4rBeT2yrJZKo3
dE3Gr2YeYOOpdPtAhnlzjFg8L7008n1Y+rezj6S0Eh2OJ7aD8WAZc8rt7PfiG6iDYi3tVtyEnZc8
Y/NxMfwk3kYVQ771aO6v64rIJQJ+RbGtyPy6V46L6wQ9f3uNajWgiRAhgsBRo5ErqYCI935s8UAE
Sb6PLZXuIjFgWRMWrCaua98p39jjsIuKfQMx9JnVLHtmi9OfscybD8xkcTKnIjma3kDFGzX+qSEP
IsUf2JI2j6k3f4ptXPxXvTEt4Zp0PEDv8EBgssq2NSKwEyRAHFzFaL3TDjAy9bEJPbxVdx0ujmcz
mPU3iOr9IWir8KpK0+7GBbr+qXI8lfH8VWm3cRofnJNHgA3V1fwEtKKoUo4PLX4PixV2zTlJh5s5
rB0fswE8EtACPA9XDPuKYhsQvvtpICrR/xxnRjJvyNdhZw20G/IgKmwKk/LBKbgEHyFlzeRLLwZE
IJXQD2hZQOET/Wlc8nJMXjhllztkX4W7KeYxP2J/gkcYpHGwcl06piuM4cWzidPmjgF1eRgJTET8
ET4MBbUxEAL9VhYlEaRSkPvYzfGVKilJ87JvONQXffFoSSzfoOHtPVy37ExGcbND+ULaOaqldW3M
ILw8VXu7wSqHO2BWSmHFw0CGABoQWmrpc1HOeuXaaXnQdJBu7ZrQ6PtApKq6IUxm9DZhPGLMzuDO
+TbFAsTscGqDlda2XbffKDeTQMN8oRfiPlRd7BM3RYFXBcz4DmkoC4Sv6dTPV8iyjLXfptY2n+tS
4eCRrKNjAJOAwCLn0Enfe7aDpIB/NcS1OCi4xNZb6AfRxjTSKD4n/YIE4BZW6RYZz7DxbSgtRE4K
pMGS9sy574z6oNvQuh8bOL6F1Rj7mcBRckvxdRFwXx8V9+RGd05yBrGcrCNbix/Qzd2vZkmzaYW1
qiOAsagfW+LZkhcLhta6cMPh0vE8rgJwrd7GZ4L3vQrq+ODrghIcIBnMGkxZT3M6mFtQJbO7DUmq
2rV2O7+aFNZXw1ST4wRhguABE+2lq08zaQR3NYGunyUA3/thsNAX1cmwhtdcbwhXcWpmPIVDj5+5
ML1UqgMowvsx65lhqJQAQrcpNghS3U8tVST4W8Cbc2ml25i9juK8mbajDYFf5+IIUAUwCQd30oeS
cKcy03713NE9FJmC0ZOxMtEqDFaCrKJ9Ejs9nGCmSk6CNZI4dzm8gcrq97nt3jgjSQYmdJWeK1mp
DhNkbdvTAR9JQyml43PGkXZcWaE7bLlvGkwy6LlAenG+4aY0EZ0nErFSIbdhzjYeEc7wpaWmB2wo
ioOREAdgDOwk5eCXjKnzrl0bpgF3PnWcXRUhRS5DYdzA55nu60Ee9JjllzEjetKLS4dsJdB8QN6k
/F5jwL5EESkFm7qJDxEoXzfDcTVqUtQmcPVropMKYIVdz6YzTHeA8MPrfoyzbVom/iFDpAKQA9mx
SXDjKTGt24CMPcC9TAXWuo5fW1GmAIfo1FPYNcF1xvAKXbUJlDSP6PDnSILfbdkO1lnU/4ksaLy3
L40jMtxnwR7tvWXicO2/mXSbD+iV5+NULAM+Dp7JqvfI5x0BoINrw7xLGqC/8ef81QsduWUqBTyj
HD/XAYeIGFH13HxjQPO5TWGN5LY2qy1DmwxasONsIZHZqzwJo1OatN4rg4CIoZvpr6mZ32nGY5pj
QWfPi/FenjGjLVlVraALulicFSLZPI6zW/oPprnRLuoyEJrIi9uOejs1ewTLS/tnDNr6GDZNjhu0
Z96YBub3oeSIlnZpfyjcTsNObOw7bKh0BGr1tZNjdxJ4PFcM3cSJvtZGyglPau03bMBGdrJF0d/N
NDt3cdK8cV6jFIPHNG3cOS2OhL31yG76dnruO/rG9HsuEKiiJ0qpx8RoGoy1nbiSvjMscCkKxwo1
6jCDxZDaUJuy119Cq7mQDQhtNrWfSiJQ12nv0pD1VbAePCd4lqNVrFDslpvQBNlu68h7hPrsrbw5
s6/KSZ4To3xBu90egEI9MAr6QQw69d9EdYQgv3yQlf3iSOa5Tl+63zCgqI0J/GJTG8XTyMj5R10X
BiRQJOfdiq4HxfdYw6+GFnMfIMklYS3GtN3VQfSlN3XWM72HS7vCZ3HfWEt2Gcj8iLZTNww7r3XJ
cEmLwuKMAyEyw8IHRK+gI4wlDW5T2sNvxe4lOzS1PAO+mamTXVJKzkk8ctSJNnxVNS7k1Ktvet+l
sLYyowJ3miXWyreJw9vSSLfarSYe+dq2/ODIv/CjrAx+2LF9z9CJxSNI5Pu45DR5bK6WM3wFIaqb
PVCVeItthdAH8JMbLx9PcyIyHnXrSbElraGxM8ixl17gEuA6hVqshOUzxvY6qrzE8va2RyUMepMl
wR9VPxzSCpRf33yJg/k0csOTq1Obxyw2LlHYUuvkXrNNG3HCZ9HtIJKIrcj8/FR7tP+aEL18SamP
knzE3+M2ZxX3d2HafsP4yB0fTd42XEgxLtAZGjOgDF2cswKFGmYF1PUCa/7NYLvPieW2V10EQ2TA
yr+OwR/upVnH26QqrMOIH32jPN0eyy426Vx0QKky71s9ROGdNkzacNFA+EU1fclii85ZNzk7kSEW
TzvnLUJd8TAEDFL8cRoUGaoVNotW9A+sfYzMfY90b8ZFJ9XQjDLhDzE9cC/w0Qz6LEkCm9XMskPo
lxe3y9s1IB5Xb+wEucoWdCcxe7D8oZ+zP1rhzHg0mepXwsiqFw96XbHJIEB+zWwZjWtryozXiizA
G2HmQAfY8LCQCjEegixVZ5FxRAJcnUoQofFJERK5dYppeqPO4tGK6+I1Sa3gphoc7KOd1F+NxP8R
K2siEQ3c1amhDX03jwCkPGQ25bpOzOET8ld9a9vSna+hTEAvGkRR7emCFphDOsIk5zn0gW4lltj4
WUIqrZ2UYMDmqd4lNWNGF5XitYWJCAYpmwGonf5xir1PVAjeQxPF1S5upu7AczBtMYlaHK6Cp4Eg
6FUtS/shBr2zJjzhJsDu/FqMiwapiIK1JXA0bTDKZMbVYFPUnHMMCasGgcEVNUQ37mJfVcCOE1+f
XAw388rvmIDv42gYlyZRjryfXhg1TeFbK5ThhJc7AzG+YKYr9aRqFw9IwwAUoichSCtt0uOb6hS8
FuvCi1/hS70eiFN87PkDmFsaPT/rrMsxcQoMYQ4NarmKGW9fHF3rs+DuIfy1Hrr90JQJpK66Vhs2
rHDVKR1TMeFxWVl2x/xTdUslxCrzAqJefHGVREmd6bQ71ARhrhpjJGAUhD+w29iAZeEGzvjg6bqj
+USWo0+4JgnWtW2ET2CE42+ejFNYczEe/Q09tel+yvqRRFEeNNK1xymhoOfgPdps0ZSgRb3pnfrH
QHmN6aS5mzADosX3GaZnaKO9Wg97rPPN3Rj39jN2pZI0SZcFe1aedds2FWi9vOmD+xbuEBWviqvb
HETSM1xMfXJkQ1+mgJV3UZPRPWe1YV4zlZz2dh3Ay9J969yRGSnuQyPi+KJgE16BlLDfphz7X9cG
/YNtOzRDiWPhKa1gmgFj8oISP23LxJBpacpDObjsWHqgK7hyMM2m13T4O/YTQpLzK2RwE2G4/uDx
TRfpljTVGC9H1t7OeBcJDJ9q5pO0oR5NLCSn1GWpLHOml3ldWC+R1VKozX4XbOh0qGsZhjgf4zRp
nrW/pEsb7LoxiCk2e1xCHHaSrRm3mPmMgSRDWqNXKhrFsR8wc9UQt8+1VZaMYFENn6u5Gj5hBMfJ
5I9JsZHkBK995UYsJx2upayprz0MG4dCWvG27WeyaTE7rZ064y4x1NBdgrxwPtO9NdjEhvrRpL47
k0Qx7HRH9U87U9ClMeT9JNN+HYRxT9O+Stdx3RYX3YVfjd6ytixOEbmKXrcxptm6hD2PBvwXuU2a
JQbNCm7L0R9x6Xv9yUcFMxD9lG/cjlOHpmIksb1TpxZMxcVQIjujSXorg9Ha9tFk7tJgeo2nQq5t
l7TIiBRgEhCjgl6Zmp6MxInQLVpyS2YJGj9u9L3skdgjn7NJ9azo2VRZif0/DOaNdEa4vpYpQGlU
1LLmrF6S3J3WHBUYjKsRdqKwWn0biIo+sAXycFN6S3rl6EkIZaRIb1IvqzL6WX12JvIR/jnjG3qs
FpVGJXdWFswAMGa4ZjP/3YzuWmecbgZSq1ZAv57C1v7sLGA+zyi34MrmDZ2S17BUAFZiBh7DIONN
a4BHJgCz2tlW5h7wgO/dOL2fg5qjAtrXdajNeTFp3UA9g4acNs9126S3fozU2rAPFFbdvp/d/osx
MgaxHeMzElxzZ85UyGNjMIDv2ajHQL8WYQo/QDd3GjrRtDIrmIsrazkIyty4QbM6raNFidFg1TnD
D/4G30BfFjUO2AbIKQljMBo9ofu5GzyAxMV47msCklXePP9vbP3f6KwROS+i4P88tj4Cgiur5FeP
+d9/6R+T60Awgxa2w8ADmS9Hc/7eHyZzi6G25yObxDC+2BPQYP8htLb5Ed0ywi18wd9DTf3H5Jqh
9jIDD3gQfXZ6E3n2B1P570zm/rs+8xeVqGULhyRIE4iYh239g94w8RM3pV6Vp7EBurUaanpgC7T0
qm6EQQ4905ONq9PwgRUNtWAXeQQIm33gjdjHyVU5KBYgMmSq3D/N6Peibd5XrDKdaY532nELd4+f
ejLusjBVz02JXYN0BifmqEljiZmo3fYkmaP6WyFa1vZKo2RjIF1pH6yHT6FLYM3MUHvullFgBQQn
F47a9lY6SpD0SGtIqcJK61LKvYUwMb+iAuyR6IXxNqZDWoLYXU7LU+DZHvbpwbXPoU1HqIUQexlc
VqSi1/dtbhs7hFEIxpC6AHX3fCt5qNN0ukNv112r2C7uCybG5RYImCHXaTDGHrNGk+aVn9b3uVf3
e/58Qwe2mg7x4NO+q1UCkTXYj4nNoQToeLXzSpSPdivpzDMUzSz6nlGzczthP+cL7C9ByPpg2SOQ
c+l+ifupvsEDEqI8c5xbbafq2GMJ2UjLvpX+TAhU6YutMSU+bjwjv3WEkV8DFr/3TDLHvTzn1FyP
Qn71afTuXfhnayVK/GhFkb/Ltu575Qg+dpnEl1a37vUgl2wlMqL12Ry2DUDb66hWxY+098Md0RnT
rvWI8ImVaO9Rf371oghbemRFZHGiVfNb/oEF8zl0CbpQuITXde6d+qECxJGE5UOqWufeGcPxyqnF
cJu0ZsN2Kd9S25GvnMKGDaG+V7lJ+LynmZURQOaulF8bdz0M44dcZQUnkry9BtEl1x2fCNz67E7l
aXdt0PFYJzyxn7JxjlZua4/oxNpiU48e0l2PKzXGIWbuEMWPM+YXlAABEol1WlYhfxbd2NakyXZF
+WOeJkKicv7/yF3d/A4CSS430xiF9yLx6jtkQj21VJRGK2RG87W7zJjSmsTfjK7FfjZ0eW/a3NHC
190ZNaF7NaGVAEXlMuG020s1OvNLr4SXbKHdypObSmtTg6RrVo7TuxsgI8OeYPV4ZzQMhp2wPZnS
v/R92wjKGgZAoD3TdZAyCYYbChG35R7cjCblmI6Mbu3P3ZNBYq9sZ+BC7OeRuHKhvK3apvw8DTq9
lQ7YtY5kt0mFSOfce2Av+bYM6q9tLcSxSKunyYHzTH36pRAq5+DDwYuOjX3FvDZfl8s3NX0z4ohG
1XI0nbX5TDd5BPwVRgc608ZlwLy1jegLbSCHvrAYtjc2uISd0VL551nsHaemdZ9cHxfSiDZxU0Sk
oRk0dvzUOAkitTnX2nSVo2arRaH2BODZx7Q9zV1ypg5n0tlhhiiT6zJiLM9wgfKK4C2IDNjaQTvt
sgFGrUtU9X0QOfldHXjxsU/5mLFAOccQC+ldMebzvuzwly8F/37ORv/iqv40KZDZaiLhYzNY7XA3
uN2TtiaDjX4iasO1ZMkDVkHgMxGtEs0W0u/hpH47RYNTnIfKuy5U8Ea+mLf1/Tl8TEnt3rk2cz8J
GeIWk2lyA8j1tXRrQB9NgdgzsV79mvM8/B+z+9Iq3vLiI9uoOrevQIAWO9P2uKVNGmB94b639fLb
iWV3JYHO0bRUVbVGwf5l1ph08cFH6x4u8DmZxulLOHHuXHF2bx4ahZbCBGFBHkdxUxUSnm8fkht+
G3uRdcQQIdt9bbuEcedeT0DWnFbHOuujCiZuly9Q5/C+S8WPujKHdWyP1m6QQa5XWIToSxtU3tAe
y6KKiAvAd0b+g/aWaW/iA6iamfQHHKSANTYEoa3KeshH/STzqbXcw9SX3Yl4IKnZW4zmawYWeEIe
AENiO8rBJr9dIeVdoeENDpmmND2PrvLvRjbsB0jJPCLZwK13VF3vfW452p7kXKARx3nuvXXc/Rzl
F0TlGm2kcFeDX4v7JjcCQtwtU50q2wxOzRQZuy5MS9qkTQck0YlvZK7zhwAktFjRORd7CR0dQzmo
2Zc6cNstovXiYCWxfMVxYoZY4hTpPvHUuefYUZy5hFsLXMgDc8W+Dng+HBQzEFJmTg0s7T/oupvD
Co0ZHfa+bW+JDSS1CcssvBXiQhBTpihDgYCMs2ZWAnu9UWbywp4cg38q9KVdGO1R74U/zFECbpd5
5BAUl3Gyw118XQB4p2WUfy8W5rv3jn9PpAMKXi9U+DiED+9V/bFYiPEA2IHHEy6LEDyM+BRXaSqD
J72Q5pnr5d+M1EyjU8HsY8l6SoY7bLL+E/sI8oB3Zv00kTFfCcSraysjGPOoFsJ9liShy2IUR09h
Vva3oyCUHhyGNG6Td0S+/U7Lf+fm58RnchcvOH07RJOJPiD75hIfSKO7fCAwBBkISQ7RMbOyYmNl
6O8ZIXbNzdwsAP32nUhnv9PpJjs0LyREDi8eB/nvYDGaL8ECtCvf2XZGHMbg5RtGI2qB36EZLmje
LEg8d4HjTYrT+cpZkHlaLPQ8sYD0mAfB1JsWvF5tLaS9NEmh7tG3T5+xNqNpDxYsH0FTEPqMEVjf
wic58sxB8NO2Cc1vWsB+XHm4dYQyX5DZwf0rk4UByPnQ2+sFDBghsN43CyywZHCWIvAAPMPynJL0
wrADsoEtzrQnmpMlOzri6HQ204IiRIngk9kCnnBcQIXNgiyEqkbEFSIbeDdtfWfptoMTA+Qwf+cd
igV9OAogiK1YeIjFgkbM1EJJTOKFmKjHtvpMqFVdIugIJ2AKWEO/+xRQl8gEuejY/hujyPCTkOAY
qwXMSEAQjEaWeMZt0zu7cVgwjuk70THBkXgJZ1d86T2VH2pZw360Y4/sncmZnDcxKEn3EExk+E6M
DN7pkYxH0cZVBOTEwci/Zrheg0OKgPk+yCLkvjRLrNc+JFALAH39JXaj7s4LuxD2+GgzSp8XkmW8
QC3rYeFbBgvqEv091MvonYCJbjD6nCxYTLJZIGQ6CyxTL9jM/p2gOSt6o8WC1UwZA0BdADdTiusY
yl214Dd7OJxkjcl1OXXhnduFJpk74Dox94lkg3XFxlJCbRgQB7FvGK3UzCd79w11PtI0d4GAlu88
UMwcuJGsd06o1SbmnjCxmDGDPW8HUhyPdgoiaHZpBMy1k++0aYI9NeQWBlnxnQa+pt2nffHdTxMa
Mf3CLKVNpD7FnojefJIRd/073ZRvEy0l83N9kQv+NKbMahGIejAwEtov7iqG8fetNkNIaGr5R23I
nKXFGS4VsaDPOQkVj3Tc5N5MoK7SGNJnVS8oVivzFxZ6Ea5jkxqxGOJT8A5uLRUM1+Ad51ouZNcW
wQvmkAj9ICIK5BbbuoZBBfxtvsoMqz4NmFfPvMP8bC8I2WiByRYLVraom34Xh055bPIYplQ2P9fT
gqC1Fhpt7DTi1mka47u1cGr/d0r+b07JoeVgYvvPh2SwTJ1Kvnb/V/34P8QwunhLXn92Jv/99/8w
JnO8NclzpFmEqpvN5Z9MayH+ZllotYXpOPg1se3///OyE2Dad7HOhw4+Tlf4/OgfSm9+xC7roIEN
fEx1Nj/6C+flBZH9iwkxNE3PdAmGWNKRfWd55z+bKolSYA+bRvOA7nhdxD/y2LgZJ/ikQbAh6P1A
XXVqYU+QbPqZyRBhF+2fmG6XIM1/uQSymZDf8Z7x3i4//8lxWSE6qoMAC2mFw+Q6cj9PYX1u+2xL
YRhnCLfMDl9MCDIXNUd0qesYm4XtliwTLy4L4SyJczPiizkbhEIE1Dc08YV13UifE5OHELtON0Yf
L66ary5EoWWgqkuJivwL0wzahnI1sanRuP3UztU+KdpVa2wnLzy47Lp00zNAo2ZfTqvZ7CjRDA58
zsbkZDY55dMUZCwblnNgFLUqOG6Tpn0V64GNJZ1ZIInHCUi2TqiMPI+tzemcdttmZ5gid7ks9ZbB
74qeeXfnhy+WY2BxFq8zDqwtqEoU8s7aBT9ZNERTSLnVFQBZ6hils/vRiB5TBhrbrC22fVd/gX1i
7pNc3zLQpddcvs2xXgMaXzdoc/ZMlIMV/hJsL2X5tRhdc5/REF1N5vC1XFZwX7fnsh0YKpuoi3xm
fvifk8y5iYs0/h8j/79CHdh8+79dXW5k8gsd5B+/8Ef7zfwb9A8eWtsUIAV+5hwE7t/IbQWtyBT5
w3LiWn8LhUfvwrGQ8Cx4hJ+XE4cVyGKqZ/v8Ov28v7KcsJr98iyDBrECe4mjpUNoY0f59VmOBiPu
Zel5x34062hjp3NG4jZeZI+idO1MXvscEuW4o4+ELHoYoxPKj/olRIT/yeOY/uL6aftMkws32Ihr
7ad1+vbvXcCfIQUfVxquzjZ5+1wgij7/fTH8aaXBqq9IOgzdI2P/6tWT7ngLnnux0o14qEn1nvaU
pEuOeoWO5fev7dh8yL98NgERW4FFP9DHxO7DePnw2Ug7r32dIAKMo89Fg9YHYFQSXrJQVUt164kz
ZzTwaM7ki6vRDZNPOACTL+Nczt+Ehvy0qefJOcV53G4z0Hb7LmcZACVV+XdCBpTdoxYeooeiO1u1
w7HcrMm9RvCJ9LRAkOn2bXEj7YnHmygimLlBQ10/gHPYaM1hEhGcNGjWdKSi9qlvv3COXmTvzCjn
NqiuREt0jWJLvJdli4wbTDZROB1qY6apoA4AZBOq6iSu+WwoZWwRejxquvoIYeFOEEDi1+W1chHX
GYyXCOyo0GtPRhGh8JqXQF7CQlBqgnuBPOfLNaNYdLmojT+XaVB4K7IsrbM3pBEA+Kl7DgaMAMi8
wd+tTEuCZuQL8A+Bk02c23OfWAUYlAYHT+Qivt3ch9pI78w2SawN+A3zJa9Mf1OVwlQb0C/hdtCO
Sna9M7IqMln278coQCYRNY2PBtqV3aOlK7ktOzHoI5t3znQTKe/9mOiAczfqHwDezIR2BbBnfLJR
lyHw8vzaQpIEB++qHBVH4ThO7AFXH8FKqWK0sqlptBy83raNVe4irB0877PA5AN92S9vsxI4YBvj
w+JAi0vHRb/GBNakO4EfSO0U45JbOnEI4dDMfWuk3e8yM9mFOB43PKnhEehVcT/bE6HH7F/paUai
uAm8TrxK5KGHmQ41Kq26O0wJKP9dZ3cxw6vUhiXa9ERlrvumbJGcpNYVMZzjibTK6ImhHDXuIAea
KcKT3+kY9TcWOnWPZooovkOcRZNkc2ZdITNAuQxXrkFe388ecbYIcVPCnRHMxLQernWWaE4KaE+h
blqqSMZ61Yiywv/pRE3M4YZEq1VQd8QnpuSpBkyv071tVsM34NgFsJOMw4lc1SVxvxcys1Ty2ifY
ng5h2bs2UT0KyypWB5CDTopVjZ5ReJ48qCQzbU5Nx1WPTG+txiAFLNJ4Z1XI3r9GJIwTodOqNLZV
FEyXnpJpIuFYdAwce2NOHiZcOhP9naXtSspsETEbVgW+FniZ9ReEhTTUgDt7JSIeD5FCPGTmYaZT
w1aAj1fJAQtTYzrVa1uBaLHUlHOrj2Z1nLI2u7dwfrEYSt5/BsvgJp21uLZ1hdPKoH0QrdTy3iYZ
eQ9w4yw63Ii1ET31bkvanc/5hnAxrn6MxXxoqnE+JExnX9rIq15wqIQEF3g9bVY58CBvQYRhh0KR
rd/MVGnzwunKM69Dun8aCWBdvao2Dz30TOQZvy/lIe9cItsjmrdLA9bRzOj6awYE81PeOkZSrbPB
mRdR48KCICjCda3p1dNamfUpgPnH/2QxpSH30URQE+HIFpqyz7Ri84RYZMMrXwkswRw1qbm9qtTs
XzetxRX3VV8Zu0ETRbRyDYVJPLDzm6mUPTPsKqGBA/GfoU0S2zcuMXZqBTc0v1FeTqof5LzK2wRT
3x9HJNj42ZljFueCqTE5x1wB925BC7OEkNxfu7QWESM4XqQ3ZavEFwNa7bTiw8nCNSnapUVehY9B
WkuyE1bY1Aa8BkZ1Lf2JnMDAh0cbMRfj9AlYJhva6q21uk/OSJxbH4apt7e6cLjD6ODkGwNXDOlg
MmjoZSCX7QnhC2k5Is3eWdrMLtLpI9qRxlSeZT6oRzvTIw0Rqb2v4Lx9MsMdC2MxouvUrowZkZU3
nt08ra4iiYNNCw75KwC0UGmAWHnbYFRMCMhtP4a2zZSeG8h4zNhnZt5yiAAvbFBxW00hlmz1dtEG
VzaU/6mjKbsnOpx8Dqv3U7XohmIEmp4LPJ8Fvy2c9n+z2/+qcES5HlBR/Odj6bmCvpC8lr+cRf/x
W39Uj5wdyRnlWcL4IJaEpX8Ob12wc9jtqB45iS0H1X8eRsGAg8jiFBuwUSCg/+fw1uYPwoAjOd2m
0WgiTfgr1aOzVIc/zW4tODGUxy4lLEUuBeuH6jGZ1KCRdKkjWQ4i2KSpYd2baPwvLBPk3TdpAKQB
cO5ba4joUchQoaIto5OhEqamyu6JJxUw/E2/3CP1RsAJvLRYBUFmPAY13kchMb4BnCVg25LpeGOV
hv6eKsLK8bTmTy5y7W1dkKkdS8IOKtOVIzu8QCjdkJhoxaYa9h36zUPVkLGpSz1e//SV/ZsK9QNT
iU/AdYG0e3wMy5SdVNdfzsLs+YpVra6PPJHApKI23McTaBO765b3xXX//vU+1Ovvrxc65oIf8ulB
fUSG2QYQqzjL6uNgKGcFafMtZu0Ffs5n8PtXWubuv363rnBs+h0LUB5W4Yd3NmvfInzKz8mRbVoO
BikNZcyt+8CJkofezt09sqDo/vcv+m/enkCuYFo+NxOO7eXnPxX8mCDboShhWWh/ITEby/gV25Tw
Nnr01PQnJf6/ezUEZz4qh4Az+UcgVhwGA3VOmh8tc/CyC0XAvBt90EQ3Og8ff//OrA9cpeWb40zH
iwgHqQPKjl/f2sjyLAvKvGMjx5wsTRkRLdM0YKqDhaUmJzneaKWt89Bm/QGNAfzgpAVq8fvr+Nf3
jNQiEAJZAXw7FpVfLwOlhZgK7aTHhnwQJKDt1G78OIoeQ58h2p+82L/eQ57JARcCFzlsrvuRbaaa
MHdwKaWMJeb5rgpUu4FToL/TXM/kcWoTwMiiDHGw/vU3KXwLtqbvh8L/SOrKQGYlsV+nx3JoeiQe
fJuUQ8OAXRsYwV96LeDN/H1O0QhYWAXNhQzx8y3rErZm9RK8eEIEyAaVJBaC2lTTVQxd5dPvX+vD
evv+Wp5l81EGwnQ968OXlxadbyiDe2ieZmDKFRFLpzxxemvz+9dZYBE/Pft/fx2H6HWfRYbb1f71
PVHVtArlanKMTK9H7zikvCl3QjkZ9Y73IJME9emoCBTgtIrWdWsCIrj8/ho+3DvLNUBzZKFDgWT7
9E9+vQbK9ixpvI5r6NGIIw1vbODxtA0jZypA7wfeBjnv9Cfr+ftH+OGtL9Eavg+Imj30Y0MEQgJj
7AjTnGRU/6xSvziB25iuayJ39sqpkV/CWMLgOEwU6Oto0FN/xBIzfmOi2aivNTHTpywqo0NsGsUp
IpLqFM2pcff7T+ffXedCJAFSuTSeCTP49ePJPAetsjCMg+kI/22atKs49eUhX1HuD/6BeWJNknRq
CMQ5VJYXs7enpZMYRUdAje4VM6joOCaBcx0afit2fi+rlJFRKPr976/1X+/awOTThI+C2Mz3P16q
GZZdxYw0ORahOWXrjEkZKtm27ba/f50PSxt3DAU5X5kQNrI58XFvTAybDwUwwrEaqvkuTJaAPGw2
3hVxTt7D71/r43L+/mKo4Gx2xyVv5R2j99NONQUtZo4xZTmvFHEWQdRvkKDrNXklQKdswhNqrEtX
lh7FC9RI8OeV1/3JB2uZ3vIk/nq70qUyBRmcFAVczoddJVe1YfNkRAeh4VQdxTsOoAtHpz7GQMLv
DMc33zwO4Osk0YySp1rSGk4StAsrvzCBIMV9dMLUNN12hE5rlDlprdZN3iFPsLMCU7lsSXcnCuZ+
zp3oRz/q/CmY8vlCuPsI5aNR/hLVix2ogKnUK5MFFxelfe+RZ/nggx8+dFZgnSVTRL0x68R4xB04
3+FlcTTOSdnfgEHqXnP0vm8zvaVLa9QTQtqxjH4UAbSrU1k0BBaXxL8fZqQZpARydEKGLyBzkeyM
XIFcFdt9lQgEvmKncT4NzrvwG0uSscZR5f7I+84dNkU3YtACUSovscOT7XosLZbqkzctWbyrNiaK
pEKCsS4LysY1yQhBvB6SMMZ9L313PwCMaJHnju23QHCALrGtvAS09IN7MqW533j642yXVSG6c3Q8
BiKtlrWTya54md3IQzsexhex/G7rVVzG5AH4b5KhJdc7yY1HAvSmC/tM/kSrb7h5/3gjf+i2dinN
u9ppcIFUs8jxSlmx75xslDkXjuMQ8Jp5cX6L99UKidD/Y+9MlltHzm77Kjf+OSqQ6DG4g0uwESlR
fXsmCOk0aBNtAgng6e+CTpV9qhy2f889sCPsKlEUCSAz97f32peg93lCBWIyvlR1wRVZI0ERvinF
cgEdgs8OLlzWr/i79NGZMueFI35pMPQ2q9t1lr+WOPM6mhj5GccA5mSY7x+dGULbj7tuTg7hEpYI
XC6LQp7Y9lNQAezaGBafrbSt7KNMpLUXZDnfc7c1SvxhPcjIOJPLnavB9EEI66Zbc2ynm2x2xnTr
OyL7UnqKRxOQTWxhJvYie70O5eq0DAZKvqM5DVS2Xch+pVshEcCqseRa8iHBnhM9Q1aIOXrB18L1
fkca1DShXrDPGdIezTXnD+g3Eqom1gwusJ3Zp817qteB1hRw9VJiNEHySqf6Ykg5MWDVNx69tOAD
AxA4n8lS5KciKHfhQsnFhD56Uxtlu8eIJLBdLvWuRawB51d3dwlk+qMZdNWlxvgZAW7Ptp7VUx9k
V8tpaE2PsjM3fkyUv6udoXgHmFmcITEVERNv/0Yu/qHIliZqq3hinp3bb0HAbdfgCzcJODITGxht
GdMSWZz5IuFV3T6csDpimiiLiE/Veg6z8SZLqvmUC/iaaWujwaT1KeQm2aTGQKknLWzAhPizgEt2
QAeLEuMGmQyrd2L88s4bXkv7nMjshrw1nQ9IrttxDpyIBcfeU9Dw5MVw/Oa+sS5LF0L+QHNboyp9
KEJpRsUimKMviLdhQ6I3C9P7Pp0/8B68N4PRw/aQ9nb2KIm3ltE6Gmbw2no9TQOj3ZCxnKAX4t+z
vkjbOS0MMjDtZig1GRV0jvc4jvElonDyqsgB7FJnnk5pKXkAO+seCWrDtZfZNmnhvr0TWdmfjJGc
1rJ4V0SkZ6DgjsT1F4LxaCFafW+JxlzMosYnVsWrbgNoID+J2qnFJqYi6mqgDsva1KVjm5txtpYn
8m72ftIl9YIKge5SCdHesFFy0q32eF7QjFs+dfhJnjDb6Ie5dtk/1H1DDqMBpXMufOILKKn+3ilU
8C2XWAMmOiOOaRsilcbsos9dYt4HrtbQu4AT2csA8ZL1h/J6UqppRA+EvO2Vv0Q+d1p5dAyQvBur
wPnWzexFCrK/VVF5fcSwI+NRBCkILworgp+E/kWTc/QZuP6IF87VPlxM5zDo0WmirrHkTW+qZ8ox
oDXqbNXWFlyfSYn3c6s8vBh7N7fkJQHaYl/lhXuLJNnvPX9IXhT9e5c2JVIqi6kI1oOpQOLo8AuN
U2jvboUrCjd2ZxwrAKgnOtuxBloae9MySi7MnL0DR4TSoHuk83dy7l4rsNx76I/j2+AQaVTOVFAF
XAnrEcaN/zJpmu4OppsRoKRSY/Vxsx+rpvaiIYJ2PRmth1O3B65b101kqNa/4AQdXtAlaJHCFEP3
vbGCYNfofD61yj770jHPYQylNnKYZjgu1p0iqfzD4JfhXRm3MbFH2pU5/Oepg0zRiUcjM1AfFPwE
vtTwgWwcMmoal4qs9eh8nQAo3PkE45Hzqh4yWGuhOHIJEO6l5yVO3IPGRb33AjXi3cmcp2Lu6ZxU
vb2RsciPcd5aZz7BbGvj8GnHWBxG1+XCDqszQ0UzimVo3QIccC/c1rev6AKkSqxZ3IfYbcVWBro+
gKls9iVjovdhdSPxoGkjCtEyOwpUTV6qiN01TlNZQG61oAukj3ECmRPavxnUN+YSs+0PbegHTW/k
1Y7UYU0mJB9L4JSV/+YWHiJO3SaXk+EGkK5ipzxS1jN/VxzHr7CpDXfKAYC2sZtwJExeVKzpq/oe
MUZwrzmxN4dCYgKOR1GfSjEr7i7VnHUuy9vGc9VN0E/Thd0SHoqykKATk6ujDioDpHIcXNaYOs/5
UJHmTkb5UVSt7+0KYDIvTuK2e8/Lix+hK0kTNH5TH3FLoyXlZffs980XyUuvgzoHTKW7WGXUx8v4
zngu1zwEeuOYNAN72UCYKmoZoEJ5XmDvxDMdanW+4xvPYJdZXzW1uttsaOBtEA7vd1WSzGc/HOoP
X1TjaSF1ug1C1sA2takCgtm1dYJC3Qpz7D/yruCZ/bPuIw67gvKP0fmsAgGfuxaDeCABnY3pQAL6
kcIeAmlO6yo3tqo4JinjR+ul1XlyGwsukjs8YZMeP4COBG/JQLHTpoJhgyHOXAJmOe4sSxgmKCLV
heE58wnFmAgDSBeQtyK7NgsJpCtYMVx5izyerWwudlHJ9WzN/lat0C7bamO8m5DleVdqunCq3Dw7
mqR/yVBh2tYA+mRUDoNHBAFc/AB2oJ0uBNSvE1OkZtgqSDY8zuYleQiYWDEida3hSK01y4hAHeK6
LEEcJ/1iPAIoMfdhUfO9sSgcbLNRp2bJhq8NZyNOGCkJLkPyKXRB9iW21ksZRck8p35j0RdkAbn2
TDt+ZqxkvxtWY/ywvEFfMTVKHt2KsiVR87KTM4VPospQ9Vd6Wrxy1AhogC/usyc2xvFOxZ65SYv2
3rOfSWZhGFxBbDFENmOQz5T+MO4MjHufMCWsgGqhQCbYw1bzNt2KdXMKE/otm5Ot76fk2ypC3QFn
7E210uBCsHBFaaVVZHBOZl4BNW72kguLZp39AEwOP3F44CzvRC3oj30hAn8Nq56snvpekY0gw+DR
QRlG6KcdY+vHXM5mPonL2QXpt4j3BW8b2ZAhOFgztES50u0ALk0PrUdFqwVV6JxX4w+jAU7dLgDe
vHG0TnT6mDvCq9MpYwJ2EZrIA9Y00r3cdMOhAdpAuRJBTc74rDpshE7OUDu7PszavdSqvzLVlF8V
YjoUHl4fqKpTxKHaI3o63WjPFJitJ+/C7ZhWmXKEzdLSYMbglgWijm8n0ZtU6OTNPlD9d7XCAhuj
Xg7Cy+oN7psvpEblvlsBg9SlAhRKzCNMZCJBxnvmOSArYBNBob6uVjSh0b5pudCZG59U7T01XXzm
kYtgtOIMvW75kbfJM5UR9z68Q9wGVEPl5XtoZhqrPiKlr8IP4RJVp0cW75Mh3CdIiGQ5autjWpGK
pZHwkE+tY+l1aovtYZ8PzeWU+hoWm/dVrnhG65PU6BqcCJIV4bjYy9cJrqPHrG6/In40efs5eTGb
nklP1wXFyemaEf4K4++VDymW3dhmrwT/8Aer9Mptn0xoaY9t0Ia7FLCkvxImfVyvUdeOw6thdcFu
0qO6GDnDXDHiwy455ettPpsn1878V693KhxWrReA0dHdMcOadDPofD1O+GE6HWrNsBwzIwaMRXjL
FW53o9uDDLpfDS7fTI/s1cloSgQd0qR9YB6s0dL2pQpk3+MhZvh3W1rd+npWW+TvcBo8jXAhYkXJ
s+KK9iFkdRtUTSdXwKNLsafVjXxzwX7owrcH37hWg8LM2hNAZswWIpp6vebIWYQZxisrfguSIv7R
xx43IL+VEQPAbg4iVsBBamsFNceihMt+2NY8XtCZ1pnGXA/x25BwQIiNljNGbbmXebZM1y1r3HPQ
xvOZEjdOyZlvQP9qPfM6N9xs3Klw5tgx+DyWNMXMUSXW04nIpvF7vlj6JvdmvKOiwFCTUBWWFjp+
S6SByJ04vrgXvat2Hh7cBr1rND/AQ3vuWaXjeuQNVT1Hqdv0JNlGtg6l4ZmHRtjdkb09L214TI7T
mgM6GORk2fvC53ylPfXFK6W1zTq2f3TVN7dut0QFvaNH/Px5tLDkH62iZyEFqkn22kUU6DnkBxhU
Lj8nNZ+/b2wcjHZMZo+xBz2Bc8J4MH1Hvn7+KyEwtnuw1d5D7efhwXfd5QLzLqACSRovmjoLlSCw
9Y2GBL01OGwy61kq7yEs+DBxBbtY5lS7/xSKmxJyjjXVwXYo0I1LmTXmJsvS8EDbKIb/VBcn8kXV
wZPM2+tM8QdkOa/Ic2S56xFebt2sFK+S2Thb+8LkPeupO3ZwJG4L0Mr7T1Q2nPPlPDXU9cE35+9y
CBM+Ni7HvnakYC1y57ylgLzhbD/A7Om2YxHrYpMtqCKIlzwMBsHpxCS+VDuj21IvZkrJ9Y+78Yri
weYd8S87mEWOohgsl2HXUaEgylAhybQx4aEqgeegyIo4V2WrzGtXaBeSFozuHlDfZRkvBWwYrjsj
q+gmyfkG7IXIFME6ep1VDwNpnIz1/aVN/MMgPI0owjHrrhzWz6QcmLIJ/iff1QTqaORjQ6SMHNEs
Z6sS1aFepbiegoqzP8f6Zil1AHQUv5fncAUoBxjrJhzXFyxz7yGxQoNk4Ag4oKzR831qQycsOa/S
5EeKyumOfrX+01rxaQlv4oIVto8RgxfazUuHGaHVhvmaCtfJ6RAvwgOUenEPHFVcCR+dFdc0B35h
WPGPBa7z5ZhzNdkLL0rSrH5HSqRZguV8pJ1xLV8XOj6NaVy/x6k5EXwiBL4xUm5hulWYTWoV0w4r
6vfC75mYt5Nhb+Z+LE0MTWUs7jkc8BfCwkH+imHpsAOOdQXwLbOuOLd0LypcP15plsVpqPmYxr62
7jUcQXZavHGrL9JvcpHNO2ELfvU09OOpVJhyFZIrUbiA3vCFNEFiosgBF8832F2KSx6+H4Pbw1cT
GUcP1XytzCCMQoZ5h37EI2Iqvh0FPOelnZiVxsMcolhUoE67kZqJ2pvPNhL4uZFj/NZpev1oRV3E
ZZlY4qYC33xySwwdJI7ADW4rHocHk04yzFUdX7G7XgW6QZpzGxdJ4dPxV4Cdw88UDlwl/mJ+rCVf
74wiDfJcacM9XXduvK05nWLw5/kITqo6JF5iPC4cCH74ccMfHKr1GuxMOnd8Fy8hfg5sL4E9Lxck
yIOtH/gc+wIvHb8HHudkmFJieu3rbPoyra2gm54NeYeUCpslZVvByki440r0Y3WN62V4hDgSfGtG
J/6Rwdc4jS6ZLQBTrExOpuGtuf4MPLfiChjDNn7LPRczD3TBLt764KzGbdlk9fxTfv4vW/1xbr7/
3/95/yYpXvndSv+rfR5kGEr8P/c5/D+sofVfXQ7rj/xuchBrTZ5jonOGPph2xMK/mRyYmWKAcDxc
Dky9PrPmfyTUbf83c/2pIED2Xv8JL/iH4178hiFiNTmw62d2/R85ZPFF/Flip3TL5X2tZHdmmY7z
10G4pKWknwpPX4mMNan1NoFWpJE2gevV5iXqS2DJCB1YLcMBCHopzReF41fsigoLA6qEo5YOX5CN
Pbbs8g5lISLK2zbBA6RRsB6AYeGaCexaenKqvWNrmGQczWb44FqT9AZDYcnx2A2l7MkY4bqsOAdX
5ZxXWwB8VF2EQVNduXE+nWpDjmx0Ad6dCY3iN7dbBHTDezX6ejzoevSTyJzI2rp5c5VLChlkPg1i
47qF9YikRvlnlg4agJXUGIKwN4Q7TWJFb8tuSSARo0vdL8VI3UxjcaqtEFnPmZnG3c5KlR7IJA4Z
6r0NkedQTagBtFmVPG3Cmo2sTFr/OsTomEc9DaGH1jCoN/GaWfFMK2AoG6VRwpt0iosGyWWfL52P
s9GoeOHKyaEb8agbbyw3huqlZ3GvOeCOh1qBmUz7foSu0szWFPUJE4S+kB3IjnZ8VZ0zP8dL7XsR
DcggKthW8ISKO0TojRObg/UaQ9K40i4d7r3ldTtHFOPOox9Z4EnriNHWAmy542uKbWxIllmh3SN2
D/+ZxP90ZSkd9iCtnVYRdmZjszq6HJDWcLXvQDXuLGVU8mCrkpA68t+CXXdNslFnb0TuKEd/gwO5
q7fmAGa48UaJ8y9mPJ+MQ7C3tNYUHMIvlok1JvvZ4vy/6ZIG1IpgssZjNzPfF1ck+8JdjdpFvB49
GLi8S84s9Kd3kghfPTUPHC7TS2JX5Sstzh77lhECL2EMdVHSqGpurQ7NGZltO8CSWqH3qEJNWgou
GjGJESw5QvcMHZeC6i68mdwWF1/cgadrnQRKP7iaDbzy4gFj3KoppEP5zcyN+gix1joq6cstKZn4
C3dDR6k6m9aPWI6EUudejcUhUa31GNN5f9Sd9PdWOfrwo4hVPwTO+BWXhrHKzss2Djoy5twBDPv8
xgYhnkysZonHakbPnHMqUjd4WxM+h5HzBEpjvwixxbKLx82SBoV2cfvoOmV33Qbm8lEqGW8J487P
DEbkRbxgC40MwyQzBrLT3o2NQfiSse916+ZIQArS6Qp1QTxye/qYBLuPJy8BAorgw54azs+LaksJ
QkrF5X3hgLjt6YE6UHZwUDgPo86PHXLKnP3v3LQlmcJoKtzXFeZnnizADC6bJoDT7armppNxuIer
VH6vRDEf27Cvofy22AanOVxdy19zM3O29qw1R/zMuQBwGEa1Y70zgnwBaccKy4ho2hJD9JlWtrbL
98gQoU2bwbvVvREn/NrC9Ya5+2mP+O+q+G9WRQuzHgvZP18Wb7+DaoLk8V79OY32+w/+EUdzfvMw
EuJdD2CyMd+F0fI7viVYoyUhJhc2pp8NmsyG/45v4f+CpGdarFzEGFjT/lgcw998HDkeyRFB/eaa
+PgP8iMYMf68OmJEYUm0caKRwherlerPPgQIUj07X3O+cIF6ANJaEW9gA7V9bcUTsJTQyoUdQbbq
5F4rj1QUODp25uuZe7+0HYthWsJMQ01TpbtNsYXQN0YjAn5uzBQqRgry5ks5C3MLFmwSm4U5M5qW
0TM3EoBIFmon2O/bPTqED0+OCUMaw0ju8nQ5GPRYPnf93J04x6XX+MDMnQ8r7ym2DBtWQ+mnuy4E
+MahWbYPCePI6sJswXVvAbiT66JQAr1f1Ck2Z89GmTCbkCnJMPG8SKuLzF+y74YQyVeN3eA88TOv
7szsCA0odK6okI+Jnfq4tDdQcPqSGzqxdrVBAiAMkvJytMP8hnybOo/chgcR5wvQJaTyTa3GaUdi
omDancDf4jmTRBNJUuJsCByllHA0woaOh7F0mbx2fMzC8KG68Og2TxVAqF3le86FZbXJzgr55J3M
ESfmI/JW4QsAa7bIO/om69ucoM1NGtPkSAlpUZ3IMTbwZRiQFpqODwu5SkUk8M+Ek+E/z76n0w0w
YCRS+DMv5FHUFdrea+8m6kH0PZo7yZ2w3FpGnjRUFgTFoaJP6XkqCwvhyw4OEtkBSAeHBupmCvha
tllEdMouhO7G/h64XpADrIjdk21o80ePsLFzpEBEvZVhWW17yq8Q9s1bByBrHXEis69pxRje4BQm
Tx3h7Juxz8FlSW9n9IGKXBCAWK55/tp0np3Ccm1dwtVz55rKOQNFfMm0A6ia/jP01WHeVxQ4PMwD
bErPcOWFNiXSvlBRUeT5fczo9obRpb+NJ0cf8aaTzcOOLx2ewelgMu9Yarmem+sY5nLsItVK5g1a
f4VTZ+xpNABikapS3HORsyhNU3tkjQKOB+tvh+uE2aZtOVuvcu9qrjZIhvC1TYZNkIqoE0z710Vm
7gYyu7FPiYqh3we8yz51o2QAEiAGkZ1Y1I1Xx/eTY1Om7b1bNg3bQjc8+UEPUt1IKbYX0xiVsAOv
7RHkTMVlqzeTN1uHhozCmruEWGrCHyFhOGA9x5p+T8bf3dDq6dTJwXPknIgn6JFTtifvo9cEjQCx
PlBQlyZpwB6N42LDPDwMBpB8hasfXFYzCm/ctkjFs3C4Fnamm2coraZ/p4I0Tl8mZ8FkNoi8tPdV
SOX8pvRgPwZizK6psLbIpa2GxTLHvxF1sZ2um7bacF8BLlb5UdcW27SyBv+8mXKITtWhq41ufBiz
zNEP6md+JfkMsxS2OeZvRaG6pdoCd6vYc6Zub0WIxyG88Z5EE4GrLEneJGANeg05sfP9GLXk8tT1
DBFkXgQiNiIff36gZz/ZlnnFHLGVtioS2lYD5w3xgHYTvwjJob/xGYWUDiHSgDCmKhPWaRUXCq5G
5cWE+c0aTBwk9kHFj1UxeIjVrU0HmaU6i6CeIab/nl//V0Z9lwLNf7VQR+9l9qPu/rJM//ypP46w
nFMJUDow0yyyihim/7ZKE6r8jWOqaUI+A5kmHBbwv6/SJv5qlmln3YWvUc6/rdLw1+zV84+R7fOA
+x/59AW/41eXmLn2zK+oXw8zJ4799fD9q0eVCVHdtAOaJtGPcDfqmFujtnGqRQXhvTueb8wZp7Gi
qMIs1BsRqvGJ2hiQIH1Y/Q7z+6e1wOIvzs713ThYF+lRc0yHFqD13f5inXOquSnCdBivrbYS10kB
OWUz+DX5QRqoaghA2hnefLbc2aaTgWqjlkEoDX4LJBAwlH71LVTKvOE1UhC52JmeFtdgUDd7bvwd
NJKY9r9837c/7XS/xlA/cwy/uOw+37HHFgy/pYuv8K9eVCcjremFs7q2J3bOW29ayqfRwb26Vz5u
Dlwgk8i3mU+GcPE9OKlzYdoHOXaUD5APUN/SqQdZkhkNplWV1eNGyRT50e9ccMvJ2rFWDJgF+nAd
AuI0foZhdlmUmoqdjKVv1cZH+W/cg//4Nfg4VMiH+B7XBmvJn78GxjKJZi7TX1cqDp8x1KJjQ07m
0mjISdyilcPci0X5+q8/zPVa+/WzZOLA3pPNDrnq9b/Wt/XLt++SX3CYX1XXVbCIa5AzwzUBrSgL
4vT5X/+m1fv4198UYhwGYIiV+BNv+Otvajj/ssFM6+ugMZ33lqaP8hArlo5N0aQ7sx3KJaJgJaij
3Ha1/HcXzV92xiZ/pQUHy3JsZ4UlrDv3X3+979sZDcYyu14n9u8UJEN3h4xVHtxF9jCMET5mvALp
QZctbQltUfvfsYz0R01T8tXk2Z0JXjCvgZ7Tgfdk48SxtykNPd8bY2y2prFIP0JWcboLSBHL8PPg
9s9v03/8ougB4LFBOJ29PZ7oP79/k9WeYHhsUGMSw4TuFNWUwihU5WyoRqqSE77A4iMJgD9MS5vS
dIqHMLLE6P/Ah7TU2PSwHzp1Pn7PIPx9G90m9U//+it23H/4km2C8FicQyz4DncnZ65fP2VI8JkJ
Lt0+o700cUg1Mg3uh+nzNK2AjlGG25p3o5whlKZp6kcdmnrPvPFQrodyWHfyvildTup+qZMXzCXE
OHuFHo+08eSth/sY7100fJ74M2Wzn4jzvrrWqyTQruJAkgh0AuNTM7DGVF646Cv39AnfJnPFel4O
fnut0BvUp/LgrSKEyGaLZ4MzLMsGMTu/KlfBAiXKOaWriAGBcFXnzdSRIE2QOYxPxUOv4gfzIWNF
x34F/KoeBtNAIyFC7u/jvh2OTmxZj20qdHGIfQNlZQEQ9oEpCL0lo8iR3iNEmKbpQeTS+XoUhDS+
MbbwuO9X4YYqgsnfjKuc063CzrxKPAIOyE2r5bRzwFPvxacWVKLaJtGokwDn0CoXyd5GOGpCjhIG
WpIQtbpgqbEojVjFpkD55Ss+jpTJR9g8uLZClApzbAy9J5f3AJ72rjcnaAMjiOK9wWHq3Vrlrf5T
6Vo+Va/qUwGbVjHMXmWx+VMh61axrFS2vKgQxYBwrFoaKhq6Gm1QaGx+DN/D/1Te4KvHEeYY9LgO
ZS5xVo1Or3Jd9qnc5Z8qnv2p6E22P115xbKU8d2gWyUBR0EdqLpvbFGJXr71uFg/Gecdj/L6qzVL
aPDkvtUwNOa1KpQsiF9n7XIYQ3ZyR9llGbY2q6wfTN+wj/lsk9Md+A7izdyaHOmWlDrlLTZ91kOF
a4bjB2WPlDqXSsQ3UCFBkl4Us69XFCRjxCuvVzZXlKZbq9fRwFq4h4OZxzgQEbNpQApWo6EAoiT3
2Bm6cAN02wnjHdYCjwB0CLYC0xlyYVT3saTFKBx0vNelTwFBH7MrABmayCUKFpcnZgVIEup42mHn
HXv6NW/7zKCmp06y4Ac1mj6cZFwP6pA5wRBcu2hL8amyfeW7nBanvl3mix4RtUt3TZLShRTj0m2R
KPsqo4bOk/OF2VPmHbkMz7KI1incKF3WYujja7VejEYuYguhB9Qa/zGNmzI3AcVSqVG9UK0QyiMc
b1XuChhk98ugqCdBgLQEtZgpxSCcARGqD3E30v7AYmyf8mSxiv3Q8A4oZiJEyyFjWkK4lnOjzzLg
GESEogLDHgsBwZ9e13KLex2NgkknX2fmczan0yu3l+9lgeqCpUuV1MBArm6PkJ6ci4QShdXyVLT2
FqtGvF2oHyc1rrsmvKVYIHciO2vzZSObfDEuKemG0dngBOTthn6zE3O61Mc0E1R9FuHanbf+e1Cq
AZpy+SR2G006MxaahTPjSwePegauw31kXYulyhb6kkb4oI8zrLrh2mvCud5WYavO7gA/8gB/puAH
QmnzacVZKqo37NdVCoBQlsAMtLtkl0Il6tHJLffdneJ1oEczh70fqsm3d723oPpLjmtyW9pU4kRI
F7sMCuNbqTU7ixwN46F3Pf3RdKl9Mfo6ieFNuLSfVCRtMBGXdT7tq24U18vU2M5dr1zxKJTBv6E9
jvCRErM/7UZL5hkuFcvSR0y/vXWTGX6IM7FdL848b3sKCfu0v51mRwUcmtYxRqor3ljd89C9ZAUL
n+0A88FO8pQEJSEwTB9VH8bWLRH6ori3ArB0xwmz33BWE+c3TAUzfoLC8KZdrSW/uq6XBaC2heec
4b6//vHrW9c8n3hf0N+vHRf/1t3QunxUKdzwJQqLkVunKZMiu6s6n1u+G9gVJPwznqmWqtKbVjgw
/rBQpeAE8NtMw1kaabNSM4Z22iMvmTZdryu6gP8N+Y2/iAcIFqN1n6wq+RyTVF1j+iAXgtQtuC7m
xHvXFdUrRLby+d5Wk9lfJmxzc6ZXVZE/BKwWh74yQTCFSfvmmBZIToowM+tU4xsbSKHXwN9x4Laa
De5sw+TkY8XG1s5fixLHLyNvCjJaJr7Fi2bK01/I2JA/ZuIBPEMyWiK3nAMCe5dZc9rvG0+GL4YZ
S4xgTdJufIfHHGHi9D6rVX8ZSupNtq7VWQmPPddhOUqt8LnLgULtSqviNlmM2A6PTlWL9rvkgTyf
0FC5N/T6xN7lrsEnOo3LuGOR0e2lwAXkwYwoFaxn0vhUM3Zt/qULx/DRmNmmn5ZQdeKb6ili2Egw
YOMx0xYvNUmRLhTJMuM+gmhJqeEraLJYasrOz4T9yoccHO6GifaFI6fRvVg0PoKoMEW/HBoqPutz
5U3OlaHMtbOxreS4JgObNArcXqaP7ERoMsFrQEzRz/q1PBxe5CbUI5WoVTy3D2XSiuxV1Bjfwf2y
A5ufGmUbGLqIGXTMYahsORlxoz8Y4BhoOT5NAccsNMXdhLK/HLqh7SnnhAyI9d5SuX1LNdMCF9Zr
qIpsm9EENSsw24HHynW/0/CqAdcGFV7sbqECiL6Ens7ZyZ6wv5RWAJ42aLn6yUlQkDwT3KGwhEFm
+4IHQTzmKQMLbocsfOZal/1txSieB6zVhPk+kKu9axrerGDQOPmhgfhPrlUxYNSoh87ZictgvG9J
Uncs7lzRFNHZfJscHBi0Zagp9ZXfNal9a01m6R1XlZm/a5qIBhad0ZDy6cHWb5jgDOpcljHvv6OL
eN+nQYEhfzJNeL8O9/3seQDHnTj1f0YX/zvz+HczD4fM5i8b+O27ev8/PzWY63eJh+Cm+57U1a/m
AbSI9Uf+pqPQmM5WnlYWhvecSdnt/1Gzjo7iEsoM6E0mbce/9XcdxfuNEQjMPoLjPP4+kX2/TztW
kBb5SM5ajE99jAThfzLtQE77y5HSdYj4AzpgWbJJG/5VCCj6YSk0TOPbvIClEka2MBFJuqTwbkKM
wc6d47Vdf6hLqtj28c+tlV63WUU81hpPGb6AZuMXuGzZeqD23YMrNsrpxQ1GozAjDzjlpmHLRSih
MvUtpmrzmzRBgxIPY4MUcHxJqQaxmLMgN9apVQSMv0M6fNhq5CeZVzRcJRXuyLBvgw/DojZj8oLk
RO1Pu6nrBAQr2/B7l+X5gPFs2dphiZZSIEpEWIaGYdNaHZW2S9nQdUsLkfHkm8ZHMFHZJ13KIytA
CNdYdwg8L0t+NRXQev3RHb7olSjjMB5Zbc1eet/56/3W19N8Ow5LHG45CMhuZzf8xZtgWCgj7duy
2YZg8i5b5hzJmCWRwsbzkelRPfWjl+bXLj7nbY/X+CbrTJTpOZvSLCo9vE4KtzTZi3AK6X4zVTY/
+K5aq1viZn6lyrjaMMDFUwAxPXlAC4nDDd2rCNnEq3i8e3F6uehpegXgSWuV50zmkaa6cRdSmFgx
786l2PvKS+FgZXbzQkUILKCkzdnb+KM8GayY9cZwA1KfMl6Cm6DQPoU+5YrSzZcM3oo/QT7HggDN
aOuV/vymBnyit/wllslmcJSMZEuQFSzubKHMzmOslac/4Jw7uzTJios+c4a9Tmg7JWM1bIFZ+Xft
wmN3g5sr2Vqzqu8Kqp5Oc01Qy6QL6M5wQ72rKBs6xQ4aDzZh1/ummxDOPzfNtW+JhdTXDGy72CQz
ZKh9WxnNFaOUfD6b1WD6zYktvqb3OnQrahV3fBAEgaA1Vc2tU7RpfWRHKcgd2NkM4xGMuMeJR/bO
FdOqihMn6CMQHoRpkEbo2eTTuxtw7AIlQxx4kE2FeO4bU9jgYRx92srrHlBwGjKn70zmcJE9TWDY
PdJY9Smv4y688jgrfMOKMzOXKv3Ch5o/S+OKyvaEtSeY6uveCLIrmN3ppRdX+t1inSHY1uthNzfU
gh2nZGY0wpyI+hKj9Mz0Ys5LuL0hCUOxYW+pRKSXxKDtdrUeVEmW3WbTLJYoxQnK9K+LJXd2HPgA
mJs5U/Sg1wPmibgZx6uF2EGLKu/YUY1mT38ch0+AbZXRLZvcqMLk1qvMNWwpOX+fp0Vq+rVd89AV
PsV6iZ2g7wuH5TtfDZWl4WfXWGPKcQ89nUgHiVCv28oy0K9W1tcHIr5tcvr/7J3ZbuRImqVfZTD3
TNBoXIHpuXD6Kpe79pAUN4RCEUHSuBp38unnoyprprKA7uoG5rKBvAlkLJK7y/jb+c/5jm22j9Sw
gq2ElPZpLEHJz5RBcp/hQs3OtavYzu7BYhXdPqYB9G2KYKRs/LlP8Ov5VnWwaVbAAWraCsOcUXbd
kZNofrL1OhKzqmaqhMplucSFEgZbT0XyhJjc/B4N+8Xp3bWNEm/F05BZQ30cWedUpyaap61fGyCK
WpKOC86PB/Jm/DxGdgASX8WcZk5vlpts1uqwTNK/UTjOs63PbXq6ncQIuk625QLgvckOvh+1Oywo
kRGmvFc0gbF43FqE7h5ICpvDXvYkPdxAWefKLSFY+4rpyMDIkWwBwojnerHTrSlzi/c5o03nR6M9
9aHMzkBVy4d3RIehgZNHteAY29OwNRSyTiFcozs1cUzKUfYKyS5p4+bMb8C4IXAE5xv27KT6Nq6/
FKQbWsPBCTbbeB5N6q5zQHETHJOQ2jHQ4o7bxHINMQ+g+xtZ0SUFf5gSUafo7QvXy56BvYzyZ0He
8NswLq82H+EOjxDoEDwwpnV0/dF7cB0W7HEXzdvO4nbpBXhvd+XSYS4znAgX/TROjzhm7CuGbxZM
BQ0Y4jIiN9Lmtrjq4OtKvulueosnNKZNh+dLbEXK2BUOg9lxkx5whF2K9Q6zzKKldKSi4gIb+hQ/
sCyMSPgqO5+5xxd/Xuvtr0s+JQqjfyW+JP4mpf73PPWv5im2Q//haoqPRfdPAKmV2MOf+ftAZYKJ
gt3D5oK1wcof/X8DlXCxXa4QKKI0aOTWP9hHMGSyZMA94vp0L391Bv19oLL/kC4LYtBAJi3xUK7/
KwMV3OJ/HqhcE22c/xinyKr9s32kpqzTiqI5ufNqHlFhTlwLmltiOaGDbW4+elUmy32fxQl+K57C
l9gioZ7TbvCzpRK6Ir5a4FXwoU4Rl6XLfA3Weu7nQhRqVzAwgQku6vm20lmTv6YL9ZFVu5g/lYyn
YCP6jJp30xHevC0MUs2HlNPzxesowzkBJRyGm0mmzXhpaJHYJV1Gbndeu7Ky2c0uNc7YEHEcxtVs
3Jr9XHPTQGsLhSoXalfn5vvQW/gi6cs72QBWwewrX/xyHbNHcZOxvQ/Yelg73OYORD43SS90F42n
HsX4aDR414eqUDU8wHJ6GChOthixyNAFr2M5yQOt5B3ltfFKI5nnRb1OTluHsqdtseeqlAS0JRzV
Ihqcb2T1oo75ISc1ihOlodxDQDoHVJc3hJaMiIj2hneeV9lcenGfWqlzQ6YRdQ+/qnseoRp+8orM
Z0IiKmqeF7deTvgqW8M+e008ga5rBLF0lv31ofHxDO6syYLIzlHBqX30YAUKs9y7i78+GEc7QbQ/
KqY5cpphm9VD752XfiqbYMHUKIQ1cRGlzDAZaEdD7hlOoshEMJzzMcDeCn9GQPEGD+8bdDswXJJS
H6QlHtsWqSbXgTH95Gys1e9AifY3Aiepo6tVtk4hnjxitHu3S72qBT0deW9Uf9B5qotguB3ha924
1NfyQjVZlIRz3qtTagel3DV59oCsjbkyxSYfEd25Wz1eGzNNEZnzKSObV+PTMSwhbnyVVSwHTJIm
ADcOxB3vsBBPj53b8zyKjJw8DqlnOlV1B4geedwOMf8qdELlU91eQjjc5TB4T8VkNntyze1HZdX5
p9VpIQk+tq6zaaA+bDqfONMm7lTDEwYPxk2LfL2xZZzfECZXghxm/z1R9tCFCyVy9wavoLOp8F18
jxvbPAPVR4qZoHuhGZdbj3/ukrsS3X8R00NZdeKQjJmv7mwR0ValfVxImWUSYQAROm5GKrS2fuaW
a1Ohc01Xr+dm6nL71qUW5aaMFnOzKHOmiDr54GtEBTCZrfs85iLREjrvbffW9Lz2LZmy6HvSJDgh
i2U41IooHJel8qYXXv2iWrr1Ss95WD/ZdxEBQJalsty5WlwW5dHOktZd6Eva1f20Br9qy9r8XQGR
uKtYtL7FdbqcG22Pt9WQ5ccWVwr3CTc+KIX3NEpJpEcaOcYaoV/WLvvP2DacDbdS6xY07rfFMolV
KJqLjQh4wDI4t3WqqVhV7fjq6ApTlMqm8XZKpfVeOPM0bfp5oW53BGL66Fp2vxNlK38bnp8UYcer
sc8W1Z36Lv/EWReEYPFaf2twSQg22eDaT7UcKRmzvKH6tL9SqYo5fVNlDQ0yRZUeyqBt+Ttq45T7
uRUCdDA2uh+AtpludZNNcDN9paiS4JFOc0TsHyeHKXukeBwmpDupfefEhLs9mJxnwVL+uUuaLMx5
fZ5Z/z/wsa4efWu+DUb61J0sCkhwJFSS+5K+Xr8x0mAT2Ln/c3LL5D7I/fRIOU/5kyVAsM3N2eIW
UOCNIDNmm6w7Bbkx9UjExD/NcpiwOM3OE9jNutiIcbaOQS+jcOyWF99Ugv2GE7O18XR6pVuCk703
5fcqj8dNkfQGWCpBgIjUlvPOdTbYShJNj+RB0tD2mvEVIa3cOFJVFzjONEgM3vRJe9qAgiy733E2
GmHm6GVXQbgh5GvJN6ukt2YRaXA3TP5yP5d0dIo87u6tpqkh6Y7mkyeaJQtb3WTE1ODF7NpKmx9c
AZst1dvVI+msqgvnMZFhonrM5Yjmv6mhMY/lQCheWt3C7o6P1m7hyAmTbh5YjMXJSF05J78/0sTh
+YN7sTRgTn4i5d6OhfUCrrk++6OT3FRBU99rsTbMaXPglQ2S+Rckxu7JGbichsCAuHWbM+1SiWgL
ityJLAj6vk5LAyYqhJlI8U6KxwzhbCMh6l4mRfG6IXVzu5TV+JCTZyTcHlz0YDnUBc1pEp2ka8Ax
NQUMCLpJvuftYD2rNq8vXFfmJ3MU7UTfUhI82sFEnNTvplM1Ram9oRp+DAfaM+/YuGSvRVDp19gv
m/uyz6NvNVb1cz/pCYneX14ERn0iP5U6zM0w76K50xvgkC2DPN8trucOJ+KpzJeBcKTXv4BJNMm+
2m25NVKnBHaKyKrNxLzXrRfLnedH1U3JXaULiwwcE7eiAihKgz3Ur2zJ69iNb/bkUTk4JO5hnrjl
kuWIlhuRCvfT4u+nOygqU+ALSL+uMoPXeXHao2kvPOj9kgaQTRu36d5NKR3w0rp+jryhoWDVYbkI
FRs7Ntea6bbXVbNva7svwy8F7b+H4385HNsr8/TfN1hf0rL8Rcnrx1/0RgxY/Kk/x2M/+IPOY+kx
5AZS4EpC7/tTbwy8PyjNJFjkgwBwIJf9ZTzGmiUdz4YLEKzFmf/Xt2XLP2AB4rcW4M4AOnjOf2U8
ZqjhX/mLhwUpFJmRQJzFF2haXxiyf3DLSDJ7RWeX5rk0jWrNCZCW4uQT8OXSTkz1LrMlReUcpnWz
J9go5M5lO/BrmlgD0J6c0o7T0y1NRYgdUAkNy/8V95JtfxNQZeiUawUWDit+KabeC4EmOq+DbXcX
yrC6+2WkWnmfVsqhIDgxPOBK/M9wcJFuDghV2XElm589BaOa6eEhbzr5wxjtaD6brYbsYbtWdzuo
wC5fZBb13m276MUMewh1fcFgLvufaiFyAAZmCiPiVJuAPP8yt1QwZu28xQLDOerJ/n1UzpjwOB0K
45IhOSwbjUpT7zPe26c4ygso/BaUq12dR+kLDSkQ6Vn6LTxSqY08Aflvf3pNpZ9cu2e09yiHtyb1
kzFx3qVemoatqaFSwzWwDspKn+dMZveu8iJ15LfIy4zyUWxxlaRHvJodDbjk2HadMD4QQEl5mLQj
nZrWM8KlxL+rcZLhbvY5pZfE085usY32EaqXcxkCTF2i6z1x6oNAV+duCaJvmNq9p3olQTXdbPlo
KKx4tqqtnXzF17Ho8yh6fBtG1uY0E0J4oKOV16AeeN5P5Y0bVDmcA4/Xsi9Goingk0yuKfN4Jhsf
+6ER43nyUnd51GVs094UxUVzzASHVNfM48bqRgQxgtmkM2cOQTvSjGlzFNGpUlhv9cIym1IBY3kO
MAbYG3RaLz3aoJryb2nj9+VLDJgPKaInwjJRObVamdqD1Su2Q6ckdgDKg1pFvPiA3dGQVPKQ3dik
c01r7dDStX1dnGjcTWbERMfG6JQOyyNWYHftIc2xXVdkBVKHs9WG5hsmbkADet8Bt6Y0HC9/61jj
Ll8i3MCTX0Pa8Z6zyUG0tkDhNRfs0QDBR9JkabUijHTYO9nBnooIbbzcl4i+L9SHP0xSUKzHP7OP
kdY2xTC/g4clSe+l0T5CGzNz1Z7wlSW7xdXqVheGeaoJ8uyx+Fg3q4iG7CiojMGEsSnwRMG9yCn7
9qv0bCCbnEwShbxBufUSzNb3EmdwqCnf2qikM0KKsQdiQFxB4S+AaW3T8UeDa+ymSe34rF3UwgX+
/66p50NFbKK16x6WCP30maG3aWGUYayNwEB9VQlY5OSXs+g3D38i9XlVvXE19dGB3WSsxm1/3Ab9
HK99GuRj05ksl1qeuhQ7xZrj2PD8B2PeKHHPV6/Oinsut56pwzWEbeVXndczTAvJi8MP25FNIqir
mitIvHTHSmvwq86TluSfkGYXER2CpjdDZS3P3N8QHVt86PH4CBHkxOQFHsOcd7Hi1Y9RzfArvLRa
H/x5uijLIOvg9NOeCsqOavAFHlFkf3MlxgbSku1WFPmv3DZBOpSju1V50j+lRnnxtRBhQG3aRncO
h2DqX+yam5sqmM0JWwsQEJb9YBLl2BVTU4ZeMIx8tupWlLwf7gGICmgiHDFHv8k/2X1TO2KZwY3L
cXnTN5KdeiQVze6dOva+ZL/opeIhTvTDgGK4ljkiUpTXCXbFR76eZlkfeTjEVWsQ8LLsx9TS7k1V
d5RnUB6yr6c6ePd08oalBXO4Nf1OugKqnNf24bpH37BFn0NMNcFNTxsk/hw7eOjkuLIi3OCUKe8x
cpsH9ifmnmMCChIZUo/7tdu9cq7gl6XGdMDp1akrfRDAo/AoHUzeqL1Z6f4KCj55RH4PLs1kPi6N
0UE2Kt7bGLacCvo7JiSCEXQsMTPSAVu2j/AHOF3WRUxvqr2SxOcdSFAfiZ1eM5nwdKACceLmTjyy
e87LzN1bxRI9jdl4qVFCw0l06sUz1IsTUxZK+99HuwRvbmydrN6BLiX6el/kOROiNeJEaU4VIiax
IgwoStvX9Qp6GP3msyT/vgNrwXDWWc915GVrywT8iCLJh7OjR/OaCPnY41fEH/LNzaxlY+ULiBab
YoC2JuYRrO0PbShtJ8zWs7Q2/Hu/lYc2VdPjxFu3LudiJHFUjO9ZFIu3nAKTbSM9ftQMNjDc1IAo
cMXQGRELq9s7g7bOEJD9DSDiVGNBgG6Uzbl/oGp0OSU45Lpa3RAkzGiHMQGZBwaGosGAN5LlIWsz
kqGjHRTc1nv70zZ4v0gfGv51htH2QFLWwJHR6Ever8SzcYCCo5zkRz25dojVh7uo5pkw5i/CHo5l
VF2CYeHBqqjEtbgzDHN71alXfA7knohVvCkSRDtSlyGsFKyntuOl52FeWy64sdtkhKwwhutxnQhP
DhuaoxGblkScndQhmGrIedP2sXwHu1Y/SiAnLOGarqyx+nAyDYUs72NjaCmpaRI37HiuUdlZHjFR
q60Qot6ju/S3VozjMrUs2kB6MwWvZrzQP7M+nqlOrtZ+Xd+5jqZnfTPKvLwz45q7pI3iHmO9XlT/
SBOufwrabLmZBvnCZq/+QfbDoEW1KHv8bN4oWzZ1YkQjsKt5OPKctXZDF3wiA96LxEtDeKHdY+uU
92NpGKHOjAfKQfu7bEpfV5LAngaH6kYv7qvf2vnzlII2MUS3E3x7sCly/Z3j1T6OYo4+Vg1uNzpR
c5JAm3aqGpIDOWp8FX5N6In2CLArw/tKaduBgDAu8TBm3+oADQcymv8bJ2687aF4kaeV+Ufle6w6
R/BRWe+/y8xhOecX3jePLNoWZYLVopeo5zKGOzWNZnsIcPJtpJyq7WSvP0S8YWojJ5ntAVZwIAd8
eXFDJ1lBrWKT/ZixlD4GFLG8ynYA8tYn19zMHJCQPLKp5BSoCmljJ+FSN/YG2HV+bjH8HlWPhra0
ZXwRVn7sMlathoN5re8DVISCHBrHbdI/GFr6R4zy+pWV1bHq5ukZxjOGN9xsKU22WXrLJuqnzvxP
Tud8r9n9b/sm6l/Qss4uG+hDHTS0c49GuotqlwdEiumusyQsDccyQWVVyrqWUqZhZTn6FgFw2dDB
Pt+SzwqOI6U3VAvoT9wpa5Fonor7uh7EEwdkO+1QUCleczsqiQ52Gbd7OuQzHl6tUb5rL5DnmO3z
HsZZ+s0cGzmHFX1x3H7tWT4ViRQ/ytxxf9gpNXV66ehzjRKoRCJnYOh5zS1yC5sFsAED8HDj9WsL
Xm9uS2ndRVxUJD+3ZOVg7pKfK5g8QhaslOGxYxbFmJwbmur2WTHETwFFOI24MGiFRTl8QzilOGj8
WUWue9C1t2yLrp52fRRjkoFeRFTMwftJixzv2o2j7G4DGBSkVlWpDTut7yByu9BaaqL2dUT/fF6x
jwX+j+OpOib2F5qQdCXEkPwoO8umHloNN9gUdlEjrypR8iWlDelAa5Z/TpOiOisaWoiYBE/zkuzz
QTeP5Bjsgyl+9HnCwKSiaqeK6AUOEj3oUBAjFqhbmMH1tnUaLIs0+zbuTOO9zo90tqB2N+jXbDtE
WBllzT4Q4REoA8cJgiY5AJwAegAqlCXfx9Uby4C/N31e4iKoX6aqrHawlAmopcV5JE62VcIvtlxV
FB8PyrMRFWqeiXmFv89+DMbCPrix/MzL/qWqZ+fOcAG4FNxTrM6ZQX7imW3qblvbM2ym2mkuRjMN
+2YxrG/0vIAKJ6b5MnXIMMD0eNTNhr0hsGZsZLWmyBwj21iqqm7h3bwUup72VctMl1ZR+jNr2MpN
3vKwpHzKSdAhn9nFxp386MUT+a1OepturgB6hC5/M/xSPpu0LOtx3idGhgBrD3f4D5L9QiXmS4O0
v83tPt5rmx2pDR6WodtnD2GoHIAwh8s8ZsU+MB3qgf3oh9k28TaghvyA9Ds96JmcYdC6AjmcDfgk
sHkTm72W09xfLaSZotJjuLQNveK2OV9hB94Ywoe861Yy9IaBtEvgjbc+SYCK+0YuDCxgy0dcuwdP
tP0t19yZFyPDeLycIh/8wmIYhzz5bfg0Qwu3NQHAqPrIIudep2s1FybYINF+2NNJtGd9VDGvNvIg
u+FgVUSEpVJnQtA8QJV5Y2b+i+MlciPT5WPy+s+oj0FrZXx+KvmAU8yropdqWIgc0u/43QCrHfYQ
KztcLmEsvdsl8N/8uiKWHJD15OG4sWK/vkYRPg8D7+StbdcPamQ6M1plhl2/0AWPj928ZhEgOdD1
972rkV0zOJU8ElTEt8uTAIHLqJP97PvtqeET/H1ukl8SdRIiHo1FiSQvvRltnItkEgsq0Ego7HCs
FFceWcB0p0rmDHhV422tpCkfxs5CfzMmDePPzQ4qNeImRAw3k7DKuvrdGgWWoHFgdeDU+mXs/fw0
DBhimKqzU0Bb8oFVh72HwR2fR7N3903ZP1PlFG90FdyR4VT3ZWqI307a9uclSd0b6IvNkbXYikeK
5r0z2s0zKa+12cL64A6vLmChuODH5t2yxFQSt1V8K7ENh7CznAvWBhDYyzQdJADmLXS1aj949lp8
TqlMgwsxogDzMGCn3cYT+8FCx4q9eEctQI/DpZTmHS5+P6TxQe5YtkV3rujcdeX0wy96GtAt78OL
c14xhtoLumN5xAh7cpoBit44XGFIr/BvwiFFFnxnL5pute/JrSpYPpHZKhmDmoUdGn99G+Cx52cn
difGPW79e9sCw9JNFpt39PSkMvMTc+PJK0oFa7sY9hxXzo7TnLVh4ZS7PEsPKqnvuEz5j70y7ANX
YRQXOan3IaOVD5sEnVE8qtf6T24L17kNzvT30WWfKXtrRciVlHeExsD1o0KOPXszLEQ3ztNjm9ki
RK1Wm6xrzXOX6e6mreRvvfSXmczzZr1bWEt6FZzuO4TpYrU8n1nDusB2M2sn8hyL62iItZGr22ba
N86jrVgIFuSmquISu963yod2wnyNubjm4094eV8K8xCP6B15xy6zdpKZrS3AQsPvLbBt3a+lqh/c
qrvM9aw2MIm3C/osKgP3LEvCnwWSvxk7fMIRy1JXtqGZTJzKjhkdE5aUO+gZDkPLfDPykxr20DU3
ZGM5Ix3RbBkAfwye+pF6zsm39f3UVdMpxe695Qp55oj+VhNk2Nv9tOOqxScZK3nYDeBE+Wkwr4vo
rQNYbWSUhYeu3clTU4vHWRknX/W7ZXCpZNWipMEtWcpXbRvIJqRPQLPk4pmz89Ga45nviIUdpCBu
Xv4Yxg3XQezrmwXDVY8isBVROt4ka87OscsftCIEDyo2eCN956BHnRAslKw+hH3vYUfeTrWwtrI1
913rAO1rKKMIGZSNLyvZhguOei6i5Jcv9LVdrHPmux+YI/d1/tEJwJ6d/xsNnTZen9h0Kcjqt0Ww
1apkP03B7qKH3zXQHXbu2fdEU9StbYzLbc1axCKbli8+WsmiAjoTsXuxTGDRyKn1HTfIfYOXltrN
vnGnkHAdzJgeIqjBTA/+LIagOA5cygdW4PwmnuT1kIEFM2u9K1tWvNsE+M2o3XNdiHNjOgjrU8Eg
luX9HhUnvuGR5dCeJzxC6mLW/S1kz+Zgt1YebDzCPac019G9z6mGgQZAjwPRMdGJv5mYyLtnw3aL
dl/4rTHvGyMDKUy/GlIbVFt+Cgtt9eleQXPWhA94jZyIHXvcG7N523u+/aPNJi/rbiMRYEL+M1f3
/1uvP/yqVs9s+7/Wv/iT4YJzLun+919/2f7t1/GvarXa/uUXu6/m7If+VzM//mr7nD/6t+jf+jv/
s//zT/Puv1TiHfNfKPFtm/JfXad/1eK//tzftXj/D0EQGnleUhfwN8H971q8+MNduWBfzt4/w9OS
uOKfnhRp/gH8wFsz1DYwFI+M4N+/2T/DvbxO/27u8Z8ChWuGEK3d/kqpfnWJoMj/g+Lem+AHOlhI
Jz0BozCLZj7giieLbOcBcV4zTprPqR/0Zy1A9P3DguLPr+V/IMDeVylcrH/7nywX/qr386+TRhck
Iaj2DsiNr/uAf/jXkaK1kwFSP2G6gsdIOHpvWC0/l0BWgGh1CW0aGtDTxmKxCFlEz3BXB0yNt/Dp
55cFLgXDMKkYFPvMpcgyEDMovSyyqDRI7WyLJbR+X+qsWaxNq9J+OUepN4MKaWtrJwUNCoHHtpKv
ck2kEQrIrhg/h1+e8smZ6BS6FPkdGIKKcNmjNjhHG7hcB38cp/vF4+utZTIfPOB8N8TteN3oxilv
+TJB8GF0qT9kAMYSelu2LXsScHM/Kx42ic08f8yBd/TNk4iW3rjxmfAE8ynv0s8Bh6S7HwOPydoc
ojjdFX1MnIWZ13DeE5M8E7ANRv7kXHUy8yWJSF2P99rywKZ6sT/G1yUwEn9fZZRWPpKoc/cAHQsq
G9O4MDnJWzQzuBqmdE4YMfmdsSB69TbBOQEySu5uExsZtwx3XlfkuA9gPAiWltIP4TmIOM03hRuZ
nrtBYf9RAHy8G0iH01635KjT3qzrDVqV/4bLpTM4kUccLkDJD727bDt+tanMofl0lB6uHiNrS4gk
lkd8GII7gFVtxyga3pr8YS2yPRRNQYlE6+cHP9jXzQCRf8hdnnVMJNrWrIiTzOIDA6R5062EFGMO
oofBnacXHqTZm7n2q3lEvELp9FWIGd35ZZSTevTbbtpg/yR9AsJmj5c3PXV+IN+xMfPQS5KKoHtT
EjApuxvCGkdLiJzOaJU9DBMZPGhtxH4p3joYYnQZPsrTFMzPHgctxtsgaH84lYgeiyzxthM39FMW
0xxhjl1x9sy83bEjRYBd0pxpHLSpNkRyiFlVf7pxhv5JJlXdD4arP+KBRz8DCB30AbFYXDBKGDdl
4vKnZswzDw1tH4dR6+WbtPJnZdTWuwvSLQ4tO/tMySN9c4lGbu1R2nvGCbo+uVYjkE/FqZHjrwgv
xseCcrkLAI3MZJDi7gN5cYe3uzmKZLTJkY/nwU6cuzxr870cFskFLY6qYxPb2akKhHuJKk+8TzC0
r8IrR0bGEQSpyvIT6fSAG0bVPrd9Fd/J0SHWKQtJ3co8XbFzsFOLa+ehrhNx7YdavekyUe+8oyD1
pl6eKXvPj31Z1tdssfPPOu7cKIya2IPHLZd7urMGLlWAjCDnimET1b7HRAO6kCJSJHtDTunFnxv5
QNsDFaQjPxLHfGoiVgd+mq4AIXnXI4jcDo1MX6fVJEvwezQvdTak8Igz/dxn/fiUpm59I6lE2BlT
GryjpqpvzeB2586pQMUilKsbc/EWimCKpLh3THqn6mWimHEx462pAn/f6MH57QwNRB/PnV8nZVGp
FFAKkdXFqXOiS25W5TbqExM06bo+K+OThSFidvDURYFkMLb7n31JjF5mZX40sbZuSofbmgAaSnq0
BGIEG5bOGFf/qCOnP5MLTPe5PaehW9rjg6q49iaZPx8rOEUP0TzOb1RbLp+g2IYHXpDobqpqkNze
LIDwj1TEEhKnXWRSxzG31aG2FaG5oq+ylzolUcnbzk+LAY008LL6pzTYeGB9Q72YIiJ8kzutdrOm
u/cEHQsoo3Q3K9LjZK0c6/diJaxwTDcivWBykULweK6nbLgkUXFfo1NercqK36Bg5ofFCci6ydnA
hjan5gUngnkJwOpiIC+sh3ka6LwT7RzcAjHMD0E+3eW6r3M8zHxW+j4GoYXAjFNkxLSRZiK+qSuu
NLHvrvRsWV56uHY4QjlqUFvPhuuoG0vb4smdWa6F2Kgp0tHu/JmoceKuSlQdGDGx6yPlgvoHm0qW
egpW+ZQFu0hX1nfFlf2E/T0/aMIXz6JR7WNMQvhqoQXC6NcLFKs50y9tCaB9crwF5m5tfNQ4gHii
ifExT2mWYBHYerflOM4/KdtRc5jF2jmWpTPeGHExHKJWDNeha+SNRWoQT5jW30bHIRq69izM9rAc
JAbEB55s9bu7ljL4Xen9ngnmsGhZeQdBEP9E/VA7O13Q8bp6P1Z+f56n1tl6a/eDUfF1hsHaCOGL
DDaA2YJ8o5JU5GTiR5mH7mJAf09s/S3qaZioQNue/K/aCWdtoChtofdtMOhXPy5ddwdSqfgh49g/
lGt/Rb82WQx+SdH42m6RUHMBm5cig9ni+Yaa1+XXzjaDOwVO/ZKtJRm9T2pCV0Z3iTqDXZidoZXn
HjfZoexfgdi44HTXxo3WXts32rWIo45b/3ZZyzlMift0E/S4aTZYdWLslp3xnCSO+67TiqPnq+YD
mYrKDw7t2uV6QxNIZ9IJwh5VXlP2txxLA24/H88nFeH0iHhflSL9V70I/GgdkqrEzVN5/ke29pCY
qfyw+7a6GHHpPPkI4RuSVfJ27AKbY3C27ufVOBBH5WV9A290LsUBDmo4zGW6DdY6lJ6681NsVXKD
pbK6r2JLvnhrgcq0VqloXTkH46tfJaBpxWf7QyVFCoW8oiqNXUr74Dmx/Yn9jZYW0dXLlv6b4EmA
SWXh1Vr0fzXiGcQqHS+FUdv32VfzizVMlMDE1MFAw6gANshb/6srxl1rY7SJPGu7EAA6ixxNauhf
SU8Ec2PMyNDRWj7D4qsO27WQhrBne1+Tu7rP5lofVWJZx0kiPixrmc341WsTicZ7ZRawnqFF0sja
O9L77RdG/16stThRVr/R/kPjnwoepNW0iu/P7Jg7Rip1yOyipahOJTfjWrnjfrXvkJprIh7aevlM
66YA+bNW9Vh09jgVj7cZCYuPJqVrxVrtQ8wz24OrLs79V/MPizdPbeVXIxBOiP5KKl5z6W4IZDfF
3YBhpA7xf9oHnnflnvxzhkLAtcxIhXfEfezfAYyZeCqsrURrE2FoKMR0TWlRT7MkG+yMIiNsdyI7
OXksQj7Z+f34VXrU2GsBkmdWjK+gCHYZV71Ht2nAYSxyPLnmXN6hgLAczSVo95jQIbLqkqB+ZtYh
MzlWMN4wTNPNxwIcb9n4NJh5/GJmVf5iW8yANmYFO2TNpe/qrAvOS+YyrcROdDK9Gg8LqSmJz6Li
CYZcHZ3SfkApmtbGKNVh72CVJ9KeETOojtw7qZeSf5ZNZd0ssClI7d9GA31UU+c38LrZHBN2lxcE
2vkaaETgIPuKxWlarcpx2cUM/m8LCruy3ed47cDqrfRapgieOfVYReaJ7yl2fzSWPA91hJWCZjT3
TazNWrMBAGHAnbjVwOt2tVw+mmRGNjEefJDx6KmDu83Xtq5WsxmqOhq8TGnYOCXzcOKKcE5zUexy
Fb/wthD+XzvAuCX3W5kz3Bh5ejfYqby0mLHF2h0G0anfYKjOt/+HvTPbjRtZs/WrNM49C5wiSF70
TY7M1JiSLNm+ISRb5jzPfPr+qF37tJXKk4ILfdPAAXZtoKpcCpEMBiP+f61vxXOyWDFnjFE0ow+R
UppAmwWIyjKzPR1zMG+wbkHm4OUmsCyYk8uMag4xw94Fe09iqcQ4qqNWJ+3Mm3PPpjkBLScKzZoz
0aY5HW1U9IGiJ4KI1LG3gPesG6yLM7yOXLWM6fcMtG+tz0qbFHa+WyjeuKd4rl7BagxXnd+by2nO
a1NqktvwHdobcDDTsniLdDNbwAt5419nc+CbE0fjjVC5uIg0uHCCLSjLomooRKLwOH80/HgslTqC
D3qGBiAqzofvD4aBR+kibO1wB7OZYx3UEVoj5PYgcW0JXDDVjBMpe6mMTzYEw/ODH6GAOJVKXaq6
rho2KCHNORocFRldmKkId2hGqx9TVGUIn5MAx6MT350f6mNYKOcZwLx4J4B7W+JoKDgfkRyClKEK
8GBr3hFSS7PRz1/PjzOr/n5X1s3XZJiWSRSzrhKyLucb/ttJO87HERUMZETCmcZNYFfmTrYDLqos
bG7R98bOZecEdORHM30uLJ8TNfbA4EbBscHhmp5etn77lf6nK0NX4Y8qr/Nfzfta0FuJ478LRf+L
6kegdWC0n1Fy3ueE1fzH6pkkp3dizr//w78LSA7ecZMnKTiM/tu19HcBicLSXzQRSBoSmMF1Oc+q
f0P4xF+Oaeiw2gxnfrf+u6xk6ohDcfBZ0uCgplKR+pOyEnSz9xNOdfgRugpDnhcI89QbFu+3Ceeo
NaA1r1QuiDzuDtjcU1SBFeaOZIrXfEzqlcoSfWckstsiTp7WWjc67CrtYOWjfUOSKFMclVgMtbKx
3ThU6eF4EfVcKBgg5VHgr+PGv/MLwzVj2kWeWZFZZ2aPfRvf9jr9XkBCaHVgvNFPg76KSRD5fpoh
YYZDTVXcTPT7JkPdgzTJWk6Gn16bfVc/0HHni2A15mpsK4DeCscS2/hCJfiXUSDRtrz2QDJRcxfl
ci5lU96m+9amdyGpaKib7PJitIIOz06ZxnhM0ClESTZcjr20dqk/4AmNJqoJMGMpdrfGEufMJFc+
t/O6kqzoNMDYsXfDgFHAGkojmE/4ozuplbpWC/QThSjFpVrZLmbVuwLs4sJoHO0Kx9AFwZkpwSEO
3yEbl2QckBdYlra3adQiXTJh8rVNVMSixBKwID5iSQIIZeuMPc7UIOuzhGJhrKf47uUIgFoT2emg
++hlhszQMKrVA0yeZLovRVau+jF4pE6of+lTIUHIWN23TKP5HmCeWqmjkXvXRTXq6jrJA1hMSwrv
mnrRZZ4x3WeVEcftOuSMocBVGTQ4pHnSKkQzyjrCY53hXVuqAjwjaoOGU1mDoP2uNDL72vEd4lV6
mzYSX/6u7LcpjUOXD92wpRVFXQbLNt/CNGvuFKuhbj6CbQoaeuW1AY/QD8WlFYOcizS0LGslJtt0
0RBnmyyi1oyvFdRmhbJSEM750xZf7lRVmLuSUAkS9j/E3guOEl1tOcsCLdGU7S0va2T1Ldc9cVfh
dghjmAR5qEREg3AciPqD18Qpxxz0LNQ/rAl1z8YhwqWdtggaq+bOoYEzyi80IWv1XulGOAZrrEtJ
SjCQn7JYb+Z8iIHCWwxUXx2uCIZh67yBi5KhlE5U7Sm3i+HQ0xUA3BWR77nRQw10WKz4uO414XhL
pa1rZx2OnfIYxCKMMRZbKdmxMh04T6mqvYCT9FNMfokdGXPFXZYECjY7S3D+iiAJPnoii9NrJRpR
JeA1pMnZ9bLb4OHuaVThl884UGQZBGotcPMsUdgqEMS17O12vK/Aj/gLA93AU0yeHTGBpTS+l4HJ
+cRP/ZsSKfONLEOb8MOiWErQTD3OvwJftVqLNYEKwGcxRLjhiD1f1lX2SO0OV6MFSoho3hGTBpgo
rdrpUeSRQSS9nV1YCg7suiGZ2G/QyGool+DQaZnFI59o1UTCaMaFBnYHN0bd3LWdld2WduFvLQqm
gdaJGyfqfFD9xXCBDFQXFOr86dv//yC+tWU+aagQNmLy9ThjbXgOM/Y7r28/bPfzP//P3//F319C
Kf9yDKwu0tCFtHEjsMn6+0toaX+pNm5fR8AwAsPJ5+7fH0LrL+iKRKdbMDNt7L1Yhf9t+jX+UoVl
cQZTNXAIHJP+5EvIEO82XsjAoQ3yc/jmwqWVR9zRkeYLk0uZXBrQo7MW4xXGwt/uxok+ysch5n2A
ANwFEoYq8NEQXt/OcXvOhBnNoI1oc94mr0VyS//vPf8Ho8y/xW8fdD5WwyACRrGy77XyPR9eG/Ev
c8//sxn12YUc7YaRqoO46hiinQ6WehgRJkwv569i/hG/UVJNQgUclX22YyJ3toHBvr8K2Nx61lGy
c3vTLhedQkxkWOSHNC23IuBodX60Dxf0NtqbPYZdGF2996NB8xsoC1sVik+ftDcC1xdhCmYr8Ytk
9edD0UwkNgFejzBnltDvj0etZTHog8aFBbb/MEB1XMCg065UgkY+OZwdoXTf7qGmWzqBb7h/rOPz
kRZTh6YiVbkZWpnLOGliV6IwwXs3Ucpgf7PNOwAff359wN1Q2lOz053jQUXoabqSh7U7xtxFnVDb
hazwu3sK/3d+KAACH+aIDgzgDdksAQK8v5WxoRRTUSiViwQWzUniKREQCzvaYQKGb5pU5W0xasOC
XVBw1SYU38+PP8+K4zmq49MyybSYl6ajWTNCDA7UGKocpa5hjeDcpE3Tfzk/yHwRx4OAksW3xUcd
t7H+/iIHaKVj4+iV2zSltoWviY3GtwzvOtHVyZ2IFVp0rQP/r0qrzfmhT80fYFMcD+DtONq8+P8+
VR1hDhr1Stz6fTxSlREkAkRza9VSVHychh+g0wsab31+WE19Kxu8v2iazfCxONtbJv6zoztbJ0oR
+QgzXWDz1Y/ckqg5Q7XX11bPqiO8OEHFjUVGTVCkokVpN0Nt8AiIj8Ut2fVbaobVox5MBnjriXpj
1VgHXaQdUR4dVminkiFRq5W6AjvYbTRoNvehqs892bSNONNQ67MiK7qoZWct7ZzkZbugnGJDfMm1
zm1RTdLfoPFDOiDpDLiPrwgxQEpVtgRHhRWijgp7fqAm1gVCT/lNSa0MtYoYgyu1VCRheMm4nLBT
rOkUdxfNvHFcxLjTQXDG7WXrIL0MG/42KAI8Dlb5Q+qptffClDKxUnar2prSranXlxQNmy9DNpqH
3mu1rUIA+Do3qojMSDWG8quZG3DBnIYQ7lzZxCWvsa8PCxah7s6wKA6ZpOtdIqkZ1znwHTqKY61d
eez83RyZzdLP2+DgRV3/w2nS8UA3sSU4Fxov8smI8cLptScb4CuhPVW0IgVj+iJ7KYxVP2mvVTWQ
nCVqs/mllCam8SFKmkdHD+1gM8jGPMB24QfNN1iY2lVO5jHmpgbOqhyFXKWF11wmktBo3LQ+UFZ8
9kQ21BrNDdFYWPYi5TryzdcG4MOiH5vZuTd8MSf91ckcQYdT+EuzVcKvQDKinQrLlm1+wIuU9ebr
HC/q4PAtJzcqWTGipOAhCG9qHsEXm4t04PeIEN3sU0fUj+E89VH1Whep3QbEG4ISNUSlbWkgBIc+
0Sn0A+pa4YSuNr1OpGwOi5etM+3dpeONgEWHUSXVNAF8JqgjuiTTMoA+SWRcUbPtUzt2IxF195wz
2/um8PjDlYOFGacSPkZ/zBdq4sV7m7V3gaW7XXdg5m5sh9uJiVLzVmlV6CuO+dY1oOAo2kW6TJFe
lWHJITfU2PhXREuaqK8Pox+q9xG+g2HBKUjcoBmLtgFgiK3GifcFOZ/hMEsU71rvHbRtdMatFud4
1tI88cwb9Ab6Cn2ZXKLXM/djUZWXpWKRFAsjYSedQt56iqFs6xmKaGmpf9mb4tFLS7TKFjRJbOSd
6rZBKXV8a7S2WiTvwzLG1v3SDBiYnaLPG84grbLNx8D+ZUax/Yus8GZZK3V/USG9eQkob6yp7Zsa
YXO2ulbqhoZY7sz3w1NjudKmATtlzZ2suyEBX1aoLhyP0U3RP14mYJQeCGKd8HTbdKMNRWhbG1HA
FrVo/9XWve575ongAMNMdbtQT+QKtR4ZqVbYkXpPBemHFtfNvoSfdd0aQ/9cGbQms9Z3bgZtMh5A
IaNoqGvyeodSExe97o+3RocgxS8q+zYKq+wZAlh/wAU/3A6Y7a4HupaXaKzHKw7n4iIuiLTVStEt
yaOT98VoQBOfxsktaWkSwKPqDFBq8+KV6F5zqCaVavqkeuDIaN2JVWgbKFc94mpMDG7pIuCMf19W
XcTxUdau1rEIxQoUMaaGWA2EOqGyLeptk/d+uqoL2lFsKM11q5olfTc5RaRyl6C6iM8k2a4D98JL
E9DTcywPk0c27flt/QcdOOh+BKaFv53E9ER4OI0ieGPRQqQRNSQOCxv45XJlmb6zE7VD4CzBrOtC
9ZVtFcQhWWrSYE4QuY6Zz1GbtTqS0vSviF401uPGg+m9ps4DcVRXcRx0XsN9GHI2ODqRs7cZm4AX
CNkNy1gXH5LctLcBzI9lwyrwPQwdQAudZbmNDg/eUpEAIZ8WF/ocQNvnIVJXm07Ycx3n2ktjkZy1
SAhC/UVrIXkc66G/cTQVi838x/VMCowWqADHAfoPXgprjhSOhpvapv/Z2dR218xhpEjErqxMDacr
XSKGpC2AXErWJtruUUfEZCRzSjlS2ScLlf6qEwF/1KwMjughCYpv2cg65rc7MxvIETWD/LELUyLc
nDbbYoMCcTxpwL4UwoF68N1LdZiTU/P2mSJls7Mp5XPEbqHZ2l6szp93RAGgDa4dEvwCIH5CWVfY
Xq5kPHQk3s5ukVHLBxdrJzkFdqGhRMXW4qPiBDkY1RqxhURlNC22vGnCizy7GdVBTq4T0gbQkGl8
JZFxOoTmHHNNIzpcisLO2M9ItFiYOxiW8EJvP0zkRsLF7cjxLpWHIpR9T1uBR28bk3aZAwkCRGQE
P505Xjeeo3/TSooLT8sdEl/reoWfB71CyX5zy0EUc1OhxI89Hp5tlpXy3imlshYmNS4bKuPWfwvj
nj92AGrqhRLR9aP8R5ixBuk+d2pjgdd3uDWq0XzW0jJZZwUTXHpmvMcYDAlcNZs1XdXsNeIbvqNl
g3QmltMjE8m/lYHi3zRR69xDeu6W0qwxHFYot+zKkF8bzqIo+0Pdu0xANI9IYYnR1T1luG2aGI+F
onavFOGUL5jKPeKw0RKtbEX+/ZziZvB+jSq/7GAa/UY1C+2acGnlwfdiFhkjJj4l0du1IobwW9bW
9sHJu2GjqK14MtrRfOoqxXyKRDFe86WSG6SqymoMQ+pphUkgu4cvD/RgdZcHabbWK6C3SmwM1293
vRFw7PLatm/0WN2oWYYchM7uhahyDUk+ffSsnfplzkTcDIJIUiTe2TpzAMukY2OsixKT01CpJi+x
5Yz7Fq76jWdrPkAlRGDLt7k82RoQQcVELURx4mKyw+Ea4ChM/4TAUM1sOjCN1Llu1DJKd6jI5FcH
Odq28VQCK2faDtVrk8c/ldNVXKNd1ErSxP3eIZxRHQlIFpOmkfEcvlQx+iYWhXGnF152Y1XTBBJd
tD4ZkMX4qNKMFcDU+wi71FiTYE4nBuklWYixFd0YCP42rUGSuNmmBLL303AL+ZmQ9qoYbnBW8+nG
w9BQqMrJeQa0aFHSQ6qJ2w4935pvU7dzKn8ixsGsiyt86pm2zKwsfyAgE9QYCw57oMyqLwg9aG5K
f8JQ3sqOTjRp2GOvFXuaqrPGW1MoJMeZ8lCrKhpLuFbsmE2MhUlHpLrq17yajUCKjxMEe6PdlcYC
jzSRzlqWPKot0yktiPk2nFB7UX1zvDLTskaP1qsvgDn1djGEyBkUk6jxoObFpGCp71FOTQcaV9Ze
UhRf281Y7cg0AYhijF2BBMmR3UAZL2elAzY0HVS8ygH5eEnOgZS/ecBECneQSmt32TZKRFk7Nm8j
Q8twZU6l59ZaZG5D1Zh2YKgkCrpwO1/RjRVgciBJOgApH+r1sg3Te32IqzVRbRk8m0DZcraHjWAI
fO0wuXFV6Vl5b3QGPbw4VC58r7tti5GIULMMln2kvNoluRWamX1FdkIDOxq9Sy4DjYCas3IKv642
tl31QHp8fet5IZmh7EsuTE9ULdws1VqzQwz2xSQAKgXjrU6w8xIwVvrDypQfBKjfDHptbPShT+d9
W7mzAws5wRQ+9Dlc78rGE8pqhVoe9CZtJGRPHsc7J7a/KhltAGjZaOHDuvRWSEj9Ba2BZqXaDdo0
UZjrxEJCj10OM+yi1SVozSIjTd67KrLAX8YdojgZJkhTc6Nrt/Byg+9+CyQ8HrRkWoztgDwFg/h9
YUrcyImvlkA79OAiiGRxmyF/+6r4WGj5quPBVoqWRERLzhAic1glmEd3bTdOez10IBngeXcVStjD
KvdL89a0q+k28mV1X0CSXXdpa43LYahITZjQGQ3wJFALBsE2caZog2GZapyahHsfwT1+q6Z8caop
vdBwGbpTnAinWvW5j9N8YyPUjy/q7IXtPdpGjuNXGuEWRFToIodTF+Fv00Gj3nrTCFcfsOuWpLl6
09iIP/QUnPEiRooLXLziKa4GT7yY6KNmStA0ghhrokMmmnzTQjX6Jiv2V9jNAv16JFXhW5wQIgNz
OHvyRkv10NoSK6jOX0ippZgdAjugL5O1F0Fom/T06+YpawzhDk3Z7xPhdxe9MsY/GsKEAwrZPFya
j95tZxXpz7S21GUnNfO5rqNc5xUprL0W6+Zl1XAClwoH7MXYIdnCrwvMa1Qa84uRkWERewK5X4iP
6jpXxleY5vZXPbeQSDmTDTQ4mTaiTqJlhM5vwR5vQlkXALFatMrQr+RYsZJFSeRGRZcQ/2shVUz4
2u5HThWrHMICPhV75dfIkuowfUBn8XXIaLz5rPJU91UCQ5yRQ7FWPIFXM1axTKheYMwoW3ycDrAF
R6YPeZzml82U6Luq8thKrf109HxjacaF3SquQZhJ6nJcksrr2CRtsehpT2qttB8bBZ8O5057yykG
WIgSel+Ilm8u+Sgmt2wVo+dBM/IvURmXX4u2GKxtocCCX4ReCfquy4WHnyNmS2MqTXaAE9lneNYI
fI8rqXeLlhzQfae3r35v96iaSMAZ0DJcGOxsf2SFivHFm4nASnwNeT/JaTUpybaJSSfueVSXcVcA
X3PKormmEOhfR2yGZkgpDAaA4uUVRAk0ilWkAxSxfjaZGtDHo7u1aC0QZYbXTHsnr9tbsP2cO/wk
eByq2uDDZWmITVPvUBdG/kIZ7LsJ6+27OQ73U6vX5sYCJb0inlrbRuXEyl4oBlrONrknp6xvlkGA
51Uga0ZdKeuNJBlyQ59rDv4NTFehzbsNAmld6rGEIxtXrbULUoezaaT7L/AM6kXGSgjFTPE3tj9Y
Dxx1+J74TvrdSy11VfjOEzza/kLFK7Tlp4CdHMrm3gzNn1ZiVzcdRa0XHygKmTq9jQzdGKMrx5n6
bVcRG+TQuNvipkO2qcDh5k5YT1YXmA9hB64qaud2WEXvF8ZGR56TdDZCEdvGCEjKcKxHFuT4Zigm
uS9LGBtN38h1kWTec+4Qd5FUvU2ZEDwGXrkJoQqU2IVesbtFPkmbteuzu2yqfXa4mOvTtEFnPqYH
DwbnrVWiDZaRJL4k6Ixfmp9lyzzqi3VFDOPey3DiAy0JLhMRi3sT4UvmL8fJQwgXoZUEzFhvU5bb
dUdmw2pqBvXgea10kx5Yd06EwHbsjOS+YcWd/Z7F2nE6WMxJ++CDKl8Mlir3hp+P26avvgdgJN0I
lMqyZyO4ZyFVIN9CimQrZ+17M/Wva7+M2f/m2a8WfgtG26Z4Mcqo+FbbTQvs3UeN/0LidqReaEXr
QXLzohXVkp7JVusPLXwTfKP4BJ3rMKl8vIRANoaFUeWwDMuMMvLSDirnOhur5CFLkXSBF3S2QVjP
HkgnfZB6DfMJrZU6sVWpSqNCc93/sASnBnyihEgJwSGp7MbFhE51l4aOtuY44Sq6Hu15/8VXRGKP
qc/emGRS32VXmKwod/yodcDj6N89/KR8X8mYdkEfPFscQYhquhSViuU0QbyMfpdmqq39MJ2kvzBz
+EiyNCikxFl143ua20GT+hVIQ6D2U/RDPTi/ysFUHtHG1V903aqClQCnh4+jIl23JtADY63It6Qi
tWs9LLOVbHxkdhhsrs8XQk/1QAxT5QNNiRvhP62v3+uvRu3IHEp55VpllOy1tPtC2t/k+pLTrWNR
yD8/3KkmCJoSUgyQc+FAPqo0+xW6UHjXDEfGzUOpl1tOAMO69Cz1k3bLGx/sfX0XM5MjdJNtuA1Y
9riyPE1/F7UJiOt/1G9F+tFrfw4NRXqlTrQr6krqFoK1+hx484kSWN4/qN4jrkFIg9AGB/Nx98Ay
mglzQeUalm8ecJtQ0vOpk/75TeURzjVs0qP0Y4GcOZCnbqb0YN7aIZADqEc6qMlhRBafPL9T7QjS
PDkIYVWjxTg/398afzCDkTfj73f7viTjuM+/Szv/fv5yPhvjqC0XikbHLc4c0fTmaoKqYNrp4fwQ
JycH80/j4TA9AES/vw7Hiey+0pvKLfiAXfmtqu/1PKNa3vXh10Ch1VJmHd7qilprYfjqjqCmz1o7
H189Q0WlYaDNUh3OL0cNCFMUraHkTun6GrLGJm/kstfi8jJRonIXF062On/RH+8r44HIxiwoYGUf
v3sAtFR7LIzSTbOBVUqOByvQrE/Wk48vuEEPHRMj9R0ogm/aw98miINGd6qIFoTR58+W2hwOSdFd
AsoLP5mKJ0biImxYhFIT6BmPpolTY8gbibB0WdpQ9ir1hTFaD0UVPZ6/bScek4ZoGFI48rq5Y/R+
qsgijQ2nInluCmGPJc+KDb8izpZh+ZkHUv/YbISw9ttQR8sFB1XppXPIXdsR52hmpr9Ie3hoC3I+
2nXZZdOXEfHcFki5V61KkxKfWpXeNySsyrqZ9AakiEWVsOYsnVYGVbDUnOK9sKNiT7yyssOmPl15
CZtBs8yMRQtBes3mCtay3kTN3uqS4brPW8pYYyuTJWdt3FFQ8j8xe4JKP2440sqkuK/yAmiGOO76
JTO2zsla7mkdNE/o8NRrrbPvRinD53Sa+WJJQhMl8b5VRABsSGjj4DTI3axAD+HqoAMEH6S3X1KP
3VEDMy3LCbPsbSIXOF2meVyu67in6BACwcA3Z+gLvyd8tup0a69ECrlhZm66NLj6VdPYOuC8OFpx
jrcuYxMtAyE3oLtYr1eOD9vDQjNl0lJ1uFu6wuZxqtUXghWzTz5aJ+aajiwXBQffLL77R3PNSzvw
idXIfYmU+rLTHGPHUx9cPyJxY+at9e75yf2x82sYuoXDGPswmbTHnd8SPV3XFylZIHZD7FuYp+vS
r6DHGAVBgbbfXAbUXx7M0PEvzo984vWlra1KEnhteGDHr2/lIzsLWolhJhzHr53ste+orPCZoM98
PT/UiYuky8tqxIGHv4576DRH2HSObeYSS0xptNOo5FMOxgETZdWOoFPChWq6bOOi16ncnR/8xHWy
rzIkDTEkEjSb3y8fVuwDrMizzK09qNVlnz34RIfBpgb++acjmfMipYHxUS3c1EcLIgfB2kcOiy3V
tp/GMetXuo0arkoM44+nKdsNBFMIo5BhqPLomoo6z1vCRwETaS28Ukn1xYhu+l7IDafPn39+WeDS
2N+YaNXF8WcLc3GRmUnJZYnUcJVizHIaCRR2ayiun3kNPr6ApkogAx8uTdDVOv58lTSIA9mmXJli
PgSG8oS952c0GA9kM32yB5nf5ff7U4ZCnyO5NNb8Y797agToFhW6sUaRrA0KJk4uEnzJkFmmrIMD
AWbq/J08PeKb5nsWwM2h679v3hQTSwf8vNgttW4fO8VzTmSdUcXlog1ksgha/fL8gB/nPk4GYjbe
dh2MeDQjRc25o4FG6CptuycswMV9dBNK9ZNhPm5s5mHQyBigabiZ87//bc/R2eoQhvxo2D+68qBY
mbkDAqisz1/Mx1WEUQDyaKzMKvkKR5MefN1AxqYG+ZeQT5ya9jKJ2l9WJg9R2dBVs4nUHvNPVkn9
45eSUVk4LCEESObjV81Lp8ZB/xK7jhgphSUQ1JZZEU9Xg0OrbsroZOFvBTsCeDIOltBT4L/WqrVt
SEnaJTSTNj3bomkU5R32SczFRcHmYN4WYEcVF2hj5BdH76Xrw1r55Lc/+WBssmnpCNiOefxg6EsG
s/0zcSlRZetodKK9MlDsOP9gTs4ydJUWcb1wPY/f2dQs+Yz4eeJmjZUQ9Na5aqw92Fbz2a7lxAsr
HMnelnUI2OjRBBBWYmRFicdaJ6SVbrYX7AapDpvzV3NqBZJsAWzwqxLV19FkJixCHwCyxCgIarCP
Fp+pQbTNmhzKly4y/3wXzZkRmSifDNMmjuBoTbCbUHaoLmLOjt7P+d5VoTyklfd0/qpOvTzQvKWF
JJeDwfE0HmrS0aaclycJhY3LU6PO7omfVFzzTeUL+0efFNEOFUv9yafq1JqHIhaoCR/fj4ce6idq
YJgdqYK+ftNkyvMU+ZsieiRD+J7l+pPRTk14jj06k3321BzfzYRrtCQ+Ubfwi3ibSmEdej1SVudv
pnZqjnATLZ3PkYHM+WhddVp9gItZxi5BoupjSGrARkFxjCXG6BIK9Fb/BbpfTnJ7092UYxYDTLNI
zbERdk0jxmXhR8VKK712nfQ2Tdm2jT473b6Zeo6/b7bFCZs308BFd/S6VF6tij5N+doMJrXCpnzW
GicnaBXaW2jZTy0c3aVVBFQyM3iSMW6bHYzY72A2IOcVzb6AQbijiuTAHYEM6wRcx/kbeeI+0thi
C0pKJp7N4w9iYvE7EHSXu+DSfxaT1mzUAkWVB2gkH5/Pj3ViIs5ZU/O+AsUqu+73HymdKBbVtBu2
9p72U6XgAJ5bfa5HiGwEmUVrNMPNJzuMEy8dwUIYuBhN5SKPpklXJeNQ+TmXF4mvQegrS0ItEoqZ
BPMZ+lh+Kau+XNGS7dw/v1aQteAI2NloBEq/v1ZzDtmp8OK7nNWuSwlqFh7PAVkycdSx/zjaUPXP
j3jqSXJrKQPoWFdYyt6PyLvSN7VZ5q6iAikeNYArGbD6Q186qZtKDtLnxzvxzeEC2UPh2ES4+vaG
/rblSD0YsGHOrR06Hwm3WfUrtczLlYEs7p8M5ajOnOOKC/X4I1pYJp7zjCOa5uTZrUhKyH1WIy/C
VtM+Wb5OzVF8tkxPCEZzPfj9XezQxWQTlQG3TtuHNshfhSgfEsDTuLjLgw3E4Y8PRyxgmC50Qf4D
xZWjx6YNFNz1esrcSQeyqFr9XUWcTEEd4JOBTizMaItVbMRUnrFxzM/zt+dVTOA5VCgUbuKLJxAp
W3sqHz6ZEgY/42jBezfG0evmYO+KTFJOXFS92gK6R7GvRS3u9JbcIS/pSTJ/i3/sKxivEh953leY
9QQNm9aGq9RrLZKoLKTdA5ufrANNw9U2Jm5oNNV+Ms3goDv+sMzGzvvmFWq2TWsUGpxuwaJ3Pg4n
YaPWVgeYAlqFYC+ih3c34WN7VDMNeEGOf3qrdqXncIAa/JsoUdkd5mG4yGJSpYLBCrZaVY+7RKDT
6owgvepgR7t4nR/CnGB77nAMkJy66SJALeSiUILO3U/FGkCNQDEYky9lgh7uw6jdnL+9p+bmG5qM
eYIR+3j9lGVdNqNkbqIVfC6H5tkGJGkaysYACkpAUf4PXjv23Gz2KN+jjD96F6A4ZiXRpBnQsWCu
OV33erzrm+yTzevHkp9JrRSFP3sTynTO0TCAYQKjGpzMRUl6gCJHzm5v/yjjL3SiruhKL1uhk1SW
fXJkMk6PS5XWAtbCqeZoiXaKtEyLXlATyceJ8DEiSfGBKwfU7mqypnHOGacUKXiTuCtXSYZSSGnJ
j5UlcXQCqa+IemVnqK2y0UhpWXqow5hwxRbjB20sJ3oRWsdBfUAPFFsTPN1Gk9ReYDP7mndPzC5Z
wpMogXWCaVk0U+GvI36fVZMUrwi/tVvAAsTIDzNGSGj883QSy6BuorWlQD8vwYN88ihOrelyxt85
+BF4IPMt+22NCDEVplncZUD0n2HSzlRgdRtr2InPz+RTa9Fv4xxvjIhBTZPcAf1ui0RdQu0iRJlI
jfODnPogSngJ9BXotxGh9v5i1FIv8hLSsUvTyV6OwBI4jD/lcYCwth4/MZ2dHIx6JWcWB3fb8bZX
VixGWcK7ogQy5SQ6bWGfbJCBIahswk9u36mFQFL252uBZe/D5jcZR0NGSCkA2VYHvbbkUvPGJzip
r02IeSuQn9xJ7dS8sDglcYDFS2Ud92mmuki4v+zToiEJsHro5BtOVb/TqcWvckMJXLMomyXxFcYd
CCDSlX2UzT4gxCvbt+ONk5vjFwtfABptz8eZev5Jn/z1WBApI1G/dY4Xxn7waiUO2Ob0ZfFqOP5j
oHf3iUEz+R+MAwMUtTvutQ+bg7pTxqBAlONyEi2o5hDPOir9Km+rTz6kp7atFKdwr4E3dPjf+6lr
9A4ybgRYboNwPABZYvfZocrFngTRmyQvH9LE+aRQcWoC/zbk8YY1giKHUEdNXaUftn6bv5Lsh8JV
7qu8++TMYZyav5xIaZKxfeQsfLTyNr1twoCzUpYZffzeBMWvHoQ/CEPNXlK+JUGzUMIluZfZOixn
wbGizfKsCuUP6Konk6LKk1cCNWp1ZMtYWzAbBE11708O2OkM8k0Kvm8zWL39aAtWTTCUxAGmSg0E
Lp5Lm7n+S+11NO0khAyFCta2vcaTWKwbtnyh3REyOBrhuk1H/b5AecnHHpfz+dl06i44s1OXEgfz
9rgBmyRFXWeIlN2JMFXSmcmnVs0nUYgLaqZPJNr3nwx46hHP9gwcgxbF1uPbXkSaD0iL1yQkHxVx
TFsRt8Xpd2WQoeUtSL1JHv/4Evmuz25jByPOh9OlI0c7bXQjcWPHJ9S+GuVVFrBDG6O8fiIydnLR
Ib2cH/NNr3G0CUV7o3NTeUU52h7NLl+BUS/tJHVlOjnLoG8B5ARat8yIm7yAJp08FnoKadxEsvWm
Uwb5mjym7dSsSWNxtkrfI5n95Jc6UcRElUDVZ161rQ9nX38QExBq3uh68tCzGQReoEozNrVXzREd
EjS9FMinRLIm8JbYWXoyyK9NbXX+F5lJucdb9NkXjhxD45hjHpcKVaQRMm3CFN9yZNAamcXNoZFM
BwSWmbjgcVk7omTFBT4LcpYSisiaktJHDUlvuO2NXt2MxOl+DUw23gRaql/ZFmfEBDClsE3EG5Q9
Yosu93VEkcmS3a1NGf0Xe2fS3Daype3/8u1xA1NiWHwbEiRFStZAybJVG4RsWZinxJTAr+8HdN26
Fq22onvdVRG2yyUSQCLz5Mlz3iHeABi0A4k/1kXsNGgCxr0beNGlWWXWPS7P6oZlCxNlYiF8ib3e
P+S6+6Sjr/fBwfy956cDBgfdXTr054Ujym1p3nYWz59n6j6Gn3uBHGPyJTG0ePvnsX7vUqAvwRrA
RmfbOEtAaDo1TbFsS36FGHjdeAulR9XZwY/z6Mufr3V6b+ezfqn+LipRbIPnx/9Sc/J+LBIOB4MI
vRXqDrhVzbNt7MK6GoLSzY1Lo9LD206Z47VpatGd2WE3YVt5vavRa/uZSv6fntEH8g2W8JZe/z9S
Aovi9t9aDYuk9///f1+e0Q4ro64qf9Vw+Ptjf2s4UE35F2c8ir1/6xmxd/xbzci0/8U5iQLrr4LY
9mLaTtvHp5/2Uy37P/oN4l+00pciJCR11IW4uzNB7D8JZL+d00giUbumqkUuyImJfuRZuWKGI4B2
XE+BfMiLeV0mqr+TLCgHs6Gm/QAG9TYNOl3MZ06zNfogXIDsvE2DIqHs3I2hr8baVD+VdmU+TOB2
H7Okk86Kemv9FFFwfPaHVH4QJt699ALO8BboGoP69tKJlhnYCBj23ewrLu1LDfbINCJW4PYOLUNP
IeTf6tCz1m04Q676ZUrc/ly3b7TA30Tp5clJsjH8pLJGKWpRn3pzEDOtJILDk1t3eYHs9NrThg5L
D2xF6kNSLZdThed9cCA+a7T9fVGmCuc/ZKp+Q0fBuMIWpfbNO2GWJrJPnrU3C2dutuTc/mPdCe8K
eT8u3hs9u1aMt+QLpX4IIprDODR4RuzQSkvVRavJKNzMhJ9n0j98vkJIqMblgNiaESQzIo6rFiOp
OFAUvq0PCl1v86qfj8G5j+4/NTUdZNnbsfNGFF2p45h3FJOYK30OqiMHub71WmU85AkdSpXhCPrn
N7ak5P+Jv39f1Wd5uB4Lg9/fXtXRdDdVQhp3qTEYD6U2g3Rwy/hVT1VzNxmzOooTccz1Y7gfCIHu
/nz93xemSyGW9q8Dku73Yg0M5RKvdGUgIOmoIyTq+mnye3UbDY3xQf5uvE1mTs9KbYCVteR0LoCS
t88K9wIQvd4bd4Bi1BEDmzLbDtCec7xarPYFKVD7edCdZXXqSAvX7shiOXH+UghcH7zu9x6ckibR
0gBO9dusNSFo+40e6tj4NCwS2w3z6srsCn2AyAV77M/D/N4icZfM6fQv4I+zTd2oUz3RrMFEYBzs
WTnBC1vbSJRf9kiRXhYytfcIYVWXTZMwy6HpG9fF4CsA6giUj6vFoQkR5UEdUStepMNAmVxRYPI3
mNao2zhGvItvTVllwgOkSK6Ay/QHiclZ9+z0At1F80E3MFbAR+dsiaR5FPbe5Bvg4lO92c6ulBen
eaPQBHiSstDWuTcS9zACvyq80d9ECTr2a/rszUWNi3YEjZSu9g5L1VxibaK3L57U1fHPg72smbM1
5aKqgh6Szc3+hl/WUE4fKLAad2J2GZDTMBu1rJ8MPTQemlx+NLPN88m05OcIutCwMwTCkOdnsqKL
zFTPpvZuhPJxKbpCPCP0s/xipdGq1y11Ky2ndVZhEgKh0oc0xrhmnPz7BMMb8t1y6l4s6J+3qU4E
0DUWQULGdmUvc+I0RC27Bp7sSexftYNbXU50j640LbH3gOCN63nqP0JQ/Oz9/DqQbNYLtM1i5nIo
+q0UNlO+dptkiu4qPrX2cXeSQYr48E1j5VN3UQ7xMILhH9IuMIUGnj8ZMJfZ+nGELXK+wFvWE8Wd
tYlI+UYvYO0NMFaXVL7t4U9yroSpGCLpEEAc9GljxKP2udaKCLqcW1XIgkew74Fko0gQ6KbOyoBJ
02/YAvCMyVI4PTbkuTvaK/Gl1xbpFSe06hocNx4wXiX1flWbufYV457sxqim/LuetUaQkwfEK3Oa
EXxFjyR+mUQ1OQdIZ2WQdOzfB90HMQX3L61vMYZHSFbFPq0IpMP1QLjxonnkulr92Jd5OgYQYNx7
dHsRHGnSCBKRNAekfQsR0S70YQXItdOZ3rdGy6W3xnkWUMqs5s5cNX0PI91skNXDvsywMbHs43pV
D4inOD4WeONg9GvXHiJ5p41IWyKy1pVi3bQmkJUCvYT61o2KHJc4H5/NwEtH/zGKe7bdjDmCRwdL
zqlQzOJEMVInzi1/4wI05u4gdzy3vk2aUHpEG1JAAvFQswtg6svHJrfN4wAXLW3ttSHuzdgB5+6V
l7lZz85sxIZXY1zd6y5K/kgaT58cq2quNEXXb4sYRhFnqzpR3h6Dzfgak6ruu4eRa7WKUNXf6Ukq
A3i+0bU0bbmVuLhWTVU/jbo+fzVaLzmYg6eCpQz0beqqak3lHPso3wy35mxVfxV+K75SQkRDzqnj
FyaK+hH1Icy2GTXgYCHK1us4hEMuMUQICsMd1kysQrdwBiuV8vAIgYrrVd2L3UAVUyKJ6gdNeEmG
sKKHJdaBwiwkGXcIKzj64HGmyg0Kt/AWjcPJpkKVrZAODU1+N8zRxFETiiHOE6tk0iYoeF5m+HAx
UUe2uN0MxGQwNVPhQfFekp9ZqGOVZYx0qQ3VpR4BjyDaa/Zz440upmHwjvAdosbyWWm0q1ZT2LEp
UMRFwdz1iSt+RaxIJmblCoMoNlMbsUJrjT18/QTbmzfrGKB6V0laaWtdl14w+iPTC3tKXj2oxyfc
XaK73vXmbj1Pjv0cCgpjKI+Qr3bYU96iuiye4WH5j6Npti/tHC+Ctw6BxyYOuXaBETesbJySWaHe
ugCaV6+mRnBznDiqS9K68JFSgRdkE9aOWZmZD40ulh8CEnzVdQPxmXAWog+FnQDeKEbH30Sz4pkG
LChwCdT5CzxiqmzrCQZHmuzUeCRa/ISMjfS6LxtCjE/x4ipqCv/Kdyt1pJbBpp5oRNRTjCSHQzJb
sIliLSwvwsprXxaP9n7tS9t4aNueP57utsDcAKNT5HBu8aUjAelFMt02p1wky7GRuimLTAKKGXDY
mHkjg01mOJmj8TAYMwa5JuqafcJxwwIt/pAuJjpxp+oxmJbscTIZe6OYeCiWJFfK4qF9gcqujuny
p0Ei7oHmGNmnng3i2cvZRQFFtC91zm7b+FHzlGYF2a9K2ul4ShTmrEH/Gu0e59lU5PeoN/JqKdlt
lOmlLxzVoTwmVJf2VaPp13rMknaqUL9GFDqrrphGvDtzuduyath48AUEc8sd6alOEl5VDYp7RlY/
hYDL0TbOTE1uQooJz047FyFWQg6c3aaV3PnAZwagZLRJ0ZtBlGB9SnD6JVXJ5rR7+Xn4sZbUZ0r9
tAhyxHaQnNWyJl25tdPbn0YxeVcxkkPPMYIS+Y5thxusTahjCH6UkPyxAAu/5VrMxcvTEgISlart
oOSSBrHzdIEc7zx7bF9wlOcd1aFHcsd/QrNgAy5tRNPpQHBUydCN3hmTQWIARWhPkWm8hgLv7nmc
6tLCNeaYYDc0rdAs5W6HHh+XcWTH7ZbpKcrcuNajlJ0JIXu+OR2QqLDBKPef6jGiw1GggUKW5pTM
2j6ePQSi+OcKgVMmMFKxjFkHUuJRDYn7gIYOGhZdoyc75IeZI3mci+e4GBlTZGx5/lMQyHJLHaek
ZFTwI/CvUGMC7u6zwmpnuXwxdt46XVZ93hn1Uwpj+dKPeKuk+81FE1q8Vcj4XpCzkTMOIymoXybh
o4aNzK2aIudZAri5zHSsSGHRzVhC4PHtX0nZcienmYiMvtFejgkhQBjocmyg4hB87KiJ2ltfhea4
91CmCFdpYxOazCqEPoNsyWPSzcqHtDMjbDNjmIGzhNeTA5no2dyjwCSe8eA0HkzN4wyASwNbk/KM
h9GSDDLgGwPmb5j6uFkkPg4cUc1Cb4xR3Z6ekJ2IHHkBCawk/q6704F3Hhf/KhpBD5DrzYeE0I0p
DEfahx5+/0NFL8XadEuWNoN3z39mjKdtE5MHZlSd4zlleTHPPovavypNT0Ph1iwCiSzS8TRqEgVb
P0hHOPqBXG4ndniKLAnt57rvWK+Q+9GkyEqW1TxZYeBaM1r4sOk8VFUjwlGSsbjgwhEd41YKpE2Y
8vjqZqE6xkmIA8U4uM3FlIi82AioluKo5FhKfJNsmLPo7ohnG7fYZMVP+4+l0jm25r29z1C1qGCr
emN+KAaHT+d9bDb39MVokyNZxUDPy+YC9mCJfQrg3a6KDII8qUi0HMmxDMFTuGBOnAbgZyxaDu5D
ahIXlsAqI5cd5zR3wwjuyUp1tbxQbjJ9o2If3p3mp2324S6lELAbysbOPrm9xxTx9F5e2CIbDnE0
Se/vCVGguPVauwOmgQU+UBdwDvwNZl/iOQJk+nCaFRiOsygyMzSuHbtkITelcY0QLYOQtRqyDg79
d1waREkkmuZMW7uNSRFCCuT+UZHkgTTKn7inS8wKpD3y/yYSIXQLDNO4NmwegSkHuSJ2qjEw8oiV
5YYNO8wCTdhWNZOmTyuivZUYN+AVUESJZya1rhk4sEEFlhenCIi6dgYtP3QZ7A4tRLbvLmWULHdk
2SwbEA5UEV5JSCF3BIUqkkO4bTTPJ1z1y92mfccys5qJ60b1pI7FZEu87jmqId87kfiJiOfuJ2Dd
8DHsTqNZIZUB6AkpxvvBQJ/louuHMr7BFFev9ugAGddSH7gLAZx1ZufHjzfQcVKTD53oSUJwL/Mf
9bFOdmWtlud1/fHW7k33vvdUcWNa4nushbg/+ml7AcJKX7mSyD5mUfoaWS2yKmYT0qPgSL0eMJ1l
crE9plgkgDVL8KnuKHn6ZCiT84gxAuOcgC9dVWKcFWJ5qYV2jTcNcKERG0McsMBdoU4/WXZroKdQ
iWLPyV5dlEYNBRGNvxLvLKt69VVOvuCYAHpskkwsqVuz8zZKtZ1+aJbgf6ChQSESUDg5VW9XnGDy
Mt9rlUkVhiobtnV5OGr3UQo9Zi2Lml8b32CQLIF6DBXAEScK6Jxo+RGXmoEch46hOmIoqY5Z1JHh
qQYQSjOyZpaDcgYp/3K0FpK7jw8ATqSS2wtnl2KTiWtKYIcjdwrsg+8LY+L2LMAO/ajIMdld/Nrf
pMsebmhp+Bh6ITPodDCM9KisD3me1oS8jphWOfg8XFJPgyscV/4VDCR7P9a+cU07yX9EMKp9MefJ
Cxwrw7+M6YSLhmOyf0rAhxd9ERGtZicxHwauvD7FTdzHCI4g7azN1JSsiXzJN+vQ964K6SVFENaU
r0Zl14htIPZQdcQ92bCEQKWQpIZadtAqsXWiJTLj+84OxNkuhpoSJz/swdHbS1idrDjMT7E6zRr/
SvuZYTTUSDR25iJDwnOPX73u7jmwqQ4OGqIjXt/LXYUAPMZcpulxVunEs44N6IPnGZTsBFYoa+o8
DImbamwbmC9zkigcNhZnmJyHmIo1xqauta+FYj3M0RIOTikzfe1XJ0LDkypZoW+xenO9jTN15pYr
xw+x7NVnFTvzVYwn2Oe6j7KgZYUQnTnt4HmIvJO7cp1CNzGEqLVbqTkVCvqzX3obS1rqwoyE9r2v
LfGS+v38A8G74bXKVUu6PeYYRjiTCfd/cbEmKdvlFFe+2tyuDPowzJHRasq02TSVag4CZ7brxMWa
Lkqd5EtRd9E9vcBBreHkYKvUCn0HehR7GKsOP8PWy75XzcQ3iVJPWjLl0o9u51LjxJrr0WiskXvH
KVH6g/N0qs78X4fngw4PgOIFYfLfd3i2OQnJy/Ov7Z2/P/N3e8fT/8VX6FSnAbSaAsLGP+0dz/0X
vR1H0Peg/I+cMBWqf5ueGvR4cEahH0DBxaQy9k+Ph54QICcYOdSe3QVDJ/4nPZ63vQ94kPQ7bFBg
gg3HoRJ23nYZlT5jdt5fmGYfdWSmiz8chkj+ld0v5p+uAIyXOX1SBlgGecEvY/VO6+NtCW6hnNmA
qEA3An2hhH+u3NygueUPs0Kns6fY5E6Fg3eWmQeTS9P6f3EpFKLhhFNl/I35gVjOYBiF6Ha2QYaZ
m8a4stq43sCNa/4XT8VQgveg/w8b6Kw9MCPdV0+23bGZKJJZa24Qy+3QX8ON/mfn9b+VDX/bifg5
gBbPdOLW0Vc8q84rTJdQbGIAkVD0kZk170q6/K8Kc6eoRKHTpdqCcF+ILZJuVx9U45fy938qjf++
+MJFZxYbHNbftgY6FSNpW3fdDjIWVU6QOnid2s0HVfjf5whqybQzPQgmkBbOYf1t5FktIN5+J2kc
SuZm2XYrgWbssElrkOIfPNTbjtLyUMIEa6ebtFCZJueNfNEMphUbXb+LJofsJZM/SFZevagqVkZe
XDphWn/Q//t9GMHnmCAHUGhYNoKzAj0SNiltrKrfpboQmMP5OS/LrzZ/nv9v6+s/n4s2IwcGCLN0
ApZh/gXuyTmXzb/JeowQkYaxNO0q0tobaiXmWunF/xDvdBrFX692NjWA9nOkFHm/A15loB5LeWgo
ulWNjcaq8v1uhe3Stz8/4Fm35ucTLhgz6KwAi+khv33CKc4cbxxZdnBa7Rv47vljpPfh3kGD+QLn
1Szom6M7TB5Zot2+ODgZHsjDL/pIVjsEv4cNRiPjSo5u/V0pS9tTXPNX6L829zNkabrT6CNmKBv/
+b5PHgVvlxHKADb2BQAA4E6fzzivjRyz6lhGyYj/ysrWRmRmMRwYNti36kjSGc269jjIWIzexsyV
/Rcuq5xgqOVeu91srbG69W9oGEYfrAXxztREJt0AWGtRfLPOG2Ac2J1sFnm3U128MUNA7yCD1Lrx
HBh61Aw+q8RCAHF0/Dyocqxg4IzKqxZifxYUCijxANAa7HO6gpalgxCqwyAsOemUaPZeRr0pr01s
M/cg6augGfBZHV1Ksk0n/cd+TLTHbvDCtW+hcittzd2CtUpWgyW9DRKOhy6T7WrUck5soUBYOQfy
ZWefeywQrzObNsVkzdlWWn0SjFp3U/kuCr8JVjvUrhCMBAd3pceT/kXD02+XlpwzQzG9ZpN17LwO
DxtMuS8QW+hu+OZy++e3/nuY8ZixFlSQBRL4G7xU4YfQi3F56W18rWU9SFtP3xuJekCWqt70fWF8
EGbevaIgWAv6Xku8ebs8kFoaPH/OOjSJw73RImloRN/9Esk7q8T2z3e+/vkJf4/boJaJNiBIsCyA
8v32em3kD3jn9d0unXIKRVjp7qNqpJKG4sMHG+7v0xR0KTDApb0C++ucRBr1YkhHBNB2vjeIy0pr
jH01ksX/+YHevQpob9IUTleM4dsHKvRQKzqEwXAXlTouUq6vXfRN5N3++TJnHfcljvE0kKw8skVs
Ds+RMMhnLiLmfrtTOBUEFcf+raMoszstUgB22LqkFEx8aIjRQXpfpBntIEMnH4Uli8d5G5ZApkA9
QYJPwL05h1bgo2rPEBjana3wGYVZlm/DMe229tghIGHZs703SuVvpF79yKvRPUJtGHeR0IdPCLJZ
B5FV4QdvwHz3nmAv0pC30BA6zzgiW9PgIVvtroz6cq9LsfF1jBpnFBKvwxbFt9jt6yek4qiQ4Vh/
09fJtHYS2IdoDFaBW+Y/ckMN15gRBPM8/tWnmonVfVffT2WfrOouERciisdDOeXXmt59lFy8/wA+
QkyAF2hyWwva4pddGFdXv5i8kUGNp2MkMRjrRzv6TAuVTb/BYBUnY31duE7HjiWLwxTPzx415lY6
/h7/QlRaPDlg1VT5d9XsVg+ePf9ANLk8UOn0t2MdTcGYQcG10i7fyqT5SBHrXErqNDs5sPzzBGer
AAU4briaqLhRDjssx+JDJ1QZoIwddIkkyPfOtEL/bm9V07BuazhTf14g1ruzALi8TnsIkvP5cqe0
ZI+T6NtFbBTL2z73xDfSqlvXBvid+/pLlQ/qC9TJ+HuLsGs/RGtEPuMgs2jgD1G7NfW2CiSo/9WY
GOjFUjmi78gFd0qk6dpOI+PHVMI3lKF771rZRuhphSal/6X2QJ8Zg9CvkLVfsOXVszvo987EhSKb
tm890uP8YBv+PXXzHE6DNHNhxeq/ccEE2iQZxfN2h2bdlzLc0bvPA21GxbGa0d778+i+E7YxAOVg
uJBLyRXPThRtnmG/StDZ1VH5iiwghUBjSFe2ojP15yst33QWYLgSkFnftuGcnSf2TRj1tRsKZpKM
HjLDir6k+dL5pEIKZXvK8nylO5p3CB3as3++9Dt7oYO9Ffx8a9EiOUc24oGHvxt9sl3vTk9h590q
tznqdviau903jrzOBxvUOWJ3WTXATTCfNBDHEc55TPfR60K0gynLMbw89hZ5zxRawVTGw9oa5h96
iGhrkqsgmmqSGxsx96GNJIiKj/gz704mcKPsLEiIgL94G4GSvkP7Hj+S3UgbPdBr11kBQkA2Oqmi
tYjT1z+P9DubprOo9C1aYgINrOV2fgl4DjXIxYeFlzxJuCY1fhlz78UfnBHfHV9QYZBdl+EFRfT2
MuhbogVkw0PijIxA96DiYChTH1MVT9uPLfrO0WD3gTbRqRspIqPPa+QbNWiXM+T7D9br74dy7wSp
5FAOouA3CZ9x6sUct/BcraHT8cdwo20rURQfJqxfCkNb14jS72IXLEmV9foHy+qcwHWaa4vmxIKQ
A/5zPtdQzgxNC5A3PRE7/la7ErzFKKPupoXcUqxGp4JvXPV8AW5pS79ycJpcBHpaZ+aqABQANxfb
8k9DDFdkZXYdsB8RfQiifCfQoJWCHS9LnzznnFMea14CT89pdmjGym0PxWBjtzStyeWTD4bknUtB
47Kxs4D9Ccj3LKYlND3rRrrNrpvD4tVGOO9uLhcDCM0BzPbnCf/utRaNN2zp4HqfR7W6rOeu9mw8
1cxE3sHldLbVRB07lYvl7T+FxneKZ+8EMbJdyiKkiJBfzs+N5hxGUJm4UmIhoQtqpr7HJNLEtaPF
4lEV+NlU8fRB5Hz38Thfg9FGHvs36CteNmXnx6LZ4YFJi0/QNkjSwgykbn4kTuWLdzZ6Mg0d4U1w
i1CGz3INL7MR3poNpogtgS4609TJdRLb4xzA1S3ztUOLKHDIyfE/t4ZR23Jy7NUGvplV3BWeYHEl
FjXGfYjyxKOJ5nYcyDLzerrDuZOsurCJn6tRaJ8ypBfbLcr/9FLbEsTequSRrLXrIJwc+IMYje1o
6dZ0KTRkzpNJuvic2BKCaZTFxoPTmzMgNVsJc5sahXI2lo/N1Fd/NJLih5NSLInAtelOfKliSSdZ
JpmMP7d4X0FAL6muofFrFPZGQ+D5UMxKYfMDAKO9hqXbe5/srp/CO6c18nJxT9fGbUHbE6Oh3vaz
MoDIa0d43JfCDXphVem2F01+P2gg4A6y1JBTkBntqymSpkRbJHksWki7K0UXLd270RjVa6+v6L9N
GdjBTYHumLxKB46TAJKwDcp3bTv6mNcPYkJ3foAWdAnHLtSpO9BnC+pCLMlVApH42YXoNGEV3CkM
1u1K3tci0dyl34Ou8Bi6w32Z2LJDVb3x3aNeFbi90gCN+qVdr7aNp/wEWFQEXNCuo3mm0QpVq5Rs
UZs8XMp/qAr7ELZb4X1O4wbD+ryo6Mfa8WCs0roWWBH1d9R5t0jw119C8IRfc83Tj13p4AZRgFrX
phQZssa/6fNpWzbtVsVueQxdiqh2DFR3pi9t2tkYYHxebKN+OFhQAtZm3T6nGfL/ojfDABkZawus
B7SONm6Gcmq5B+nunHbUNz7WQDvbn6sVGTONYHo1l61dq28uAvVYHuFzUbrD89w44mKw1Lwa1LRC
sOQR2aINAN3mVviF3Bh6mdxmFl3XXk+MS6/I40/WyPvgtAAMC/yHmi2xE5pxlyQLCmFSIcIydoYv
WNaTVLQ4bLFLBC3qj3f0+fZNh0E0YqIYMs7ZTUZ1SY22PGRKmcGsIyWpOgRa0zgcoLJnBe3POEh4
s7ehZx8LLQY1MuI1Ns9yXiOM3wehOZm7mdT1GEZ5/RdAPP2qjF0vmLrGCZTeyVcHWfm1hrFtgDVA
vgMnKvYSP4KVi2kzvPrE3LcTfTqKFAfTUNtE1MY2E9PXQu+br6BcLlxhg7udvgoVlptR9ynU9eHX
wtEiyQosvP3Qu+V20PBvmIX2kPleeGhDKwmcqPI2emprvAfEROzUn4OYc8Mxkdpwi/yjd2x7xb5o
tVcd4vOrfKH0T1r5o23G+sKD0n2RtEVxURbe8Gq3SG8vTXAqXNkALGZCdqgpQTeuyDQXJkSV+N0D
PslA/00mz5cCJUoVuPQqMzZTgkQa9eNTzdhfI4+YUB4JESPIjL3eR9NGq/BDAAHoXfKHaqNYEFi0
mWJqr7xpjMb2CZMwt21WkxnaYxbMrSmfNIOWe4o5zkozueedq5nVd+XOWX1hZfQzg8KTLljEynAX
+LHTgWBzPRmt8mkQ2oHyrN5SpG2SCykZqVWXlZjmYXNCnzVVtyeUWYhYQLIfU0cCY0maa2M0vW2V
DOOMDRrFOBTK9W+OHpJPUt+tN7R888uaTfZ713qRAwYkqtbpKBLrio4+NM0hC199ivv9miyg4PAd
DnpAh1t9ps9UvOL45gCuKFrjr1K5MuCIhhVxCXAl8dF6bKH17zoylgdvstOnoeV7Ji3HtLEzm8PC
OlknCmU807baL1ThaIOkbTxvu6FnJsSW33yNkab+3tQYf2dKa76CMUkuUhl2+d5SXbZNJr39Iui3
cj6sRrwbQlF0QT+Dv8MVTBPrTLfRl3Mc5FNJuPZ9I7LApYS84VTqy23GuQkxnrpa1I6TaHhswjGa
N55IAA8hs4rRUYX9l78uaA3usRGBdzkSRw5YPcT3eoHbNvapvbltGU7tsUSDC1RxnfnxZWTO3KqT
DY8DYKPxUxSG0U3iNR7y7fX8qerAqmE7wLda9PFtPXHuh84UQDQmtzkAvY1v0rGt/6J0Z4JPqgTK
zyzVDaqy83bG9AOZFIXwLi6h0Q3cZQwbaxGLGxZRw6Li7VKEbw5ZgVOeG8f1N7lgne1ZAspMGO8k
zabdjC/MzosZVE3a06XG1Lyrhay/ieWEuS6duR4C8IPJjpFNLgTOgIQ9WCyGtJtDbaT+1Ty09bdu
quXXAUeazezi2VgZqKqv5j5mWBsMGw7Rot7f++Aj/LEVN/bcQL0YKj+6UQnAFPLdopheZhwacaCs
zdHCwcUaEVG4QnrVrIHXLiR04OGYbJRxWhKh+hBwbAUSqzYmcZOIKvxcO3F07aAu8RdoiCzAEm0G
ja6hbrUCudO+iN4yN+CMmsOE8k4Qaf1wKQseHhy8+rw4nv2Fn02C+iWfrnUsrHpss2YwwIIMvITH
jbpLk+9lFoIn6XyKOMHJvQv8Fj8QopC8iqIx74J0rqt+NbPOKWOVLdKnFK09FxgqoutiHYZTvjdk
t8xyYOmA6VNT3CdFPDwCmOnd9Vhxk7nQs6PXyRrcXuzca/7cYEdSjvENIGhcNVu7lF/RXlK3HrD/
R71W2RHUoH1jSkCZIjXCY2MPXCjTpq3vusA/SDLiG7tl1Lw0nm4xnJte9Rm0maZs9Dgo2odHs4Ay
Azi/RHF35BurOTuSsqvPyGy0L/M42NphlpTENzjWT69uTZlvjdhOWK2ot7SoXDkafiKOhuMKkXyG
u4KHRHi0Y45cKzRu8ZoqhsHB8AWM3+2sNZLQ69jMNGJWfJNnaYV1O7p1t0i4UsRF3Z13rbdejL+i
VXnl2m+718rTODMNepGum2JsXrUqNR7tCLjPMLbGD2dIe+Dcpmowts/n18pMa9gCJgyatUxF/wNs
JDoE4eAy9+uaYXHYydudPmYGkjKkvBj95doRaziimesMP1TtNXddiD1F35j1dTfA6FJp2NwZnRfd
hLjC77Bp8IKk9aw9cQx42eSxvkst6r40SVLqd1LzWmI8zi9iX00Vg+dZ7ifOxOEWHwpJEEMyjbpp
BxEcMKn3F/jh7joscHof8kWr1EF+rmHbvLKkneFb4kbJLeZq9RY92vYzSEkAWXP82kUVf9XWdR2E
Q219E34ktnYN0rAGUx2YlirXYrCcncF4reho2kHWSdYhPOzpaBRS3Z7ARiW+PI9mHtnrXKvuO9/+
BKI8oRepJ5xlJFi+3k+vgdId8M8bDmmBAyhSg86NPgKAi10AwI4FlF5B0fqE/Gl9U04ivHdCs9r7
KsFkDOL7vDJKmo0NBCBUfLrDME15kLA2PwGXkVdl5JaHKC6nFak+KaBP+48S6jPOV0jSu6A+s2qw
XobcPjSJbhDSPH4BiLspHaNeq86+VNhNfyHf1lcTfmbf/HHpM1XdNqayvG/CyqVbFpOQDmk1ffHU
GB31Mh63OMdeOFXeBP6oJRCskHLzxvmZ+l/xBGBpBoFUcbQyNTsi0HPCWbvTZMcIdWftPtN0azWE
mn6TFQjPtH1P48vo64AMFaCfl+k70LjtfY8rLqHOj459y0V6Ebq3vY6lCIXpCaoIaC88/JxHp+1Q
3UrcR5XqxY5yaUweSCq3KuBPrqpkjD8lHoWbyjD32PoZ32I9HLeDp+m7zjTmwEt6rGkHFiPGpN1q
zCgVRtPkXJJcYIZnix0OLtWW5UQArlJOp5HT+Ds/9/3XIevNL6q2jWu/8GdQC4X9UMcqXSty2C0u
l8gUhG3+aAjXvcPKpd2KoVXQVMkLQc7JaIO8Wf0DEFRurmsQfNdNyjRIyjxKMDksa8JaPcUru0hb
NGswGaaBgKB5Z4Jxd0jo7Sh9TieVHSIkirqsybHStLWrakrV3YyGUJdoxZaluE2sOSVRE4KEzO2v
C1vgjJRVpBn2sMWlDQ/OGkDm0dPlHAD29y5b0N4YscWbWCDvnllS3BS1gBaDgIJB0yKf99NUDZ8c
AUqWHE3LWHBOeagjld7kqRVXUJNm1DqkLDmWYpTAMqKHNnzywy79Wpi2sxMGBXhKa+DSm3mxiOwT
rA790GquJorZnOrcIclW+AgjRTAm+hFO3EEC/b4Ih249wJn5dGLJtuXoEvUrENo0eFbl2HZX1H2n
ldOmF4bS/K8+PVPOOc+yKhcFJzGvmxo9if9i70yWGze2NPwqHb2HA/Ow6A0AziIlUSpZpQ1CpSph
HhNAAnj6/iDbfW1dtx3eXy/KDpdIikAi85z//EOG8NX1x7HXnieorYdad75pi/0j6ur2hYq1eCET
qWbTEsoXp7AwMBuHeNM7Q3k/21QsxdxpDL2h3gXxFCUN5dC0H/VyTI+KUUszHB1VOHsnx33Rr0y7
vlVkvOpvZqe+Bb6pVR+9RFwzBsBnnzVqZS9lmVX3ekuOho0qCi3NzAaaJbL/Xghd/VaJLPlOli1K
Mh1y320LC+BoYTn/gGMEbL2Oiof7ltLkoFkrOCVWKmPRoK35UIhzWoKdLcXKFY4BJA91BO+S+pjO
NCeu9Bjnk/he5siUxCBWovA8lO85VOfEF0sfvagi077lScdJj1nSdCfaKXrRc0RPRPKkGDUQFii+
KxaqOl9fRs/ZLLlVPRTtxMYgkknWWycm+G9rehJEY5hWTUqiw+7166qoHxJ7yC1qzDp6wfGN13jN
BDvaybzcImdBZRlhkNLn4Sj4LTeZBV0qrGBpOTQxEx+apWYlTuli9fSNajVqJCKRaBxvKV5550Vx
p/pgSuDHMDG9WdmR40wJAEWar0Qz5d1kyRqxZ3clRWsR2dwlVNKYVxXTEL2M3ZgkpKWiKPaj2Crf
9WHgU+H1IxmXpuG9/HIxrVGJB7i7hpYGi1jlxQ7i6tqnn6h3hOHEgdHCl8QBaAUFUNpVDxb8sWpX
pBlwD8yClAYznzCo1UCBbnVkuNq2txbrNHd9/WBJGBXcQuatgSS/LOY5tsBDMPjKCSqHxTDuShxm
krM39uP7aION+gOiseRMRFzymM+jvquGqvq5xNngPne8NgqaxlUfUWyJGbMR9Hm35sCX3uujyu9I
Vc5vnVYRN49szYqES4kPesA94dkF+09mGL4mV3GE8YsurkLBlX5Q4/llvZtZjOJHmoms2HlDByV2
8Mo026l5qk9BgRsX9S63c9lX4H9HmQpF9VmHVHTEDWM5DA0VEIXEkoKAhTa1Oh51vAl4rcL5FZTD
msFXYX1ZBjpqx+I2GdGDtmsJWTgVQeLwdZMvWqbqm7ao1SMzaZQ15WDcl7E73cBlSp+WJZFfoLKP
v8Dq/+Gg/h0HFbkc84z/g4b/zWVk96Pu4vSPHNRfXvMvDiq6auikPITo2TGO/xcH1foJEwGgCQeO
z8pX5K9+46CC/Yp66JP/+W9D/QnCgwnXFIoSjAD9H1FO1U8DEloeBLS8GcYiJui1vYLMvxsKeWQP
uaj5ir3hxl9lnpBiShz0hiHhM942D92o7KsV93FL7ZmSRtsOzrwVQEP9ihFR1esHQ5bzQawIUqVJ
64DXe7HrZrUJnRVpwjike58jWJD1ikMhHGRgu2JTjJTVq/KBV63IlVGAqzVumm4jpZo2Q+xcCXVz
7+SShrnbl6dKppJ3IzrdkC0hK4SohfOKlgFqBe1Y3s4Cr7BmRdQyoLVuxdgsZHhh7Ugn0GY5PK6Z
ndDmQeWSFZ8zAerkitiJPv7ZNgE+9BXNc1Zcr18RvmzF+tQV9dNsAdiyIoGU8hsTaHAAIiQSHQbT
ihqWwIf1oGGbDvYddiu2mK4oY77ijcaKPDZFS4mwopHdikvKFaGUJigJfkXf+xW9RBYS0WiCaFLU
vOpUkCtMd+SkKLdlClCZrUjoguJjw1315YqSlsClPbApKMtttOKog9JO+8YAk5ucWrt6K97ar8gr
vJxt6cl7vKbLaw7r5Yb87460eybaOY1dce6Im5Ib3R3ZZao2fx7oGO8Z1OOsIJQ+IPmdMriJx+6h
NRSMNE0C38185kxTSgtFZ2+37DpNeunqQj5HHtslRFXvaSoN4lQJ7gC4qUG9khGGv5BoJ1r4AveO
lOxzJGqAgenEtPaG23x10owTCml88VTl+GOhOPF2KqqJi1l9nPjaKlCJ1aa7ASxywyY1NC6epw8a
/Sb4gdCb6tgJjBb8pVarY6ssVKmtWzmtnxa5VHytLtOLCrJ3mhl4bHXpZC+OTn1BOCoRssyMoqdM
5wh3jajcTGVaP2gEpV8MQtxP5noCUO5mL00TcbShGebISpFNbMuMDK8eoPFutsb0MvR5XJF3ZE4b
kaJbXmSJ6KVfZXIW9M+wa10Uy6pB4jow17cO1dBBMYwhC2JBShiESH4mQYfLBVQCgGkkNB4UhUew
Ikh+PW8JZ2IeQpWI7Tud0JIna4jw77LEyJdv53i+OsUqAi5rpH3wx+uTqC07D4yZ+9C4BW+oQSBu
N0WXVpuZtNTww48i4fnbpTaDNSiQdLwRilnbxxgIJzetSi9zC1CQtsu40waj+WFN9JPRUDfkX/Kb
ZbBz3e04rJKfgsCh+3jBg4RjzrIDI0rce/RnQGNKX74Xa6FWWdXwKDKTUG17dWFO1y/+0agyw+2/
OFPJDxZRph+skU0khKY7b1RPQBeUZvbysdIQ9/NpJHUS9qnN9CvphPoXY8n6VjZIlXyKMzBOAJYn
yjX9Z1mtc4y+NJ37zkLkU69SQY2aLuw6uhLMBBwTYy9uKj4D1VEpV06EHhHHW8iy/947SXqp1Nq+
xXVxPrWRpl8jNXOvslXKTcKKzH2im6MXTwcnk0SKAy9FE280unyiMyMBKuJEecDdadwtNlVvG9ON
1UWPLny9W0j46oc0nhGqijzCBBtPWLwaM67cjHPHDT56ZuTjukcgqh3z9oNksO0UE6t+4Q9mQF9d
IL9Ab4lDE9lyERVeAu18h5vU49hSq49W/VKlIFqljUWFe9b7gb4+vktGNfeLHgFu1r1b0jt5Bh1J
T0Vc6c51EgbdQ7Lr7eUp7oQdWurk3tgA/IDH1gbtoK83cx24elVfe86xwddXXrWWavaV6ucLeder
fog9PNfcOLSdxgg08lOCtJwvKUpQOWUhwUVHon6jO1RN062GrnLr1jHTGqIDkp1d55nveqO5mZsc
UIW58n4ciybo3bxNQqXTvleYVo+t/oNIPaxhkrQ5ZcsgNpVeagdotm+dhguHa91zTBYkRw8GdWkc
fVVi/Vko7hueICV1nyi3xUhAeTlXEIFLYw5pnGkj9U4fg8a264cBOxWSlLPlezlalGvM31bewbbp
p4cqG5qj5+QAAX0SWNbCDU5tbTu1A+JeOedoOrQv9kzRTtF6yKe5PKh4GRAN0Oah6g7NZkLD6qve
QDu6NFulrr+26sDEsKrVmzlXnWPHwmd6YeOugUO3qpUtZg2E62jzuzE31yZ1nR+pDgZmylZ9cQDt
Qi3PH3sIja/zrBgbnnVMwo3WDdShYgAB0H00vcjEqGNZ2A9Id9jH2WJQvJJyFSygS1700JbiezL3
0WYVGV4YppIVa8SMYoKq19WZQPlu2CyjXt3Umn3Bzj2/Z1nh32JH2p2xzOZG6kNVU+sq2R5zgyY0
hTLiiKk3P4Sl55ul1A8YH5AW3DSvQ1HrIfajqIS18VmNMEJUa057j14CIujwhjTja5sYOwxvoy9k
xsOtN/LRt8A3MTZnstyZ1pcI9jOq1miis6riZ5TmIkCvHvbQFW6kS0NMkeB+N0lxvTr0WF9y/Bio
IRxvnWraM3kSkQSR1CN3gsmSfcmcgaZZmOUPETnZD/Cy4uh1pbPaRESMZxUgCduU21zw2pgcDLwW
1YsTZfU9ZvjQjJKWymp14pBN514aUpVfKnUuXiQBBxe7RytiUWH5HWl4IRJxCPwYSYIeJxWBvoiP
15iKKYtvRkYl2lGg5Z0QQC/2RffagQTjtlR5JOKn3p6UW1vDQiVH89lyE2uVNPIYT9I8G27gWpms
mIq84Lq1GlKjF8kxOA31pXY152iuntwRztybiGT2Jw+u5hV8Kc02i2grNMJepVz62LUOVAr5TlPr
dpNORRQU0qpXF9LpvSp1/VbDnuaL7FK5bxKn/dlue8ay7IUhbSG9rSNJRzMbNIfOcshLqjBQZOWo
1mxg5C23+xqeWtB0PcHe0Rwx99Jcfq0CGoRZfMNzxfVFF8nbHGuwcxdV3Rari27X6tC7BpmTqNt0
54mpPATWXazH9MHu8jXrSP0Ns4oQEwz1OkSbOTnaiSi2pan2Qd3l5g4TvvOUJvOuW43UEGIbW6sQ
492SU+PlYy04uUb3diaf9KHFZ4d5Za58NXrvolWN+CEdvMtb1I9br7Hj7VBEja8YLaLTLk3DoSMC
GUK1vs4wrpyg9W3loF5vvGHG8E5aT0Yz7SZczUNhLA8zTmyXKdUxr3XdbAdDcmfTYgaF1m3qsY5/
tNO8M3qOvLGti82IMn0z4c9/JINOBEMmooNsoxvCFa5mZFmhE7nZYV7s6RRlsFcZbZBqr22Ada9e
zu6qnZxBsdNV55MUWrPLS5nF99hhtyGPsJDxaixkEgjvKUrMkRC3Kt2up8YzQIEkDeQwUf+SXEyp
kgdZXObWZhbZGE5uowPz4ROXYds1DkMdlnYK+0nEYzK/JQTojaZvG6Q17DkNf6aXvldUb9yWlbdC
PoN8iJxl2WjzIi5xZtXbbLTMM8DCc7tgJbw09jX1aiXIlr6/kiqth4Vn4cDkNNY3MdVzkOnV8k0T
Wn+WpaNsU2380cUzwzhLH8/uOBqh4wLUmRPdD6075gyy0G8AXNprTKmy0SMg11lxXpC6RZiSDNmr
7El0Tpm1GZz30bFUUhtLElUN8lZUwTimiFjBFzgqmwI9h4ljles9eko/odw1T4tBoQ0s8N3R5eib
bdldbC0Pitp8SwpdgMmn3nGOF5tkK20t+hH9999UwMLvTm5lN1JWgjpemHuE4wz3M+9BRVSDuxK1
jMKsvM8PyxIR4IVT4Iy5YKfcN9hK/lx0anEWSflGAxqXm1pv1zz6fsVoqqgO0yp5a8uSU19py+/O
aK97VtT326FKx22nqd1Xyhd7ozN5uPaRh+OBoV2NNLNujWyJBTY/hXFUTa8NnXnhSRsq+WQPcji1
jVHdLMWII1I798VtXrWOBWPFSL5BCFGxHCItZ1tqCUeBSiTqB72lpg4oPPe7G6tsHGNsaVdmDe7P
PVzur4tRVt+WhCEs8LxhYthSEXYTDKqsHqt1nG+tg/1oHfHjojltXG05pOv4v1mJAPVKCUhXcgBe
T1qIqQmMAatKUoZKGYEPuluzhGKKkuyDXVCtRANAu5V00P/KQaB6XikJ0y8EBWMlK4ASje/JSmBw
VioDZivNfoLdkK80B7ESHkDVb0ikL+mzIEOgfB7v4pUgYaxUiXwlTSwrfcJaiRTdSqnIVnIFv9gX
Gj88MbyEQKYMCgYGwrAxPqCM/6A+f4f6wGKFm/v/oz6nH1U/vOXzH6THv7zoN9hH+4meXMOgEtEP
PpX/An28n5CWIDzSV2IdEDCs3N9AH+8nfONwlVRVg6QoyHf/AoHsn0ysEMFVkSnCQ+dV/8Bc9rPs
DeEvijekLp6B8hiZ4SciMra3SefCYTwSUEqNukaG3Etg2q0hK2RRyGuOo/otw6L+0LSmSdxG7Xoc
UmO/75xy3BktxEC1T9nhfncZ/4RXCS0b/Ol3zHR+Nb4cnoAqmiIUmZ9lyZOwZiuH0X1wADHqW8/L
1Vt3YdPwM5zvcA4baJA0UzE3acewPiaLTGlGgYu9N0TfXdxL7gUoWtttmtkpnZ+XRokvc9LKPjAT
oX0l/6KHR1OMDXQLdjSmIEy61NsSQptQQtPuFXdP2bCEpppjk4eFCW4x0O5MJ+++JFDl9jUwfSZx
0Craq8uAbA5NRxikUeSVdwRi0dhI52wzdd5ji0E3JbEnXeMOpHv44tVMxWTXliOelYxgaeCy9ls5
lyrnMrNMKHBdk0G0rCmn3XzFzKEUJ8WxpxuDGMPQHH4Y7cc9+yQbRCy3VQcPLYqVXZcu3bGNM203
DIZ4S9Wku/WgiYZ2Jk6QtI9NbYtHp0rheeB/snPE0J+iiAnvpIxKiDqv7dBwZPalhafLhDbZKtBJ
4LUNWn1VTO+ramQCtjqhrPj7F8mzHkWN46uDJc9KXCv3y5B7U+Aks9jIdJxuYmd5gFpV3HYzEh9k
DBUzFGlr8dbNFfNbhwMh85FE+BOzalh2kNHsq+rmzXVMK4PZglveWePirEx9RlVnoyqE8SXDuB1z
PSW9XZZ2Y86RvkUhJR+JPZv8KjEqwhIbC/eHsto2Tg+nWutIPhHEyxJj6Wj7yUDm5yye4huLCudO
bZioLL0MtDa277nq7QnHo26bgaMcYyyfj2vuyRHjiwKyb6UWzw2dFDZIdfbeSuxSg3xQmodWpMvF
qPTpxhhV53vsJPbWRMK6KVu+Pb0jGv957DZ6SgA7jiWjuYVKMrV+kzfJa86yx66pm4KeleYvIpZX
1RnlxQPOP1lSkKBnpt7ObBMcr5SlArxMCdmreuOa9CU0bnUherpLE5Y07Ui0lSMtSLC0pv1s8SaB
MhWKH7nesLGgxr7qcYYlYjbPP9Ye+Iy7mhm6EyYoZmNiU9lnmf1VYPrYBRHp7Qd9tHEgREU4J8HS
OxCMxhrvNt+xhMCBqC0dPbA8JhNUtd4cFnERL0wwI+XRmsQ63VKKHnZAp508BrEWPa5aHAjpQU5X
akVygw9kBT9XcvUQTGP2OmabTIzJtgDYga/pRuZbKU1pA+fJ7nGRTXWzjrG5fEubny0ri7ZGTZa2
jr0KTxesIhNffTMad1g4GUWo96ChDtMea4c7nn2AGvHFS+TyzcEGYRNJYR48IBk/tcHJwkZT6gs7
ofxKWep2zJfp2HEXXCotJMIq90hPquTs16JzXirIq0NowXjJ/Bp14XgxygY7ZG2hdigRama+NvZJ
eYMlIsoDbx7HQ80gjQkfmwiKiMgtbplO28w7U9IjRWHKe7ujdAeNAAv050oUt7ALmh3UP3jPkppf
2XZCg13TdLR+NtvBCRP8AkgoKsonKOkt1ZHRw2OkhzxHrcRqktZL4KPVqjDWsvrRqXWlCLUhNUO1
5u9t1iiiQm1OjuNidWepJ8ldqsv8C8ZH1aNr9Rpo+lCGZSMRZjU1m68l8vwti3ul8lMT1yJanM6+
wxETG1Hw5UUGU9t6V92Qbrpx1DLmpkAv7LamWno/ugUuGwnL8mvsJkUwYlZ2BfJq9xPdGS5qCgTT
oU72qp6Nqk8+lnlKcCHfOhJUGq41Tv+RZif3ZBMROTSW6dWZp1Lbi07Ed6ZpNlSDDFuLQMdv8aWe
1ar0Tbozi4EFdXTEsPY1ab2WQh9t4rmHd4nfJlONBAGzy/g6n/vkVpl6JQdpEXwchlZYzuizd/UU
yCStY4sX1Gl8ROypy43J3rzNZoNBZq5Pm1ZaLRB9Mx0ydGTPDDU1/mDRsc/zkOfgFZBXGBz7w4qW
emqpV0Fmtc6NFsPu8Z1ZZ+ypCq09epNMowP+5MOpd23747btFTc5lWpHTvxg8CVHzdmIxH7LDFWG
0jVx2Gwn4ynV+uaQNY5z5+GvwKeWb3orPBailRu3k9LcQLJgy7GKm3h2o7dJwOOBJeDDjgDz0Eol
dFUIUk1jZheshJydWSsNL1gm/bbiQTcR87nyAjFbDXR9IHAymTGC7PgDabXyksm8ve/oEk6m1WJe
CFel+orCYXwbjUKccgZgYVfW026tS/ApzOs3VqmFOx5uJGwdzAXczYxU6kbU45gABxrdyXDbSQD2
JA5IolgcEyK7MpsheLtnbOeVsh5Oy6A+2VnfV5vWbvNvZo+wfDN7lTH5sRkzf8mEMi/YY/bl5LuJ
I18xCVzTwPJ0xIwK8Ap7xyR/ooTjdiWvipmNtwrs0+us2g/5FFm7LMMmdWMw5MGnXyTGWaQS+wo0
HPptlMODpcSqX+Y66rc9o/aw7lXuF7gxBB+YcNWLYbUl75mO33V8IlawzFwP0a48u63QbgTbGU+R
mGFpgK2NkKtUvfELtwe5cRw9f2UA/lUoGqAsJsdmwKiiIcEoUoj8k65i+gYTsCQAgADfUeq2vMpE
7S91ls33aE3Sh6kYVQONMzpAv4Nfi8ueuMbeykqxXOucWDUO8jWP2E2K94MVepMQ6zArxYLNKk3G
UyseHREC+Cazqf3mejSeMNYU74guVK4FpqV3mxLbtw0W7b2J0UO3HNzMdmpMWQf7BhvxxcT9thh0
f1IWZjZOlo03rYZ7HjCZQbRbBwHFCihPup/1zJmV+5FZvbkbOPQJSagXCG+sgYhs88I+ElTASUAw
YtXu85brGU4ySiKOVuhyfl0Y7gMKbzK1WkcRrC8IU+QistEm2D3t3NousnOXzDkRiJFTXrLKnZ46
4LWrZkjnpQU82dU2xF0/T3PlDaaBcnRrp612reimMlBW31w/0RaODERdwy4tG+1OT+OkPLpN6t0y
aGjevUolZBn3KPWAtnUNaAM89GFTA+tOA8Bmf7LdWa9/Taj8T1v3N22d7pAm9rt+5N+G+dek/v7j
vxhdv1Yoz+jx0n4+fP+f//71hb+2do72k6YzzGdm79FEeSod3K+hIfwVWT+myvSP/I7feUqZ+k+8
gvk/qR4YsHw0hL/O903eDjk6KiODdvGftHWGuvZtf2iecEI1VEg62CyhT/ss2mq7eOhKzyOb1kGO
nc1J/eDlep9uYpfRX6pbzxJw9VwoTUoT0TwTUaocVOlc9Hoo4PIsCQRpkO17byyrO/IZn6xIhczH
LDvb1iYRVsuAs2enMT0xgcA46UCuIL9emmJkPjJpd9kku1csBM+2LM5Q6ndQ1qOw7ywPNLa0/GIc
oKx16fugDuml5DoGQHMMTLHSRVvkImmwdIRt6nKqPfXO1oThe518hZK5gmWQb03yRrs+fRdFhtOJ
gXDDqd2LY0w7iZ8bRES003l1lpQS0cRBbqbD1tTz8zAvdzzpGEfzU5gQ+lOSvs5Nj89Du7xZfX4s
Ru2tduzndhbbusDKrysTgwQ0c592ru1LVXibmhgS+NYuxnvGcz4Wr47KuBBK61Xt8vN6BfqS2amZ
F+9Zg2+wiPtsi/t7HRolc29oDkC0cnyMDXkleMBmYmbHqx7nTUa5h3+OiVXyfIKaWR+W1T1YkShO
gAwC00qPejLgGZRPjzYeBrIxnxMD9uRUvHZt9ooi/eIklF8+3OGNyRdii36v+/nOLLhXs9HTJzWt
r5j5caHGxnA0KVc7mMzXay6UntBRRysvydNhTqZ48gXDarXdY+WAs+V6LZPylSETe+284OotgVPX
z2pMfkBplzsp1Ltelzso+ifGfOyEo3pqHOBYqp53A7ojOFx6zvPppHNz9m7t2cxl+IaQ8Z7wVMXX
urfhCXsGuKXgg6CEZGHimcsNFqRHEkSfkChEfmJNj6VqhdNcSZxiuz5ESfNajYx/C316c+vlNDIb
D7KkSy956zynk/rNbY1biJhaYMNrmfV+v1gDFtHT+Li0FizcpmehGvu45B4pqsuEsB97fxiWE962
yQaYlRLN0Ayme6wEDOmhN+ul4WM4+FTF2ptnQN8sp47ZSFwcNWd8bLvhEQ+P95LTPlBtVN9DOT0a
mMFzcvSMlXWOxMVWkkDT0jT4uO5aZV88z3wGVsR9xLQuDc4yW+qTR6ojbLEmZD7SsJ9Tp5v3CHgX
X9GmS6MrzUuGdXLgIAEgASwagetZdsUURwGjeyuYvX7ct848HtvaGg+itN3DNCrKbZ7MxWalsN5W
SjNv1aQYj2XSCiiahfFGq/tC22rfaPQfqJKnOm2JGMuTJgu9sgUuzxf5Gjl1p1Da64W9ywh2fkLy
+FROjOnCxRS41SPIwBQ+gs+Rv3QG9hT5hAo8YQgNbB82/dxtWnNKNMwhbJtJNnninKnIpWynvWBd
fVfVZr2RivlUK1ociMGyNuOA23o1d29VpWP8q6z5Z3bruw4j42bxbGg05RDq1F5MlK0ekQnLf8l0
lCx14wtyafFIZTo46drWcGru28wjgEs5uH6kcQrjoXdrqs6wm3QW3Zw7z45iXwaUXodo7N4V2Z1M
Oz/+7tD5ExBs1eX/cRdfwUEXPBGXBMDCT7r9NLPNgYq53psj1vnGQOIns8dLarVnNC/2P1MVm6Rw
gDkihEM3beKZ9wkL9Ew5VPbsVPuYRz2stPwIaJ8wgWFD/+vv9cl0Yv0kCj1IbBDk/iSIUTrOZGSk
pO31Pn/1InbDdTvONDkHhvDpOfgvdfvXn/lvcOL6mS4HOF6C3vpvrvXv6G6xUQEEiKjaz72VbKDI
PNYTD7ZimHuprORPvi/c5VMn2N3++qM/e6X88n09wEwHvoP2S1rI7z67yWO5ZLO7Zpx3Rpihtb2b
I/QxbBenrM7yvepNbxJu3TaXI7yvUfDc0ppg088gjPiMuFpOQ4zzI5y1vedB8s8G4CNXnqTN9u3a
+hqhwFqts3NFS10ywsat6InAgDK0J/MyuIUSTDXRnpZFVkSMq0+AX/bfeUB9EqZ/fNEVq0VQr6m0
AZ+WkF6kWKnrZrVPdLE1a/VO9Za7coED89dX9LMo/dcPWgPjSX9jKX0yEwC1cif+krXq4fcvsAOe
tdTc4LrO4A2/i1C4+bmnYb0vxvkOR9byPok5Q80lfm9H9uW1VEEgtwZQTCdM+CLfgyaIUvtidOMu
cdnurSYtgzhO7F076dNzbOnzrox1SBnpnJ4GtRNXaM1PU7eyhPTUPGLJVG7o+CCJVel7lFo2FuQQ
9rvJrXeTkr1H9fLkxsN26QWHd2Psk9naJ0mV4kjBEJg57yl3EE3qw3LnzK3h6zrv7bnKS2flc+BA
UPqbC/knO8xqj0E0I+afOgyOPz4Vi0MXaCoGkagY167lxMTOBgXA9glN2f/1TaPC/rybGbBNTe4W
nAnrs49dp8+pU5gkNmNXfjVFeoTe8Tcb5odnzKcd06GdNs31TyJQ19/hd09amrTYEMDb3NfeiCgn
nXTI/MvbutOni4FYtYuOuW7uPUW/yMhLNrhRHZUp+llk2TfXHsFSy7HzXYQfqIU4xBNEgD4BTGdN
i98XG+s0BFL5vjCQDeKWLn3AVnFTpPaGEeYXF1YUUKcbH7A1xlbbom7RNKMPQJaaLayhBEpoq++G
qUE/r6fvFnI1KOD5eUT8klsMj107o0DFGHWyUDdV6+RxVPtrXenJxjSWvwkhNv/kieVekF5JPKdK
2LT+xwuGlLdnFF5We62gURiJdAhS7EwRPeV8Z9QaPv7uGQIR91JamLREAnepRStv+4y1DKqxUexq
2MqItru3sUobEvVZZo0BUIRtTj7alwiNTzBE1iXx9Cy0OnaipoZp52Tzk6rLN0QFfuoAPhhUh2QB
MWpVpl2eqPAiuUwNzNIdHOEdBgjX2LIhrnasTxNBnS/sUUI8MLOwjApvh7r2yWu68fzXC/dPHhLO
jPUfEH66t0/XSMatU/SSkHbpViElzuTDXN15JiFJURP/zR3RPlvPrXsbYzkYQBZqGlzoPj2T68jF
0M2BsHFdVORfYJOFZ/mRWfbe07g/S82SRAUHdMgkAZcvKsC4ONuMqvyhjmzkJ14Dm25sN569kCNb
oGGoZvebyLUbCIi3hPOIIPGo9uGRGaHRiDcCMq5TMZ9KZz2MWWaxkb9Gcq1SpQ6DQj23A/ZiU60H
lKubsc/cLR4xl4/2cjEnI0wtftDr8qOtQKDMGjlicj6gVVj65DCh2vlogggQqkPZ5/WxGuRj2tNI
unk8MJug1bMW+dj1MSo+LD89Y3zUc+2uVdKjYVCtac4ADyGfw/U/lJL/A7WcBdkM41YzO7FZHyMx
WRdY3492vDYQqwWdazerDx3Vkhpl56nN3dBp+OlOsZ5RqfGI4T9y41nTW7c6Xw5c4KxIzziWkKGB
XVRgFuYzATNXNMvwV2tUhFUJjzM7LiVsYwgjtD99caQp3pURJwsqcxYmT4ct+3OhWS+JkNUx16zL
KMaQuc4crI3RhMR2B+GoPuELcSl681nv0r87jz9I/J/2Q2ody/Lg1LOiPhuJFeDPrQ5/ay+c+a0S
45UBzIX6govHnIRJSP760WrXvYcmx6PS+3jmq6TfzlJIpG+8rC0N5KNVtvFyL3THznDCoo9bAF63
2njTMO8LDdonEjeYh7GZblqEf29kdnnnpvPQMcaci/2CnXXF7x4sjnHRFfaYrJ+fRoNyS+2MJrDV
dAimGM/PwqWyjmkMOQ8TWG+whiiznWx47Ed20E7vr51LS0qQxxne0NW0CHcE7JuYBOdG2MqFAYgk
QIjQaZyeFp+QsjcCd5pt1/RXh+5gn6c28UP0T0U/PMLrvlureUIifj1f/4Ow/R3ChlklVkn/P3Hi
8kP+1/FHJ378gTqh//Ky3/A14ye2W9sBxKJd8IwVRvsNXyNjl/9DzULW/Adc9ht3AhQNv0zHwbiT
5gmDR0qA3wQ07k9YEjtYFtI+U6bST/0D7gRukZ8KGh4qlfqTdoJnjI7p00att12Fsg4BBM5yKTE1
nYGdTgxj8IRti3WaVCxtH2KUKMdaTZPhwCi7v08aZSx3OfQtdOodmb7YW3spySiD4UcoRGFPk11J
dIyZAr4JlREljUDstVmwTIq8xLmWGKE2R9HjpFfWs12Nr4U2Q0gtykcsuq0HdtflXsA5qBvQ8qJq
ctMHx0ZiT29C9BeMrDOGl9gBuJmrXYVdG37f9Oqzl2sZhZ+S/i93Z7bUtraE4VdJ7XtRGqzpYu+q
g22MARMCBMgVpRjHmmVrsCw9/fmWhwQZtpOKVHVSx3dgubXUWkMPf/+t3sZxGVxk6Sof4qxAPrTg
h6VhSkM63a+vIypdB4qkKLfPtSoNo0yyv0GBQn0hmUDW0AqTfwxClmq6HjTsjrZS8mFdZnafCAAZ
XKGooKbuVDSj5/0T25JEDSmRunRMaK+2RhbmHVQlUTGuA7/XN7WCH2Ykv9WBGi/w6o2IWuXHlV8v
5/04tOQnM8rribFY2X2wJvU5Faz1eV5m6XglFdxdgZb6NPZhSsi83O6XXkINvuAI0YkLempwCkFd
fZ76FllNdTGXvgCd0O+s3I/IfhWacpWCP5ZHJYyTD5SzUtAEV5LylFIxTMectYw0qhnWH61FKH2j
+I7Gd9oSY9Nduy9SmBGXwS4ebcaXiVExs+FnAnBCF8Mw52XEEbBm0zDj8kxOixjoBqGRxAKd4pGd
HWZWlQ/jelW4p2buqVdzSylwISkyCcorA1po9/w5VIL6nELyVDtzdXoKjTQocZJTn37JxESwtute
Ml6lPTLPub8qzmBEUZ8WBLiMMzDTlkyyq1efF+RgnmyLtuk+6Z8BdycelWUQwgGN1u+gJwkfUkkL
79xFWj0tQW1cWbFm3/v1yjpzOeCMwZJoEHUdxfySmKn76FcLDTxJpV9KC142Ji6tHoNcx7QV9KQ+
XEFDvcbaGemUyZ0Cu8hLKBrARqz9Rf2lJr0+sogdgeRQtW+loZWc+2kUJaeKVsMyOFd9LzizfTl3
r4MQhF/N0bA4g2NPxSjpaSveMKHmxPSH+TzIbp8ju5p4NeBwLQm8Aajs50lkRIAzV/PSGiniMExD
V3sICysYRdZaSk4Dg5w65TFeZI0CRc7u8qT3pOdhcRXp8iNpocrvV/SSdYmn11INsjqc0IKQ/oCZ
YhhnHiirPmSfC4CIAXwH0DiREi2sFOhKmNxkGGqfMkkzzsqqAuri9ZSLgo7UuKdLiMBgzzivTfi+
ofGsL9zeUiSk1VLrl6GufV4DFCP9BmvP6XNqsFDXZQEuPWBhqOAzgeE+B2dxvloPoTiHeAVDCIhN
mUkj0JfZpNBs/+MayPJlLJX6Ta7P1SH9SXMuNDNsXLpkUk5kSXbvKgT7XVCgIZtP4Em9yTNe0bQC
GUkKJRmnFa++XkBQFpMyAaelJCAUKl8z4r7Mb6DZsln0kp+ucdyTaHm3tOWFD/mN4g7hl9AgCwji
+vNar+Rh7S+pV9EW6UUNKudBMvRqpC5Nal61Cn4mDC8IXIZxVStk9jGfBqoL9lUrYl1hKesgdouw
lAcrw6guS2JNn9x1nT3aPL82xiVc++NFlJjZwKjn6QVt0dw+rScLPJbSCojdxpCAncpLKEZql3K6
vhnDLkJK1L03zLlcQ3aWBn01jfxLbGF8cxIZ2DG+Cp+dZiyyPu1f1iOXBkP9sooIyIMuwrxTqVJf
mtdJVUCORf0v5dYqfEg2JS+w3MVhTl9Qq05vUisILsyYgA+OUv1JNVbsShmhni+bnQUnF9qmdUTE
KmGFQv8AX/FmFS1g5rxb1+xRaYn1Y0gy2+pKTUiVmxUnTJoY8Wg9Z3texKHaYzmU6q2iixvl4PQH
VDozElI49aSUyxVR0VKy42uO7YqehwGFWUlSQztfxPUkhbN66/z835hLuwcR+cLhJin4qZil1e0s
K8I829sS4tubhLP8Pvm9i44L2qUjf2KAERPrwWvdMMA2g9qM+JiM0CHbWbzM/v6rZ570iE7ooNw3
3q+NARQm8Xz3tUT4FitMoF0xpsRne8NXSvo3NRx/wq0+j19z7Al+5GsVGvfgrbfSgmqd6JRcE9Hc
KsEmsvxaC5Z60rOwMyGk3yhBhkCTG/5JWuANESBtpYWeTK4bGxde/50aDrQgIMsWuwtY4u3nT9OC
BvUEDkQrLWjKSY8EAj1ithNezPjXc8G2TzQqdeDaoseL+GzV/gfNBbwm5m87JZgnqt4zoMii2lh8
DpSgKPYJHpgKuH23ZP60qSDyTriF7bSgnoi8HCXE708FSzsBVijYvaGsF5//1bYwTYo4F4cUPSjj
BphFuMa/ooMDCT8OCI0SBtKFJo/5/RkPloMstgxgKNvlsL3hLy2HX7jo+4nbd73wZXPWerPsvSP5
3y7YnzFvv9+dLxvQD3pqXCiO3u29tyeN+Psf5yWi/ZqHc+VN883u/+rL/Wmwuc/u57sHfHvrxr32
T7X/57k3S5106labL6rdMK+diPP6P6Hz1Ymc1++Yucm8+zGSv/9qjPPV+/+J4Cw4kCtakbSWSyFC
EjcF22KTbi84AJ7pZHtJ4jWCq2Kjaiu574QgZdK4yfSy3VVby07oY+i8JPtRilELQpj93++afN8X
8LEX2E/ieDbNvWmR74VthAMu2P/9+8IHs9ApnXS2lyQkgz7rQNn75fQh+fahn4RF9LWpdvIxHczC
I90jNzb+72vmCCdQS8nnaNzzXmtc0Sgv2//j94c8fnHcxgRUeqbSwRYyBqEWw3O9H+FmRW7t0rbL
Zhy/AOhq7iIk0bD7W0tOygOxVGi0F3v5dm8iW93BejlWjdhywl0lBRw1h2omw97B3Jg4XtzYPYio
d3G8TJy0eoPglXHW2r/CiZNlztQtslmeN+a0KtPJtQP53tT15k7TXsOw7mCFTzzOgiwRjS6260Ms
RRjJRFq77YKZeBlURhmdxBt7E5WcckfSkyI9FN3JwJM4P5jcKjzsuEptVXI9+5o6B9YTiVGjE9Er
p9n1WKX5RQfmk0jOnTvRInO95rGOfBEEaq+TY8m/ljuVGPxktvamjWOMzKKIBHUx8i9k8PaSNmtH
Iza0/8fvn7zXSZq7H/pQt3JSNhcnCc3ObjBwoJo8FC+wWG1V89H1mhrvMVs6EBuEWCRNr0alOL6D
TfZjOpsfusR6F6/yZhbH9LJZOQduggoBQAfj/ll1SssFdCfoJt+diETQRCvCtjNle4O3E1GI78Af
uUf7syybNUwKTQOV2n7o97N106vcRRXbquRz7rj70Yk9BSyR2sFZ/zCjWDJu+HxAMNUONsIHD7bT
g+kNB7Aoq2qri0eHcwcO/ObS3CU0WgufZfmHdwdvqCJI3lq+l02TOPMalhskHgKJ2lp2BTFlPN8L
2swTmmz/9EB+L9L0PUHxNv60T7+897NmcE1cMQ1nTvrPfwEAAP//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Profit By State</cx:v>
        </cx:txData>
      </cx:tx>
      <cx:txPr>
        <a:bodyPr spcFirstLastPara="1" vertOverflow="ellipsis" horzOverflow="overflow" wrap="square" lIns="0" tIns="0" rIns="0" bIns="0" anchor="ctr" anchorCtr="1"/>
        <a:lstStyle/>
        <a:p>
          <a:pPr algn="ctr" rtl="0">
            <a:defRPr sz="2400" b="1">
              <a:solidFill>
                <a:schemeClr val="bg1"/>
              </a:solidFill>
            </a:defRPr>
          </a:pPr>
          <a:r>
            <a:rPr lang="en-US" sz="2400" b="1" i="0" u="none" strike="noStrike" baseline="0">
              <a:solidFill>
                <a:schemeClr val="bg1"/>
              </a:solidFill>
              <a:latin typeface="Aptos Narrow" panose="02110004020202020204"/>
            </a:rPr>
            <a:t>Profit By State</a:t>
          </a:r>
        </a:p>
      </cx:txPr>
    </cx:title>
    <cx:plotArea>
      <cx:plotAreaRegion>
        <cx:series layoutId="regionMap" uniqueId="{C6A24B5E-D4EE-9445-B001-18C4D5C4F768}">
          <cx:dataId val="0"/>
          <cx:layoutPr>
            <cx:geography cultureLanguage="en-US" cultureRegion="US" attribution="Powered by Bing">
              <cx:geoCache provider="{E9337A44-BEBE-4D9F-B70C-5C5E7DAFC167}">
                <cx:binary>7Htpc9y4suVf6fDnoRsAsfHG6xcxIKtUUkmyJMuL/IWhtmRuIAEC4AL++knZ7r5ttZ+778yLmLkR
43DYquICINeTJ1P/8XH9x0f9eO9+Wns9+H98XH95UYdg//Hzz/5j/djf+5d989EZbz6Flx9N/7P5
9Kn5+Pjzg7tfmqH6mSBMf/5Y37vwuL74z/+At1WP5tx8vA+NGa6nRxdvHv2kg//Bte9e+umjmYbw
9HgFb/rlxZuhCY8PP70O9+HRv/jpcQhNiLfRPv7y4ps7X/z08/P3/WntnzRsL0wP8GyavWQoZYKm
An3+k774SZuh+no5ybKXCMuUpxnNPv+hv619ed/D8397W583df/w4B69/+nr/396/JuT/Olq403+
RSi5edr7m9efD/vzt0L/z/949gUc/9k3f9DLc1n91SXYet8MReODaz4G/MuL28f1/pk+vrnlX9UH
fkl5KqnE+Is+8J/0kaYpyYQgX/Qhv9XHX27n+3r4+tg3O4ezvX/xF2b4/6RK3t37GnwzmOE32Xzx
k29O9y/qhYqXFGNwFCm+yF18qxdM0EvGOJWIflEc6O2Lj37xk7+3p+8r54/PfnOGX168+5//lhrK
73Xzybihuf9NSv/nGkrFS8Io5xnOvus5GGcvORZEYIq/qPC3tb9o6O/t6fsa+uOzzzSU/3tq6FTr
ZjDNf2Nko+glJvQpl3zNJNm3HiSzl5hKnjLJvqgHrv/Rg/7Ojr6vnX8++Uw3p+f/lt5z8mhc9d/q
OuQlRC4iafb9pCPTl5QCQqBI/g4S/qiav7Gh72vm9wefKebk39Np9tq45uG/MaYR+ZJljGH+NWJl
z32GvKRSpJTI9LuK+Rsb+r5ifn/wmWL2/5c85r8GcL+D2+I+3O8+o+I/YLgfX/18dsDrzx79Blx/
I4DfItLpAyBnziWA4d/R9tNLvglY7xr/0Qy++R2F/OGpx3sffnmRSP5SIk4YZoRJITPEX/y0PH6+
lJGXUmIOKI8CHBScwaXBuFD/8gKwCJIpAYwIV4gA/b/4yZvp8yUwiAygfAZQhCCZwQ5/O+SV0bGC
/Tz7/NMw9VemGYL/5QUsYb/c9bRVKrOMCZYiQiFmE8zTp+sf728AW8HN+H8QjOpuYjU/ZpVxB9fj
9YrhwR22GLstD84z8IXfBfR1A3+1oCAcZRQzJDmGg/1xwQ5ObYnt2TFlRBZ4XpqTLZvWK67leKii
x5c/Xo9954CCcpBXlqVSEvTtelnLN58RQY/C1Py+zWCBtG3xrWdzc/LjpQCXP5clqBp0DSgRCUSf
Hc3VS11NHabHrl/YfSNad2Bha6zipMKXYduyt6Jr8aUr2Xrz46W/c0qwJAbWIBHOBH6mxmXs5ogS
R4+etPR0kBYTlbBBFv1cDX3+48Uw/vNBwQJxRhjHkssnH/mjDlejfS/Whh4Xw2EhYR2a1dIi3eRz
EG2lhrS19Vm/rl7m0dWzf0+x0XWx6ibJERkyiEE/Mqo/H58jMCaOJBZcQKz8dkMtrstJVyU9yoXC
cbN+bE5Q0sE//3trYQxOg8GEwXCeGVTVpkjXMdJj6hd8OdHEP4jQrzdTS+zdj4/1JMdvnZMD9yAp
YwIxiRj59lhNsC7hZqLHuaw/eeKz3UT65C+0+T3ZQRCC9AOLQZR6pkw0t1QEoulx67w5tnKurZLc
JjneuqRRPz4RfpLO8yOlANAJTymIUD7TlCxTPG8JTo8tabq+SGdYE5eJ50o7b+/k2LF7yiM4aZOt
N7EO6Wk1l+npX2zjzxbMEYWwh55clZLnBlMSTMqSd/S4ykDO0m7AiRrLTJ7bxIOFjlnf77qOOK7i
NkVcfHZeZn1zAhHEHX68m+9pALAX0C9PmgaS5ls1dzrja99ZcN65XG8ABSxqGSZzpNZlu399KQ7k
A8MCUgt5blGrlc44MabHhoF4s6wCl030CqFectDEjxf7NrdA+KYUZUhkFDKL+LP52joYPY42OSsj
ajeVJM7eDam2d9si16t5iBAdfrwi/jYEPy0pJORGSNxgzTR9yqh/jEy22yiBCjE7Q6VrTqgcEq28
8+sNX5L1pvEl6DVl23pVy5bcNhW4VL8GcxTJYJdCNnw8bCOkv88RJNDOejAA0myqrJMNFw02fyUk
9jnF/tMlGCR+AdEUDDFDacohNX6750GuLV37lJ55jfo92uptbxqe7Cvsu0kZ1Me1yrVunSlz09rI
dxhedu1covtdbDXssexLUGTJqvCwpX14WEkHppvVG/gVGROIvMi1eFYML12lcJXR+7GW643mozug
Fh5ziKenIsJzhW9JerqQdrwLszBHWdH0zLUgQBW7Nl5VjU7cjgOB9TZsddLmdVaO+IA9g1d7Ubul
6LOad7l2TZmqampSfqKHEdaQIGnu63g1jlCFKDpTUqupsfjS1wYsxFJs76IRYTtJyi3jZ4tNzdGH
qndFdHiozzpdh4eu1eOdsAOxZz1u4g2WgFoSEpJZbbarmg84ZqAysaW869Qil/LtqA3YXuj4fdcQ
sHbaEnYfceYfPLZPGXqe2X0fO/LRbiU5zKMYbxwP/QlbxJiLpqKzgvg7M7VkDDIMjhjfJukITrpK
eU7LLsnTlYJEy6Z8GylpTso09Q/OB1kkhuDbsBGQT7aU4sb7antLZuYfbEZBTz1fsrd4df6h6ytC
FE9Dttt8idNcRpe9nWyEu5IypqdZOcBb+jbi2y2A3OiE/Pglow6QqffWc52q2NeuPVR0DVpFIcCy
ac1pVP0QN3FWPwGTpBXrVTX22TlqyXrTmcjXnUZJwgs2aHw5NiNYTZcidi94B9KMbWtDPhsZh3xG
peBn9ileJrMY/Ymn86hPyEpgM0Cwdf3OBciL3NTgfwZVsdr1m8SXddJrUCXrg8xLI8elEJFCvgld
WWqFhxRseW6T7K1HJbxWhkkWa5KuVxZLyEUhiG7dRw15WYWBkTS3abVdbEJvVY6bnt3PZmT3vJ4y
ovzgMl2wiN3rKt3IYduWShSk4vTDMM/DrdyaeKHHWRejXw1WbaKx3OMGubNGm/m00hGW8Xpd82XY
zFQgX/JbrbdmUYjLoVOCtfFSQkF97GltrOq7LMsb5tN8ZQnN47DF2y5DbDeZ2tqzDsUGkBHvarUh
P1wH6+Wg2nLqHw1z4ZOkmzllREyXGWfTkMe1Ldd86iAy5ZuGwLUg60AISbTvue6c33sW+cd1E7jw
YRjOjUeu2qNUikVlk20K3JrhZDaTuczaGS/5sPn6Q5UmTAkT7EXkNT8Zh1gecQxiPJF+4Xe26cM+
Dnb7wKvFnKW0r6JaF7p9GPTY7RgjW+7xDGqUJZvzrluGD61tRSiGufZFh5w4eQKjXol19KRwrk92
I2BANQN42feShKfAVKrBoPJm6nxyOnSjPW1d7feRTfGxrMyyq5MmuY6Z6d833UxzHYeg7NB0qh19
o0Tn7kWg4B/NlhQl6et8mh3e99bAi2RySdcaQfhPS2NU59IaF1zo1IS8GzORMuW4kJV50rxdzgHp
ygNJcWTF0MyLomUJC1GdlQWdqvpUGutz6P/UxWZisiO9md7Yjo82nwe/n1gX86FGH7Xw5n2mG6Ka
DK97n5RpMWnYR1aG/hqy0taB4rf6nNNxUbZCoFFRkfbciGy4QmGyV9oHMOqEAyK7j2XAlwlpwSW8
h4phZ2wg7ZGvJQBskq5hzCHahofKIQhIZsvwbUQbmCwKc/bWiWmtdnJaGdp1Tb0OKpgRzaoXpd5y
whJzV2K6Xul1THIRtTsEn0E+lhMrG6UJNUfj9NPb8Gr9SdcECEEQjQGYWQPRdoU6yvsWIByfN3w7
WwquP9VsPNCVtuuB4c7eWQtmmxsxG686Peg7YsYK8Fw9LQqnhhjw+drb/gNra2k/RTtT5WcRyp0W
we+Gli6PvVzGKmddwt5lvMxOXZ35gzaxqtWwVs2kNG7rX/0c7lvL0h2jTVXlZYTw8V5vyZS8bjZr
0oMktbycXdvkXDfdrl6W8dAmfNtHOdg3W1b1QmWCLm9m5vobXtlPRG/vV2A7X3WBhAPEVaFzkrlp
RydLHqpQVw9b0yyvq0mA5sDj2904d1WmaCWWTc1100U1ai/OOIMeS7Eu2va55xDH827y1XII2YqO
dDTxYvQhveHb2iTK9d2EFQcttDmAnextMszrsFtx0Berc/TV1mz61YjpdNM3csydwf4jnRO9M2FL
fzUZn4+B240oVpKGKy/TJu9qV6tl2pZM9aOGcJGVrGh7Sc/iMv9a2mR5vYSqu8bThC5cU7EP3cK7
Kne6ziBXDrhRY0yry4zG5sKtLD1LsiXjqp4rf0+axR57kWa7oWHTEXOUlIoG37sTDCFvnwCYnYsV
E1KqhpZi3dd6SG95Z+1hHtLttW3q8hzFabsONTIqm6vlDvqt47RD3tPmbG3WleXSoIQrWS6yu+Qr
WuxJVk/+AFVuct6KzbxBjSNZnnRTPyiSCNQdJjCeywUy/Cc8j/5isnY+WSERHofW97qwWV16ZTCU
FzUEt5OOlrjJLSCLJK9mMV9XZF5SNbQls2CX2t11a0iVi5qdrw2BMJqimIV8tPOwFKR3U5nrwZCL
IOLGVMxGLHdSCwoBES+PhvCp3GfJuO0rW9FTSkeySzXfDn4SzY3v8fhmwtG/lTrS3bxuXb61a6M6
wamiqK6xWrdWFKldRJPjcqsfUB8gDwUU57xM5kYXFER1NW9Qpwx6Ey5npmxeESTWN8gtyQVrQlqp
Jh3TvUxSJ9RgB7YfvWBLbkiT+ZMJbPdTqev1nZVp+LiwUjwsPPBmjyyffO41ZjpvjRZOlTI1n7aw
jU3h6i1OBxHsJ1av1ZVv+xSyHLRYz9JlrY0yZhiLem3GqKhwLu8gO79K9NLuCOJlKLIKMHu1xXVV
qDaiVmyiQR67CUWVUDG/r3k0Uy6qrX2FRCmQKu2gXw2Z1kENZE2u6yQFrWkgkOiht4tep7drPa4l
/VLBfmUfvxJYXxi0jwaAVVPVXzv7v3/8z1vTw9/PLed/fvk0GPDPTxe/TRT88C4gx586U/75TU+7
+f1dsJmvu3viH7/58Ccy9Dfm7xnd+WVA4b+4+He5UCAb/1CN/ZkLBVLzp7cNtC3+0PP7wod+fvIr
HyrES6D/oD5Ln8iGFJjP3/lQCT0KRoDQBC4c0yfS9J98KHrJU4TRU28WylcugAr5yodCUxDyM/A/
AgooSjKe/Ut8qPy2GmcACrjAwLkIgTEQrc+ptCrSRQ8tpH3guKajkQODEECsP6axp4Wm4SmZTSm+
8cAZxL7SCjVrU2iElwPEWUgDZTmJvQuZe51JuCdLdfa2kUGf1FlSqbSZMkiuKxv3E+9Dl69dzU59
Ce66n9qp3HIAjwtUb5JppmjHeDFnsSuY7dfDWNKzQXbTDFGocqrqZfUGDxDOFeStMs94+z5blrfY
65IDjvHxzRZmKHcWHffNnKAi0Ha6BmCHz6C33tRqHfyyC2Wi53xLyvGGxbE5h0ewLRwS84k1yXVT
2taD97bLwUHJc7EtcVCrT9G7zbn5CIRYvC1tTPfR+fqKZJ6PKtueTq6HzgNe4g1Uzq3ec8HmQdVL
7F9XNWN7QDE2bz1cFmjExww3b0xnmKpkmC8kjXs565AnIzJFNZsZysuGhtcdoM2r0uD0ugSKZ1WG
O4r3Jk5wYi2TrcimMlNSzHRH7Ay5NI66gD13ReoDzanJ+qf8IFS5pu+mrrMH3NTngkZygqf6VSW3
ORQkIqoLMdckp2yhatDVRs9D4uYSKgsegCLbAtTd4ZAtQ3hDPdRHyjYb3iUzcZAzY9or5wcG+mDT
+SbJIbToroG6s5jgLLuuDG/LIaKzbHFvYhdpnkU0fHBLG89wbYXqo6wLwJa7CgdW6Laqbjwd0qGA
olxfyLYfL/VQ9yBq3ddC2d7wV9Xk+VWXJmWR1GK+K11JruNo2h2r+HoeN/sI+BLwPNSBfFeOTXW1
La0/WzOtoMJP8xQq6XPNuxJQFS+LaUjKa5yG95U3Q86g+jqtuSur4xKQnq9X6BmM966q/Ae0jNOn
BoqMa95bdmyrMX3dcdoWkJ6nc+b9yPMw9yCyxfbuYiLow7LS6TKxBAD1gh6Btv0glsX4vGfDeAqk
JCC7JkWvohbYF72L8k5W9XQLmM7k7VzqHR9LPeVbP039AdGJtfuSm0FDCl6WD3W1GVTgCOzCzieA
81XXOqw20PKOAV+7awY/o+vZbDrvUI3O7VNhkK84ltezJVcLw3fQOLhDblIOAbZxAvX2kPHGAiIS
9ehOZg8WgyrC37FS3lalfURkKqNqhbY7B2MkB6bnWb6qNbVqyGSTtzUnhwpizg28oVIi9fWlH5uj
5NlyuuKhBzTCaQ1FX+UXcgGAfKtOZLm6Kp+AO+ubxE43LkQBW/L7NpnKq3kajHJjB9XcnM6Fn/m6
n1B2Emlan3bdNo/XZCOyP0wl7jOA97E9QlXfdrvGQwZVKzLswrO03InU1Kd1X+LdaMOiuEiSAlsu
31HXR6bCdhyQSA4V1EEnndSVKjlJ9qyMs8pQXPYDbRtVrbp7D/gwFn07LkfZiD0dQq9sGfGkpKcd
lGMtu65N3+0s72bFl7rP5dzRvB378azt0q0w02RPZuqhnYD76mKZ2QISaLftdtSInbIg3cWKQvJ2
qYp60scJdVXRa2+1aiojd0AZ9PvWHnlc35Ny5YVxnpyuW7ntGNx11AyZC6zTsVGMJqtToxkJKtjE
UnHa8VlCpHLjdZq59FYyWeecW1nUDNdLHu0WT8qkNCLPdNfdbW02KbqK5cgobhUEiA+6ky1A46le
FROZ2z+1UQC6zZdAU8RPU73NcFWIfc0qqpVo7HSylgDiSz5CmVpnnar5gAtD0HRa9lHnxpTuvNHT
B0gsfL8EPR+GbVzAS0uTbCrYZeF53zfhI7Q7Ur0TVPhz2pfZfq7w60pweUiTHh0bJGzuBtmeaJH0
qt7cwVuJFMzVyN0gTMzxkMwH4gZ0iqLAeZl19Slf6LqDehkdeVgQ1O1O7r1F5HyCwvm4DqLZrUTf
lHyLufCVOFksVJIKCNhPUxMnAxSUpKq3EHsXIA6KLCXj6ZjhflNt1Y0FWtMrh02emJXEnIGLXtS2
ai4btMq809CJiFuXFYw0+CyGsdwv03hc+37coW31D8y4Na8A8u1are15SAHhbhOtT92W/Sqz0J9W
zD2MWTXtpm75te8p1BXA3+2mCdINdlDfO18dpkWnRV9CkYjLm+CH9DLtyaDkNLPrhTb93iX+sort
DTBuyfVSt1cryPWsXBkBb9SXlei3/cq7DFIjFFAIKEXP92zzrqBdVg2KzVPIHV3jG9rFCNUYyPVm
nJqKn21tiNNF9KgyOwKZ0ynSrCnQYih9qnPpYiLa8UFuaFeXmd1e9w3KkveLJ2ssGiHkVgDtRHI0
d4PY1NphrelOBIzjwbLmNROOt8U2bwBlfKfp5dxhB2bFcKpI27YGqnzXP0aDV6bQtI2viCFJXdjW
be9SO63veoPWMxFafJzGwZ+MMVmADIQmIAcqtJvPEO8WCP16ABnMdTjEHm073EPElF3C72Mr2wLw
XHs2o2xKFbBc/Y3cpuasR70v0pTthMiWfSSyehjJlJz4sLArH+W4X+SI96kL7QD8JYTXbkxBQF0E
JrBGVfWWxtIWou2DchbYJJUBlX5o3EbnAm1sUouZ8KIgu22LMtSmR2envt4F4iz2isQpkwoyF9oz
D7lNyQitAWBWpkZtwDafQUExVMUm/TydojpOR113yWkyjhyAX4mmTqGUZq8wS3jIoQQfm33Hxmxn
ZLa5ok4nXnTViO48cBy4WFvUXsvajTdt1i5eZTw2ucEZO/FNue4d9JcPG67XWY3dOiOFohPApLkY
3mlocBelz/B538qeAUezxvdb2tA99+wkDeU0qmYLU1RygKp17Joy9yadD1WTLLNKGl/t0jXpL2nk
TwxSIkad95zIU9pQ9K4s6zavLCrrvJpS2e1tpMMM5hJQ3rgQ3kPw3qB34vnRZPhXKoBaj4KhXoFG
y1FpoDdXlbmu3i1haqNyEyN5CHyzOeV1/2oYvcQ5sJ/TLrD6wrLF7rOlD+fLJNgpBwIIaDToXF17
7aZu54GGPqEDd7sMlHYmJz/OhR5ofFhLWX/IAHO/IZGLY0nrgedNnMW5B1qVF2UFDY6LHrE0J1G8
D33q38USaHNeMbrXCXDFBGixU0fi5nLftvwutXReci+tOzSpgDigSXah2xgfSVJWeRgbfA/xtDlr
lgTv4kj5+3nuPBA5Dgi1fTI2tSwCAtKlCr0D+hTonAkboKP4MigTRbfraJOdZGs/7dg6z8dNzMtl
BBboxgOZqdphWfOWdUSZztb3cVzWURFjKBDSJgDzhq3bjWQOeW+AEkjLMO4SoG/3ZEbigUAFfA7N
ye1Sjpt9bRdoX+cQz9tPJmB/mw1Iv68w0hXQ4W12BuRZedYIjc6QLce9AHs9orHi1+kWlhxYZnNK
NgQLbCxRWFC7i4PAgP0RB/63nIDRC3UHobkf9gu37KTVyXC6IsDiNtPLLRCH6T5Bbhfs2L5qKuCe
2rafL1uYeD5CkJgLcEBwFjETACwQ+dLONXmdjHbX9S3fRYp7kwOJPCrTe/B1R9ujbQCj6B7BkEgW
9Me642w7CF0vu2ac+Kc5mOWB92stc6uz9WImZE33i6Nm/7mo/f/1/3fHc7+MAH6u4qFxCaMBv09l
/Kn+/27p/+Wh30p/9pJQDl/BEC9M4kgMRfzXUSgYP+QCYAnNoBEK06FPrMDXUSj49QVoi38euYa2
LgwkwYDcb6U/fwlvSyWU/kISArTCv1L6C5x+M5wAm4LlUxi24k/tWBgoeTYKIWduDDgHPkjoculF
QbcrdzCIlW9DHM+bJd2tQ/khDlCZqwmqkTdoslVOETQpGxj9uUwNbyAEzumeiRKXUDMweVXHyh4d
H/StGeJQKhj4OB3LcFtCsx+mY6bxHqUWHKBwwK288S4Z3pLAoeXVL9ATm0niHlg5AGNQV9k5jSu7
H9AIHD4029h9ajncRGAe923gJnnsVqD6utT062MGU+6iPWs8XS6BUtu53ueyWtsjgH8rT/hcDrdL
SqvQqiqZ6OUUCMYFqU1ym1Bmg9rqYd5ZCblCjK5Tvm9GWgio2S+xW3UBkV4C1NWSQId2liAWQ8gB
r0t13lo8QeOKj7VCJDW7Ui4L2+MRUVX67lfab8OxWqDtyuRGC+Zo9961ftgxXNIigUG5XJfp8paQ
Nt70gFKqU+qn5sTY3l6V2YYE4OWanqJ1Tu6C100x+XV9UyPo0HRNq6kaoe4RbyEiQsAUfE2gneo2
6DNCRw2N+/Lz2IPYaCCvxibdxn0CCP3WjZLeT5bWm+J6sXe0ovIcZtHx7bqkT1LuMMiihux3m3UM
ERXJgm/h12yAENKWPbUxUw0tFgdB99LDb3gAXxk8tG9SKLT6nWQztFNknUG3JnHj0O0/D3kAEIOW
z+cfoZMBei0th1bLOA1wX6x7eAbKqU6c22G1d4AOoaPCQl++bansmpxNXAJfQ6E7qqHmxUW1suyt
NF065UMooa88JaFSTgLnAKZJ8S3BDI7RTzD+tggzbSdryNLTtA7s3q4auq5AvEKb0a1+O2bDUw80
9tgcYYQN+uYt3eBA4kkoZHwKy6HbACQlMsIGFjxCz0lULcwi9HNp7/TS96WqyhnaRCy6tC3kKjQt
pDCcXJazXsq9DyWqToOdocdcmTY8ABxN8qaDNgeUVU+vrc3o9IluW+h4GeiGeCgaEwQXYLwDXg+E
PvwstwADBNBjBwm6ZYVvtlGkp5T39HSFZiCMBvhg73g1JTlNLByiBBLiSjYzP/+8IhcTIMo5gTGI
RWOwzXEmIN92qcq3i+ugYQ0DTdBApv+LvTPbjhvJsuyv9A8gFwaDAXj1mc6ZIjW9YFEhBebJMJgB
X98browqiYpSdPZzrXxRZIQIB9xgdu85+1xqd1qOSjni1Z5XgkUkBqrBpj/vXIfWrvONoubKffGY
5GO0L7wuba4yL1P9Ppaj5207N+PnJ17Jbc0V+EAal/KDGPLZen/5lGG5jMkJFyCrt54DdrTxW8kq
szAp7yKFqka51Xv1ppea77mopm55N+iiKQ5NuX6lrr0+nzDHhr0bcFGvo5XumVXDP0dzluSbMEpg
Q6xmyY5FY7EgLsRLgPQZb4IcKkRUNEmHrGvLP5fFZ0Xm0lrXlOOWzSbxrbA6NuOkQWecyozbtC3M
1gTFoHdD5GJpLFI/2RfOJ5/bTx4rzdvalOIh67SunA00FM1aSDHR+uFMR2B1VJvuyrhVdeKBDfbB
HZhlfJ1Hc/SeL1OmNAqB85Sn87BsLrjYIMY+PgQQDO8mVvEx12F1WDxnbYUS/3HMhv6P3PJoc0oO
nfdlVJp3obSqbeAqFrartOJmeAA30EQWd1cVjbdZGr/ut4OmjNn5UY2xySOblpOBpT1p8Ms/OiRI
b+/UTejtRayBHNy+EFdJAnzp1evznU0aY8IG7CBj10xcsNL32vHFXkyJm+ytwdOgObGDI6dEe+WZ
zDs2ZZimW8WJ8Vg7bf1UTo2sN1NR0qEFReq+RM0S4Kep+ZsIKu8cqyE75VPofC39YHkfJqMJDjZb
4E2nZPbN64x+Hn1/vmqr+oIKARBl1ovKLfU+dUW/q7tiaDYl2tRxdqx8g5FS3jim1vx/pj7YYTXv
68RevmVzUvAG6LK/DkFicigNyI1NtcTeJ6ig/noAbOm2gLbO1bio4rYCh975Wit0IjO4FOgI3Dd+
0t0pSavp+1Eq9kuoJiSouZvP9WDCu1JbT05luWZv05riEoVT79yUFxVrWQUtusfjsEpcy0XsWmUv
vQpgxSqF1ZNiN0Ecqy86mVPXH71EO5TvFx1tAkS6aYvadl9ijOz3Oi3Vu1KLh9SfuifIp2Sjk955
ioE/39VUuJtyNEN4361KHtVyu7eT1P6YuNpcCwS/ZVX+xlUDRMtv1NHXdRPxfrQltqYy64uvT6aN
qi1+8QPMT7NBG019KBvkRr0Kj7jUg/0I+9SgoAT2HsbL2fS5pwwC0ZC2+1Lbtb1L41R/jlvSrVts
X3RO+6J5Imujf1qOKPcTsvw2RBJ7dusi/JS5kQ2Kscqn4yqkVrbVXk3SY1VrL/9sON6vdTmOd8Oq
w6qwu237ZR42jjat3AZ1PNz0csl3k4jcd3NkiWtYFOexcOTw5ySM+jxflF9zUYGziyI8qKUAmSnq
bdupj3RW8SOGZbwrVjGZUtDcTAM8U9lT0gRSncfes+6VGuS+vyjSc1B9Kwdtbrolw0HxZ/cxz4bp
E0hevEuqVD5EbeTfmxGIZ1NcdG/bD9q7wIqLW2Aht0YJtK1HgX+wC8So9zyuYDMJac5tX9WfsxH9
yW/al3hsbVgc9X5YZfh0FeR7lHnHTa5yxPAba/bFR60T9PugmBVGa+/sYytNr/tEJPde2Iy3Y6BO
4agHvFlwltR2RnbNpjXiRqeD4A7pdN1UeOUuad1x4PCz7vCdkYtxGiodNie3dD7EkLebpJQYBW4j
trUeip00ZYnsim3Ru63Yp0ZGnBRRvOwS0ckN/TBeB3kCei3Xbb1H6Dz5EEZqeNcoYJWNqqeG+6G9
KhZzsAKMlEYV/qYdkxe5miy1sgCDVuMlqWf/gD5WvcvyBl8mXy0aF69/h5yX9/vWNtZmHKTfbeY+
TR8qo7wD2vH8bK+2z7waQMidbFAyaW7ZgaZTZvqs3w1V9OgNNuZRPYIEDa5or71q6Z5Sn+YPLgrL
aby4T+lqRI2rJZVl0t6pWF6FQx7eNEUyv9gXE8uvxvfpmH7MYRy3vu+EFBRmSl6mNuo2QW8GTtze
O8vVHTOo8RsRpei3o+R7GFSOkVZVdgTfGoySznz12qaL7dauDpy4mHFQDsmmC6ry2GoRvm8jbnxq
jXoX501w6E0X53uOQ30K8z7bdSUKbRjHG9so5ymNZd3jnqRit8xJf90IpHdMbJQis3af+tKI8nfM
bXBpTwP2m6/52rOGl+710sima0/bBkF3ilREn3vpeNfet1y74OXSEJdrb5ytXXJeTxlSfjjeakD/
XTzjks0T+kixdtjF2msviBneC+dbcTvUpZdO2wrx4SEfMm/bF37zNFYmkU9lZHmr4RipzTTgYCEd
iS8FSdjkEMm65gWyqQUL6RT3CYdsMpXmBk+v389jEaFY9GH82FMG3Lpli2dVz17yMaimutktXk6N
JaJPCULI0xLrHEAuSQ9dMc4YQr5/19W4KJuo66zd2Pjj2WvK4do43XwM68w8OP7QP6e6One6u27D
xey6yO3uq77p/5Dslsdp6NTZmfz4qJLwPYWaPgSorVOgxGM+zWWJ5FoUxSE3mLTnPl20c8iiZUF7
FarNtw2sRr6pXLk8jZ7dfjFFhavBlldOoGZVufFqLIvai5ebYlRW9cc8mf7Biubl3kI6z/ZJC+/y
JRza53ac6wJXJhtF7B4ri83tCt/h2KVe8NQ45YfWK016DWQSxDdebb8OOmpvjU8hl4WshatCZ2ho
Sz4X+7DI0+ApcoVvf8gq/qT0RhV1/ACF1h38DKvOKrd+qz8sqWi2wlNhEjwkbts9cPpdDRUnqD79
0Mn/m3n4MbTzcxDBF1DcpI1o2kNf2PTpdOc/YtUFxVIse7s5+fNKjPtZTpk4OiWV++8vtP6gH1no
y4UiokghbbDnyjcXChXFPB5PcyrT0n+lTwV7HOqOWo2vQbz2WUiblTSGenRhw/2HvMWvVw+hIwlC
hIDrHgGrn2+ztWYnQMVsTipv3WepdbjLuhUwruHjGmNxVTkE1IOWrqjgf3/rzs+ZhPUhkywHlYig
5b3ol3vXuY+rFKvm9B1JnnQyitug6NxncCU6KOFIbn4Sc3M9JHDOG1vVIz1AnQTlCvs6z7//QG/w
fT4PQV0vckAghCPE2+8iifQ4uwnNTAB2dqU95Ac/S93nZQ76r5Fy/ik+5b8lL8A3PCckgQLBL6gP
kYd+XGVlOs3St/vmVFcquhlS+rWe0/i1sIYq3bnN+Edakrq6S6Zw9K6Ukh4oHRRGWt3mfl5y3LGb
YwvXQt1XanLuKgC/9qzIvrzHlIj2U9GwksRSx9Tqley/2ontRag4YljeudKK0VhNgQaM//hpaHP/
tfEnPbzrEej7w4KfovttTb5CfF5oIottHBq69CT2PRq8hAa04Jh4hoVrP0Fc9F/ZJ+o/4Qnqd16U
0MYNXc9/L127/WRXwpibhIbYWg9Mm67awW1frH7sD1FOt3iEUFWnmf9Q3YumdeRRpQ6Udu+EzaeL
AFLJ7t9xuf+VN/9J3iQMxHr8n+XN5291/a3vv337KSD6/W/9FfV04JfAhtARERD/S9uM7H/RpHsB
Vgov9qp7/re2Kf8lQwdanPcehdNZd5y/tE3xrwgUCY0O0IfXEDHyL37rJ0iNbOvfbeDBL9omMVO4
KmE7niQL+TZ4FSC/WKn26ysL48LBXg/iJJ8obLUGpq9I1m0csCt9M7jzvK36bt45vfGOQRIHp64S
2Sb2477au36AuoUD8mwKu9jLzK53SYIFtdXK21eJNB/J/XXdbvZ87xXj07lyW7vcjhGMYZcm+JIg
hWPdDleT1ydHnyjqToZFR6FdpNsFB+s4T6RDCM2IZrNEpj/4aVeBdYRFucnn5qNou/C1Vn11BeO8
HOxMHsY+CHaAz/Z2yrPk3lFxeKrnrHx2U2/KNlMvEME4b5qPqTN2R3eyljNEZ5Tu6OLklzgMWlio
qi072vEkoWaeh5ciH8Ibky/206iVu6vL4HEanejWzr1uF1ZJ8rlM+xS+q5hOSwDjWmRdvIlzWx1V
ENcnnQkMIm9+bNomuFK1Wx+kBRS8jJNzX6/AYw3W1ZjiwQpjaxPEbrFxZh3uS3ibzVh0/jvQk3qv
O2Fv7UWImyg3/dXYL9YpJo50FkVqncu+xjdxuwUHJV/WXqa57WQapPsutOjptR6f0bOAoRw/uEni
yj+K1qkObuf5/NR+eWwnt78NMqjdYuTYM5X5Yy5GOjOdp5s4KPrHpYj5QbME4Robs7NaMz+JLA++
jCQU2nr+bFdZf3RaLz+NyBtHz43i91OYNYc8j+VXmrhivuU0yW8Tv0K8CluTbo0BwwlXOwj3LISw
VurQSTfbzbbjIpdirAOCUe6QgfkSqlr/meg5Oix2jW7exRV6ceiJRzHrvryZ8/YlHZ38JTTN/GpJ
x4baW3z71mqK6Tq0kGubyuZLziL66jYJe1K5MVDHUmDi27K+J5hIF6Odl9RYqN+WJzp6vKZ4NE1n
nakDp3uXcwlgO5MYXaXI1TZzrCo4jRacw0H16BTkLkQBtzsafZbZcshrd4o2y9o5paINt67TYeh3
jVud5hGfuV4iHy+WGE+9Ld2RQKRecMXyDqWxd6psY9ylerAs/xT5HVzIWHe3SrqvBOuoJLtLVdlS
X8pMBatUDpkCcnjVfy9Ey8HLKUsnELXoD7iKjpo1pnxd1kK2H8GC/ogu9a2g0q1J27z47QpjhGMK
514WwTMIYb4Henf2SVlHZ92gY22iuC/nXZvK9qnFUM716r4mpxZPWL24SCqF2fl2UQ/prpZBE5zr
3g97a1f5uWvfs1Hy3KupXeC18tXgbZLY/rSkHUiB3VrJXYcYEHyw/RCJGR94dh5rg8f8NQfqp/Zc
og073CZ1hCX29ti8Y+X6dGRRRaxglbhBKqeS+sweovwLAsFsncJ6sgnXNChMmyYcx2I3jYoSKjYp
RZZOquh9NbeUGg7RVRJLM56Dk9LDbmqs2Id6CMRX+rqhOMITTe0pmLsAEs/KaAUHJ45h3/2CSy5l
QpFYGaoAkklNBehcogZCq2dH9j6u+D3qBCRJSVMhE3ubKYvq5j4IZ7eRqx+UesN1UWrf3jXNZG2S
wATJ3sbkvjer9OULzT/C3+Ub5fOMt9KJ5+dS48MoafXYpY3qbLi4SB9z4cnbOhLdVZHBGAjjxyCF
MKxbd/SC4+i46bEOpvDYpKp4qN3yZkkih0bG8Zsbk/rpdUxbd2j0IJDD1jkVG1rPtoMMJKQw5NI9
hwHSl1VjItG5s38lMturpPGsgx1k9jt0s3wv3X5xUA+xk6VV13dBOjZPITrQ3SC76ZOfx+5MpCW6
nr0QqbZTzq4wIjkOalj6zbKMpb2pUKj+6ObuC2eUuqMEA4QKYpyCKbPDjWt39jvsj/hg7Dx88UXS
PwphxRwOdXlVJkF/3wyhhfsPcTnVdvzH4kr/YY7JQgQyuWLrjE8VP+pjESCA9FUUfpqwM5rNELvt
Kfc7cx0swXJL3RpuEqrEXavn/HOKIn/2EXjvsAEOg1WLjYEDyLcDmaN2k0+e2OdzvDzIKM/3aREd
+3LNm5C/uprlNB4dVS9Hf6oQWXJHE/TqrWmryya9xyv1850ybnideWzxkev5u1ah+muu/84QJt64
kKubxI3Th3ZO9HZa0mIv8ig5Sm7g0PYF8qqjRcrWuIiPntfRzE9+1L5OxLBuSSQ536bRbQ6MKfD2
hRM7J9l33gfLcD03apIdiExyyLMWoLEeyrsCzvP9yHt4O6pBPSDHRDdh4NRbvML8pgDwP3ZoDXeI
cKgKbilP5TJ9xlfLbsj5pR/iZrTvYkRvfkgvqQSqZXVSG3vbVJ5915u0GrYZb/6DTz7xSJOkXsOg
3na9hN41y/Coet9UG1GF8qqK+uixkOly7eRF80X3SbdBJCXvNDf2FWzQh1hBhoBV2hQP8L6WNXt7
4p8qhHeyPuLl2nuhkpZYRGZfe1ZPb83p362Rw5Z2KxX5htzNi4WEF+IxJn2/EYHZR5ZuyIMgzW07
3w62SxSuyb7EJQpCvi2QGxvFhJws7324eKvJq0CKiWL4r+4aFzUipVcI7BxXUakCHrme5JwG7zyV
hwlHXlIRS3ju5dxmj5ei9X/r+3+o7/GuI4rr/7m+J7CRZsnrT5Nc/v2X/irvGbziMJYvclw/woSW
/40vUOIzOIkukHdS2owog1H4a5JL+C+HqS9rLoHC22PQz3+V+IJ+IWI0I/gjkXQZ0jP8ByW+w3i6
H7UTBgQ5HnkK0kDoCEAHaz//wyiXzlhkAsseiReaCa90YhWZk1rnnMSpXSMzN+lcNTd54Vj6JTM1
zmg7p63a9BFHX5BNtetQfOXeBLjK3JRZbWpBnXOduGTIOfbX7DH4H63pD0/6b7qT9ZP9oPqQ2ucD
hzxaO2R4ivv2k4c98GWsFnXtJbZ5clLyV77OoxuYLvtOWzOvye8vSNf1yyXphGCXIEugq3lmPz8s
Kyu9FpI8uZYyummGgBx7OTn02LkQ4HpQhlZ3chSNeqS7qAPJFlMg4L/HKT74Seo0VzElMzbzFPBU
ahmvtusAt4F4iTfY1My0ST389tJ1yLOLFeHIeweJgQANhaJTxFQKneoqdkozggMkGoT62pITKfKl
C3e4yf7rULcYvzmlPGRJGk8JUEmcVzuCWRQqmgM/3Eq+kW5bDf04HmIUE4K9mfusAPc7/B50NOVV
GHwClXe/DKTGFXxARpgKV2+vs4h6wlk/uZ0KYr30aO6z41j471nQc2+9YhSAlc7kxRkCsJakWWgg
AV1whEkDBcjG7dJ79m4+UTSjhcwrwviiOj9dCA5aLrAA8GN/jcsRuHdLoQMLwnqW7UfXG0n1D+zq
r0HS491bLhmRp4VmiXg9iCMxNMdYnz134MllveHzzENjmiu1aoPbSa2GfywtLl22xC8xOgo+nZtP
CC1mWSOvlp3n6UM8ORjeDCyk7hLaW639ovZfL/7+OEsUoktBGGlI2B0l/mMqR360TSOc7LNZ8C1I
MQz9x1TXFIBisZEmv3MWfubxWDKrJM9u/AEvfqb0W7YTEpdznSwRhMSyfiXB+nCibh18cplsEHUo
jrusHCwOkQkVPU308miFNuQ4yT9z8hKm7e068MNh36uZl7CMHG6S+LIOds3kltjPQbIr/Q72HGdy
fpakVe8spnsE2yqPBeWTPzavST74t/OcyPcE9p07PbXlg+cVyasL23xqLGq7bebWwWudFBNqtZ2b
g7OwZFNtEyjUE/xDmoNzbKsyLuazaySJZJ/k8ntLkl59ZEbGOjpgClg2kwp4vDqrpLq3B9IABNUT
i2RGNcLuMkpAhOni7XJWpPuHrkiGEklshf5zzmeEN/5Y5X+2RjOwY5XTcskgw22TsEZ6SEdYgxXB
wbDl6ykLC1fMijXfbaFJye8vsjBPhpcryGteyqJtVswEC7T/uOaon0K2eAXcGPCAM4ZRyWOB4nxN
sB15NTaMd0mmHJSCqtQ8CI9IM8j+bNDtRx49IANXkabgBMcaBC0yJue5IFcAo4y+aq7rlMkxz8Wy
WNZ7awyWDk1FWephNox/OJSzx/a7VPSyL4C3VfEUT7k6mQooaBtPnne1TIINYpkrniXkLc+SuCvN
xfdxLa1dqVNchuidgl0lPbcdUNZ3UKUwFl9cY0W8x3JaX4pBCX7Kd4CpFg0zT0am72xDJ0zlR1OG
o3ufxxEbRQjf0/wReMw0SuUKfYXlqnFbRUKaG61I5Z+Vo3QCtDUyL8SLw6H4oNghHDr5GELkvqnq
WoYbk1i0Q0GZMCXkOzJls5zOfcc8jt1QKucup9o0H0Ko4eKbH9Su223oTZMYj21y3fuK82eBfh3z
RF7FNV0qHVlDAPCKantRDDFZk/RWltifM0N/kGVJeFd7dvQRxB7CYXHeBVNi9BaKdHyZ18h+sYb3
8Qv6rbcG+gnkxTvvkvKv1sA/EjjZ/zSo/JPFDAR904i8s7IPSQpfchCtL+lvCIvGNZtMc9WSmXjf
+6279Sr7M0QSQxnqkmTLOqQgS7UJT07hJl/KPg6+mcRj1gFl/v1QyhuEpG7eF6Uyj7IJks++N9X7
ikNqx1g37yns4vqzI1LUmdpO4m2wAHrbQ6AeomQutkEL/L5x4dJvszYpX9y8J7Vu98NhsQazsSZm
VdQqWfZTpdv7qVyqG19M5B50UD6yrbef82hM302ifNCBbfKj6npxoKkidXsZFZE12Tu4oPJFV4LC
X61TJSIOsF1ZdMu5tKLigORCD9FpTM8yCNj2Jq955tBpP9Y+eMMuX/r6EGZ28yGVcn20VUYY7zLQ
AsTK3LXSMBQmm6odwmL/J7qF2pWjECd3yZODLl33zk/6QOxS26+ZPDFTDux65U7XXV81x7DsCMTk
zHK4ClLjHhLfeczjpj3adPI7xT1+zAvVak6pSV4x28KZ9jNBzrtuEPG7CNHiaPVLccDylFsrt5bw
MM9S3lnp0F2zYc8nu67nKzDv6GoZCr2fe+LKWNjjtiM7dUrrXj5P2bR8pQXPryMo/2t1mTTy+wrl
l2JOwKHyP2gi5tb9Itd29EMho33isxmA0rH/yq2tPQ4hYalwl9tTcx3zlp9+f9U3Pt86PgnyFWEF
x4fRZtEbB0aQKQ8QiaPzZV5OJjI2hnZwqTF+f503Ts/lOojJYKlUe8Bob6qvKW3IkkdQ6KJYK4xg
peealW/0L9Mt/vOLBTa6d0CBHEZvzUuQmd5KKALPYanJZTSQo30qy+3FLfr9pX4tZEMbpT6iFrcd
6vm3JXgSBa1lbHn21hFmjD3IwIKikmQBk4/6oAl3//H18AzwCxmILAUj4n6uYjGCeG3Lyj8vK272
/QhiFAknBgQb1UifzTze31/zjUnKd8fNMdWGQ0Xw5b0t1kk8C6LNgzjDNFNdBRcUkw2VE7g2Lmcg
w8/XISbVxJ9tK+f4+P0H+HWRhj4+YAT2HbgunPbPN93UorOJGcozAS510tryyE4CIv5/XCVw/EhK
cup0Jj9fpYxdXcdZL89M+sCFI/R+RKLT//Aw/+5eaCgRs3F6ePHeXEUOZOF8i3uJSMfsJJgZ2RSy
hr+/l79Zlv7KBJGe4csjqffzvRQEK7M2a/yzu05Fy1TKophmjZRxGTIztAak9feX/HX/Yk9nN+G2
0Bi57M+XZI5OPOtSirPVxPKjAy1/XuyV8R3LBrE0nBHkZb+wRH5/3V93FvzzdbYAd8t8yre3Grk6
s5fWd8/FiBccN+yTA4HO3ZLDSf/+Un9ziyyOAKmRV52W/81mGZRacanKPRtFhPUCSS8rY1wKFkyx
dnBmXTW/v+jf3R92Ych8BF+SpXhz0Qk900sx+s6X0W11Jbyr0g7TI43OP77pl1EHP/flMACBL4QI
oiD89U1LQwJp7CfnRfWk5HKn8jWRVrt8aqdF3TU5KO8mnimTjaau09Ra/d3UTSY+MBZT0Fw0/muZ
uP1XxvwAPodLXaYPYSHb8h8ey68rfIUH+IUJ7Egg+e76nv2gfTB4RmczNsDZrTwulMVZ+yk3Fucl
SXKW2v/D1MbLpNq3T4dfqrGSIji1YfBms09K9JKYMw76ndGGexN6awQAV+trqByOzLSN1/WeZ0xT
G5lYN00+fP5lriWDsZiX1iVELQ9USdlxmB3Grf1+qfzdM2GnXH/PhMd357556+0O5GkKeesvo9dy
288/O4nlMWYQRHmjO/ufZJxf1qb0GM4BK0L9wOzHtxfsMrwOS83LeRIxrA5zBeGg12mKnOx047+/
u7+7GLoRmTPJ9I9f1ma4wLgmXTSfTcLIm7wumGQHjQb0Zbe0i7+/2C/bNHcG/IRFT2yD7ezNW1cV
ltP2sT2fZbyi8N8zH7yIdIm/v5D7BgJyQ8l2uRYPPjcn0cV+XsiQepmRbaCpIBiI9mDTw8H4hv1Q
vMTQ+v11y+wDtb9kU5g3XBk6ksAjwV6ux2DTmSfmTqETWJpmCThmYdom/M6J2UlIWahe3sEuV/WD
kcE0x9pN5ocBcLmp/tONWPqMT/ERTCPmS/9SCmX1HLZB1fdnd5nD3SXfUuk0OyaMTNr//qH9stC5
FGuA9BiCLYTFm4U+JLY7TCZVZ7UOsQzdnPsn0R/tIckZ0Fibf9QP19Prh1dfcKwFocurD8jr2798
S/VSeU6nfHGWnRHfSK1NZyUI21wEERn0qDrdUvovjTHuP+x07tslwtAvhucCGXFlLB/OgJ+XiCjj
IRM6y8+Og5K07DC8ZNEfZ7mMnrvVxGO/wGsWYsfYNYe8x0oR1R5ze07usAbQLrEqe6xQEZdi1Ws6
FayNxaj48xKwjhRsVI476GQPwTBbGJ2NzrCgraTIES4Z+/To5/3yXq3Lq7Q4DI7zoJz2PKkZysmV
vXnwtSEu0scFul9xyQFl3YSrHSbaLW59pjOrne0U1aNGbSAUMFhHIzL50MyOtRybADQSFbteNnbA
bIYbZGks8j7wR5xf8M2boRAMKMBeXPSumTuGRtRLdtZh5mzFVPojvpKTdqTxxy4jL4WnS1jl1Vvy
uuGduSStRpxz5yv8e4EobuW8LxHjABFDCTukD9NMlG0fMK6ruZINEuVxRXPTk5wKuqK6W/i3l4zR
pficICTMISrXuqZredeYKObPf6KWZ3pbOImicZ+ViYDkQybRtmap0gevIq5zQzx8Gh57j6FZO7cN
eLsbp2qLp4Zhgc5OjYPTHWCIGNJpu+FNImVTPAUYc19NbyOBQfT7yzdP1hjZqiNzv/2e4jF2xl/k
1v1XogmIki10EKkEBoTfTDzNCUWDgReHrBgIPsl25vLoIChXjHVFCCf7IT2SBYzM3Y4yjZ0vi/bq
q87kDNUzTcaluzX8tYvsWiDhpKXXu/c1wzqGJyez1lmQLJf0gX61gaKfA91uLSsTV9NEtKfYjcNk
bZd2nbsrXbZwf0lYQTX5LmbWBjoLbsQUO/oKHKOMOVedKbv7PpIwbEFgjuYyBtTNIlTGZITFfnZq
n0RVmPkssDoNiZhZmeJsuNQBaPasviUBcz2lzIlJz+BO3nzNLDETgt7OjfkzGpb4AVzPPHyX4Pxy
5MN4KWilICfwmsVpGu/7sddMgrm8VjAkuHzrO6MDL4dKgs9ViPOz8+wYJ81OqL1o8+4g2MaV9FlF
XSjpzMBbea4uQ99AW/N+/DJnjZ4OBrbk4bs1w4yqV8DCtZC4gANhE4jXyslXJVYhz29aIMGTcew1
lrcef4EcERlTtCuCNgF+xKZgMlV+aMLC7q+riAjTsWotnAaSZTxYEU/CO+SRm2SP/YWxdYiGqkNb
uv1TveB+fyZP5DFVtwz8ongKm8iMt74pnWeZ57VgJk2czd9CCydjn4edKx5np0UFTmdqY4/3T4PU
b3xsACbAMbhiXSsCNweORQxe8IHCvADL8tXQtNj+2dSCK8XxUqHNW6Wfn8l4odbPJaLkYTXKSbaI
XMQMjbANUhsK+bBOQoCngkG5nCn/65P+g0/q8auTOD//Z5/03fpbKP7P9lU1/Pag159gyO9/9a+w
N7/XhB8VMOpt5Rpd6rf/znqvxxZnMefo93/zV9SbgLjNb8rgaF1/HYUfcO7+hUO6/7LxNfllFURx
EY3Ef4RD+pfm7McTnJy5zckNys7noFl8UzOMYAA100Cbk8EP0fsoJa21rWtmNKR11x5kvSp+dZKH
jxEJYYY/08rdaWma3VRCq+2UN+JMxJn34TLQmjxr/Y6dK/4cCYZRt4vHFsEoRf8EsUGTG/GMrjOL
bE5QcABxShey2g2WyftN6iHc3ISlld4VTmOBxzE5/0xrUHb7LsoSTIB51g5DQ2VqmOKS13/2FXOt
ICRncShotO5TJzcPRRqLdYjOZO3tjjpfxXNNhkn6NWO4vNQlPmd6AHJGPd+6lopbZE1GX450TGe9
hDhTBphzTwZ4gk7mQ+26Kh6+cRWHULOoI+YBjajUm7Bl3gU/uJz3F7vPxFBc20IODVOlLO2fIHKi
YO9hkf2Z8YWffGyXB1kzxWnvLFn8dSFT1G0KaOoP7WKtc4b4ZB/Q2fsPtbaLp6jAdIpNlt7rkZQ6
c5Kb+6FX03xtSBj7O0F0FzIxDaD4yqp04q3tdI1NYr0NH03B5+pky4PMIbOYT+IxWmXDUNrgkVBx
SxMUhg9x2QBxmEXZzi5m8Gu9Y3JFcwhCZnD5/5e9M9myE9my7RdxB5VRNN+p/XhdqugwJJdEDQYY
GPD1b5qkGC/kkc9j3H42MnUVkvxwwDDbxVpzryGd8Vrelk4X34khw7RVEOueBu7fAcR0DCMt745r
lukrw5o+zNnEbp6Lpn10nC66t3xWS1FSFoiXSJxqJ6VxlvTOU9JiEyVTBaBacRTOY9jeln03WY+r
j9cyCAtUnQM6oK4qRx+qjyuG02rViu/seAcSt+6rXuvuUz+27gdpo0nbxmsngq1I4YkjR4z2DJiB
GBLRX7qfJWpDZlXEjy6gy/vZWzFox3NvxVsxeZ/RsiFpYeUJd6cyS3+JUEMiWUPVI6UXpodxsdOz
PxdNfsLeqdaLERHncsyT0bpyIY5CC4Hks8eNFjXZZvDiQl1koqRKkGo5PlC2FOVV5s3xnYxoO22c
PgieG2fxr7PBsoF6eZVv2RiVi3YVCNn61Tum82LDM6RwqCXwT24E5TeRt9GnznjYLUVDntwa8T/P
x5BtgDiOnd5HYRQdUkJSdzwlbW+pMxjc0b5gBMGSfwDgGKsztW+BqIHl85GWlvW46H7YumWCNaue
LqEFDB+QGt8ksZdeVSOdi1dMGcWEU5hQzbfOaW0j+wvdyn4m6ckP+bqAOACBuk/6pTzYiHg2yrOr
i25N9UuuELNacdZeY8jr9oNUDwVBKQ1fmo50J13M0CVr6CUIkjQ48XpbT1ifk2PbI4agl+jVcovs
RO7ABoIGK+f0YFGNT7+JhmvAGpDPo8Fqj7uFusMljePiAoWV2C1xQ/gIGKAYkguofMM2jtr5TNIw
7hncQtdYZUaGOh+15VvfxMpOgwIDVS1xVeQUxyV3nc0iVXgzLPMjKrx0F6b6iMRPvDh9D+RuHEeC
prG91ZH9gDDFpe0L1dsajKba7ygwVgmDRGSQHhJ8p0Mhmku7kcP3Yglv7NVNPgGVwCCru+qxoUJ3
W5CubJfSx/ZfDdMdlkrv0NGZ3ug8W45+sN7kXbQcK99W2ywbqsPilGDVqPFsHWhQQIr6Vu7KaP3U
JuBv4AberrK/xhafbKWLAQ4sRn+kwdYfisACc9wn+jYYKuhPQ/s1Zrc9NjnA3hx49IEpTYhzEzEA
Z3KZCdG2OfqQyToXde5cLhXQu5H2XZu7wy4lztuW4dLs3BjaWaXa/oMuOn2y61Q9F2OvWBjaOqb9
/GPsAzz/WbHsVQ88AiJE8tkrBTC2n4aOoKD1vbGYYnQxBq0uT17ti8uG6u0hjjFuQg1v8yMSB/+M
YrzazpYV3o8yi4/5ytFU1AOlJOHXrIpgDeELdY3xjxtLbdTl6iEeuuQl7oQZglETybZjdoN6rfva
wN2ETj7n5UcZVvXBGSf4vrkbHepBxcd2naB568T+EPeptVdQB7ctVPybJnLhCnS6P9VeHd17/MH1
AHDjdojSlzDtkN45cTceUngAN72bOPNmnFWJZnIu0qu4rCPsrY3owKvnY7gtXa9FMYJyGo1GDRVA
4XCbXAcYG3yqDTkTsD5Lmlp8m0THUIbl2epTYCQyHVGajNaLkvbwgRUHbzgfAVPbXv8Q4OO8Rz1o
M/qpbHaR8i8Qd7AMfH2w4aiAfcxoQLrgv3AKWBd9EhbfvcGvv481apAgw726nVSiAccznOaMmDCm
4750Ygfb23lus3F6gNsXfZujMd3jTI2uusT9bMVAMfE3fGTqB+3ZpbG3gy+eG19Y17xT5dbFOrCZ
HPa5demS57T3jzMGbTARr4ifxXFtfTgsyTptvXz5uExLTAe9dXdh2H/palrOk2dfILss9zj05Hc6
qhOcS6vd0aAqTpOLN37rrtCk1yBxoMsjti4HXUIXCG6Yrtpc1StC7xobOPrbdMrVVme9hpgJnA/Y
HSB2WQ/fxiJ7WtqdkZ3RNAOvsNHeVJ1CB7uBSGxyP5SY6lyKzgQzXbRVfj/QubW8fUYP5Ytblk8W
3gvE7Z2NZDZEcZJH4ffe6R+wQvxIgJiCHAEfYIWfGD5h7zqh8iP+kvAcI569kji0oGV2n9p0lYc1
Hs+6wVZeMlVhP8EwoKgweadiXuoLb5IXwiThReA850BfryrWPEiAwKQQQ3x0CyTT0qb3PVXy3Kr5
0V+ZPOCgYMVsK2DYF+s3RfyJhBdtOQ6vaZsPK/c6qcFaMohg2gvqAZulGerDPFI4663oNUndj2j7
k092J7xbL6aRU8My6xzFuhKvtVs7F/k64qrOcnkpcWlD0nO/h7XeEhd8GzDAZIBhK4ledcBoLDFc
DD6ujbzLoC1EQXYkYgkfHGuBeQk4+wD/cr5FspPc9Ul77nnobdUf88y+yZYBq3soWaJOlO4W+uS7
3mHwmCeL57mUwYORveN1xr66Cd0GMzCCbMy8eFAmEF/YueGNzwz3QHe7gwTwoor8aILNzmlugX/B
PNLxpSvbHyJPT51LlpdZ9i0qnNu1MiAaNWzJ8TcFaP++ogazDvOTHsY76ahbRNLXRGs5KHyAkZXC
QbLgJiYGHNPtUvCaC4zR0054uYDugoTvqikQzQZ112zBz26AuglYKJS+7iBVlr/6fv+b+P1L4uf6
tM3eS/xuy+oLWNY/Ur7f/+h3yhf7/8HACVsO0XsMszGmeP0756Nw/h+bUn0oQtd26RDwR38lfYw6
/Hsu+FfCBxGMOUaCMo3vmn8X/TfiWJTnf5ZswYaRsVCMxuTEefGPwWP9VEbNHDjd2ee92Xl+dVDZ
pA4eo2juRdaA6BExIrUNSqFV7MueYsozTKTiW4Wxj/Io7l+5NlBW4zw5ctB4/dMIgYPxSHFe3Kmg
6T9PyKE+iTVozpmTViBRCncXmzpnZ+d5jWYuKQ8AQqedIocDktUxhKPJZHsNA09Sm1mcI/q/aZuu
mSsP9aT7+NOU44k4oQhE9Ke6Be6gnsfobiF5RtBkEhO3Vf7eC6am2eIxjfIvk7Kyj2PPjL5T20NS
wAcAi+tKCTtTBJAw9CjdoBFAZFjrPPL0TZX5qJMPEVgxedMOOOw3GTq4EBTIQr3lpIYAJsm+ZoKI
VZ8bgRKBCrub0IDdlWNYJzeRuya4b5KK+wmGcsGKg5hNxLZmUyPD3jKhz7FfNQAZve7LjH4dGlt8
QcS5TdEmJdrAfrWWTTCCuMaL5FrIN1XsU17LorXznZ0opL+SZTLQEIgtXI0sxPRTjO1afFsTUEyi
3CqG1YjdRJDEeeFC2jm65Zz0N2GtrAtbN/0dxfIEU6HlbfTkw10csgbzhzUdU/Rcj7BK4X56g42I
0Wn0vYMN5xDEcvkSSpDJMFOAtpQLIXyLF3+K6vKKqAxwD7HCRdtiXSybqVOIpFsG2k3VeBFN8zYc
s/JQ10ARYBilt8KNGaGUVfMu8NNy5yuorAV7LsykOLnva10Tv1hKbkpUfpvVmuRtVQTPZVun917a
DXcaevB9JcvpU1ZH8w7HTnLuZTbfsx7awzK1+Us1zMld5bbLBw5Ji67AODIiInSTnXby8CaOy+Ql
w+t1mrPAurVmGD3ofC2AwWHvXSVA5Y6IowjDnLAvlxcMl8wMglL13AVO80hOQOhdJ1k6b0XRefM2
r/tw3rbLul40vRtAr2f+B4TdRl1okuyjrsr0hckx3mW8hrRJHSn0E7OKB2ilsk+K3Vj21Q+sKlBV
vXAVMyb/pqFY3SIXRY9/R28CC6UWT0WHM64YYWz43hxeOYtM003BTBQ60f043Y5p6l46MyZ+34fM
bKBalCKrob/PqqB56YeZkUhJKL9qN/tAE2faqiqKzjxpCEnSY2wTSOTrdanme5AH2bmBd/OUOt76
cfTWugZZOruvRdvbl9baAELqOi88M24iPviF/D7FXXJyBPBMgjIKsASSj8SF40c7KKoPjFTNP3ha
5WIruqj80FlNvNOMHTkFluqPdojvMQ61OuQyYLZmAdQ5yqtjgYf0tokbcdbzEGsoGyUwDf6tdesU
OWG7WDFqYkzI7xq6EGf8i3OPYLbEW+bQg81ENEPGZiLXDrrCsm/1KLc60cxeY+DQJoSiuU0te0v9
RZ9bO2523iLcF5+yNqd1/5yv/WMhrfAbnCMIpXY82eVGaJQDW1euxVPYF/5lbS8McVGgzgOSzh0j
0y5ifwivSbE7Xo1xeFzRrO5Eb7evwYhlS+q1vfPA+X3tNI61jcMcQihkhOxpkfrPaC+pCHRMItro
GjMy01PTaxqA4yclrF3TVkz5wW2/XUvHoQA+gxRCE/lloIH6vdJU24epu4LHroln9LwDx+19dLMk
h4QdYuGatV6ufkpt/DIAxKuUa/HG+YRPFL6tA2N1LKy9dtTeg7eihC+VE+8hQjk3E/OADXo7p4WS
1Rp9k5up+aHVPrX6MtXeI6lC9JWmF8nrmI/0lX4qz8hgcM1aCXibCeX5aKTCjDTqmTGJhZC/ajPo
LHUa0uYxymijad++RjyE1tmBPR2mMWxf2LwafI+ocG3k2UVbR6hP5eIQrDluewN+p2SJinar7Pm1
48x7cHSwXKDJhf6YDek2LZLhQpQSkFbnz1fUE3KKAzJ69dte/Ggt/xv+PvfKCacBqExHElbFTDbq
C6x2tVVeM84lusbyTF3HboNiU6yvmUkBOhsuHEiD59buH+dutdEY9xk5NNXPnNLGIWceCPyjNSYo
7lvotW7mbal1DaeUymdVTunBH/Nkh5rS+ZB3wj8WqbAPvO+vxdpED5076G2GMPEpDbHWOVkvz5oB
VHsSeVFdixbSlxgaeEdIZ08WWvgc4Fagjr7j0K9sEd03dqzv8qUFBz5Tf9q4NAAJe0D+pAGDNbjC
ZedqSW4rpJAw9kR9VyeWOFTu0l44jYIrN9jzDlJ3fkXeGW5g5LRHNc4j9blZfXL7PttVUUvSHZaf
1eB8LTowESvH49Wka3LUYNDZnR91WL6GttzNNQMmFm8efjjeVO4Z/zM+FnYg9pOvjTEWDrMfIRv0
eit5zCnkGCSeOuoYB/oy5P3txDxaZ1+s5OUb360j0JKZdaHHyz73M1SA+mvPIIvPkOBIwhmd9K3G
r7dfVhI+tr3PWVR978t8uPAsjnsbqDO5F/8rEWG8WajFn0gKgcED1dxNueMeXJU7VyuNmte4iAR7
Z2ZRcWisjT8k1X2hKu/sDkV+kKroLkYCkv0I++iElX84hDiUdnjnxLGkHnOZ0/3kPZqxkyqHYQP2
sqrtLIFyeeHQvCokPVuuHcV66mzHJQtOGs4ZVdbr1ae63vg4yW1J9bV1xGtny/txZJ5ekzcMzipo
Ifc281k866OTM/owyxhhBFWSCKMCY1za7Q1ji+9DRDAURY6rpmaCFl/vMNo+RJYqz5Qk00ODzWTT
xUasljegQ7LsTC5IScuvrr3asqiozPpYBWN88pcCTrhX31tlc8dcoewAVQF/EMhKZo4t9zHsAAgB
ZQXbXLY7Retz5zOtYCPwrR+bCQ5TaoXeLUpul3ERVvhE0zA/raibt+gsvne4XPbwm+tNXo9MMMkB
L08gEzgPvPFeAzl5zeulo2PN8msH6xTMU3MfWFPEYbxm+D5HZ2vHcryYsbGfiibFW5yv0blWy32V
i884SZ7/t4n2c/z8v+RSDpKQ91Kp/1N9Gco/Eqlf/+J3HoVm5j8xhxDCptCzCb1pg/3Ko5wQDyLG
NZvIGq2bmXX0VxoVOv/xjDLXtLQENsO/oUQEf4Relj+Fj4nazfuvemfen5mUuRzHBVTpMPub7wmj
5E/9CYN1lroebf97hvyx+FEZCKS90xqCp9opVbjLS1EhkToMi1cx8W5gH3lFgyObK6cVbecepAVM
HYtdBJyBpZ4AnacLQR3rubdrq1i2EDGDNdjQt0kRCcB67HxKYNW4YCGhho3OwAkp/jEACWCAJk8b
aUFXBcaUaOcz/JXzaKUOHh0hjHCU0CkuRNxvKz1D2jg0UzHInEAvI87+F6WYaZb+TRqEDJRE03WC
iP8TvhGL/Xl32iFwWjWs4rsc9MRcnToNM4pHvY/d6jpO4YlalBvzpv7RBX2+PPmIGrk0NxtxQmAU
0en86y1kRNj/zH75qbv7f71OLolyJGkvWZkAlh2/nWhl8Kh1O/TpN4BdoryWjEgsz6s/MknzmFlB
rstNHeb0EE1FLRqpIM4SbERhy7b80s7DQrMuHGmEnMEbD3a2X5N0HXdrhRRk2Cs2l/Ul64PEYkzI
WnbBzUpQxl+rCQDxtdvpMHKa/O2Fuft19f9/Ipkf2txk3LaIwNF+BbwLf97mJCsZlshMye82/tDg
UcD8bB/wprXr3fsfxBv19+fJB1HJIFVAY4bIk8/784OWqu7ilaGb37DeUljYS/xvPqGDzRs+e2Hh
3+qhFUy7g11VWWornTScHkp6gcWP96+EjvnbKzGdcTrFkYcA7a1l1WFwkx3PRfBtGqI+uBEodhRD
L2oL48MZ184qgv/2JgsviNhKsKHYIXfhzXe3kIsyayr0Xqux69tl1y0SehDVSPLtf1PC/yniMw+U
jcunbsSCB3cUvnmg9NerEp6e+212UsZ8fXdp4GTZRSJH1h1zpswtrpbAqLrfv61/ajv5YETixrQd
oJ4C3vAWc+ZRKOnjohxeZwZZRMykCatoekhcK+fuvv9Rzj8fITg1EG8BkDM277eqg6JtnVJPbv1t
oMcPOSbHU/1cEVN1hFKQllJ5O8drYtdXbd43gb0XU1auL8UQ0o/d1BUbIp4KUJjxPWMrQrLVDBFy
dUXw3EcLM2x8H3Pg+xf9jwcjIlwQqA6N/NVBefjnC+CQvrqzazevDRo/roIqQVn8mJzFEh/btg5a
b5fUU6v+Tcn/Rl9tHgyzkemMRLZDCRDv9Z8fnFiOPcteWF9XQW6zbpF05EygDCOZ9bSVcAcPFYZs
vwy/LFkFhXvX9X0fy21tYf56yutV90ybi2j8fAVDVcS0zwN3uRT1Qqa2+5e7FL19tlxgCO2B1yQ2
jK+3z1bQ8e4pYrVfsyhn4tOmiBa13tEM61lUK430ZSLUlANeMy/JeZuGxvc5DJpgWdgs49JPl1cW
IN7XYLC5Mxx/fsnQmsnx2+LHrw3YTyS7C37xNPg4pDGThc0UnpKVyqS8gafTgNTlGG48hySU9DQx
W7QFvpUPdBcMn/dJJtX8aV1MCLHpGIrFvWAIkMcmb6950BUH1+8E73eXaTCcMvCL+nugRyd3NkyZ
GVYUckksPhJoszT7lcHt2PxkEcMQcsDCfCyHVhbNfgRlu76sCL2mp6nvgulhKPgvegMqhB3EROT4
uBk4QAsY6hZ5O3OUC1z5vOhJxM/w0Gzi3E4PC+ybRmzAUbn8zcBhrDwcJ2S2dQA6Zc7UvUJpxmG2
IE5kCx56v0iXfYEba3qycpIlWoeeNp9mpYsMbrwYUtenDqXgdEr8qcuvKx9LylFDPGsuM1zZ45mc
bmYtzRFERoYskfwsl+CoMw5LGwEuv3RRAhDqJKNOMXup9RtZlqffX0DQZeKrNqHNSMadbScWN1TY
DctvmFOziVV1SDF13zFUnF/yUC41Y4ckU+r++hkdBeJ+j3gF6uKWJdfqGS3iaqQzI+1APnqWcGvO
i9fyndJfdxX6lObOCTSS/AWtGdRyhl450ix2sth8IvUPorZFJgG3RS4h84d3bPRmubSx4tTySuAF
wx5wV1E/NApNc3goPOTIjKGB4MQ7NTVxzKpJ3b7imXmzzQ/EIOEk4UGlCn3w2fLnHFxPPU/cQyRJ
6PngwaBlSB4j8i8zjSocqYpcQM+dUKOnK+1IfI3O7PFnC/VH8yWKGLfodeclU5PuWyRLXHHoTuwC
e5QiE1+mdROzfnuv8/ldGnmdN53jAexzgSq49XkVxoJ5oiigUhVydkFaVlzSwrfnP+qxMNcCMhie
0JYJJbyCS8ToJUq1axD4pymIfqICGLVs4raEyld+M/gR6x/EljHaxd4Sclnog8w97qaaOwj9a+R2
rsw54CdVhID+qVAzCdYhpRDIEjWh9fQko4b/3zlRxQscFpTZbwgdV6IM9N285wtmCrN5ZDTnv1Bn
7c0r7cfmh5LVo4jcIE4a+QWogzc9hXlJ2XzPsA85LKdptlEUX0/IZPmBXU95t9quxGJmVXt53qud
LBk2Jk5zVDGzAFPpU5yJnP4E0tPQ7ExZRTP0wDzng2CEmfQOqlxSnyGimdH9ppMt1zuxLDPLPxqM
qXRP/Y4OKYGCboObQADg7cFjqwogFU14L79tEUskqLaK0TxhbGLA3g70f4bJusjRM+dYfvuOkRrb
uRoGS1+WyYBLD97dwLPpfJhyDEBhJhdfhmLnkraPTC5I/Ia+BfpUYBg24vhqz0bMdrNn3DFteuZa
jW0co0gNaOduMO2o7JR4xSioHUcl22zwumrGrpIlO+TxKwBOyreI3PpszrL0qqTD74Q3aqbRzeLJ
C7OlhEovSAXLJTHr0h7ngTWUeHlXppft2q78WedOI8Yo5q6xVSLG4C7tagqWtDhmrB1jd4Pd3GXL
LZoOfde+cXDVZPt2qamEb2MGn3KTGDAfs3LtXCZqou0rNX+TFKbjz1SfmH2ptKd6vo8hOLOQMjjg
bE/SnwPuH7oudoeJu8i74LhqYEFNHRXl9oKn3y3iMgIL4Z+iClt0eonaeuSjfYfB8PLAdslxNC0y
5JSvGYPNmxcBCeEmKDV2LMcZAUTLBPmoX9gfGFlq+bezvaDHMF0g4Z9kpxq+EhrwtkfA4ZoQy7Z0
ubzWUUc28jsPYdc3N0e3ndfGRxzcEf6NFOQEJGUz+bFHSxR56a5LsGXufRt4wGPSzXz5vOXwX/bG
z8gVh4W2uEstI1F5sYtxJZw+RXBhuYO/l3Wda/NnID0QrG9XGAJcedBaZrsfLGZvvNBkx05MGao3
8GUi0dTm/bQYpKa2fkRtDAVE5kCfd3O23d0Ql72id746SwAOQDNXwK7n6il23ZjCfN93eXcOGvAk
h6CdRvkqa86Yyz6tLf864Uq9bdvIvPucs+euhzKkuv3NZxZMD9IvqPsveqU9cUvXCg4awybwEktP
UKek/dXEQm473/OH8aC1iKabvssSuGVBbdfOlVdxrDJ/R03OtuMZoXBpkbuvNAUYl+AzOHEumWS2
wc6nl2rjhwuTzzaytxb1CU7x6D8GlVr8lOGcUP3MRF93SVrGfPH9E9ZpkqoLlXGSVbAKKr0yfBdj
gN0fEnfFkjvzclDzVJSNbdtBOxmHKTM1CNDWp7Rg1hAHH0Tl84ACINp4vnKd7YKtqKVMl6oh3lmt
GxbUJUNm6qaiSk+4ktUOrade8b83tn10tJO5B6YjUJ7dqLBamSSWeMK6kzTM/GfGxvVFe7RluMhu
H7f2PD/NavbUtTWoxqIe72NkUQ2reoO1K+hhs9FhNDKuIOzlMZpFuoJHmEIZ7OIZHcgxyRVWD6Q5
Uc2wegaGuNk27Nehi746jOZrvtG9bad5hyB26b7HhfBGpiGFMECREQ5C2UeVNJ2AKFbaogqOCWX1
4AbsnlWWxymQhLXZ9wzgpEJxi3gfQNsOGLoZ2Rt4ygOQ2Lt8meLud/RtLwx7dh6AGLY0bnWbmwNV
oseS4lkvQkp/JxPdJxg+bDslRgGrJIjGEmBu8tAjt2T9N1YP2/7Ye/NkjhWEnObl7uivctZygPM6
0CQ2O1yNsputJEfID26vWCrNCGy+mNTR5drRaFBbeK0TR4/I6oJTRjUidXEIhSE/8zCK1kR/wVCa
zAG968rVLv5UV/Fx7Oo8+Ih1HdcMNFErhJeXWopagxw7wTYphoHI3oyUlO4RATlRsLaJ3Sx0tlqy
lxVRbg4NqLaJ5gyvB2Hv6eQGq3eKfbciJGpcMn7rghIq+OwNcQlTcrZC1L3ZEJn7xxmtYVwQmiCg
Vdwg2YTm5IzgQHKlfZqFfDZUl7BdHydfQMbatgma2sYwNBh1tBmYBsL1D3Fh9klsShV/xS2cmCui
uTM4/RecRCZejRmBtL64ClXgV61pGh8CtwibK+YgTRyLSkoTSzUyNCELIwLMPVJtEyjnx2gNC0NR
GVU0YXXiPKRusAklI8VWula94Pazhy8mRPpZ7gmG2pxSv08w32m5j2Vrm4pFQEuTq3e8xOJGyhSA
YIsAtCbpqEZw99roc80VwFHIWD5/3Ym14xXajJIBWtSHmoyf2NYqYEh66eD+o6HFVHFuGTw/lpuo
50R8BP9C7enXY+TAdJwX0r9RPQE+gZl58IrG4RmNA5KBHoVaOdEtYUS1naCEKENRlCeUv2mNeYVw
dHpaQ6xy2QYbmik+9fR/6YlJm7HaDgclXWG90e5iEnlMNyyWmnqdQ7da232IpJr2MoGzm5hofmpl
34uTLdNhiu5WlbltfhXgDuJ6ltU374Hn9TZfdQLCMj1VIIV5RbDWm4JXA8Sf8U6TbwI1B0H1x7xz
zALzkjHv3GPnhhVxdvrrdM0mJArWdsTxwwvleZIoEIWFiTcVbrhlmzDtisja5g4UPxic0/Ab/rv5
20Ql/XqnqyjkuHQyrstFDhua0LAMxtQE88i8uJhfr0epBM+lGjUWzyPNb0/VV97sTennKdIpBiJo
OmXIW03/jmWaL8QExcHvfbN2qwapwnXNDB3whWk1RA5TGhgY4hHU6nbh2Y7WVPNZzdrzFWwzxIti
BQTqYhczu2h6SMM4779MPbN3amaJjlKxuSza96587aiSnr1wWWe17ZoksJCCjM12ZvNABj8mvCTx
5DmrRazLpccsjeUywJAwT8fZ9bryy5Q5Mzcl+RX5DKk9EWsMbdTzbXPcdgQGvzNivOcxgcGcpjbZ
V5N2Hr+jk0jheLEsa35Fu9qtGG4n2956mcxIR6asT2mkRIH0xqdgrTyGh1kalfqdhdrTxOxBZKKw
fnZMkg9WygTyKTKH6SkZkpSnpmoKuu1uZi59jER5Eg0xSiza9YW7bnbc1enIeS+6UDbA5ckfWE6B
4OMp7SH85MdK9uTgJEMxq2zfhDNL/+RETkaqUkbEUb9evQa1CX+5suoY1wdD39E9IjSii8vCaLSp
H1mJt5glCexCN7c2zdqm44asJuMWsaW4kdoJzStOtgwWMwhKn+B10UUKQbCZx/tgDtfhIqILXp2i
wSWn4GCzIOaRBCpUFYegKlt+TOwrdH/HomtMJAq0i118C4TYZI0g3NAeXXTI0tmkCPjHYAsAkN15
j0XNZIG/EosqWc1Ft+usl3TLW7ZgeVHRSsbrT1HBQidJsln9OmsaHmnuILMpT2ODbbPeI3BMlNpD
MvXL61BSHOEvrgsrCnCY2bAUj9ECXVUOKHTB0qLxpDOQeU35xWtnk6Evv3YOAOQm0K2d0qzK96tG
/0PNiIkTAH5o6IT4pd8UWGFVRxpfnP46J8rkmVNmVZnYWeCwqngzIB3nkb7/kW/LnZSpItJTZnmA
+IkInP6sqi2yaSJbBeorsgjTvfm1NCoQBhxd/+1HhU5EjOuZhhGtKeOi/huUwc1SuU5UJ77mPpPK
iDwD30P3OrNZsw7e/6w3rAq8vpSOQ4QPYIvgbP6jKzXYzlChMvK+zl4Np+1yzGqXlYiCPOM1zPoa
bwwy6JZNY0SAPVBEmaouqrYSRwVqaKj4pgpHymv2nl878+/eh0FqmRAJ2SlnQoh9k9+9f/n/eCoY
JGwCW3SSpOMMA/jzVs19UqtUh/Aec2fmOjigTFrI4UoK9f5H/WPNeRSGmSkQ0AlygV++eSqEUYD+
CKC+xFnkjcspWaJCvzhraF4RjCgga//ly71toUBechBJgvakm+C67ptP7LvBi1Lq91+kn5k9Ss28
bHcoY8wB4WKkXbBgEe8TTCz8/nsFjqe/ZberxcX73/3tbaZrijKUIi1tUuE4b1ekZsrcpOPU+0xN
gtRxyTKqVBEofnbA9z/p7V128f/wbSEf8GkUx94Ur0sCw8hDc/0ZCX5YXitZmdQ8B8jNIZ+5Jmp8
/wP/pNHQNIFURNmZJq+gw0f56M8VxNSslc1k6T/3DX2ibN8zMIdtjk1x4bkmfVfNzgYC7pLFWyY+
Z5yM718ADsw/+1OEWnD9bY8RGHit/oGmIUvMKkeGzecus5e02dPLWpnjzZinuDj+ClumPjOhMR5s
s3//Lopb0KdJL5DqNJwLcCvMzanxC/ELpf+Ft7jF40W2gIKs4UgYSt1Gwy7ylBXpTe6Uit061MIc
lkhpYf4wMg8pWrbx2J2IRVQ4UjxydD9r2HUlJbp9RDDvKqa2TF0EO6C0TGw1TIMJu6zeDclihrwz
x3kgc2KbcGDOEmex7CWXFf4q0A+E9uyaZemaoKmI1M+Iz3VMsAyktWAnsRnxzf2P0qKnMulOM5ie
y6wpKcu+f/v/seBC34UYgk4aBs4/l/ZIZoEGf10+tVnnEbOmEr9Ku4tXZSKA3yXr9z/SvLd/6yuH
ZquNf/ZoIrQA/0B80ChbVDdE+lOcBqbGOOLFB+0AOay0bhBKcQV4ueKRJGp2EhMUIj42V/P+Zbz9
5sYrbLNzmlG8vHNvsTMNA380zzL7VLaUP89IUVX97Jba7a/cQd28/2FvFzkichF6VIoCDwqT/5YE
Ezh2mmdyGD5PnSzWFzDlZlkUhTSR1fsf5b55pfnpQIWMQTn8CZ6x30QHqZ7tqmom97kZlB3tEsqX
CLgRfOVkunmBitPb0PCu+SWkYMO6nIUXv5CsCRDnkrIuJRhSHtO/l4CAiUOd1TeBep6SoYD6463I
2iIzZa3ZMmWAiCnSvIT4TUyZuKzpjjzBEfX4clYpOIvS1DKdImfC20ZW5TA0t7uwLPbR6tC0dupf
v38T3txv7gGQd8/mPfWZ8PqPjqkQqYrrYJyf4ZWYkzlpaVVA/9QtmfP7H2VmjP99PZtnyuYFlxAW
N3X9t/Q+3Upqqo6fPEV++/OzRkHptJwYksrRxFbPFvSr914h0uEuNHNjqqS/f9dPo6kQWNrm5gof
c7JpaAAMpfNWo47TF1YJO2O9GnhVAzpYEr3ZcfFGEqY9hEfSY+RYJi353fijW2SaSFZVuLw7a4TR
dMJ+XJsHvoqCT7H+L3vnsRw3lnbbV7lx56iAN4M7Qfpk0iWdyAmCEiV44MCfg6f/F6iq/otU31L0
vIdlpMyE/czea79vx72fo4kR3gKDGc1JljOZGVQtE4YeHvyozVqM2HRGP1do3JFcuxk7D957UcSU
AziJAZG2/s371v94+jwPhqS3GD4ISedd+AulqeEXjL4uom/FaHlfsrZykBCyHt27uS9sZvxJv41t
GVwohM7RWgC03ZeQfR/HeJHXVv5QsTSNrTDQ1BLZAqXzIaJ/7W4K2Y3JKvFHc58G2W3Jqu3bKGwM
7m4LrHrFLse9JhwQhLGedpe8kRJIN2Uy5muNiNWnmT3ySIIusWuEuUAXWzM1zB+1WcPA0JPWN626
oL2xeSuhwYSudOmpFuuGQGLHTrx4xIJqH4vCZEuQiZ5xXo3il+AHo3hBNeEQmRpj2MTGj8PcEq13
b/J+fhUJakWU6m7CCCPuOvxoFTnsnjU8ppaFKdfXMY+viT0Tz/kQdG/gddo71yaZitnUgMltyLas
CZRYVeyLyFyegpSYTrscj+QZbvopAGjrJ1n2NPiuy9Q8Iuykn9r6fsYrsab8RNdcaZq90l391u6V
/tVUffcCVNcmJsIBryzd8iL3unRjpyr9DVbx48OaC4K1MkWuQ6lgmxQKn55piHRzr3Hi6o3zJW8C
E6b8xi1qQuhd6E0P/3xHf7yhf34YbiQEWQu2n4/8WBORGEhp1wbVG6LZEo2Q1GHEMF8NyzK/HG1r
oP+L6/KWFaGX/6Ye++XKf/+ZaHVY2fAQ/yybGJwuwOvflm9YcGlcLfwacgs26rfEw/e/6X9fw++/
0jZNhAeYm3ghf24ipVnm5ohW5g0IJveMZfK6AHReLkGuSeGdK6Cc57SL0LfrhROItTUKXAVj6rhr
WfTIvhDrudet2wbHSmu8B963HXXSUPSPZUnxYvZVKUKzN+xbfaFPlIPlnyrGs7ejqcynYLE4h0Zt
6GTK5vG1VQZcx5pXukxvcnZxxgQ7QW8D9ZbVcc8qYWi3BtruV1321gqQm/WbWuiTCI9DspQBlEEc
F4t39OeSwNAIhrV9Nb/Zw3Lwk9RKdha4wr2c5WtlBMWzpQVyPUA/w8jUau7eJgy3Wv/z5ecsF/OH
M+MtYs1FDwKfjNf4pyYAxH/J+iDx3gD9FTnjtDYPpY+0GjBrMffr0Sa0Fm8SLn4iq0u2PTWeLeZW
l6Nwxx7uTqxdz0Zs761ZMThro+ClTJmnr9pcu0xV5Z2UpXaVVVr3zECL61rjpIUuizG1mnvJ2iWr
OzDSIvDOlI0jcbR2+kO5WXpleUQSEYMMrSOuxXXp9MUSUbKQiIpkeNCBKN1qFUzD0JXGtLXMfhpC
C4rE/URsWoYSX+cHgEYKwrGPWQF4WZOxCOGdeGc7mn/CtW8/GUy1CezNcxw9/3xwl2P3+dgCGqQG
delmMXN9vLcHRsKcdy96a1LbudIaK3sUqaXUOm8qPBwTvcRvPtH4KHzlqvJos1Ddokcihwi52seP
NHSzaEtend8zkdlHxmbY9qNBaRcMKrMti4ieJ70Tt28CBMRjGsv+lKaBfquNgbX9za//9dKi1OTx
aZIngxL3sxiwnUoHiz2RhbFkwUDfXkcvdTvjm8Wy4eDGMHMmHGWNr6R3mBWus8R19hhACDcCgxwQ
2qDBVmpr1/uS9ljVGP0yQq+0LrnM3bTbN5Ylr9whiQ+x48V2COrfnELIdiaJQzDoB0KifELHy9kR
O43Dss3yXrsETTryP5DwcHoH4wBR43WWORAMYrKxG3gKaX7CScgKXLPKMSbuqVggBRNMhJGl56Mz
0ppSi3R3vSkx55UFeMOWRDCdK5F10YrIwe7GClJMBx6KOslGk71ST0pAvOrQPlxOIgBrUqcCKg3H
rzYOiFMm/FVubD71bZ1+Gcja/mGnJuapbswAUv3z2fn1+cOVEiCaQ7pGFPEvcz3LZBOayyn/7rvM
B8JgCrKvqDwUW0NOGT2V9zZ3Q3RwK+2rAl5VoR4dxe8QjP/ugvUXCTKvPrjXzAY+XrAopTpis7zi
e1S6ali/nxAogUlxSgsXKsU8BvcNIbJbBd8NbEEkn0G+km6RkNd1/5tj8m9u2CUXE3S0Y6K1/KzY
nbGEjmQdZt9jT3fv8BF2Z7PA9uEx2L3gvThcAUntj8KuykMhLYPcam9xpxU9RDQv8REkA5c7pdpg
/UA53zghSIv87jff8peSwXPRuzrc4mimaSo/HTKY1aoMGnv4ztS7iR+oLGCAMElU4dDp45UJsoyd
EjQLf+23Tv0jmTHNgGgwxbSzwCg+OkERn3Rvyh/MFj/TauAtsG2ztuBwx5m3shvWvT+vt/961u+V
+P7//u/rW5lW67SjSfnW/504xqW9PPf//7AygIDAytaved1/sFv8+Qf/8q27f8AjQwKMuhWZPC/r
v/wWSExtuGOMSnVY0oxWdK7qP33rdoBvnaED/xm2LspPLpU/veu28wcIahTN/DFuQB0LxX8Q7MSj
48O7DjUZgxY40ybOdYex/ec6lgJDUOp75mnWSbabdylaqD5a1yaxeKq7ZHMTAOrgTglHHz9uyH04
P2vErxkrMzX23Si0U8R336hGK7cxy6EV2+vuso6rfdJaw5GVrrdmVONe1EOl3UGtRLWHQeiiT30D
JVHp3o1kdj5kPgrBcKgzbWeIpiaUL2uIH8LFy9+HjoukmioMxshi9RNEi69Q4j6N9yx8Ll2mUkfa
fMqxJrqd5uZaduDQOI7EuQlj3yzyVfpyYi4K90gbzsCDDXcSN2+DY+AjzwR34thmKzLw1GVETOtm
6vW1HPVvi4shJPtK20RZZmyVPhOqVwMhIpRtp1VO9RTwmIXAlKcMEe1NIdtrfM32BqJp/9qavbUt
PMxzuP7avVW6fH5pdCFHyka+4Ad71Q3p2YuTel1iN92L3AxWbECjkMXauI/77LpVgU5OXT5vgK0b
4cCQAYiGQDahO9Ya6ZAT4jGT7JmL7pin3mViQLkiHuMc6OW06SNvF5QDIZrLkKMweSMEYDNtErHW
ZqTvtDQz0FWoR6cfFSya5UeIHHHFYEVASUBnoJR2NwS6fC3RzVhSlkdRGemFwGSysky5qWePgOxC
bKE9VWhPXC1MGeWGDSa/IAqOPal5Kz83RZjOkfaorLQOLX1wWKfigbMGKbemHQekjJTqYNYJvt9M
zIfO8Ed4NFOz7aThbE2iQNadpJ1GmeSiQ413cnDtsKGp2ARG9iKksC8azT+AogWA6WBkHLp2okGK
d4k18LJE97ouCkJbsuYeO80jAm4oB5MXxqNrb7Uq1TeGPic7T5SvjEFesqbHK0py+mriTbrRg0w7
NqwRbFaFbEADZ801wb5ehu7EJeG38W1AbsJ2WPazZkyyRk5XMvqUFnaHwsronUODXuNF2aRW5m13
IbX8KxQdyVbRF5sszdTeqUC6zfhSGc9wLWA6bCBkCdiiCNo2NmlZK/JBGqQQ7RdkEuU692S0dqtu
pEZRzY5qwN7UdHNbVLbIpazsAd98fIlWrtxa/tc46HTQ1l6zYgal3SPiLLsVNlp77RVpei7BWayI
ItFDKHNqJ9KgvV9ycfHrB/mZ2Ya97rr5kkdqsfUzYkzIiHS3c07CLDJcb1PhsgixPOs3qdvOG33G
R2t0frJCbGiuE3JjKfgy92DARFqRrzNCsYkPvTOaFxhnh7VmJuIBQBlH0Y+stQlzdOWSGL92MGuH
urPgXZxMf1ARXpleMxAYjM0MckN4q2CYjbCd8+ou1yx1g8NDPxp9B1wJ3D4orUnLk40rfMK0+tJd
DQUjAkvha+arDidPq5gGudqpAkG7q1FOaXb+NR3dBAqqXxzGxovxT48UFjPHU8yds8eBlRExpf8A
ssUCGgfqEWbxwgjq73Q/PQzELx59AqFCu3UWWlTDAs6qN0kgMZJNhbu2bQAJZhN8G/rinBKFFhnD
TQHeANFPaqCW0b6X9qy2RUscTO+d0mkBKnjVDvO1IkWvqrb0cu2qbDuxVtEIYAOQdWjY6WtTx+Dy
/Pmuq026wQXjT/KuFk7+gE5Y99XGTEE+tVXDJRW77aUyve1Qmq8BwoHQJ0EWC0Dn3EXsW1elF2zo
SELm5dlO2s33kWofZaKKrpw2s3Z6YRjHCK/dNivMkaRMcM2qz8V6Ckp/n1j6dV2YL67bnfDgZ4fO
kY/+BMnHS91+RXKVexhIILgPgvEJXty0FsL77ibwCkdUcSuUYPeIBi881v9XwjePKWOI0Knr4hKK
Sljp7U2B545JW+Kvoqb5gWJHX6dQPmAuDvXOpmBaR3hcN83Uk+lMwsIO/AIWWTgB+yKrQuz9LyAV
g3tlq31dVMbF7GbDljlEs+19oqSlzydW83zfjHZ6g8jslBm8hKQGAjKfENTBYi627eCQq1Q6dyKn
CXL7JgVi1h3itoGPOVoYY/uBQLmE10uCIOO5yOWXKRoGcn+9t3owMf7HRbIdaIp3zIC1bQwrbuWV
Y0DK03ij4/kLG9tevvh0KdD4r3rHxJgSnXFL1JsJL7JsUqwdrl2QM6w9MW0HJaHJNysVAIGLYSGH
zGB10WkT0hFBB5QyPSbYwlHE8ZSbfA1WVeuXGCdNC/yb5aBmmaytia56JW0BS8bLniamPIdZ8+8Z
8V10edOGBCz/sDThMS0soq2GYDLEbGlskfn7G8Mu9aMvsDujGgPbxFN1y1yoXk8MU6zqa+F2Vf9A
LFDU5VyzGnxtCH5AnZGU9w0Ohcc+wo/CrdhAEGe0wtVX+tdA84MJXmmC9IKbrM5oXi24UUgVQXgL
IMoP1jBVlpsDq2zpazds2nl647GYoVThETUj52zZpee2z0grq7k6sk7rvGCV1T6bKRgyBcjpIqwE
5MT25w7iv+X178prnUTnfyqvL19bVbxWbx9q8p9/6C8KsEP57NHQuViFUbos9fOfSCgv+MNmeWix
GaB2huHyr8raCv7wUAkgU7HdZVCsW/+qrC3vD86nhZyAQp3Wmf/0H1TWH1tSjFrU775OR4pplzXT
+0b7bwKVSh+ytsRgt/diw5lD5HtoL2WsHkoD6lscO85/NBR+/0Bvyd9ZAoXYH37WXvRMznptdtWe
zMD2Fq3ZuHqP//jbSbj5OQT7uzf2Y7vw/im0DEw+bWfJ8fo8/ewdOlWg23LPejbdTaZsbskEB2Pn
2WKD9p5MaCqutd1k2rmbvN/5jdEbfOhXli9gLB0+MlkfnyPapo9zh2FgmzMqr+cJ7RJTKKdkpr5O
9D16WdKPTaIaJMQWMgsir6S/iCwsIa0gTnXVsTu4qzGlxiGER3UJLoMBbmwgz/bnKd+i3lrsIzgk
SgzhGmRmKTKX2WiEzXzV+wrmfq/yMzD2fD2jht0ntrOgj9zmWLpO8yVKG7XjIfUO0zQUwQDNstBk
jDPvdQwF9/Rh4qqdcuPelKO86a0hOk5uJ17JG00BONaj+pEACduOVTE+UgOoXZfJ6hQBsFlBRPcN
OgOzOiFBqF/Yi4pnI9b5g5NMg1PXSHNjwHs9ByODX9aJglx6DhX5KDEve1DIJKtYO2CM/Ezd68yN
N5McqmpCNDxJLLjTzBX5hEgNQ5J1ilB4aXtbs16DuOpNTNd7zw87UrEvCVkE20tzQdRh2hKIZDa3
XdlHx3nw5M5tDDC1/czXYeX4mOnl+Nhks3vH2TE3c6ebm8p0CmpO2XxT6KFWiCW5hqZK4beP6ucB
t6Ag66DS9+4UcA8hMUcdWgUnFzr9vmkS9YMVtXpAFKEelN52Ty4P6xOefvvQxL1xT75q95T1U3WS
dR2cytLniARZQ+y2XU4MV13sG2FeFAApBWX6xC58Az8gPws3Wdw8sbsCf9Z+syP+MV58NeBtzDne
a5JlYWUPzTdJq/zga73auelQHGqfk6s8MgfYo+Fh6qyqpWUAA3uAMu2H/ezka8/W5E4zovwcTwae
DT9prmwiTlYFAsXvua70sCKWc1sWus5Dw6jJoWzGxyio58ugGfmrrKUmLyMKPMkvDiZNXEX4LFau
1jjXGirVlR3wW7BWBmEfgIke85xLccSU8R2doVr4u/Z1bHMmopHkJbyFao3R2y7XhRg4rnksXr0i
cFj/0fGue6kxQamTKDq7etR8w1k7X1ZToh7MiejfChfBumibfAubpH/TM9e4J9yPFIK4mLeGxrHt
Ys7jYspCsMMlWlRy/K5afv2cK5PU55kzYbs1IF6D67/N4cEWsRcdiy5/nrRuOCZpW17H/g/UtSyh
Uq1kw91FpXlIOudFpz77glVveIwR2yWhqeXpztQB29jAafDFjd97Gz+NyBwuSty7K4mJ4sr1tH4b
Nba4xs5gXwf95FwP2A7uq7QTzwMYzhdmH1ytXj5vocvWL1bpqIvM0pw76SsfSBYTi5VfkfwRI5iu
VmwIMLG0Qb5+/3F+wk0A7k47S4SR/RpOxHxJrdM9iU7Lz6ruQTSPS4togGg6yiIrV+6kp/seX4qB
H5DAe0em7TdRoEnkqs2B2KrEb4DOkMiQ6XgDNy5K5aveNWPffPJz8nvd57FmAP0tbQf7OSWfPo/3
4F8qe5/2s1ZtLF2fhkuouuRZTbE12Gcrp4tobKkeDFzFK9IToZUai2mvaWZ3y3Xo0GaxBYX8Inse
TUN1heON+FeusKOt5Te93mm36P3PmjNcMW8pt37iObdz6/Ds9KR11TrxXeREVyWrlLXucRNh2kgO
LOMfOmAgm6GICBK11dfUL2lwx+EtT8zyoFXxNzXYySGh2wJfMYhTDblwU2DMJf2FpFiG0A2Z13TR
fUP6LUFhRzkz2DEUnCGSJeJ1LOL0yp5tdakFgukGHOmjm/lHLWcSkBYNITDMppsD3rhibWrSXjV6
7IRlmo+MoIriBzrTnhEFVOzd0NkK+XF1ZjmWbsxSCy6wEAugxNm0dRNu2CYrjYtURXIzBH58mBUn
0jRGIEeVNu5Lr1ZIQi1/U09w84RFhT1iHt8luidW6Iv0iwmP5B4m0Z1VRsGWWKLuZFSBVWxMjv03
fDATstMm0OawnDmHYVz0tM8iRR1tTC8Vg4oTon3si6Y+HGJ6Epi+CKd4hblAnaLumwWgDR5hzDuP
F7i/HcnxChNT9psMsdMZ4YrBkCLvtvE4AHFMcmIzAl+++M6YhURby4sKbspCVMmfAy2qac2lq3YB
JuZp5dFZrwOHVt9jA06FaDW3VGc+8C3H8g6C56u+VjxE6GDyZVcuuK8uQXKLiwkSMY5b3TwATuvW
qBW4q7pNHLNqqmquQDhmdNZuKx9mUmlWbVaOGEOr/VSwc9bqI/j3+VUAITmYqpzvRSbqeGV0AWtZ
J8CSE6mbNLfm9RgNzTEvEYi4eHa43KEkYzNCTIh88tbr7JziQBlDGLMHC3XhbxumUhtij+dwcqD0
IhfMvnhunCKnUNPWjhZedzBq2yaBUjbE5W1hALzrUn06pCl6ktAex3WsxcFjQRDyDja/gdmqThZ+
Y7Qhttm+xEBB8m0+aWcWtj6UuFkdFdsSXHNOkNibxm3L72THXyUYNk6B7E1slNMEl6tAlbou0SFf
CvYqB5GUjHVSULYXBeic5yHzlB16zgRN0JyK7iIhf8iH3Zvp30VZlsUaN64ryXnSxwOazgBzl9bu
BqNwniFSpow08zQ72X3cfSutzNUvjc4e5xg3Plv2Z2h9+n5K0LmHOiHD4MUlihYvccavdWYAiium
pS4QzS3RdcXabUZkJP5YpheaLBbssfIyj8uvTA70XO2JpMraXrWy60Cz1066l5UPXI4sDeda4aXZ
Q1IWX03ha0CABVR8zo0evpdIUAZ4DxUMUDNIbSfUHw4PZ0FgXhqRDhRPZg1EP+944eAmUz+qovDX
gly/Mzya5R7IKRO8CD3ROnYGCqIkLVdNIpzrOU21s1YLMs5Glv3bAdAWRgIdRFlJkZesbVeKr1IM
s9gwkG6ujJm3M9aD5viz+GoA3t9nhureROZlEBEc9D0hag0QZVIpc0MZ6t7JvKEsWwrGamOOds5W
1SwOzO6rE5OfeW/r3bQua9imfbuk35XCbKJ14nS83IOy1s4VEL/H1LTi67ik0qgcV1zF8/u3CJov
loYPIWQwsjyU51L9QNULnj7wKE+CpjFueAxWb5bARYqf3WWUSJl4dGMeRGHZ8nVUJ9QuMbThMUl1
zp3BoLVaYWFSu5gV4AXyDX7/ME7rGNX1rqbYehYdk8xOLeVv4NbPXi+LA6g9PVzC5+/9UqofvkIr
ACmi3lQZac5GOjHxVwv6mwwpqzgwDW9u/7mHQY39SxPhWaZP06j7AZL1z5s4B8SuKKBH7iW7/ZXy
UsFYqAzUtlbMOUVaTWts+94PZj/jHowtaFvDfPUz8TQRorBJHV5TGpEj60GUIHZb034ehaguGZXk
FzoBJy+mDXLqUsTQuC/aJPGBERj5WicwfZtKDmTJKdzHQepc60YiNi0R7WdZlMGJF/e8rSTpUXZC
FdU2Axlky5klNEY7w2Jx7zTHUz9KP9Yd7C+2rYUWuD9eFi71BtpFgjS4cJJoEezQpFAPxjn/04xs
vQoxBnMHvNdIjDqa24oVOecyWMqlnEIqYHzCbiF172wrFxu4wuIqR7N6ynAwbUeDVi8ek/ERZw/x
H4FjFi8seQiZ7QvMrZDpMfc8TcSm8yjoerlxiDvTV4OwokLbW9jirXblmD3BMgx2h8p8rCPbCDvG
jfnBwwYVH3JeJetoXv5FRCEVrXW8YdiwoKz7Y+hQ6VywN+vevMKSgqcgtVSrJxmTvyjhF8dVUG8k
Fz9IH8ZaO48UK/D4FFe0MfqerodL27e7JyIk3ZVZGQ7TZI11SInS4vI9btVPbPFVZUO+bVNY8cPI
W03Pp3kfzT2FHMSQ4bFPixevpW6fpSGe/amw0nWr0pFinmMX5ITFHeeZg8/Nrp3bzLQOBjfsbW6R
2wxZz6tWPrIYxt5+/QrOvn61iemkzipMCH2S82n1fntDB+CfFP65cJhottyi6p4q9nJPUhrWAY1T
/dIvNTU6+GKVlD2pKTbsrDFkvjkAno/LQ9tlVIuVZ2F7Tr3b0mqHR90YzA3WqfrV6dp0p9tUtsKg
a2EUPHPn9bXRPZkZjXzTFOKq91iSh5Et61fsxRAjUaP7/LPde+AsZ+6RTh8qAjMM/mOvz82398Bt
9BvYR6nKQye1532V8CxiAcM0hCTdIAR4wKMLH++8dZS3pO2YzZdJef7JmGhvO6InTrEh2mOq8K26
RAjsWh5cu4p9Kt7lanz02V6GkBJSgtnovJHyiKuSlI49xDE6M0IkfvjcpfMm9QkTJBXpZpTQefuh
p83RnfjaqGwEe1PirpB7OasK/fHt+7eWdsDwACAEF0ZdLOfAmpimLreqpJPlRQLOUdCkvjiNHLay
LTNksfpkbrCJ0pEuTUNKSl61TpiU3+pVy5mpM14B789AUTHUXXpsdZFDEEHU0k7005bLoVqaQcBY
6oI8OXUpR6Ya75ehKWl9ubwbfS8HTV3aMZ2mBUDt9r3ThsoDEG5a9DrAWFCj0n0ww073hc2LrGD5
eRoi11m9t2VarHEY7IaOgkEPh34ZoMypr7a5oBGfkuQH0nN1OXO7VSupYl4C8O1wKsdMDXQh83Mj
bFkCrcwD6kNehUPtyZtmGBmKwHWZkekQVSNnfhF7bjC18cwtWAcTo4/IhdIcY1BfITGuN3iZaSNF
TFRWVS6Iclk612buOne8aHRYtO7YPfUZkeA8w/Lmy2zZDCicfmq+xeTnbDq9Vw8V63bgG21xQBG1
1Os2jzU6qej43iFrhEKHPkuTdkWUI39TadJkNzOPOMvg49/7Zg+056XMicytliB3Tde+6/p7OoO3
xBEVJS+pptPz7c9LE8veFndtcahqIzrrRlGdRG0ukFPbP/l913ypDWYXBrooqLvLGGeCRHQ92lS4
K6gPPNw14ovrIqhfJIwtuCtNcEJnPW/rKeEQJk7TftMrixOS54Ox6ShbNx1QjD2W1OC0XM/oC3kM
d1HdXRRdwSQoSD1qjbzlj+MwVxcpotz7ZJk2Tk22vAUojF8Mn0vCngfiN5qofgW3EF97YOK3Rrtc
P7lN4cWTKCxcfk60TB3eywo/YDIV51V+Lid4EyhgeSLBlb5/fzcYPaM3sriTa49HPv0+w6tRc+xr
llMOr4opILgk4Ag3Kjfvp1aNq6AEvejWVCA2bQgBDOxShWt1QH05kShSi4Mq9Oo0W0N1ckyKh3I5
BzirxHPXTS2EgbmmKJpgW7M/Hh/VRHmCsd0/6eya7rWSNJeI59iXuvOJzXSL6Ejf6K7eRzFIC20S
XUV0jKtkWmeSQUbH00SsKC/zbYyNh5AgOe9Jk0QMwY296y2L6VONVWil9LF+KUw2Jf3ErA6UEiVa
T8FiuUQwmgz1kDgvF8/7Y1ZCu9/RsauLtrbjJ7opJUJllksd10m6/xY+c0uz/CA8qiUNwAWbeFTo
157O4y0ZuY/ywOKthZaL2triWtP06Cwn5hRmIcv0gPGwOU6iYHizPCrx7JubNrfyawjB5L65qcO0
QcNp3gS8HxJaVe7Jlqlg1XvqEsWScW813vDdqyK56/nqIekn3Lis0PK1KGrxtStbSo4GSO0BNgjF
oyBFzcSUNY4OR+093tX0E24VbOwTnadOFTpOzReqkswOB6lgcRZ6HVC3DE56NWlgRMKpoZyo64iw
MUJo1uPACVd+Pl/mJqPM9398vzGhxfCKAWzTfnMm3qmCl8qhQol6I01NbcuEHJEanwVUK7s5xp7D
QwaNfnxtC28myNFJ50vIn1TCk6e2sst/DPZcuxvSw/l9y4DO68SLbdIRTO0Sui4bSmFhzsOOBo5f
PB28Ipv2g28/z6Aa1vMyAe9pZDeDs3Dn83rwj33U179T/H3Ujf0ceWOIArDqYHf0gmXV8LdVwlBb
dSlQIuztlOHwCpWdc+25vbmJ+yk6sq3UQ2xwYkNYsbzxEJ1vss6x9jPFQQyF9MxWuzl2FhF3GHKb
L8Ng29djasoHHgnz9p9ra4P9ifhf7ezPL+sjI1rojmAIP39ZhE65N2pWtye7QCfyqHLv4IE5K93I
kmsNCQDl9VKIGkQv3ec9PhadUcYxp+Z5zQSj1feT/c9f6n0r8fFLIb4yF6U8Cmj7l91IPHAlk3bY
7eELNFxoAcKWzh+a0zwRz8CmOFnTvc8bZVnMJqKBIVtGEOHOS5ZOzh7zczZxUVmFy9Mgcuo3RO7e
re+CoOYpS2GotTWY8oUe/8/f/N90KosCdzn7GBoWs/PHc9+aQGBiHO6AzM3mGAXMbZjcUz02WdPe
FsvwdbaaBSdALdIp3iIVgbwRCbjOn7uX/64qf7eqxGFLA/kPSsDv0/95rtv8w6ry5x/6a1Vp/MFa
CUs8CjvuX7bGf19Veiy0bJZAXJwORN1/7SqR+kGQ8h02ibjPkfNy8v9SAeosOIPFjksL6+BOd/6T
XeVH4wzliLPkpbIOdeBi4tz5ZJwxRgYz4HtqvHkMz1d5FTvXVjuJK7BLvzPTf96L/skJ1hfFI3b0
hT/994cZjF9tbnyjOnjWBABiVMYVTWHwqDgCJybOv0Owfn548nm2bqPl11Ffggv49NtaDemj8HU+
D8pCHE46u5Mwk7MBcc22DlUPrW9jEUx4j3LCvP/bdXDz67b0o8vy/cBSr7u0IZw93Dqffmyj6Z2s
u7Y6zG3fv5U4VIluMUbaCWOWZxnNwWNk6r/7yf/mEPOiYEOKe4Fr7TOGAVMunZvv0fqxa77JkZq8
jVVJAHuwRFbHuvqPPxBds45WlU9cPNqfzY2ZrkmmuYDfEybCF5jffILB+mBT+pb2AmHRff7nw2r8
clyhofIsx5cecHDNd2vg396IqkOkF0dy3A+1bPJwcCOw3TN2OCbTeAJ4eQ+pceUXlX3wVG6cG9go
j5UQHikPbj5XYcwz9Nwr08RqALx+xHydMGqXgfyiTP83VwHKxk8vRW54yAvc+6wR0O3+IgYo2QZk
ZT/sHY/JF3Wp6UQXXVzozTaueXqXDd3P0agTcHBhh6ninntQnRk6t3u8lWhG044Q3VIJ5zW2utYN
qWW5lrqIiMRy9o0rAm3L5DhiIymh0ozGVQlWlwFm7pDzPpDryWwWn2Y4KXP2t8KRxpXWejBAB08H
+aYpeTZ6F+0Z2OAinNuxdr76o8VqEA2fHDdkyJnZRWstYbs8Jdx16o85pH991J5YdgbRuWnNlksO
gRv2C69TGklvbHkM4ztXqWQgZKRpJi/RE4/2razUdEKPWKQr18kQKwW2jWZueRC0ip1VKMdO3mgT
1V2AsshnHdawlctMQe2lW4cl3btZyZFVoV9a443edTWBuDR06UrqWbDBouq8+q1OdkpbGGZYjpF4
tpYsFa3RjHunZ8Sbzin59cywqkOlAvns1j3ZLsge6o4j68jzYGPfgmRpT6yCOj4wqNLo0cxycrcG
f3Je3zNbGLFx3Fr6rCHgpM3QBR+nZnZeXc2VZ6qOYNNYrA62qk4JWA+kRrHYjZE8/7xWk4w93Cqx
UhZzaS6xZWY1nT7eM/HM/FF0u26C5QU6QOXJMfCitDzkjdaUuLEQSgwb1pTJE2V38IjtVLHyYVMo
N5CIuU7GyrVff3Y/seDmZ8p5ClQbPIqCESTL35QrQ+ZCY0oo64uWpB1SkkQtb1BaMGAYaQEhvpns
RNGVIIyIaxA3LAFbTlKQMIQi1JD+dhLLb51sqPR+XMOZXY4/wkZnZVEwb5Lc89aBryVgiKpAv3r/
f/ooIvRM6RnPjTnZa/zW28Trx/UEfXg7NB0XcLLcHkD+COXouiyKLowONCit0TTgxpJ+cMY7bbTQ
Kn1LJ5Kp8PXsqkchJvBwYF6Ud8JFGxhj7oawui1Ym4aRpfEHqiI19AOkKG8kEep/2Duz5biNLNr+
yv0BOJBIjPex5iqSxVGUqBcEbUqYp8SY+Pq7ULJuS3SH3H73g+XotsiqQiUSJ8/Ze+3CKInfaLvE
2GukOzS+IiB0DzR1HVLCKofIljIGvHptzYF+oaMxvg3aaDiap+2c3I3asMaPLZc/3rdlOexbKy7H
1WxmFZGr5AxU8FxXhkMIpB21T7RD4+2UkOgblnSdGfAxamim4ygbe1f7qTzTFuzXwzAeQohUV11U
TU9uQZBiXIdEz3DgOdtOBlXCi8Un9BTNpo61u+r0JG4NnMwPY9y0qHDDwfnc2VkAzFu2I12YIJmu
BtoZB6JfomLVm1ZFRVnNZ1/10RvUfnF2i8Q7YXFzz9DO0JH3TE+ZQhIxs2LtthXSvWhp2MzdW5DE
HPRao8f6xeJmHBx2E3HX9tDSyve88FliGC03wrA/dHFEzI9q8Eh66TllUmcfmlGyZQuP7vBKmYs8
VWdETceC/8HhrZ8eFrPchMK4jBOCrBjPjzPtGk3MyYsDC+O50HGfrrzIL5yVMwzTwzzF4TMOa3Gu
bTqzaHvJp8JY8woPKXpOmetfFXRpnlLDTD+maubGugSNhybwkIRD2NGvAxLA4V+XGx6j1ZNLpC0p
t+Wm5WNEO2T1vnNyIFEGH+e2Fp8LZRjzcQaN6h/xIcC3Wou6nXZSCZWdmNDL3+docNwtgZKnPKjD
azQb0R192fgYITfFXts855161cW07P6JeG6LoN+kPddpClL2eacWySmoautzb5CFtwYkZN4AyvQe
QZxnHgjp8QgK0hg2xKCKNfeld2UTVO3vgtIqb6feokk529Zzgch8A3qIJOShoOlha6vxkJmjYwKT
HZbnEuTW77mQ/P2aJ5b64MSM0n4P/DFRq6apw2o3+6ijV1aU9TZ53plxDTu+59IVhEvNnRN9ooVb
HRKo17deTHpHykfaezRyszUzvPYFSCi1SE3n+1qOiYFqduBrbUiq2CaQ79gs7DxSZ+W3+qjRWp2N
SfNYgBlYAPlw2zfE78E1ue9sbxmhEChIelZKy0RugeAtS6mno7PBUUEsqRWwlzaXmMU04PcMEPH3
MHrRS418NeucCKqI7g5Av5XnAyRMagjfjANLluAkIyRHeZ0UAKkz9ns1QOyLB/bBwVkc9vgQ0ODU
ubFO/cUPmfIwQTzm+cDNJS/vOmRQ7z3Ncxw7EV0ZfOOvs07Z8C9boAdKTBGrg7d5pemYxndIlkga
6uvRvh773tx7ucN0EgZs+1ZKMjSwdShWBFQYB5UOz8c2cdinCyfJ1WZBsxES1UGioGvOEWX/7W2J
0lH5volTKonQWGIjPcVu3+RKHaDaoESjH/BU+GOwFaTd6ZM1WvgJYCYV9nQj8DbKNSbr6mW0mpqe
jzPwrpOi5rOOw8JrLnGCeA92U+ctTwuXaOUCiXPUZMxxfXPwPLq6tnvqs8XUQyKBfgyNynlxY8HG
qpWRXkO4nxiB533a8sgQWIG9mR4YshL32p6l37IveuIxrwzzVPex8bVTTbCP+zGYYDTmVDmJ4QXP
1jSyLPxc8SRvgo6eFoRcus1qGUwrD+g97yRZrigxsSDtHHSMjKd8hwemYqtCp8I3yjCZrwksCJqo
lq/REA2nhs6CPmtunLY2EtwwzCgXmq/t0NrSlJaPrsRA+DjApndrxGxxFPsPeeYHLo+qOmCixaOR
vPgdcEMjEhieqJaxsIwd+YcIbh5ojTnbxLRJrAzzIoGswIAYkb+1R2pCDeJZsXnC9x+fJZOeNaJk
veWfZjOhEjjl6Vzf8PU3D5XPzpLBe/s0GUFyMrpoyZ6OefRov0B6g8RDT56xg9zo8Dkal/AyOnOm
F1zZGj15U8j7yGdLlypiiGRGYqNmQRbxBI+lom2KhD0XD4wewfVShhB1OahkJTIqEhid2VdE287O
H6rwEMxVkaA0AZtkVWSssSt8LVXz1cj1bTDZ45F1TWHQNyYKrNq8dQo9bAYTJRSzIeYcToPlKQof
J7fXu5SH6CYlOmA70cGyoTDdTMRQ3/Nt81wup/zEk6/Yo5TCvWvIDgOxu42C/IZM83YluVS3pq6j
DzVJnC+qsuS5Goq0WjMXpICcmn0e5OXGHe5kIR6o/JjDA1z56rhopaRE858wNghSkyAwb7RD/2Ck
8xcHbUZ8ZjYbZTs4JWO8Kfolro6KYKjXBk9gXBD0jtlBYpMdgucVu2GXXjKajaMLQQcFUZazSIuY
3QYjCityHhZxQAjDpL3T2ZiC76Ps/pvmkv3+VLLI12E70FhYNLXvj/3zYKWMC2R9qJ1L0Q/V3QIM
yUr89XHtL6cf5NboI+lloDK1Obj9fOQPwrjr06qrD3npshn3HiOKZkHGr+xJVFeuvRxdLtvhr1/3
L0d/XtdDnua6nEzJRFk+/w+nRI7kuUyrqT5Mae6+dgbkKprtiIZH+nok4BWlfnBdjGGgMZcq99ev
/l4pzYuDy+JUzA3Om3hPadNtSvdEuNVhdEIOILOvrCd/2XVTr2W376KaP02YXy9yqbzpXrK5X97C
vx27v+nY0a+zftmxuwLj/9r+2K/780e+u3bt3xxk7nQZ/CWf6WfXrvUbpamFut+mo2M7NMC/u3bp
Lf3Zn5PubzjtfaIWlkY4CIV/5NIV9ruWDrlfAecYqH6YFnzrLx26JsSAlEaTe1UgfkJTSMOQ2ZsY
NVHIoJNruELet5jkDIJueK5KjbBBOaahgg05Kfby5GyI6OCMc8lbNuZJkQ0LwQdtRS8HhsDeJaI5
i1nR3q5QQ2GP545jCzJAbGGjvbZbY4GEdW1euNeD3bR/kEh639mJF66FZTBLjl0PYlXAkaZtomV2
oh8Nn9CJa5jHCSz5QJRms8K/T4aiJVRrXmMWzB3i4U3Fng2/rz0Azuybu9QIs0fVhMFLm88yXquW
EIO1UoiMrtxSgRSodPDJwPlZ8RLanbcT/Phkz/iM/VnqkjCSKvFvIXa4Lw0e0o0RVOPnBAzE3ex0
3q7q0fQnMAM7nl7oH1eVjA3UBJVR77O5YMTV5/Fnt0XWb7XSqoDQJMEfVeD/kU/67JsqveD+9BHm
X3gz9K68TZzEPAQBGZhdKoP1JE2efYMMGiBATBjXJmE8PNSZzmGL8gLsAT25Bbkduno1Cmc4lMZc
3PWibznAFOHRUnrcz7On74PW0icDRZVaod6GlR+GyODjPE3eWA/OfYoAnNyGyjJu46L095PjqkNb
TeJ6DLvyKcYZtZ/9vrqrZttbDxOl8dr2O+uGut/6aGAbtlduY8lbhpP9hnq2wu3neUeSaeYrykke
ykSS9FthlQif4oE+Eqa3nRzljL4gnSpCT5r5s6GLegdsy9iTSjAz1LXmP8zC8tBpi/pxprdw7o2m
uq6MqOc5TSY3R5PZHYTYTQOAfoSq3//dZZY9xDcGTZC6B/NNiBwDFtpEpTph1o7G8lSE7Zjj8u7C
hvwlSxlkawofcdmA0JEkcPMSC/7vjvq/pE7CO1rIAL+egdx8mZI/qh931T9/7M9dVZgSrMHiu2Iz
c2nLs8v9adgC4sauKnFyYdYKcGDxn/7cVbFlIdSDdwDpiDXHk/w/uyzhk9ZCJJUi8CDB0V//B44t
5109hE+Ll2feYsNxdQPHfjcqQB9BhBShG9ccHhL9aleLNKa0vc5mLQVkYq/kCNNNHxJZtYVxrDAq
O4oAVa88VPCi9y7g/DclWdxrw6wxUIBVn6+m0vW+NCrnmA7GSc3NoewiN+MQl+Wjth/B4nBvYrHp
Laum+4dIhZaMxlTgbLOZ+O3g1iQdxLsfqn4A58fxCu3rI+4SQKLuOHTmS446iXSb2TY49qi4ovV7
SnxjXE8+bl9rwLkwY6rEgDLF1+5QNrX/GONKqkYCMGicYdQp7G6mkC/ron2i1+yKrZ/aMjc/Jo3X
MQMnYsS3EHOaRWleJVgQ+u1sNtARWrXzmlrfIQUsvfVC9OZHXW3Mn7HveMm/fskv/9sNaAbU1b++
AQ+vRd1ihvny8z14+cnvk0jzN3ipS0ViutYPU0jrN4cJOZpYkm6YzC235veqxvmNu5WYvgBv5FLv
UFl9n0Jav3Gf8Ne5PblxrH/mmHx3++EHXTh6S1ll8i6or34u12265VHjo37JSidey9kNV1ALnn+4
KP9lIveXUefyIsw4F2akx7/Y1H48E3TVYNQkfzLGzwhynbx23sTe4K1p8nfbX7/UXw4AvNSyn3js
JAQOvierVEWIVDDiCTkNCXjmPMmuQMrB5aigMS0htodCKAPtMw2EwNfV37z8Xy7n4ntd+C6C8PMl
Qe3nT2rlM9pH12pIYx6frML7SHzJ5tefcPkVP8oqONbBvAYvz9SPadz7A6RShNmZoWgIehifJkc+
twGi/559nLi/5suvXwxu1l9fjrqb/RnfC9JOc1F1/3Cek1GD0h781sGmT36KskJAkgmoaTMnLE75
YH+ww5H0c4wSnYk9noYh4JaAba3IVKE2bUXv3LMisHIxFs5jP1KErYdqCBglQfiqVi3BKiUsBlEz
8UFFqdIAQ0payN+tFHM8gQdfS9vnDKs603rWS2CXoQPAFxkam3Pc9NBR4kxuelNPzzrFjZO40RjB
TfQIb7eboKCbnEcfaZYR71MoeR9GWBscOKAPLiG4qwGqIx6SLjr3OIMYSwSgeKiHkYU6y9Rlno+Z
H930qTHsZFF8hc/2UCX2H+7s30Mfox1HctCpNqfPEXZ+XiJ1EarzOzFvzHSh5mafNQ5RM6Wgj5WO
X1QcNEcPaU6tXQNcQqUI90DdPlaje54mma0Dww1PViSfPWyLpzSGxdC0HiSXYfgiXSN4mkjU2WiR
puc5aKKnDu7Auge1YwZDtPEqmk8YCQfkpXm4Tc0pvilb5KLxAo6m33rlRKabbUeFjxKXho6CY+en
/bRLoMI9NR5djxhtBbC1xLuuCW00r8pahAKNvFLuByicxsc4G9QtKkx+jz9N1hNJqMNVrpL+wLQa
NaGC2sy36sRXYdEommSmg/oZy2IBmoIOFnlHTUWzEcSL2NIPtXZDkpvPBK4wyB5gY8AgtvqXPjEb
EVHGi2tj9qInhh/ztkwqsQqXZJqYqVO2GhMRQEWgI4UeXd3Xc6nu6CxeM8eRL83sd092L7NDY8Ti
RkzSPUCXpYs2g23ou3Lal4V8idFv6lVGOP0u9eR0AJkZ3EOYS/f4FtTNHBnVXZ+D/m17fUPzoGYy
ifVpR3HSvFTukjyXuKSkiclBMx3Y/RUeGNw2c+zeJV67I1SO/mzYeWIViOgzSvf4yI99nIboRHo2
DcV6vMde8yFFvAqUBySTXWBkAAqbrZKYjtZADNy9EY5ib0kOPeA584MuOvvowDm+gvZDpwsfXXUL
MNC3WNHMKcgIicx7GTb6tTXgAeXcNNdDlEKCilxrL6cAXAbxNiD9Cpq1Wdh4m8ZseLUokxX3i2EQ
ZoYjgUSuWJ+WuO0XP+tKbM0RWU5hOF5NaZqCn2JC4gYGk7jBxLySFZRAtsmwM+ynNdYY6jg3H0+z
FYvrCcnILkzdAAlila6LDMm268WvMpQfAzFrNHad+ZAQZHWwBonkP7wmxi16zCrTZnDFlZbJfKLf
zbQuJJCQEqzbhMhjN4hcFq1eShhYU9+nTZhvymZ+A3jT+uQWZhp8bjQcQ85CWwxj95Pud91URYfU
YKJVBUDfZiSF6wjr3gcFdpSQm3Y0NjVxyTtyu+RrOyAvrQgt2jJtaupIPjGmDNalyFCclN7Q3vVG
LV/Zt/1jUowQWkQMx5uIACS0Pd+QY9fzOcyzDixIiJu6En5OQJQzH1FCjLjzHNqkY8uB3V+YMWG1
zuvQ2hBmcY0ufB/zAGCwbkITjRaFeF6I8twW/jEfrA/AT0iyDkW5jnx1spVvbObZALyVGf5NFGZf
QkZb67lpt15v2a+9ieeC+f9wW9tMv1YOjfMNW4J7m+h0ug5c5OxuYUHQ8pNsU43z+KmaRgl+VfHK
cJm0XsMdLKeVUU7pVzhN+UcAoeZTCHv4Xs6pu5E5iBbB2Bt+o5NLJitxtyUitOU+cae3otDG0i7A
soCZN1Ne+uzETnkg8r1iPKvyHpMA/tDUZvega57v+9mzrzF+jA0T83m4LVrfID3HdEmU8f5A0hUB
TaOzSrCgkx791PcWUpTYl05SbPEMAZIedHKwMmzGHEjiQ4/f4IqAGOfgdI5z6xI/wGg8inBfbosI
63auYy4/ZNQPgp1rAyDB33GR8ieJs3ANebDOVwZH50e7cbfuWBQf4RXYn6fBjc8uBsmPbSlhSSdE
FaS1Uude1N0uK6DcdDjxDnaW049wWWQ8PL+WmOUwjCmsRVHYHnk+jschlewZzVR57lUnCm1hms3b
/ltd8W/f8m/6lpJ69JdF/kfNuKSMfizv//yZ/3/EtpdzNFpCyntTiEX79f2ILQT/iWO0pP6F+Udl
/J8K3xQ0Kn3qKoCD7Hj/qfBN+piUkFTkOMMXlMo/OWG/K0kXPKcpbKgsaKFoq0rewo8FHJNrkThh
M5774i1q802c//7rGvFdhfiXF3hX86pJ5kU98QI+dpwYe3UfvOLJSgK8UW+/fqlLGsMPxe/S3PWp
q5kR2/QK0L/9/GG0aOlcwk67gSuAhoXxjWFxkNLU8vBxnc+4UiOfCAQCMs29iYLGmPH1ODopT6Y0
m6h4q5rK93BrYnHnCLeHOmjutV/2XxKOaUlx3Ss6rvaV6YLCy6lMQ/Xko19hYGJU4ZNuul1qJc4J
uZ+4S5uKhiQlZ1N2uNrw+PlSOXDFBtdgBx9pQ3YbJy+aOHtsAhAgCqFTOXgEm1egMagXND6tsrdO
StTJB9K8+6s8XAxCSDTzcVdQEcniyuucdONMLnoRkTnjZ57jtDGMiEYn7US1xrxky1vb8Or5KoU+
YTySWMDQb0sqXBgYRLtmaTeF7L0qafeXb+TfXeNvdg1W1XIn/ao1MLy+vf64afz5I983DcGmQV8N
hBInYojC3DbfN41FSv99m2DwQeCQ57mWjZzRW1Cm38cdKJWZsy0Hd6S2lOPuP9kmuId+PunRbqDT
R6oT/QCSh/6S/hJ39jSUqiYXgWxhXD22gxJEGArncg5BAG7aUqNWJ1cEjVhVohnADEbtdnR9HstW
2yAPMXvrkxPP2bliscVXzTRIe23VzeRsuLH0MwPd4VOXcS7sIo3ZqtbWtA4GH2x03aXwOlyIKft+
1OKhx2D7Ug7hcDsrQMb4g8qxX2Wz8oh9AFW3Swo7O3gwCcCmZUO/8mrd7d2At7iqY+Ke4T1VNhE1
GpePrbXn7uKJiMQD/QMCSAEXm9Q+OcbnXGfZW+MZzW0SOUOxGsdiug2xdyFyARVibqBr6Az9cpJ5
x0ore97Nop/qfcuj2MQO6NTWYsLSdw3uMX2MAJSmG0qbyTj5vMEKWdAM/aZqcELcW35d3QfIXR5m
Jgi3DTg/HOqw2scYe/EarOuwT0flHQoG4w2VTwW6I5kQnSi/z0iSsNXU1Tcysz50dd15M6w/yERd
cwiFgyaoCDk3envfKbNo56nEnEGqgqQsTTTm/gQnfi5Kse40Ad12K6qeZOmowY2ZknpQgmZMfIIj
J3R1ud3KhwHr2UrRmkRI4SThMJ2zZrCDcIsASZEsXEWqQCVS+0AapS3daO0YcRreEmNt7IYQT+u4
dtpOsjliVPS6a7ToAzqhBv19dTDbUYRXlorJCmnsdlgWDs2oeUqdeWdMS+BSVrh4vU7EU/c1HHgc
SZ2EH962wzgX4BussRWfojC2rPllSggrV2+4FLsCTiGN3Dy8/3fD+996obQwf7nhXdDM61dV5Un5
buO7/Oj3ZqjzGypaIpB8kG+WdZk6/Lnx+TajhaVLSsHCYrOXmuj7QAKkM50v6TvkKxI557Jdft8H
5W/8VbHEZAWUOgHD4X8wkKBJ+PM+SGafTX0RsAFaPtMTb9knf+h4eQQgFSpvU+yYizqAbJjY28xt
hOjSGlRABv0A4wsQiRe7x9DSGBrR+wUk1c9tX66t0SVNWs5TkW0rp4qag5FXRJWtavwA5spEE/pW
JOjwMObZ4Fk6ceZkZB87u0exoC26CXntymUMyGlxTLkZmVlM9MZmzJwBiIGXcjFW1uaMnmIgchQh
cIlbmths+/WbDD1AWbvwnl0XtjMbzt7CbKzwshrLj8gQKV2WJvrOalBz9qSPMVusqRlWWMOmh2hy
0HgmYvpmoQ8zDKActiZP3UZWmVWnylGVf3IDr31rIeY/5QvxaCVi0oZFGSEvr22Iqhroe78m84aP
UQeLLtqyInUwhRRPy0zo1bOmicxroz/IIZYgZhDwlRIdcytN1OBu0QrCfAmPg4kWhc8pgQAJp7yk
ZmyOQrPdo+9q3zAycwVKu7KekjZH2BEujoRJKv7aRepSICR+1dGiSOsj3gB9U94tgbvTnSkjjLRh
TA+vlyDWVjw++NR2xmv6mQSJBUYtJCR9kQP2oynPLsbuq5KkrbOE0nPtDyHo2zGZbtIwGY6yCrJj
uagy0UIt19OdwkXoCGjC3bCu+X++faE5ud0KiHSIeK5fvuGLIJCvtG0/ubDhJqR5AHF4StEIBcaQ
Z8k9BgY+QqVTfkuN0Izqr81R0jp5z3UZ04WdF+MXR76mbSyynuEhGWYnZMi9YFHNj8ptbcDYxWxU
zGvnr3FIsObKHEqcQPn40IHW3WmIAfY6D9Hcz1ab3gMVCmyoDg1J0qKwnkr0Zy8XqW/lFCz0bLL7
cIfCi98ENZ8/0fnw3uJlEXUmz96Ysy0t4G5gNVgKONcqkB0YrYsCGO9WbwOT9dBfkdTM4gNzHm/C
gTHfyhtByXh2MEZbs6vFOR4bbkIvmPiCYVgjnPKDaBnppTXyyTINFh9VkOPGwEnBemNyHlxXNSKl
g5eG8mggOpBrDcqITufcI0UsMhwB0lzAAGitWTFggNu3CZFcRAaywXc3LOsEowJGiEWz6csOS4jT
Y4EQLb+sa8wEQapFXiGy/r0eBsjtiwZa1Wn4fFnCF4mkzlq6DMvNni6LNHRRTY+y55KMZNbcTRG3
QjFjLLGhamQ72JbBM2NYLlwHkUWu69xf/A+Lb+SboOtyS4B3Q1ebLHLKi8SNh6o8MidsXmYPlWnj
1AsNt4cOZ49V+GwszpFVjQa6WhGGAKFAedycUOCC7Uyvd09W7TjQTS34OCZO36Ql3JfskcWfQB3K
AjMkN3lLjHe0vbgvLspebc7sIIwR5NGLIfrAQwmu52YhDnSJ5jdUtUiXKGMfU0nvtbHk6DRE3sZQ
rWY/jeZgY+a1d3AdZe6+KY2byUBXHVN+wuXgMshJReNubnVPqCs3BXMqBbhghUp1eigszPsPup3q
myglOzLR+Eil5l7OgsVvXmYGxihivBGB0DU+Zhkd7hRSwZPJKOWpc+qeK4js9oGDLH/JirPmJYOZ
dQhoxu7DLraeLtY5l+lxCGkNDftjG3BERS4JZUTOfOApy1hRRmDxReFRF08h1Pr6FFUeOldZFnmM
egK/dApncd/boHPXw8i3lJMO99omFluzCDVrCmIkCxx5DV+ranPn1RwD7vCpxC3e9BrUAInb5OKo
AtNPAQMq24kW59eF/0FcGHdEAQ3ynFSBeCpw4Cmau3UUbgcw29yJAtrmyU4XySO09PYtyipU+LHD
6r4Y0pe1pxJHpFd23RPeLjwsU5c1b1s2P2TCUpZrq1nWf0/8xrlPhuCZ+T6mARoavMQwiqa7HxpG
3zvC2tjfkPn6mzyWy3oMdAuZv/GDZ0POfJHftrS0Feg1kfSylJwQZ8Qx9dvGQH9ij2pbC0Pc2S53
Fwgrepj9yOUlAXF3ueOKwbeflzBYEH6No+LdZWetqhgx9gi971kksiyfxyjS2UcHolqyRgHEGxXD
mOztuHNeA0J0tjAVinsR90u+J4lm8RQcVU0+KMkkOPtXOlyoEkDJxHmcHTaynPoBUXnl13BY4rgU
yLR1rA9sPxJyjIh6SohVVDEmAbkwB1cFzgxoiV6I6QDhVZDfz2n+JTVxNvvrvDOiZx6lCq0CmtyT
XZrcNVmPbQylA2emmC0Ga8toOelaNsp9q8riuYqEOnFA6s1xpf1xog6R6gll47EKlgdR65b5U6Kj
+opnjH8nyGkLuXcHuVONRKUvRHd2gKNftT15O4MfxR8SEt0QzZbh5wbDu2FVDVU7bErVeTQbUu4B
kohEYYyHrtPHNu7rKy8N6AnfmbFd4fTuPpYNXgbGEjvD9YI7iB2rtPAeQg655keNuN/gOVEVbgje
pSrYVemjYHR08VVzhNzUGEbBOVhzSTIr7gZ0Una6BvRRHIRogG8AqPbXcOLlLiutIQBnDh6mn8aT
k5IZvja8EUCcVTKyIApH594hYFmqddT25FZZXhxcIc+bb/2p806genjMQfzklIWoD56L+GCLobox
TLe8TebMP3lWyOoVCJrd2K+2EVAqpNv1hHsu8/orRWTFDSZDkyhbw5lec7tKwdEUH6DoN/l13rT2
fZPF5dbo2tEHAqKCHT6/4Sve8eD32O9of4/AHecFH9E4XrLxlVY7baTBwRyaYaOnrsDYWU/xmqRd
vJeyTW98Faf6huvlvqWdX+7mfgx5jpOmECXjhwA4wY5YCrX3wvEzxre1k6Te7xFJYg+xo7EH5Y21
k5kHo4540fvW5LK6QelunamY/kh7SB6px+B8bNsbP4nn+2JGvFd5fQGwy7D3IcDb6zpI7G3UtE9N
0DNJJQXRI5SyaKqbbg7ZorKC+mQE4BNRN5z6AlYknlXj4ARVe8yC3r6u5GyuuWjlFn4FlE+XodPU
ND7wP9QzKTsWs/siuwNuzFzTPxlzJm55CCwQ/qEEGGK4x1xJfR9Vci1LWR4s1DF7f3lCSF0DkIfj
dXAyvrCWRKyXFoHAhj58cDOnzn2fFBaBIKX5kKnUv6503n2wQFtcI6rLG1xkHj83Urv+3g2wnjch
p8wTbqtmnyZdBa+gQphf9DTqWN8YnEhX8AHnSuJy3QYEFz2XTebbu95zFil9VhxH0/NejazAJrAY
NYQHD3FQql3I7Xa10h5aOj13/d4EWLV2sICu2fyjzcwIex9GcXccSuetjiN7a3VicT2ZCyGoFEed
KvkaKhPGJr2L6RMV8ZbqWlEJJma50ZmZbTum+U8hVOQzO78qtsxRccgllsdJfJL7ImbAiexR86Xl
YryOe4NxZS37NOjZSFBSN5vOMR+GMcvFNnJypRcJK8f1hyQUpN6JtLDzgze3Q/TG5h/t4hSbHF7Z
ehMaQwmCB5iiWlWRDPedGxtsTCpxD37Wj88Gow/AD25oubBoBFlmdccJJG62CLiqm6TlvkhkNz7X
NJyOs4uRL8CduZvnbt728WIfS71kB2HS/DBGk88Sl0VlG6eEIT/qSbIyEJNi8I+ucWSe46FrPxpx
0F8Vyr9xsxILDNXAY9Fb5qdgbF216jm7dKeswT/ysXXr3jwWmRt0J6MRs9Uf2LWCHbK7vhmxvhpU
ThEHN1ofXYBCuEbjsGIWXPkvIbg3dYDrO9aa7VubGPwcgWlt76VpNTtrK7cNcxWRxDFG68gxe/ni
xwVPXatPtbv2LzQ8D3xscdXghml2TEIx35hOgbcVEh4uLqenBo1VTLVVji2FiAsNFBEn7iB9Mhfn
u7ZG8YRdhyxu8mXvENd9177/Mf3f6As61VzzqPoRVC7f9RA5O3Oex/jiLvrrv+rvPWyiiD6a+FC7
EQ9MpldV3oMhop81sUnLtnys49y3j5q4X443aPqyE3CmAdvvEBCisRhqTVNTvKM34TEtOqpqI6Gm
i2wS2HbJ4uzNw2opKZajJ75WLFhGEXJ4y/BXgdmlT/H2rUZm/oqfeF4OJaWup4c4XIy3QzpDbOGx
8pqUMH3LufUzYK1eTUH2QwPkv1yOd4HPcFkuFBEbSB5hbS7xcT+3EgA3NonG+bmXMSSclVXNGF59
0jWbNdml4ol1GFzjfR+Mx9JaXJFTEfO2dNLPj1NANsNjJElxWTszGLCUfhzftm3x50RUd7S9nFal
tXgaRpVyaOxHTKGHKuJADhy+HqJtNDTqMOsFREAAJGdJN9MMXxmy/N1s5kJF+WE2w4fFg88/EgMG
9t9lCvZj32QIyESSzOkPJTR2tcJC27eL8x9NhMLwzUeui3LrTm3zSudWPzQdHYYm5gSeVJN6KGh2
/vry/xWLw2qkxy4X0AaxU+85LobTGHPP0/6gUoNi72INBwAdPLc0ZrgIFwfgaMEDgyIgj/XAqQC0
NK49QU4C7Pq2Xk5OGB9//caWr/3nK2U79L8s+kxQpW3r3bJAhoPzqEvSQ1gFrF5SQuX0cbZhg32y
NUSFnV0EFO0VNujMXY0LHO3Xb+C/fFdweQgyFYi6JO9iGRr+0OMCvieq2eqigzNBScAQveRI9oEI
rbNAGhtxJgvrfSKTOLrq6nAuEcC24TkqO/Hkm704I9Ph8PXrd/VfLgtjUHgonG6Zir5fQCVgflKo
7GiR5NO4AMYd4deuOLotA/11R7xjsemLmTOEMUT13/Et3gvruBi8PNmKPlNcLs672WIJP5DcIJrt
js7pGKSi0Uz228YvUr6QWDuA3OToy6fMC42jWPywpY0Q/wpXRm3d2q4esnllZl0UHwhQVYe6Qdf8
9QI1IAuFeuRyuf4dvf3d6M3iS/phZW1eu9f/803Pe34tiBc8f/ldvbbZzz3obz/0Zw86QF6LrBaX
KF5hjEXL7/s+fDOXYT4ONpeVeGH8fG9B24uQnpsFC5sXeJd52/cWNGvlH7ScLX/ZGn/YEBjgISVc
hvQemk7MT+9uxxwXOT2WeLiWNHlxYMyZogWecSRqUo1ey0tsXRfHZAjjL9RkfoNOLRufHF+5x3bu
wse88MOZPCZp3SiRureWat3rCSGlDZ2BCbDV5jEHIqmMHSjG/hNynwKzt0dRPVhBvws6Pzlbky/X
maNQ0CxpWpy5IUc42pHnDrgxkRsUHubgF3dZZpZ33Tj2D5wXLJK44FuDEBnHk20wpFpNYCM/maDS
n3szNqwVQULBQ4404EFZ3TPmeVLmfDHhT/eiOxc26QMgR/UwURVST/H2Z4gGW+P/sXdm220j2bb9
lfsDyIG+ebwE2IiUSEm0ZFkvGLJsoQcCCPRffydkZ6UsZ9knz33Nl8waVWWDBIGI2HuvNddgcPii
x0smApLI3tZGcthMoKVJVucfOsAmT45TULahMUVoNkNSqWshrxH8xx9r0P2Tr1Yp8dhRr2+8GCOz
Y9XxLZP0dN2rJjNHhYi1S/pK+qVbyzsmWpzmaYY7zcrsDd1XURh9KNsOWaU2fs5GEk5WRp/JHSOs
5JJoREqxUljyMSnnAbw6v+FdziZ7dIc+RiMUz/umwHyxiicjCvLedYg0A5S4Suk9XOseMwYlj05D
lqYbh4llMMdU9hLA205FC3o5xmV3CWQzOcZagZavJUX3TLOvo+vqZX5rZ/qJM7ncARQor5xaHS5N
WU47zmbGE0aCap96WntGRZyjwcuUjAQQ0TLOi3X3Ahp7dzVrtbqpNUcJyjAvbxQatud2MttPbPL5
C+oE9YPek+FlZ2OJ1MpSjgbYe06o7QP3Skx+PZbedS3d4oEo6X6juaIMylZX10OZzVt4r8paMZrx
S00ZedJaUV2mjDJ9DyJvvWIEgZbPUzzveaEUNwi+NFBwCslUSObyOFubdhnfkLGnZtSmdUtyVkHT
Vq36jYuBg/av+dTrvXsoMftuTcMSR7NBLdqVuJkVfYbwIiPyajTCwdc9Xq5LMZvmLo+ES2Ft03kp
o/RaFcQsJFk0nzIrFQKeQKg8u9WSFBBGEuFyPZB6s0Jz3h1K7CSsX3G8TzIcI6zqaYDszXpItIIG
+4hszvYyFZyC7K44gtFuQCna34AMnT+B9dUtwA9iPABSjD4AebRObm1ylBXRtu+d8jpRZXurL2rB
zDJaQmp7kvx4JkuH2LW6Y2TeMku3ZUtIrRxKBXSCSxfFSFOsa57WXBC2BufcrTVoE5S61GR2Exb3
LCPieipziMCMXtd9V+B6VwRtixjKyIJbFr5DNsG6wdt+KqIiOjWxqUOPt43HPMm9bMW7zVQ4jB1A
QW43nW07MyJflCQ7zqkW77BsF/tu7gl/LmjAhH5POEq/IelEPdF91zTK/DIrjgpi6ntHww+zcuwq
BCdd18TnkOs+B3NRfaGpBui4s4vxypidYuKnsZAfYutR7lGDc/5PMU6Efq5EY2AkGmbyOS1pZuCU
ZyLMLHq8oQbUPjYyLJFyCr0R9Sa3CTQAq8CUkSkxLPSiG/UN2cjIvRcJtE1I2ah2Uj0TPKRP9l3k
FNSfrQFdfcfknrd9P4tXQRFS6WIUgYl/eTg3r4ojaN9hXPqxk6uDdVeQAF07a1dYCgktXdemXyZH
CC3b0mBtGjYudCX/ngN+cw7ANPPLgXTwNX8ann705Xz7M39NolWGV8D8TCLXQQT+dQpwrD8cF0fc
d2mO/pdujywzjFg6mj6DQzznRPbyPwfR7h8mdD1LtW1L51j9z5w5mvdTMY26B9uQqVKSLO6gdwfS
LO1j4tG9ekcLM35o07YUgS0MVDAj7wk1YFO0G1FP13mlzwufpvcpzNAiE6iwSXu2Jw6ss0ZCVlfE
K6QdNlxZdfg6trgOXP5yn6hPKLVRe126igLBhegeNvDA6Eh3J9mAPC9mY+uGUhThtOlAyy4s65y+
JjwRS3PMU4jQK5fkqJ1DKKLphwhNEAiBjOgqAhrpacUrEMX1CslRcxjrJmWsa6CXHa10i5GVvdFo
bHFBJlZ4Qa+qvS0Z2OxpjT/SOlUekrxQqJJL2gHsNNsOEd0avr/BWy7FaR4hmRajvKFr/YV3jS8Z
8k0ZhN+YOp0hj9F9wPlFWaVULltmri+iQTqMdLmt4G/M7doSdI4Zgwu41Fwdl+2NbYzqKnHaq5Yk
sRX+wJtEcz+EfXelhWwU8VieIY2hYh+IeMyzknMV+z3/KOgfFpemKx7CotX9WWvHfTZFjx4LtA3X
dpUbxk02ZY8si+CTquo8MrT9lOWlGgjCV+gUim7TqUCak6T0eQQ/jAa9enJbV1lI367vyDWz+KsR
A9M7mh31xBRa2bR9Vp1pjOT3FdE99zgcyi1bKN7vKDQ2dCfGJd+qRgBfvMhZXKs2ZPiQzlhrTvVT
ZWrNB+G1TI+TkJGOIfL14OriOh+sXejOLt2Ctj5Nfdw8mJn7wZZJtaViT7aanKJLO8wcAps8befV
NvtH7t7ls1DqlWkMd5EZLu6GSjq+E8niRvfC7llRyahnt1GNG4DXxrFI6lgLBh15Fsp67B15XJ4N
heOe0eA6B2Ji3Mq89TbSBQ9lGGiVAMZoHB8ILYhzpff7YoRLwzyD/IJIaHh4kokRJ4s9iLLero46
zcnDgnTtNpherDvHHJKDWdjqo8kXD+TUJn6RoOwMLO5lxTmmCRtmjhPpQFNttRdVqsK6slIg9qi7
ZmXrNuCTXybPGa5yvTGY8pRmts7pcTUrjUGKKFLt/O9C/z+SHlGhsTb+d63l1ZOUT89xJ7+2rfxB
cvntT35f723vD7CVLKnO4kPE/UyZ9b3qc4w/WLahaKKjJDbSWnaWvxSYS0Il3AnIFKbrLt2a7wu+
qf1BOYiDmSbKdw3nPygD3+uOkDc5SI4NS8NByKdbisQ3PRnPwAwGE1Ds3CR/iYkf2SrgrTjfMdh7
c3f+pi/5d1eiR8fOt4TQv5rM314JQmdpzqPGldg3OE4LXMPVuBrCuPP/+ZW4BtZz00F+7i6f5M13
ilqFdr/IxK4dss4PO/Ukof8wzpvv//GFIDXjKLK4nMq1frxQ7+TEqTSzINg9e8ny7IUK6yXl3/+b
y1gLUZhf/KffiJHFLBmUC+DTjIs9l6BJCRXUz8bkf3HreFbpGTuL21d7j7KJhFqYVcw36sOiueRo
ipcMLddlQ0/p11/qfeOLB4+WFwAQfifUd+/Brk5fkKdInu+O3GfqrG66naJxoWzdv3ZEf32x902+
14sZ0IEcV6eQfe+QVTSr4t2sBLsFm7cj4QOlbo0IQEmeVBdNSmI2xkqbsNn/+sJ/89DjtTDgIDgY
Ln4yITNCIqGHJCvackl17tgsVpanZIhi+E+/vtTysL1p57BIcEMRN7Iq0Ejirf7xYZy7tJsS8PE7
paP7XpCZuU51Rku/vsrffqE3V2HJevtuLWm7vYICaEdxa6GhHe/7AkLHK6Hg/+9K71amAfFYRTgq
D0jewaYd06eZAQwDid+9XtpyZ364cxiMEYdS4XGGJrTuXWc8YoSdmgRB7Fob7ZW1gC/bMY38wTAf
6sRRdngxwQ2T0rWxGhQJUdPuf/Ndf9J/cuOww3Py97CSw7BeXpc3a1bFGdctsIvvRK9XSBF6hRRr
0Y7Xs1lMaw+tdaB5jbapsbvvVOBSQZobHhEPZrlH8mLbxMWihHHHCCwEuZDPr6lmrwI0+n8as+Ds
ZULRehHNWn8lHBkSlTsj2tE9ePaV4P8yxWGxVtE2M0E2iLtHkXqDVED/mDl6dWGFafjYF+Q2IFTn
iOYwKK+m0tuCRXWDzBkRYaOTQnEO4B9KfY0Eqm2RH3QcNdct4RHnVknNverNw3MdstFAIeaz2xpX
QW9+GFzZpxSzblytJzNHJ5/FYEQln0fRablgsq+CrOfQXHmRQBQ6V4yFTcv20ZaG6UrrcgCBtdF6
WzskMKRWCWdMa+i/SgP0tlD5djN2glWROq1PVq5Oc5H1LY4SBkQ2u1BJgtSmjRmv+z04do6Q9HcQ
XVUHTeXo7lKOU0sXik/BrX+M4t46jJGWPkZuld/bA2GktUS+WeNe/Bjy3RctIaI8UZjdzGcC9LaK
Hc68vmFMLDcj7h7m4ETc3CPQsA5kkRQ3jIzax5Bbc4jTWpzsLn1RUfT4XWrrHws3eRnlEJ5be64Y
6i+fHhzyYcqXyLuGFA4eX8+DLZkmQHrxDpgXbCqtz2ws2fZRbnCqthOiOYDp7ZOIucjKZHh3jAzh
nVI7Kl+weWtHrUq5iV2OQRcuHq3D1zcvlxRJM1buy9jmlmUJNyGECezPZjwx3hXRB3de1KaRk2SP
3ryoh+uhCkIrZgRIfGWFLWpu7HybEFoprjT6P15gx2H/EIeCgYuu9UwZS1yLDJIJUrpUADd+xIJh
4TzPiheGatWe7zitS0JAVzRs6p2Zahh6ebk/GGXF84OWbzG9QzvKgBbHPQbakXFnM1K+kd7NT9CG
Y2atRl1AAWAWp/gE2TKcw2sbCFOdFYad7LLz5Lnblve+w6A6iPi+LZUIk4hbpk/eoCvgVnmPcBMQ
MZ14fb59xTwPjdc/zM2cbRH3tflmUBo92aTCsGbaVcgqVg1AI7pjY6Z9nj0YMDryywtTWWS3VD7y
DrOC+BSlpnV4RYkW6BAtamTF2EPUScikHOCogrc391YcZY812uj9GEYl9bLU8bKmL+SyeMRI28ae
D6JttKiYsKNINKwxabrHKKMr2UW5t00VfqHOYPftDBbWGJ1kAAM2PKd902VBjPDnayk8a0cNvygD
Y3u+RDj7IOTUbxE5LOPWjgdhHtxyP5gJQ6eF3EQ718cwt/Wa6GvbNU4Qy/FMp4y02/4zEppkX9C/
X3ehsA/sxs5N3PFSkn06rmnI91d92zB3z3jP4VYhuBRO9hEpx3xQvXFTzMQWRfMoWr8YQNIyklhE
XG3OQ82qiMAgB2ReIh05GZxrN7XCW58tDvq+F2hzZDqtZ9jmu2Jo+622bP0Cx3KgF+kTkkH35A4p
8FdK/BujX0TyEfKF1AyN/djxRCFcCh8Xbbmv5lMV9CVf35Izr1Hh1t6pLbvhWSoN3toIdKgfU7ne
aDadCFPNnyyLhbJpWD/QoDg3czISGdQ0UxA6NVJgy+jcm7DKGkLROlay18Ne5zXAKtUCRjASbL/Q
uyqwBy5NIdgwg3CxAGra8Ix9+YKmKLh7T6o8wXB+miQ/GaKtNvFgQFYgm/Mk6+VoXyH4zbH+sZLX
ICpXhQbd1+HuIAwHL2uTP/W66pKZ/qnNXO2rOrBa9cszYiEAOWZhmxxTC51NP8W0FAYOMytFaa1j
GlkbSbQWpI1G9y1jGai21ej3s13doXXzTrNDMT2qTuOz4Q5+xy9MO0NFkBqxG3ygMRr6rl2W+xAm
643sWHsUePrB4PHSZ33BPfeqbmOkVk3t2ydHg1SFz57WtQcSqDgSV93JzWS+k7aKowld8LbwIuWq
bZKTkRj9g5Km8jSNcXsVpvPHRDUG0pRJRYfKQi9/1qzd7CWwHuK6OAnYDtd59smpmwIRUPwC4SLy
zTa5432+b3o12ulupazjqKh9hhjiBFSVMK1qgvVqm58Vq+rQ/bHpvQqClSTO7+uSlbcpWXHUgiSK
BCM3nWR+UojKy/HGNqXYzPwGG8q/AerxSBS0a5Y+3syx2xEnYDZbMgBXOgl1w6p9xZhMr0iTlDqz
5hFJQZ0QFo8nYKhVb+UKJ1mVr1gUCBfooHJhJAW96Fd0yitGRRT6nSz0Yj/URrGvnBbu+sIiIQYH
x3f3zf2NgGvxgk+DPhYzmw+E5Cu7oOV+W+sD+ZVqlsbQIxJo03vUCwasdb0Ie3dv9l1VAs7ocL34
lANNZ69mr3EQIqYxfR6wel+FRe6zlkTOBRwrofnD5DWS042lrms5sq5PrpNNid+SrnENZQt1R2p2
XudL4hbWrYgbExVnp/VwqzT56CI7I+B6zM9DakAFF4CNOSFMIdm7wpn6fZmnWZAI9bPpdjsBS2KF
Yw+eDDYyZPC8Xywc/Q2tF+VKQ3xONrpT0FmkwbflPdWNVZXi4etyt93pddcSFRg+ZbGVrZ1Bz9a6
Sshm5dTaAy258dixRyPVjSAKl6beKWjrjPnI6xo9R7lDAHGmSWWVO6PH6VZRLpLRUt2NExWsbyjH
WfQjTicUbHBeFu6+FZBh0eyQr2GpcSer/41QY/GU/nwgxqsJL9ZRaV28O4yKRf/gmh1IgqIw910v
i5fKqLmDQzuABVvRYBuRROfcNprF7ZGhFtUTyOqT0DhWAWp4YuMq964O0p8xIQrVZCFI51NnHUw9
QcPQpA2xdoxV2n7xyLRkLe2ikHfQGKmU1iYi4rNhquaTQduwX3n8Ywv0z7khuJ3lNsS2fK8SM/H4
ugaipcQKNcyZHv+mqvpJtEIPHEYVFRUWLyB34D1/OJjLeY5MBjT5jvAy1l596K/aqFOdldtwZmo5
Zh8ngMPoq2fOWJnX4LhodAupLxwHfFy/q5vfGd/BPPF5FkCXQ8OI3sO7noMT4dyge5/viHxh0j0d
moz9ZXCSpzLvbsOJLf/XtclPhTrVEYgBrgR6b0GdvrsBZm8VEWlzu54596kMO+S5JZTzsoyrg2JO
1cWvr6f93dOHe5wkHQAFxk85PuUC8DbxPLC41gNS/JI9L5FlL4KUB6tVKm+dSZ41BinD9esWPFQz
mvsYqeEmxm/hhxn+hWqu++0oOeP8+vP9VGdDFWN4bXFbdGYy73VUgEoGW2B32XnU21uL8JODMIff
vYM/dSy4Co0K3TYcU0fh9u4V7JKuD+2yIgrB5ORqR6waJThAv9Y9Dvl2VhkgADi5k8rZP/z6C+o/
18OcD4hRczWcF6jY3l170jKzb/IhhkY0RCHYT9w1Shh6j0XHuVRWgzWdPAWnVWlO95k3AfkW1rDG
3GtFflsR4LAsduBW67xzDbg6grOciRiVwy8BtcSHf6lDLWwvlFBSNb5++n8Hk78ZTNK9MN78zj/p
k/5v/vT5qXh626j+9ke+96mxwS4tCBSjf0ID/9OndhkxEu5Jh4zuGTSApUHyp0N2wQGAFvcwyNLf
QqL0nz61of7BosFTTPNhUUR6/wiM/P6tW+IVeBQ1nSeTGef7Hk2qCR1juKnsYEOZiH/SCbCfZ8oP
b+7J/6BJvVyGIeuS3MaE9qeXe9YkaaVzr+zkbBLNVLH5Gp3qnohBpbPx62u9X1i51vJ+GQgy4aCy
mv+4sPJbpNKjd7GbtArwp72cp6yl7TAT7ijIZvndXgYK8N3GzhmBxYthMQBVAibfc/XGTFrobppw
hwIe9VJYV+1lRYZGRScUx6rvkt16DzrC0DG2RL0BRyRPp61dDXq5rS36ECSvcArpRgTSIk2anVeN
VPyc1tTP5Zg05L5Kb/va3nmNbyEuXmc0PJb7qaHRk2fUnTkT17vX5o/X06ehQkuOIbOwoxmldBwM
Ej22BGGjPIvktK7bZYKnmPNXj+CO+5hUhHtHRFcqq+96cPLS7wCi7WbdyK5IlrJdP06N7gZgWvHC
ILo6IZ9M73Q1SVGqhfkGMVbpY/rqyTEuh51ahRz25lrfuj3+6qaehrUWj2KVt4Y8OFpbHRvhctDO
M+NJzSNlBzUJc0GDD6nG44MEbPRC1PIYlp5RJBWX9lyMN141x90KNRo61wYrhir15lOCIXDIgjFu
HFmvnGmIBvmJPcCa5CU9YuRYpeOV/hDynPsqbFexUo2i/EwRLT6lXeR+xGyq33qR6sX+oErvC2Y1
xsE0Bp0l53iqspWSJiMCExcImuoa8ecM4Tv0azSjJxUtmKDAiKpLB832YerK4d6dZqqmMGkCnako
Bj3gGiszSa1TYmi38UjQcAjc9jauPXstNbX5VDgIoapRbTcMORU6KZVdfGmKIt7GZfw8NWjfaCxZ
h4jAKozssxUXa8nNiRF7XdX4gD+aeJJvjDKZL3GTkwMKKSu7AM+lKgHlfEiIe6WcTWJsL0JOgLt+
KCkFpiS7JMi9Aydkt58zbUrz9RzNRDcobeLtuQUyiEP7uW5zf8D5fixzFSuEk39RDc4ARB0fQqUd
V1kW3XlSoTINRb5VBFY5MBmjz0EB9zqzHt8jgB6uR3tIlcakTQc0xAeslj5BCQj5PzsE3XVGEFf2
tB4du74Nh1y/tMlvsMZhIEvcdcy9B6Y7GC29h5kB9CvV+q9jQRKHBf2QvNty/gwBbvL5Za3PhGxn
p8Qr9SCb2/aWyS+bfeve1rWXkDg7PyhdYxxJWCP7eJrlUXHmeT149nAuS0ogKJf9Bh/pDWbijwQs
VfouyRAHoMKM+nh6Lu0kA+/Vd0vvoMuISMCyJ1BQzjLtgywqMmtt691EaE9e0+Mh4n4aL3JPjSZS
uRBuEbetoCS7z+Sw6BdJ4uBcwI2o6qBD159+MLExERSCEWd0++GDM7XYZTXpRIE1xYQBQXhPGGRj
FCaqGtzHligZ28GMZEbUOYREWxck0kg1ACg+uRsJXgB9WlS0NiHUwxzBAyGefGOIpI+Odk2I64ru
UzlcR7YSUQ0Iu5bxwcPsUyXkuQ3WJ13EHbIPtQyVGOLk6On3aTco1qYeWSO/OIuXfBW3casglhBR
15xhu5dFvdU8mX1SLJGdvaVn2qjEY3Exx9r1apvfO+GkNH5o6CEgd9rke2vsK3U1zD1dPYpHb2uR
HL0f9LAmY5A+uV4o1AojtesUILMlE50ha4rAe/mvndAOz9NE08jWS/JnS63kpJSRTFXlxPytOrPE
ztbBaRBSpWE70phsiw6DYlGHIS+7OxDtY5qyhi/n0OuzZRXAW6IptbSZS6kiwlCA6PALcHwbl7Dj
ulXK8yxV+i5WqXSCxthQ3IyGKb4ueAzSVfCrbGCyc6ydvGIOOjvK4zVC2+rCVXPvlFuJ/QReis9n
5L22gdtD23rInMzP3ILPpnA8jrkZLR1bl+a2oTLGQKFqz4GLhOgcFSQErKiJO4riKiMzB2tC8O8p
8H+iWuAQpnPO+O+qhbv2KX57Bvz+B74fAhEAoEOn3gVdyEgMUtR/DoHago4iOwakG/o1l9H6fw6B
JriohRKFFvWv09/CcudIisKc46ELPfifiNVfp8FvRnSI5SgFOWIilyDb1X4fLAM/LYmryZ2uPAAJ
c+a7g5hIArc5rtCiMC6QSS/O9gjDsbRM+UWbqM1GhiDXU11SeDCHOOiCrMMUe936FTMST5N1XQhN
qnRzeN1CF+k7M5V+3hWFDV/4VnEmTJd+ByrKM+9iMJZMVzsabNRjQ49mWM1D5eQRbU/TjIaG9JZm
bOW+GPSYQNIOHIvH/iJyOg2hWeiMSkqoo1v3Z9Fzk89KWTkI3s1Yx86aDs184F4CVXPhQ/gql0Xf
I1gzo0KPaHea84Q1sTDBhsCAP4bLlluTBWL4Q2mHH8pCjz+QBG7s+FIsA3OnfIbulECSMxucgcSm
34yVRRhuU1/MKIE3EOu6J09TgRxLJMVIXhtCOtWU2OyKdqNDgOXsMF9IybGwOOnM2TDq62HAHXwA
Kb8AndIF7sQgAqzTiHh8Md8q0XRWJq2DAIX2LY02oSks3dnqyRh32/4bNYqoqVBDEVtkfZ2Nt3au
Js2VGGVV8isUlq4X/be2wr914e/qwkU99KsV4aL8Qm/ox8Lw25/5qzJEDQIsfukKfMNJfhcwURjS
iyKZFyr8ohV9o1hFpUQLh7YZ0TrUlK/6jj8Vq84ftBXV5Y+hMEXU+o+yHMxl4fmxW6ktHCaEtDTo
aMy8b8h0OqD8OR6VixD+UWDUOaMW8kOjFRRnXaziGbH+apLT7EtyEwc/i3SN41pTXAGeN0cfnXu2
DtWk/8KLWmADGctHT03R8kX0WjhQMNQOxipsN0U5l4+FBdSF5VM/NclgL5kyjYGlIXdn8EZo2NdI
Iu1tYrtnp8nyW9yh/Untn4qqaZjWxtl923OKZshJVujc5+W8zVQxPqE1pMPMDGoC5wEhKAxGrzRG
ZltOlGGEq7PPsYL2HelqwQFiwvS9rvQpYemrRxAyudddRdOI9BJQ+2wGVqOTxkpsPE33xvBSlIuk
jW5rL55jsBFhfGmkILc5WDsJuZBlbmPDUbLqWUghPlWtOtO3nnCTMwPgLC+HZ7foy09MPxizIH2d
DsmQ1TeTSKMnPdZ1SnKicwpsIsj8KTM6XfXHxB2OszVW15YxVd4K1lJNrk0xOFsW3OzoGpRKJs3w
DRS9YJLVBfE95GPUyLb6smtWtjltBz1xrrVagipIjeJ5lLmGRrJwrymWxUWIQvlsTIOkRSjl2hwm
YxfOQstXpZKVe6sF+EKvoDu448AiPEut3i85htkCrfaY3Vq1c+kSXVP6MO45rBSiO3c0q4go1oZ5
1WW99pA4WfjQKmK8EAM5dZy6lcthZh/AJ2yvqnky/YGI78s50rqPOQfK2rdgvhPJ09SH2HX7F6/x
5nQVTa2SBTI341Nvlvla1F6ZYv706hK3hdNf5crYQN3llP5ULwUObKLa2kYJw9YVXHr5mKa03akQ
acWustqI0FAziN6xlSa3sciMjzqAzhtvtrgairXmTN8k3XR1bB40Pe3VVdxV5O8aLVXeVIlAp/2+
A3zY30ZxwfQJuNInpYyavaEW3lcyUJxmY6tFBAEbFyIFNzXJLWYplN+SqFrlgdgD+zo2MTWvejdU
ypUn5+zZFJXhrbqYWUikzkXgWa1G2KBWfuB3zO4GTcbXzpjKK6lN8d5poGmstWqoL+OwNAPFnqIi
4HGtPrhGrZ7Q21QyUGr+d62KzKu6N7tqDT9LHFOQ6gnQ04K3/AFWTUpvKCdT2OT2jGRgCAqxROVf
ValFbbsavX5K7VtZgXPKiaVWxxJyqlRaNv2hG6iSEDjcTkNvTPsY3QK5tfa15jIsEqYzI9wg3Zq0
Ze885rw9azl2+SeO1hPq27DPA6czPelnQq/8EuPSueuANhHkpLX+onr24zJRj6YoxsvWsuMtRjtr
BZuKChzJNiqfHqy9Ac6t4X25DSWD0gW+n9+N4WDQWehaNb12Egn4JwDo3alnc5YD3Dg8LaWF3rhW
dkPX3Jukxt7gePFoNjTGcGE0/b6PSvuqEqLZFmCjg3zM563oiukGKqx+0aWAJyrXii7cSeY3DHyb
23xIR98E2bYJDS9fA3otAvSJK9KYGGzU8bEAFNMVoGXUNrns070YEv4mQ6m3nRPWay/RP9lhTOGX
Kvs0hQ1fUyppIKz4a5bEmlqa97FpmBehbCpf47ZsaDTKE8GYn7xORMEwI3GqaL1dpbMWMh9itSaH
4mOptQKXFCm0GSk8Elz9zD0MW/WQJjrhAtDzIDrJ+G404nJFyPa960wONaZ4tvjF8Pfqt9j9vSCk
pIuM5mQPaXrd1uWDSSbiSp8OTjKpGyxf5z5hLFiMaGgGdSpW6pD1gV7maAFgcULdiDXKZmA3eKYk
+bpw96/qRJP7hu5Rm4bRBh1Jv9WN3gw0OSEAoduvBg4egX0TOWbC1xPzp3iEd+KNg7mxqUt1HqOD
za99qUaNvlKVrrxVx7raYmViwgqoA5AmQc708FJQO5WGOC2xxE09Td6tMTf4D8gcyW8yBB4n22u+
ONUSJ5pE2mEuvHrN5N1F92CN2rLM1jQ2GYFHHxzCswMLqWQAOVUnCFmSZGlH0zEf53A19VpzRwRv
h6HKlEfdS27oZdS8EhBDmr6Xx6LJCr8p8uLc52F4Y+mhibqIKtyqVNqo/EzI2IYg040YhUX4FEu1
vkHeMVzrozcekkYatzZtkHM3gMZrDXtPZVn6I1nwKzKcP1oyJh1D4R+AVkPfs/mkeuY8D2Mvb13F
A2DcjdPGmGYixekMvmAeL4/zsJbd3F0OLRlHKGmkeWSNUS7TNnEwiQKYvbXyGHK7U2YHw4HnYoW6
2HqjjJ/NPOfdghojfWzatzyE+dEjp/Yas561splDrxP4i4GmqdeOKc2g1dPmopgN4zp3DS9QSIs9
WYP2aPWNva41JTvjsYc01Tr6x7Yy6w3qtkzjyYihsnAusH288+VmSsg4QxBibzXRJAelt729JYdp
V7rJeGG3bJGUO/aFkhN2+G/l/M2m/e2c/Fx1ZdtMt1+jpCrfFsKvk9Rf1M1l0n798n/O7VP7Vf70
576flG2yIB2CjTjS/inN/6711xxilzSd6amH3t+034xQHO0PwwIVQVP9tUz+U+evuX94hm5pnof3
l9ErnI9/oPN/B0lZrsjshN7/QoyHNvD+lJxrKUkwQ2Z9dZm8UQPrwoQx5quip6tusU1lT9iwLLkp
a87Ky6M8WjF5KFWofo7KxoTARyJH5uy92JqIOSYljZODV+TyKrcKoUyrKhst8dnKWlIC2cPtnEIy
QhatfXVodXZ4senGPoFaF+GzURi1fYxsSDFop7SF1uZTJjbFKUZrOZRBlFtNBnhysGipa85E4M46
Ais3HXQAdOmLIvtFLvOm8Pmb6c+PlQSGfLT1izmfBFlGM7pK9+OtCNfRiqSLgW19DYeqTOtdC1cI
4y4Z942zA8baJoM/JyJPXnI1hJ23+fXl32kNuL4DdBsuBrpLfqmfhP5zSvg1uP/kS6plC4eGYt7C
5INuUanTTTMOnISCJm4jM0aLosyivB5MA80RywYaImOPVaBENFLhIWu0I0UduLzf3KPlHrzpxCz6
g2UmvDzmHsaH93SZYZoZ8xAvt3NKpcnAPBWFYzzabDpN+W0p+q9gn58vZTLpcyjqlhE4I7Iffw6Y
0sXUsQPteF4VEFQWU2+V9jOp1eo/msWZWCqZw6G+BikNn4SX7cdLjXGi6HFjKF9sBV2XHkSk/jj4
d12z5Vpl09r2Y2apzKx//ZO/e+KW62IGdXQd/gh5De+vK7qpcirFcL/Qa89RY4MyyuVDbIZ6CV4n
TboExUXccnKN4wo6w2++Nl7TNz/m8rUhwjALRD9NOM9PqnPA44lCTpPxBc+kU7P1DaptPX273dWc
OPkxUbRKY4ZRT905k9A4IZrFSf7bH+DHySSfBKkDTh28rxaaCir5H3+A1k6ouLMyfA69mQj7bVWL
IpzWDAelN5GV0JBY/ZvH6+cv7zou0BfGNqSa8TD/eEmgcSHDTbX5YtoDa9dm0uxZI9q7GTgkrBM3
NO3HBpKxjt0GoZT9yDEGFPO6T5jMDb95EN5hg5YbQCYl7z7LD+6un1QvEfWh5YlW+RwnjVMocKDj
5TVHRxVLktaG1JxNPymwiQuqGIbknIUSNe7OhbDTyQfY0JRnr4iZiwS1hQTpFvV6KT//+nn9UZbC
/F3DVMXQbenq4h1+/0rilHAhgc3j57FpGx4CJOgqN0sFlgGphmIDqNT/o+w8e+PWtb3/iQRIourb
0RSPy8Ql9kn8RoiTHPVGkVT59M9Pcc5zb3yAHVxg7xhxpkgUubi41r/0mGJsi0ZN23KFYZ/p/+tg
AUmDToPHBogFGNEfLyMa3FEtY9C9tbVvsTOVxGRIZWax1eLfiJT+zbeRrk71raGlzD4he1QA/avI
Ki1Sd7K+TVGW8knOu2hE1ubGm6uetPOfh2szSvhjgTnbIBHB4B3xhBEo+3OOzWICQd2u4m1EYM5q
DqVC4V7fD6sCEJdMw4LQNMKRDegCbI6Hplv2CJUsmGn0fXoeY4kXdNKsGOreNDmGHygGU4eDpqQx
fK4fA8Cta7OBKjf0t2uVi4PnyBoj7pxUOIEBrP7LDW1wt/8J/0QqiLuU2gI2AT+ALPMBG8TMbAcD
Fus19Du/9JMeFz+mYprqOJaJs4YWG1a6vEfPGsHZYRO0I3rj5EY/GoM4EvuB/By+898WtPcnomK7
ONSJWUiopSCY81/TogLfgCZbB7NQsoqGgxiRQbwDKSuWG4GDGsPBGbteX5p8xpuBAoUEAp0Q8Kfg
MRvW1AJVRwv8RVp6DC5RgXGKlczU94EtVNrfHk83ipgphMCabx57WVbry1oHFSh6u663rRh9VYsH
1LVxzi9hepBfRc088+yEXy78GFc7Q5gWDRcxHoNQ/0Luz1lB2jT8+nrUsawFinv3y4sAQVmbKy9o
F/BYVe831bcZgdWhPwKgcMwTmiurupWygj2MDrXEvNXK0ma+yjxShq9t1Kbei7GNwyQLUW0s/22G
FoHnv8yNjyF8w6pR7gV+CWQMMuuHqSHSpaUV3devq9OMcusT22FPbaYru/q86RUSKP55Nn6MRm5I
LHKhvaGixd798RtHyRl/asT0Vax6m4yT9rbw545hxeYdbLyo17QUK5NwcrUas7tfkgzyL6t8K3P/
sShEGPzyLnF94ElonH2481UYPVhx0Lw0XtsogXq29q2f3ZAPRKO8GvEalCmFqnv4LRkRp8+R6EfQ
VbkGSX9qnrXZKXo8+PBEwdMsoLMvu3FyAvOoIstGf95f5+6GSYTeZGl7Kf1TvMQpXF/buc087ExO
dnFOy0ptK98ANvrkst+j/CgqKea/oRM/xjWcpRA6xw/B3U46oGI/7J0VdR3Q5WP4bFC9ITX3paRq
4pp1m7dAzNC7yZ1pZtrOVSz4kUH/2UJd0G/2Gmh70iJ/ShFe5ZfuUKwwMoveFVuIHOhOQ3SrTT/i
Ze4vFasuneAXbQxNOswvMnQGltE/zyX3Q2RDDYtGCQcupLDQ+HA+4lwHxLLXrmzd50jlgrWlkHzg
ApQl9LZ0f61j+M0L15bSbWCJEyu3kILQCxsNLo8cTpzZ337VDXBTvtVIg3pXxYSOPbwYGujBZVNB
pXKei+0WqXIG47GyQikwM5FGjMjEtz23+5db+5BlcmvQ1TzXYamQsZPv/bkLKdhGYa275RlRqi1S
KTkwtZB+LLrvyo6Ao+wWdCfWF7p92/7YWJ3DA5mDps7gyzSBo7JjLCw9IVc1SoZjCkvB7BNmJZq0
BWRQc/Kmut+imyZsXhVuPxEMFRkJX1ioFARUwsnRYSgoJzMUCuy0pTYjgZIlkSOvzt/ex2cLhZvS
2v8/rt+/b1H/WyX0wxqNSBfIrkIXl14ntv8r1aWWj1ZeMFifDQAmosN7euvm0WyqhPNynrV/Cwsf
tqPtK6H+2i5Na/4na/pz2O2yI4XEweLzqB1miFoQEgB3tCrGxyt7r/MP6WR1dG/Azy8MeG3SlpSF
oMcogVqp1X0YoD9RHlPlRQQDFqR5lDXi699wd2DhowrMRvX7sWXDhCTYbq6jlrXCKtoeR1bN24MA
F4Z1QBIvZWwe7Q5xDLDLm3b8SxWo7fT9z6NNe/7PmMjNb5sAQQLgAFnQx5MN6eBoZfa8fM5zpLdT
EP5YWyTpBPDkgsa2J4H25aiwRLsYlniZ76QciuHarrWY/R3d6sG6kVljeXeoq9DDooM/Z9/RLLev
plR7AZTTtqt/eGW9yscGDJr8NlGfmz559NZnoCZlG/uIkZA/juhvTH5kLnKgid8hBmM3zq2wpRPv
21biFYk8mJbQwedooHGCG5Sk0pzNlWExmFVOS72bLZ/mwjF2sY54Cmr0yvCHpYI66VMfT7lDNw6l
dnVWeUhmloRrPa0rh3WmYn8G/5Pq3QBYLziaOMwAVjbWvH6egs4tXrRXZ+leeMp1koXzabcAMIDZ
s6eCPuEohQjzVegKhYGbPa036MHY9smZUJw5ZtYY5fahB6nqPcMEgc/4TIVynj8jeCbUnTXCW3xk
xwj1D18GASXckE4AZlVdh9DeAx3+ujqlBTWb49rhKIz5KqdsN09CuaJC+eY0ZdT+yMFOmHnPVFmG
n7FGhQ9fp3oanfJKpe3gR3vOAT5tz7SxquASo+1WVScT9JsE4M88aoVilGecdqR3t4rOMKVXR459
/iACWwU2PTWv78Mz3DpYUretP1dDdihNpiZzO/lI4NOF8GjR+I9p64rhHJRevkHCZo5TeEnRtiH9
rMeomOJdZnnBoEAVybVczlM2Yup7Qsue3QanjskjwJq+0P4XXGACfzwzOSYrhe5N2oKvQE/WFe/U
gsdD8KmmMsEP9f5LqyhQ7EfJh1O9TNZu9Ia3VeOyZ67LQPaZe+XMlhVC2Sr9SoenuS2dZnNfNdu+
aPtWwe1kAoCf+DanCw6NSQnl0s8+LVM/9eE9Gn3lVB/DSlhuf0ZMkO7Bp6AUfoEgXBxvNYlQKp8u
MuY0qbXeeF49MlLWMhCy74jauIHdWCKVYX2LJUfhUKwupzJKD3RzpjE7dIUDBSshZG2XhLwZXOYD
MuxLMeztviohQ7bKptPwxc3clu9ryjqOn0GfDhhDcA5mZN1IF+wgiQORkQ/h+klZdrQGt5zey+F1
cTBA4k0ExzKfthETtar40Y0g7p7aJtxCvmdUhjhhPKmOCbC25BsnhaA/r+vfbxWLhJXhG0qqQyF7
yZjybXXubMrFTrE9HmdDz/j/cup5G+fWi0sqZJa2JI/CQvUw934i6x5z4sCwh0wrmSJnCYekiHIf
SgVTXg/6RZUtRFbGy8rX7pRrsN/zXVSG2yUXPOl+Rc6wmPgGwT8Nb6k1bxMskPhumGt/sfhdHTfb
0Bjj8FK2WLgrXIPBMZt7/H0/UgoxvFFGzPkdgh5d8FT5XhqLxIPgyMf39JMYi9+zJ11H5Af3YWlt
N5eq5ddgaGaNTH7nuLG/+tvfsIOrUOUvpPX0e6gxi91e/p9Bfn8dlQK3ugvdvuECnNbKzVuFf3Qh
oWSLhZseXCyk6l3miqywnziAZ7Tt/fcH1a1GMdU4eWuZnVsnXmiCwPoyWPfGje4YJeM2NS9xe2ps
EjS5SLFJqOxlS3pR80QyPAEybQ9v8fsIdj0riLj2fk+5W3BGw3GhpQt2hW/Edjq33x/t+/RA9qlm
fPBD4h0HP6y3m58RKmOeZo7cvib3clpeydINWGU9r1hSanXNnYpteN8n0oqpDlfJTW6f4tB44n3w
YYAR7HDK2C79fUCtdYKoiJen6LzwYNkoCZbnFUQLNnzZVtFCcbLQNChvYzBSVD7GiedbmNAd3mAc
0tjfjcg6bDcvMUMIPmFosV1c59LRgQJrsogfKHFty6FZ/e36W/CW+fSMLUadFeihRXxuPggnE1fV
uABIvxHvc6Uox1iFp99DHgND4XLmQlR8CDtAx5eXfVGxzxsH03H7mcytjAyu0hawhcQesemUCdYV
HUcmhd2zOtcUDCjZ8JhyfcbPfVvOmv2V31WLDsroWJEszsu1iMd67q4ww7ahINaxVzdml45IXZ3h
FGlen6th5AdJo19fQIXw54b7CF59e3IoFQ10KOqLqVRKUQAdcb7dybPOvASwBTgFQGTb5v4UE8rL
4ywGlwgTYdmno0PdsMU2h9lq03g8g0KS6/zVRiGEeJPVXVdVV7+L5KWqcwn+Ia85735faNEJAd0z
ZzhO4teaoftdM2CAhqt0fREYbUzqecADaAqu1Putz3E2MkR4ka0Vd1SB2gcwvdoOUU5Jbxs+Z+63
WUO9apvi7/XTaKwmRsDR7na/qihcfkgmOK9H89Lnb0W9UldGD6RqY/RRiyVo7kTvSF4RwMJiUhtf
j8yr9yLL6uB9kB51O8jUPWfpsPIZyCxspbeNFUnVcPA9CFmnFMvW4BUzyKprEwVkhHMoLgLbelIo
CNBayKoILi2N+BRixmVciDTlkbPeNnga6D/j6+qoosNQ1m3G29Em5y6/TqRnqXU90bKXxSUW5Vak
7DTb3R0gGRGoB3AOzZIe8CADeUw/u/frcU/pwgm8XUgRKHj1MgQOoYyzV/PwV7gd3FXQNtu2Abpq
m27SlfgY799HEs8kKtG4zxfCXOOB06ThQ7UC536SJNNUFVaANMEr8Zb5ZdFPZwTw7t7uIe1bi+DP
8XKrUmFTslVz6VrRdX/FEigfnDdvroP6EgRDv6RHz+1GZf17QuBzTg/saKIGoVFT/7aSqIY680JF
cqrUZzsbygzjTH8ROaZaKIeI4QdYEzO4uH1ElCZOstIGmU8UYcfqZfU0kOqdZneYOewDEyWnBDsX
a0czyxtUkxPDL63QwKin3zbvf9/J+7Mc+pICcYLG2LLd1q9wU9dmi3/xkm3RhOx/W7x07bdXILjM
mKUl5Fsb2wfb4hVLtmwvTAXVCdzKaJRur6/TnqWckS2ml1UtTn8oWajbqgTuyr/8nrLklEQiwPPb
P73Xw7dwamWJnBcpwp3jSju61yi1Tt1usluq50AV0tg9T8gb8KbMWrdy4Ej3ix8eaZk6D6vN/PZs
+g8X6pbblUMV4K2/vwi9HbY03LF42O8ntrYo1xCPlrbX3kP1HrCq90LjgMAZs8Gqh60IOcpAet4e
RN6mepAPgbaeNDAJ7llN9CbNdeFmWxqXezPfEZp6uyz9a8FZXcU+skt9vS3y3t2ap+C05m1Ohine
DsXOz8e2aQ45wBlm7/uAUAfegl4FgYrPxefUKm9yV2Cz9JfC14cDPbUc4gMzGBZqGDj/VVbOFT0E
6tXuU951AVcdZtnMapjwdLwMKMpwEUBUttWF4vF27X853f15ttu+PtgaJ3CiMQBm4f55sJV67rCa
DilVvYfGkhowV8E5gJX0z1/1oYDOarLBivJdlKz4M9iO9f9LF2lCMyVKSSX/M0fsau66ZOhTz/sE
G3Gb3TGWb/xAmpsn3HnS45H9Do7/fC1/lhB8GyNw/oN1HdD9ZJ67f15LaoRL+bbMnuLNZ/S18J0t
Hx/RMBGHtSN1/ts4//cXuuBaAb0DkwVcG3+oK9JSRREF4aJHZEjZKLKKHf8MX4Yw93tl//MNflTC
4g6p3aJm56AWDwL9YyETUJuHZmkdPP6OGFOOtkmO9otYfP84e2NkULNBXe9BT2LBbli3WzwHX2Y9
WVAm2Yj+ckV/znTGnKMU+sS0RvG1o0T3odC4YKE1hYsYHuv3RTWR17HGZ4026XAsIlPwCHJPL6zM
WLA5kFpY+XYhqO4gXZ2YgZP90W8ESsy7mdACmWvoB17O+kjxq1sE58lkeu9n9e9h9p9v4uNj5MHR
yLZ9OiYO5NqPfGr23UG5s2Uu+VhtkWn9lQj1o9/qh8WK8KP6v3+fD0FjI2AgafZRwjecyUbAPurL
721vzvIBLhSQYx+G41hk/6fSmo/tCtJzVBYJ3CzV/woHYkqpRJuiZLvZsmCS5O1phFXNumhBxXHL
/3yDzp+1Wg57IDQQKXT5PjJmYtCfK7G1VZ6Wcx9/t0sKur8nIN4FW1IlEV7g4DVFON8mduNJF6IV
1rpsGjVJ2wiyrJ3D5xKqh/X0l+t6h4j8T3/Mp9oHYAE7JzjKBIHoY8PPtumshEU+nuTq2vl4cCGI
MRjaRvijQwe3pSWdYPJNdXRDUq6c93Z4zSmnuWG/BUGfJV3VU7u5dT2qB/Z9k/pYil8t7O5+d0mB
TTvzkqQuTaOv44BEOFLJpeu1A97YuA4p3AfsAOReJH2KZbdidjoQuvF7R64KOE6ITzDdnGG+q5Aw
i4HyaBMUCM6jgzWJK44KIY4ntVX2xLPfKUZo8bYcV+xpe5jk2Ch77IJfgej9sFD9Gk3oJi7Bl8Pd
tpFPxrVISTs3ItNvXc1wkyQFOrwI/CX5AOs9O+lpb/Lc7D5y1mJXjapxcJUYJeLs+6AP61Lv/lO0
GNj4gJu+pyK/Jhu9sYnxXYdo24bDwVAb4nRQoTDVRx1f2UB4ZK+36TcUWVLPzciJiIp8XdbPgsQ1
xl53UQCGz2VgW9txfjSSSunyfpKKp2UUwz7Hx4vCKTWUkD7BrswVKqmJpdGHQg9lgK/uu/fxEINm
xJkOsvfw2V9is3Z4fVLZbfdkcbYbXDo10gb4jPIMPNw98xxAwDGX+CGWSeOQNv574fA4Rtd+ME/u
q+PPi4ouFL7S/qHFXa+CStqOls1ZlqU/q0SqnG74oe0Wnu0efs4qFxCj1BZMQnLl+FGyeEs63Vbx
qMZ1R0N5KjgPx5Gks1nk9nhCTERNb6C8qwWvOY+UGTJx2DbyS0vtxNI7nB1C8pnf0WSgo50Ft1FD
5C2PbV4HLiKr75kSpest01tgr/LjfWrUv/K5NsRViJwYEjeIaCPtoMHDeMSnlMtwK0CRU2WZ+DNh
uIueehD29RHD6sxHny+bnvylwN1+Kab0VOCScYVw03pusEC8ohbRPYYycBOYnfklBPhqU/U18nPK
pL7yss10idWXv5Wyr79kdtHBrNhcrqNaqBPHVYpCbov8Xm+/dhXLsZ364DaYin4fennO07UteSzD
2TuUXaE/4Z2p7AN5tTpEiw2mtBqD5nsObcB1vP5GelZ205gRle+RIjJQkuzKdDre5/EUPeDsN9CZ
74sfxTikeJPiU7V4bbv303i4Rj6vOS5pSx8Xhw+Pj46WNvEAuR8nPvIccaJ6k3OnTyAX0h9DXNWn
anbqdbfEpY/tHYDlHoYgrrcUWUZ4JF32PM1r9K1GRI/DuG4+I7JdHGxX2dceNPIC4r8lbj0KbUep
xvbniP3iA+W/AsSREvEPh2YNJxKndx6NW+YFTI3WOjhjox5H41EyIBTsR1y3rsWIL97Ob/CaTMM4
zaMvBS4vyxkMgf4+ugj1HTrdKw4qBb5GOyP86Gek/LDZW6klr5sYQMHec1T5MBucV3y67Tf+qJwB
a9q8+2aXY387w1G6GQNnm6Gpv3VBMzNdzySkd3ZYmTP1a5z3KpG7+4jo98OZJtxqV6wAUYQH7/h1
6ofp52BZc+IWzvptHMvOBRPQA2tc15GZi34cQvEOogj7fp2q+TrQ2QCXHr20y+KEBGIORYmZxEaW
hw/bX2NPKI9ur90bv4bBQ632xZ+W77ZO04vnsHzMqNWe4iA8u2xuTAgpuhMoHKn20uee/IpJHFmV
TYMaUoauQDFUmCdmfr+ztMBqBNj8Trh1i/z5JHau3aiHGcrSw5gvCs6tUtnzgH/GFzQOGxDNs56T
1MEJGsKPvekyYdVRsfDmfE28GcmcGMJUnbSrKb/h0AvbKLObF6Rmhl3fGwfpAlxcsa/ANFna6TXU
DoyCo2C+Bf4sDY0DD391lapdqoF/L5lGjT1CqRFf2ir+Ji3Skn1EhgXuuxyHe9RyqiOBHoVShNXC
K+V0+T1IG9AZUy6f3a7tT0bPzqnsTfBNivR54qT7vA7NGp2G3lswjW6ynwsDcspVqDX+9vbyhEig
j4SpN9BzrfAOsnNjzpig9FAiY99Bg3KMn+NWxW8C6cfPpUy7N4Q91p+aCb43YefeeUADTjY7BXj3
QT2RIYK5nlpzi0F09bpicXwSNebISUtB+JIvSBGAgCUi2WURUdHxq+AqpLWS9GNbnipfy2fQWYLr
N+61Y7fiWAZi/EplbbiPWwS7nKWOn5oGnmc2lgPaAYRcDrLIX7Sera6l9qb7dkzlZxlF3ndRoYa3
c4fFXLylYfFQlfrkCKVvZhlO52LCx5DKS9SeUtyl9xxwQX5SuIjPK7p1t2may4cVMcjniOLH12GN
1Gc2/AwRaRnCV7MUKKSgONZx6t/So3awFW/iGor20grmu8TbNbM6bJei/D6b8ZNJwHbYRzmVw9de
aQ/5EH9db2Xs6RugRhXn+6b7nIk1bojZzXwQYRVdOXTtEoMBzqfIZILaurR+WCm8cPt28b21iHHA
nslWoc5QlI5uMaBBAvNgd3Dn1K6O+/R2svrsnjpJfUFtqn2plfzGezJKtYXzMjZkMKUOy8sclwAo
/d4pruOud1+1lerNn2Ky7wDr6OfCNWZAJKoWXhLnTniDp7yMjrHdtPF1k0f9nk4s/jXo1037KF6b
cFeuKja7RkAj6Cw69jeLNYSMdWBPapM6MbRqHBhb07n10AsUs2c9hG1cQH+Daw9FKe7lIypNpsGh
oFvym6bA9XpvydYH05imjnUK8ZZZH5eoRdTgtKUe9j5GaK/u8J7quymrritO1bJOnJDMJfEbnZo7
6h0lxqHayT5P4YqMBJyE4BbAXYqjgUOKeKM4SqsXHwddZMp2COBufCMob4iYpldGBeG17852W35e
xZJu9Mh5sGN97RLs7HPkUdM/DfXS4v5sRl8/xQilov7mIhsqd9JKsxpRBy+enwoB7gXncq9+6BbH
wnyJo2KZ2OHg2rdTXM5t4koq8XdhTTjdA3FbcRhci+vSxfwAsaHqWlnLPJaf6sUK4hWdyaa152ZP
pQVu8KaB7PrNJ6W8MoIhGJRB7VIih/Ny6CIalIl2Frc5eIj/5rcI0GFa0bQUapNVzZDqRLPQugl1
WV21hedjokyr764qKHTuUcedr0TmOdE+iOw8pKhVSudcZUjH73rth8vOnehfB8pVF8uP5zBpyhQ3
5hCFBoppVN1eHCQif5iY1ETIfnFPuDM4CF7hpISbNylcbnUJ3XXAZNMuzINHLIy7kMRMR0tRJ0RS
1Mx4eFYxF98JQkMUHPK+7nd+NjgzMmdN6GBt3Lvwtv07Bx6IfqYd26RX5RB53zJjXtc1z56zvH/N
4t6HFjpMzdMEOuOQRqk82WweNkEikDSwwvWmXtz6ghkJJM1cxkk/9OvmhyRQmmkav3mS0ED3UmK8
oqPCI74a1XzHlXE9hl1NIy6b0zt6hJGdOOgQI4PDZuPdx2MucDmTUu4LSIAkfti8gv/KiukHouvV
Qz+0Y3QYwzC7heGNDvoAefCg58zgUdI2GfzTZo7PTVcOkKuG+lgNqc850nYOsUJlrkp9686tZg8O
P23HLkPjFEnNDP6Pm5pvrQ71aZ0RsNmhVVU3ezs2w3joHTw4QABOgA/llMJMnOw5GaqsTLxgNP0u
dpoUFCiQRn0eA27usFCmflpTWfxI6Vzjt0yHbC9ZlNNuXSp5YZdn8y8Qp9ujO1v/4BLSR3adAn3t
OMABDKHgEp7V68b8PwK7iU+dHTfHsA/Le6u0ZWLQ4P1it81zXYLlyji4HUM3Lb+isKQ6KD9d91XY
qbzWrsDKJsXbK0oKypvXaQ+htspsatTFbBIg8+ITtuP62kxO8b3KRfhapZnzpXLEdGvove79fujO
gqLvC+Vzt9piGrpGorSHuyBNBXkrwXGbhN53r9og9QsCKOzaszu+dSayikMdFLQyKQd3wbn1sYFP
RlnMim7Rimj4EE6lk4iaOILLaVH6d3U/um95nuP25iIN0u7KOsyjpOJzEwpYzIl86dF6gRwc7jnC
G4RyLbbv66bv1L96Tm055Ekh7Fc23gl5YQROzJWlqmCv+tK6Kgbffd46/0dnNZXGAtCCX+XP5ZtG
2ojtgZPnsdMpeKYu9cUtzTeJigmwkJ3MSGlu51H3b5WrZmxWKRQa2JX1/F2phbXCouScpnvqkD8M
fSdEJ0tjDm1p0HMZMLVhc50x6tyAnz/RPTPpsQlzdeMhccNZlnRE7et0sPyDNTSgdu3V+C9qrOuv
YW/mpBrFuK9ta7AvegqdJ/pjUQyuhxxuF6gpr08TSRXayHY7ISeao6w7zDGpJzgMq7sIBGusRKcb
lm5pbL8/yN7AEQBTwiRKvBx5B68yx8wENEOaKikrkjR52I6xJkmXoXDJqUWbrl/aUbfVJ7dzIE1z
qkgrQlocdGufSAdh6OVk2W7ZemiPCzRpKmcoxLca4KeFCK0VzWV6pOVVzfZdhQRSFyectmf4tnrN
m1EnIRuuv+zhRfoRrEjw2B6CzAYPvepmibD6QR1acwDD6cfAMUFfCaA2ZpBSY5HwJcsqr4P4yVKh
EQJLSLRyZ+A+BuqYkau1Z51rC0OhAVVY/5CDYMLe1x/olj2ltkv35NQDdVLtXi64W5foffQVz8Gz
ADzpEiwyVXxkoSS3/7OBM2gzjmOJzE7c57P/xZe+mz+9l1utfmsZqDreipuuk879DVoIW/Odjv/W
yWAdruEPxFDtOTiBjF5Zb4MzxsVX3U+5hTFUBF3G4mSbllPAFkE4Vi86p6AQ3SoSyvlil7ENe1xn
ox6q00p/iqfFlld25ZuIcIZtkGBTemlvkKFzrRX1ZnASYwJsRWwKqQorqeAQADUtxLWt9bB0IIkK
RY7D2SEbjn0flcRjC/36ChzRnQsci9S9j4mYS4y4gYq8U6HCZll66qiGWmiRAIrS9YQoSTt7BTT1
CcxMTO2g7aLbldQvOqRWjaA9lMU07jFg94bYO4TLKrwTnbvmpY90/WyBj4Fc3UGKgwfK2jmAF2l+
2Kh7whv2bZShDl0wYnBvJEiTebdiifUAkUnjXAFO/jouMnPvg2+9opJb3HZ2ikSBG+i70lmW5tCL
BriViWnl9lb9VMKfDc9witdwJ/D/83ZzO1XtSSobHOIc9VMLvcZUP3oo3tiaSA9z3IB9VO+VWJfH
sbCmmQTBqg9koJwQ07L3/ZMMPNXs0yaa3yykIRYkzbJpcB4jzFD9/VS07XeJwY7cIabF0QB5GsNp
ROJNeCCdkOOVRhbY/Miseau4kFGjNLBWeXaEP2ZS69hoJwJe4yIFkKS216F9u9jjlTN24dfa1B4F
yzB1sy6hoFj4nFDDBaptFNh679q+Vl8ALwB82MkenFwCKmMwJEiOCzKI4tYl4+SNrvFAHn430zLD
cEdgnRVWQX1tZThdjECnoUeAjusbwBfuosd91PoxTSW8RE8wD3gw4ZxZOwE67mro66FMNAWztxXI
AXMjjR8wku24z7XH9qtHcoeHvffiNMI0EXTETwv4EcXDss9uLcLw+MrhcsofwrKRW9Yl3OKKDCa4
ll7oF2+ESLGchPHKx24S6R1Ax+xHJh1GPprWGcBZqqmMrOin7/rCnp6j2df3k8SJ7tJDr9vEcJuO
aBriyobUf/zoUD4M93HZTWeHokWxn0C3/GsSHvxGvxq9q9YrSwCG0n9CubA7Kre1vwRyRIkhBEmY
y3oFYz+uyw4G03KB64lll6tHAy2rboG4x4WJ0fnB7YUw32IQt8vSCe/OCSsGwA2chnGsDBf3SI+H
TqktIDzuM7O5upL5pFRhVB8CEBTZiKpQ1i7jndC9vs1wRIj2tp/14REoQ/95gogObli13CX9/PDV
kzkKgyj/eJ8Ga8t4R1xG2h059YL1eJXGAEoqpLr2bOgl2CnKJfdwwN1xtwZ9HxwqA0RuL+ymOKzD
zHsyH0AcwI8GYTDR/3sacfBwUSJIJuUvX0OihbmZVSv7fT2Y6HH0pdJ8nY/TugUq51o0bncn6tS9
ifK6CgH6pNDmJSZ2N5aVu284nFfXs9WP96DtSoQYI/cbvBbd0ikI4yUp/LGUSYidwLLX01KOu1oi
En/QeRHVxF8p6pvScRf/qILJf7FSbAouVK4qQTEAuU7UzRvnKyzybNmhgyQvHRgRG1luH/2XNXbh
JQyp7TeHxinzz5U/ywmNA/ZnQ36+z4Ucom3cgk+TmChDC7dLL1HdiC8DOIlsZ9B7EGPTfZGq63Z5
0VJ7BBMJ1CkzTPlafs2sCe3FapytBCkX505qCDojdZfXNtPWWZYs6r0sqvCT0qq7Vv4AW0OG1S11
gfDKSu3ohYoxkixZmwVvPfJOh9mzx0cjF/dcjR1GfKWJpi1bQyLTj1tKPOE4RlcjWgfBfo0tEqem
iOdTi/pg/QiLt9hLilt7yVT3kkH4+kD64ty0S5eD7psc7DeW+UucKmfXj9qG/IiQeRPV6b8BBtt7
DK3Vc0S6f3K81HnrwJB/sXkLprIzAwdo/wusmehupk1/6o1i1UX6GxBjdd9re0l3kepsh3Ww3iPF
j3qxdLzmxH4gW44Zo9ijK3ZDFQ1NlcGV/yopduyjmYMKol/tilaN071YUe09lblA/Mqjqn/u+xah
gh1YSdTyvi+a6r88VD31IPnGBlU1Zk8XGx7SF060CIU8Sm/sPP+TKvOBKD9ixwO6SA7wsmnzz0vZ
DPQaaBl2aPgDhtlkZ2BbuHvR2bPKz7bOUbs4A8Ve1HNazJP/3W+xo78qu6hRWFB60labv6XvTZLg
VYFHgRkLwgEz5CKw90DnnJW0MbJRsZdVIO35rJeZKuYucGf/6HntFL3ifKAIKkNfoc9BHPNzG7F3
04I02FtLkGVAUtDvNACKSePBRS1wtFk0ANE9HzBn3nc/7cFa0MKkJQnU7jD201KhTr4WWQXeB3+F
DQbOHBxog2RltqLBYESkOMIUYg6kfOmiKTUl2hs+7t5HSD/FXF7KshuRjxynAPuwg90LPQ5vulqN
s+z4FMwk8B/y/h97Z7IcuZFF2X/pdUOGeVj0JhCIicGZTJK5gZHJJGbAMTv86/uAUlVlpmSS1b5M
JlmVlGREIOCO5+/dey4l2UaJlJ2BoEdOxQFYVGILUCG6iR6U+zSRk9c+jcAkiSReiWv8N9Tsnisv
tKHnwHyRL31cuqGE5+5Nu78fz/08S2ZqiFZCZ3S4el4ZVf6KTqdV5g86Ov/vBC2tAw2oZqtwwHLq
jpFy76U2adBQGKSGVSHLGdH9wxv4eRC8vgFG6thcIVUxJfwTxDhzFtNzksx7L35/A9XvGo2qCEru
OK1hLvb7pPR/1LN/pJ55Bo6EfxtE/oTDPr6/ps2PHAfAGutP/AuEaBi/oX/gL8NG5equ2P8/oGeG
4RHACFt5BRGyNf0Hgwg7kXG0zhxvVedAXPg3DREaGhxsXJMm9AekS7r137AcCLllvv3DlBmFBnoC
3hZ7GO6KP5mFCyNGUQk99MpJbQ0lYC3bCwqMxYw09M0rq0/SPrOIBmJ8Xt7DLHCCNzAT39NGOfc2
8nInZC784LqGfCo8LbtwLE9SzSDKjDeidkkhD1Afw3GgNB7utHIlEKbJPLePet3G2oZ5f2lVF0WQ
9XsIRXmOCSWlaJzb0t9lVA1H7NtW6OUjkSSLkWzrqgSBY/iMqTLDZIwZjLcFlFJAW/ocn0tLiHM/
msN+caf2xOhwfufc/tWuBv8dqJL+UhJwttdFJr52VaGHtlO5R/rrrxa1Np/XTxeyaMwuvVBLKg86
cwo2L1+7qnMtloxap12KuqeLQyLNkokaQ0B7m3YO4DVSWrI5vybFwXyaFnm2R0tsjUyKsGdCerf0
POaHsa3ZxfUn+KfBo2Qwey1rAnGFGTxJSeNu0hnLW1N1a+cauVRjZ15BRe6OI88hMqay7FxNVKD0
YbNLppuvwdA6I9daRI5wi4uWXWBfNtr01hdefERbbe2K2ii/V2XWreFRxndUkwS8MCRuDoGZfR9H
s4sCmhLPjuFzuEky0uta4SeQtkr/q2mOReR4OGuk3zxVWfWEMCa7xDaqmJbM00tM2RZxwObEUWTo
0YVX1av2cKLmqiZmKFYWVPeekra7ifVUHNc78rGdencHQwTEK3U4GAhzbLNN6nkD757hFgayibHK
ZLnLVpRyDbsqjOTOLozihieruo7nVA9TZQP7skyt32S6dHgVq4nWDMU9hh4m2JVmZfez25dn2CLL
GQuRdWliEdsRFzZT7DNyq/ue1o1vE3pk6BaO6EITHwETvXGTzLaxx2QwnzsVZwfp1P15iH3VkLk2
J7hZyIgohXDwKA70UJZReBeGCNIGo5qnX831ohNgHyjaRiSV1SFeB1wlfj9+IZwXShgHFHMHoaNd
eFB5nAUQUtBRNR0IepWWwws2g4upqiSEOGHD85raptsFszyjxpvPXuuKE8eJ/jEB3F1tJmJLPppR
NRFKieBAepp77hxYFArJEhHNxKzQcnc3FtBxkxhuQqssYYmdl+vBUzYxdZ0670LEdXbDCCXdlYmj
vxGsV+4YcrrfaKaqE7L+KQ3dKXX3axYxNdgwPzPqs260Iva2uucjLB5I1gvrYl4umlmzh9D34+bk
Y24WWzqlabSMproBUdpwWOC46roS5bi0zGNvFvDCdI7LfjmPXxz8rbekSTPmzeNCo72UQDES1sJ4
OAA95Qd8JJc5I1rzEmAaKULtRnXTEtHXy/dYpZcom331SOdHbiaO27sUai0jdESz3WDHl1iKuhs0
u1sExd0DYHX3jun2oastdT2POm1NyYhjZFnTgzTlMYur+eBjt7rJK5P59Wz0nM+EvwC1KMVl1U/m
g2m2xMnoRgu8pog349zN0NCyND6SLuMRm93in2uYu0ihX1aeFul1M98mlJznJRd5yOapX/V0mMLG
qTmKV5nFptAG4NBn/ahag3G0414Ju62PHOzMI+0yd4MtrwplDTRh/ZJpn8SIMDLxoHnokTfME4d7
FaTLdwJzRQh8fDlQrNq3EHEquK0G/Wl8jykHKafYYyUX2yxmI9dNNWAzHeUjGHR714o6CdH+uJcA
7zT4MGxEATaDbVwE/gs1bnpYxIw9V5ZB1NnDom1zyrEXHoLqYAeB9t3IW/gOc2pBO7PHD3xKzZXt
ZM1d37pGKOgxYCDVX6ERUKMaZbk1m4nEnok0tJABaPpiqgSPelXC3mvGUxq4dWh1nbgw1yR4kB/N
bpa+utGNLLjuaQ21GzKBVGRzqt6TSZtxziBWknb+tB2p1L4nSz1F6K6/MfmZ4Od5KDriYoZF5jra
OdXsllRLZ34SMshCm/y4O5fzOK2exn3BWcLasFyxpcgtj0ZWyMuaviIbVkLEkpPZX4tyqje+12ZX
RgywnGmw8TqjhdiSQP8I/j0OzXkxDw7tVqhwGuOKLDMkwZ3KPzJGvUN6c6R6QJ3a4VuP8MDwBdec
/7deNt3OokieiKOvwnysIDG6dYrOvl/qjdYm8xc9cdsTtmnvlPgpDsn1IH9g39TCftDPPYyFO6XG
G5Ib14wVvbwAZEB3l3vvAYNPdSJHacOSyPZ1YNQEEiTpMfC1uwKedyhnBDYby1qTzHCXHDLpjjus
6GXUIw8JdT8+54Uo9nTmxmOs51DJlU7LRFT2kQWV7saKlKZkoJlqypIpth9X58Tp2L7neH5NM13s
NUhmF2rqvW/4jss3fH7aldN3t/QsnXvl24/0PPurIgCSjkDDO3YDk0OfKU7UOt702FfpiACqekUI
MBzT3Et2bUH8+wSj/jCq0nNxYyY9+u2Yo2yW2Hc9lsYb1ToMOXhyTZs8vzXoNL1ocz2fA57KsMqN
eHoysowABzU550pk+YmG2q6x8jbEw3tduPYXqc32RverMsIPFSOrnsoHYAxiP+LnuhY+FEvZC2un
t/F3v8AxjFcn3ft9IDZz2pM615TqnNr2fCGcInmeAkiJHqQqtCRlu0XfrD6ctnxIq5q5aJF79yQv
0MkwCCvj/WH7zK3LiV01wj33Ne5tbVM1wEJz0ZzLWVsuJTIMArDsx7IFbtrmlh3ZWjftsy4NduQJ
xl9R68u9LbPuK/YY0NEB5vxmMqcjw5pxV7r915kYtA1Tb2MHxHpT2BBryzF91Ua69t3Cecjzc3UK
YFp6RVLS7LnwGtc2N3RXUCKUTUJSpN6Eqe6Vj7nm1vcUVcVF3forAd+IIVbOhZ9fN81g7LG6iqsy
sXeVa4m9L/XukrYbUnrpaHsGFtVOT83k7OHVjTozH0E85pnDjp+7N60j5JHBsrGjndBtlxxl4WzP
X3uDvbbxOkfsZ1o014JpZ1g4nXEiXLTeEQolX0c/9stN30IrYrzhOpuiTGiOuUsLGLdR8lvNrPir
u0whcbT9a5UE8ZY38lGNVbvLEQQ0ITKn7rhA0GfqW2iHBKyiG3ptQZC4YRf1pUC1FpLt4EbzVAER
IcvgPR46/I94sHmkueQfgfyRd0WRX1P3hkOmEwhqumqnx4InKMP6k2IfYAJHtQklVj/ElqZ/AC1y
cJ+ChMBn22yZfCR41AjbpPToor4sbh2yd4lUozN7EceMQtvazI86X/XXxujJJJRxHHn1SGMyIZj8
1PVjHyap1m/bmUkic7vYe25TvQt2xuhxDlc6ujQeSJt5SfIrYx6MbxLd5bWSkg1hMsvQigtzF9eq
rI17X8ZjHm9J9kubb9lYTfh6qhr744MnmccwqXQwQF7QcQ+ah3mZuGrN8I4tdtkENZXyJu9cQwEy
xk4zhfWcO1snoB+2XTiabzUE9sNmgmT8XbgifZ8D3iE1gvPMzzRftWSOd4s5Af5dYtlt6I/KrY7t
98QEsL1sBX+6AQxEk45Y0GLpdryidlkEAVkVCRP6zHMEYGch6/cu1o3LJpP+0TUN5uAz6tsrb3Qf
VEp0b9s57rvNRJPID0+Ji9gJ5sjBDgiCnUC73K26k1aJ6laf03TrWoQ+bpp0Hg92OfjrboDJuG3M
LZRHiKJzT2pekhUHpBxMSpC/Xuh1b586vaMEID0p8sHjbR13qWjnQXa70MERPcpssp96RmlyTdBD
kdIbGhIvHfkFY8L8bsYnwnh4WF7wSF8nuc9lJaNB3ss5SLYT0pMYN5pCAcOUMGSoQheQgS0mHEQl
IwhV4V/7PIXzdcY2HvPeoEbuieo7ySrPHxK/HF4GSk/OTP10tdQqua8c1e/89WIzb8j3WjBw+nLM
Kr0iMZHWY1PLKXJHoR9p3rb3cVzpwzZr+KOjChw6mF19NyTISJA4tF+6tDOeDeG3z3WTfIkx9p1t
yBHZRtW6drBMwXQJ4hHTxUm/8DAk3U+wUpHTolL1LkeZknqStq+e6kpEGwql+0ZLdUU+gM5jPyO7
b3WQ0s4tyqV8ynWRP9IHj/cQ0YwElqxh7jkKDY9FN87vk4YISph2ctFXicCzltS7vMtZhLKjEdm5
tMBJCOqodUAVmFvYtvMbEiudil9z+k3XyOWm9Xz4q3VQZnddElCJtYrx8JSPJl1HzYgA5wfHubCz
Y6pUfnbSKTtWBERdQbLiACtdbiZdeyv9Rj1CAFv7g4bLh7MWNg3dKZangq3C5M7Hg69yT11rsGC3
5SjiPTyZ8g5ouL+FAutuOmUPG6PVk1OMY4kEAJM87SxoDnUewzzgWAYHoF4LWcPpzjjLyk1W03Bk
BwNGjJTEw0WV0Rp9bgaIsddGkfdWVC4uh7HW4CmwmZqe+T7MxB6FBC0R9a7Rlp5vjEDLDy6EZn4h
1venoZZCPiiSYnm+khQr3OFm1Ht4eNE4eqaHFsPq5HzBJUH7tmuSNnVDqzcaEq7/L/kKfWozkbtS
idzHmtc+QDmSX35o//wFH8T4GSbE8YHgC93xHY+qjO7Or2Qr0cqZSHVjvoKp4GxxdqdY2pC+yuqo
+f42Tr6albWfcvNkFc4Ok9XOSY3I91DEjCqiMR/xUfdg3LYMXPZ//+Z+bhz+8d5cUzdsqBrgHn8x
XFUGwCY9Nucr+M1XnqBWJMJr+ger1V+9CGAe2yPcI9C9Xy+Akw/0f9G0XWUmtkD+dtFgw9f+vQn6
v5bkP7Uk4cK6P3ztf2pJHl7n1yz7qSf5+4/8qyfpENGHG44ZJlYiw3Hxn/2rJ+nqv5mkLNAM9O21
OUi78o+EPtOkW8lIMnBofaP99nHY8SAb0v/3f1bCLBY+dgsLDw//5b9K6HN+XkBkwvCwWfGF2N7R
pzIK/dmUg/m5xKKamPd9v27b4MKJyEUF1GAdKMlgF3bS3cKO7L4JrzDhwhTanRm0yx4c8yLCEk80
BA/p1hty2mYO4QbIB432mJzES68jCQ2REJnJZo15usmRO3NkRq5zbFJZ7EabpqIw8uBsgrS8SYN6
RqNVLHsof8UdaFV1AJ/Rb1Ik2d/XEBnSGOzZvtYwQdDJK7OSdIZhfg0SsbwyFVqybUKNa4QpniZO
2kWHCK7U2xX3IN44COWvQzIvtE+Ibjf9fHlZOoUZVySFF8KgHr5PXQLLW5DelLCyb5PUvTUGCCKk
zfTmIz5qVfyDL/PTgfifvvDnV4AZ1ONbpRHNkGP1Tf3glqyUTfORUM17PPvB0cHou4oHeRQExPTx
DEFgQX1uVsFN4wnzXM8mH024PtF/WUFgtkrJR8eV3BwDNU6XKsZRYY52884RWXsC9NLfpYsmIyfL
88vRGZDV++lQfikBl+2TlDS/sWeE5vvd41CSsu4Iul3JTG8lNfdeSmBd67ZvPyySv9i414jJH5rh
fGgsousNzGOPmY7zK91K+K6fxLrAItpU8YuxfvsJdJtnAwfVDXJ0WrC51R2ZdA6RnRKTQ3dxULve
ytUl+kX9TRQGlyFwZnmd1HZxglvp3McL/6u1TPM77BvjItHM+TodXeNMcLa8YTb2JbGluQ8gwnwp
6nkKEQXqh6ye632qddq+oAO6XZpuiJRecU9bgz5d6Mp6r11g5J1pHD4zjyGbIpLBNbPN5FJE0pmh
sdCK3DnZSymC/GTbzfyN8CNrTSScv4mO9BFvIX+3G+C+xynNDzGNO9DE8o5FWVx5k8Zi6ovsUFjv
DPZzYjTizu23Ra5wuXDeC5m8yXGbYUHZNF4e7HVFXDvwDVTYdS3vCD1yab/gtL6sUqs9L35pPiE6
EN/9suUgUs/dqrRGI3IgIMjAA9T3h0CK7KIcBv0yThd549fGdOkUCD03YDbKCtiTyg9LlzIUVHZi
3mnZIK97jPBn9B+oYZSvDrOzrk2tULfVNPdPkGTatyApkrNto1bVEyn/6ZH3857FA59Cj6Eg4xwL
z575SbH6YcEwCCAoZvK0u5TAk9shGOu9ZvTll0XO/rbzxiCEfMW90zXq22wS8YKJSiyhPS/pO6dy
eSVcMz61g94+ea2NKCIt9X3ri2cZ2MW2Hd3qEfhFAJKvc0qiYqx6X/Ldnxvk+cQmJBQOzqo7rRrz
jtNxASKBXAIKUw77dhpnIdvVsoPnZ64basNhzhGDEQEQMqNMH1t+JzP4q65o1O3nbSvyNqDIc5fL
rnWMM+ny8UdT+vqzr1X9EzEw/VONUO0q6zPI/JVAN0gDsc7ear3Y06XWSJeSAQF71ji6ewz8iIVw
AHBM0Ntmif5+6f6aNMzlX2cWHomi2Jsd31uX9g+Xn8YukDDoD3dmJ1xtOxiesVm6VrvPYQFcdkaO
5tVte422VkYPB2ROIC4pxlO5x9/D48ViDTK9Kdv45OOXeC0ml+lB0M4iCVF/xC+dvfBhdLM0jm02
av8w0P2rD4DQlrdFcUa1+muGa604z8At8e5KVw2RzA151YqEfpUbo23ta/aZGMHBjWOikN3UqaNF
LnS2Vx0NyoUxu/EHa89iY16aV0t65BLNsjiB2xpjCIh+/ACWGZlaWiel/w8m2s/n8X8eFuu9b9ke
U0+mbR4l5a/vndwQQN727NxBq3Rqjr99/MHdHPuHrie2DzOmuswJ0L4uvaneDxWK4I1Z1+7RF9l0
aio/C2cENcfSmbsjSD3tYYBHuwewhbS/a8f6Wvl9dvZMPv9MT9TcYH7sP1Ceg6UMMhsm7jweddxZ
9G9bJW/wv6DX8yaPlnHuoPzAOkAXeIyfzBTSmOZr/olkSBNtu+fuyt5KdoJT80vnEqLUzYjJM7S4
kKS8mnaLacrvRtKzX5mVrU1hL0wjUpYIdlZTwDXrDsjW65YugRBHGO/xS+2x1KkJ5M3n0osRsdMk
QAIekR7K26uLmDlKZ96VZg8Cv8JXGgZmm77rolc4uNL4hTsPcXBZrTvIemkwG51AS6lLWwdFtLGx
Jt+BW0K9w3z2QUfeQ4Bs62bPXpV/s9DMHNsklcdiRuPZdeZEW4ls0RRy1xbakbzKDcWz5O9XIUXi
T09Q7oQAXpmOy549ey0Hfykb2KursSeJ7S4tjQF4mc4C23zuzSUMT5wq9LegZfMBCI9KdpRi4tU1
B3Wr6BcQ8VP1xxRnzDbFVHtqs7IHLFbpGRYWtLhr46PeDRAxWa6Gp78ts444NBuGN3O2p+9j5tna
Fpd35W05TdJcrinHLqd6cCL6AcRhSbvGZlmiKit3GLIIkcGdMx6A5MrtoqDGSbt6JH6O07tH34Ux
hpntg9YlZJaFNW/RNI3vNIfZIos63XakCR6koXC+smoPXpmtJef6vdJ4GJ56WRwcrZiWrTQzFQXW
8mQgN0IJRNIo7wdHKFLPeh8kNjdrbvY2kxXf+4YfvMIrMBWnxsgJJA5wtGxcS7V71RL6eUlbzsZy
MRZYBCYr+9JrZDkhl6GHg7+5yp+Q7iGyLYsW4n1K3SJD0LaygLdOHwypsnFHetla4OAAPZHsyaOq
r7BrIIUnFSwdh2iQaaXzcQu2vLLpuVD9jK8IdNjIMlhSU8Wh76ICIx3QqB8SIIO0+G2eOsrIrbfU
itHxJIYrCuQ4w1r+BMstuLJGI2q31d+qsmFfHdrK3y7s7Hqo1cqg+T8Xp4UbwWfw2jQXuLTSJnQM
y3o2YLZgQNZHdUuLF4Wj4eXyrqO2PAxaTfwW5if1YbqFf/RHpdGIRtW4wbBIT0nviG6xpwkRUe9m
zC5B6CIi07gLM9hSzHKTbjsEDvNFEiXIjrVU+QFL945BVJmFDmUrkn0okWE5F9WVhxz0xmTSSLOf
bNsNGi91+7mQ/ney/YeTrUcq0w9bzp8OtrCu6+/fhuzbOPx4uv39x/443JKCskYI4iRn7vaZhPLv
w61n/caTFdsoIYO2gRWBE+wfh9s1eZSC3wTjDyAEfi/v44/Dra3/RrogcH8UN//94ZY2yM97pA3E
xQpMHbyz4bFjflYCP5QqjrlARW+y6dBAud6anGOjVNVB6AzD8+IWb74+5ZhjqQJqCiiiAN1+Iynp
T75RiFAf/AeapsVJA4TIqaM8T/5qJdPcK7OlAMAYgvYi52ZfVo02yn+1sy0Wc5uAcsXiH+xEoGWE
HlFM8jS/FfFEviZxaZucoj8yWvTzrFz0xIk+hTlBwqGut/o2L/rnqQweRma1iEMaE+tA/uZqQt+W
0IexdygMVTxyj2Lqng3GjaFyJvrbkFQiQFtfkLPewfp9mzpe3nXEc9lkH00yYNwAdBF6rnlLK7Cn
MuDzQLvFu9m1zy4H8c2wxpLPGh+vRoYeSrwt20lj3Nf5RzAzQxT3XJopiKNkoO2t8uLDLDS5cV0u
ZcPBaKu3/FJA0NbGJrabj8Bl0BmwZjSy444/NSG/CCdha1GKYwugu9kccptzaAM/b+vyZA2nwr6d
fXbH9SdzG0tLFjC8VCa7frJwCQQcACpqQ90mTXmLxGCKSoZ8iKU5Lzk2zf56tmhUtrwhC6nOVlfJ
IygeuYk9jkxBU38sNY+U1uIU5cRLsZ2LhTZFUCbf4lIzuA7BAwf2IbLqEkmRjth8VZPu7MFn62fA
EnZ50D/g2CswlboYirWSSESlcyLy1+qw50Vnxzv6hvbweZNk7cIWbLf9VnjcB8ZicWKiHsOJgMHf
mBgu8g9sQrdTxptK8sI+Wto68MmR9ze4c09eMJjRJNa7iIMkczCPM4HBmaXpzcib0jx0Y3f1ZHBj
cX4TYeU4V9zPHzJg+GQC9diUc/ZGicl3r/h/+RqdBmO+3s6Dj2lhaviZiqvEwM7f0uNVlzAJgpDi
8vnz+64SlOpTyW0Fj0vtEo6GKEU4lTQtKvjR9cuTbiQfLHLuaqpmWg3cnb7HrdKsayFph+WxJMph
4/q4ZQzeCCvP30yiyK5GLhfF7wPRj0M0t6wTHg3xiTa2ukw9Vkfg9c8eU8DQBSLFguNm8lmNnxej
FiyKWeOPiqJ6AxZHyYml9UTd50R2zE1bFn18Whiv36FiFyEjC+yxHfNEaxAC3By9KM5k+rbq1mOg
PvEekrS/8HtN7hPGTWer5XDXDsqMCrzocL8tTNh5jXWDqENsWhmD+rq49E0WKvJ8LPVTWkbEtJWR
zjrRyym7nVLn6nN50clQBx3SIFLxEhZvQ+w3aJNmo1PXAWQNihO9rHovdauI6MixDAu/CT+/W22d
ZmkxMgEIlWwh3AI1DrIQd77AzcD3B25N7RrRBfs+sQvOqmWwA8NSbrHKiPDzBljvcJb4bWYrTPML
21iAOSKyVUCu4vo1D/CiWAfcRhL7XTTlRvwqMkc7OOshV2m8FqYV7QALld3Lyd7AMvEVGMVHUvD+
AovVo6NooCQaSFmujfikd2N99lCPXTkS3dGcv2lJtmw0FGxnxpVFBHYtCxl+Mbx1WKcoH43zQhNq
57ncZDURIGcNs1aoarYvzCiveO/9jaFqjF32PkhLuCGa5JcZdHfs3mKQOegW9lhGPa3Zd0f0aWvH
BIuGzCr9oDeOBXwuYVNMDDa3ma9O81D1xaN5m5KFu6foWvZiYDMRFDah0/Kx44m3MI8Gq8gTzaHy
2cEqD1H/595kBiQufy5aXKecBhLtgd+d3pCUpW87x741l3zZu7HmEyqHF6/IZ26mVoodNRPfX4N+
P231+ixdW16NXvFBEhCXZmEFfF5rlwJqW1T8Sgz2wc6u3SKy5UDcpu+wBdoOPiDyLG6YkFZbfGbl
3o/bj9bjX1djHrHoBcJD9hNbK7Od0XXffB1ZIXE0DLZb7wv6hSYqtPRGmxmuNgOxpLOfnJZMEmKr
lYS5bvF7wVMpZsrVWmrEwQOmJ2xpRYq6VARuRKezB3SpuvzNzBu5RQAQ0LDUzQcnwYnbEwaeXy5Y
6E4ZeHHELTrZkAw3DXuMVpn8Jm2y4YZhmksoMLK4xNt12AfzcCkgucgl6PpI2akw6DW02kmQio1f
rnnvg+mbnekNgkJLFh9+a2mK6lTDTBGyMOYDPphmh9lSov/otJbhYY5/v8rtSaN5bGJPNvz4Mpgb
pe1Kq57RvACc9451YPfVYaBJrD0v8FXCdERpco7TwBo2XUeqX9iSFZldIS8yF0C1dazd1SPlQ+q5
Dz+UYn/RPv2lA7bWNbYLuct1vZUz9yvUrgzgU8IwHZEdLgvUqvQjK3i4WLX/MHZ0HR2imUI7407/
+9dl9PFD15aibX1dxhWrWnrt3/4CdgsW21yCQYwHY/7c7FiDVla81zN9ajr7H3//ar/Mtn5/tRWV
aNrQ/4mv/7nRpGaY4Jmqx0O5cIOslUBQxFrEqE///XP97xDwD4cAg0Y87bu/Udw38+uP5f8fP/BH
/R/ovxmwQ8mmoJLn2/tjsBW4v6EtWr83b80Q+Jyg/av2t35zdNKI8FRQAvBzVOz/qf0tkFS0Mjh5
r2E07n8jt8f89PO9SnuEhEbLNdcuick5YM06+KH2X6phmGov8096W8kLDRIRJZ5Z3EnLKd6relLH
mYAGL0TXkeD9WuLiyrKq7iXnEEBQrddrN6AisYWlYplubEirXwpFPOpFm0n5LR0Qbh/Bu7RxGNej
pYUtGt/diGcuimXpfVmcYb4dO2EhMeDpG5/S3C/fp2lxzlM7+l9S2dDkVxjlUCb4mOOQLqDcYVxw
TAOEBijiygjzVIsWm1AE+pCV5b5D9Sq/17p3TMpSXeGenZ6GrLXvWBej2o6TiD/wxVbXifYJHEnJ
CGEi8KKwoL/aNM2fZIJ1zVz69EOzLFA1QeJgTu+kdwOkISAyfbF6klITeak8GCkoIe3lA5u0dku4
ItIzb6qSq0kzYUDYAk1f0vtGRlyQZZ+ZrhVQRCAOBYhOUacpkdQHLMd95Exx+kLBm8jQ8it/33tY
FzZBhc1hMdL0enTGo9MAZjsAtUn2iQqAqZn2tNcbKaytqir3vkoTRbQM7DJvs9AWoVoyzFFtUgT3
OBUwO78vhi5FyHTGQ6xeTuMF5FwSX+KiPY1xwYOvJy0Oc3PjhiU+/Yu1CwPwCCXnRg+ED7KnCYgs
ADxzN3lVe0joiRwKTe9JcY/9ARYSzZQQs7O4b8t5OBme/xmwycUJSsg3mqjLawOllr7xE5Vf09Fv
RqIgvOm5HHWUgiOnhwsjbdBopGqRHEYSLzjhZQFDkFRzzhmm7q5RtXYhdJGW3htggK09S1TutM6H
05BXeN/cVCY3/iA+en7LeNAH1QKo8a3mA/ZMafO0VuUMBF8N3+qO2OYD/eHySzzK/Mgwo43o0+fW
EcfI9CqMgFD2uZu2jaidXaBZ2Htzq7V2RhMgTJKZMV8rUpjyL61exHK6VZqfNSWib7pNe8+YsruZ
Au0G9fxilO98uzQIOSp1GdeWJiAStjPt8qXJrnTXq2LMzairK6NBDWMPExqomeb0YpiPic9rxH27
JR3k3u5lEs01mo+QcdNUH+LaEDuCTatNzQrlAGp6p2Wwi11fFRXLe6W7MGxmkgu1pTa6DRGOTUSc
SkXFbsRkGhRrncn5KWNUAlrCgpdYGBcmIReXWB09jsY2oRvBoYSFcFYCRhQ5g5Qaer0cXNly3Ucg
nSj/QfNta7/jDoTgqIOZaRZ32/ejhTg6RtIJgehkVl0VZTkB1pYM5vNoKeS42EX2rTOOA2YD1V64
fQu9BzHxHQlwNhVs4zp7N6+x7gT9rUpZmEWTf0BzfVyRZG7pF+9+19jb3IUL1GR5/6CNWC7p93ph
X3P+yqRj3HN6YdfykfdBT7FBRLpEglNck0I1J344mQiMprG4QdP5JbChFCWKhY2R7ZAPyZ2LrDmq
6IYS64PgNc90/IGyLxkwKBclcuGuV7uZH5jPpVt9WgKg87aKzNJFOm7m5p0rOL+wPXHqsDvniPWg
ilx62BxU7H68dMj5jlqZI4pFlvZklbZNIx0aT1pAi5ciJVt+HLwHJtrjhZjdUrJJ9ewpXsPege4u
1r7pJGsJVn6irle+BIKlJL9RE3tjgTru0DBSP4xakJ/hbwTwAfpE7mJTjeGA/zacGd8BtCvaq2qc
sr3XVf5F0ZmviCFg6EB+2sm4UghB2yHCZKAzg+ei3M5lWkSxoh+AgrjkaptWzkIlxDr4lmULDxHf
gtzMlzDIkMZ7fc7gTV/nlLrvE7DMaKoLRZC7qUe6T286tz0IGr1fPbeN79+kAyIGTv318AyaeWc6
I/rrQtbXxjRm2wU44ANmmvKDnN/hxTMS+94DeXHLsTuJSGjSdyWulctJDTRMdBusWFloeIl8s2TT
TbPxPiNy7uQDsni1em5py2rnM7ms9aVviP5AVI5x3ZNIEcqhHVlV83KfGJXrM3g3siuQDSSbE8QH
nwUdk546eTjlfYFU0mfLLJNrI+jzQ8a8AXXF6MEgmf4/e+e1YzeSdtknYoMM+sFggOHxJ703N0Qq
JZGMoA16Pv0sqlT/qPSju6fmuoG6qeqWMo9hxGf2Xpu4ioQzf2tL9jrMs9OFpKAa+7KSBXqlPH5K
kd0Sl1m77Tvx2WBrADFklwKL/bEVMTDExZq+FKQQbdgBLY/2YAuMCRJwQ55nXRL5TfuE9l5cLjiM
LpexGlCoeqbk+9ak967XWw9siwUpObLeziOzhw3c0PQFhhJe9sVDctJWa3+xnvbc6NNHqpB62+k6
IEE3MO2QuiPbFM6ykXwrzzjn7yB7gL5KtG0xRTQbSEICMwBtr/k6G0leHrGx6OyF9W9cEvpeeT03
kTKRVy9VimC3RLK/6y18MLTLE0gMko++Bt3g7WIFORJEP0cwrmmUAnpFIBHz0h9GEwrkxF4nUyMU
JjSiJz7KfNuXZX5n13O3dUv/3CdGvW08nW1+FH3/qY//TX0sLNdCsPXP6+MrhpZVr/8iAPv5h37W
yAEGU1yka84lKqtfimT3H8zSf3ejmv/wLHJSKViDlUa8/vCf5bHtYVR1hEk/BNCcwYPzd8pjyqnf
y2PfF5aDuysA022jVvxreawtTzYEqqRn/Gpoi/M88WCgODIWM+IiZ3gzk8LnbnOr+6yey+tlDNcA
kMK0NiWj2J3FFOdBduSeYgKY1E0adBIoklFKABz6MIWwbTrGQxGJttQwbjCxiYPrsBL61ejv59RN
Lwb8oZeI4Ll9K5Ff1jhibtdj/lCYYXqIqaQODgVNtyFTLF53ZB64nVSfFIX/Vd9yD9PW47Cx+xlP
KhRTcUFs+fiuCo+J7uTjl2HHNoAEEx2xPnC/qgajB7GcI05+84tSS/UB8zq4QpwfQ6OYAgZgDk/Y
iKNjT70DUyKeAsT8COUoKtljnrBiOEfuC+NzrHTz3a8xP9myDE4UJ/pbMnFwUf/U1m0GX/bQ2ba+
J8NkPEuFBjCaAW1jBZTimwT6zNhMLgyzwZ5HBnC668QsUTLXi/FZegluBLQg4hrtR3ki6wlvytTc
My3yDioNhqe07rqHMOymIsrRxn0hMSx51aR4hZseghMz+QRjJQsP0D1BecpN5aMGIHDolHIL+xsh
LP3RIJvpN8IZXxAJgoXty/wLh2t3DJes21tOln0uJruPzNQ3xpK4Z5AEAFTjZcG9mGMGcP12709B
K7baY5cfmTgOkZSLRL2GWcg9ybvU87cVRrsXLSgQkKwYeqvC44UCgGTWHPfkODFYlACGDlMT549V
6aQvitAltRnL2uaEJUJgV7AHsUDPuojLU2FDYsn47p0azc3Xs4htN33FuDSaLUBf6bq8JwvRbLnx
WSHnC4E83OrT+D2Tgpu7ntDQRGXeLgfiZcrbzKNGAU7qXyZIh7YutXUE9aa4qjtDolC0rXmjihGD
T+XMkAZdFqvPsc9SIgr7xPmCGBmklqpdwFK55v9Vm8VxqZfEh10KObpiZw/e3Q3vknhON2NgYBkq
GCTNA7FU7nUGteoTPYM6mRpK4iiBr2wB0c4HyujpYlk6kidl2JWkxcn41Si8xDjHDQ7IXVj61tdm
NNs+Ss2R9oW7MN7hMrXeujCPy01SNv2dRQrNu55BK4X1aH0obethM8zdfN+OPhWeY6uRdhUPCFGQ
M4icwp6c9eIGdtPHlv1sD2Z60Zip86X3GFBSwfOl3fh6yY/0esG79E3/CuPDbJ7YOISP9FeVsZkR
VIAzoiPLYVm01T5A0PfhJmn4pFGUGCZWVa/W9pXVe/M3t9YzXgfCVsqVh1i+yqRvrU2uJTLIMi/1
W+c7UEhmX9awPSowvcbQ00Sjk7ikLYSX0ek7qw1CXDMZz7M24dzQFDrYNeplUxA4Ey0DNSoAtGwd
tPf4errmrCoL+6nZ+hQbNOu8D448VFhDZaTt2d8YYW0egDtl92Iw3EOVEWuB5LyLHbjA2nwTKg0Z
SXKYDsKklAsxk8qD39X5iTKouVbOykAKK7u714AaeWPRj7yoTNLnNRaNP4dZjH0vmVDCBAZhN4M/
1/roGEF7bMyQ8ahrzu2N02rjs4LBjFbJksPt3MwGh8uSEtVmSEwaoeMMeyNIm3dvnCEnQwx8g1dt
XdktltpdN7YBnaU7Y6vHZtfcpHMYY8ITNcPidIxPqcCyvLHM+oHwipps63C8IJeFOT46h61HneGs
BQeEEzZvaxEyrOWIXAuTCqoYG4viMSnd/tCu5Uv2o5KBQUhVg+623IRrqdOsRc/yo/4Z1lKoWosi
80d9lK+l0kSIBmWTkzceRZSjxzp7WX5UV7PvAJl8DWCnU3ilf5Rh/Y+aLCblKCKX0rux8IvsQRHo
e+JQzXuYpQlQXPg6GD2W04Bd0wXgfd+wnr5njB8L2msZP4+okl7ZuQUYWPxyPKdzop6D0hMcUiOP
VUAA+K3ZT8UtEDpSRIhHwyKmnOsQOQ0bWTZD0tWQjS1uO3anMzstASevwZQKbrQtCmY2Zvfae8rY
I1lMh6jNUX6OJAk5EeAx77Kx+PWXqRNX6LtiDCxLFz84gfZOktLvERxRANSBeco3m9zeG9iwfXHo
jKa6nMH2XIdVXT+wymJCxAv/rLOGOdesXfzZVPUT8VPvypETe6TGWI6Jlc976cwY1K0OI2eHN1Nh
mMGuC2mb3njxTyk61g2zidsm73XkNiAsY8TQDoesiu/HJT5VnhRX6FvgnZULE7U56KvbZPHJb+T9
fMRhY5G1tsBSdgz/IBtt3CgFcGAnxOje5eGSYsJzMlytxkgUBIsQfo7ZzehT/PlOKD0ewjkMT4PV
t88woYvbwYIvx/ME85Tdm45s0DAofMZkwIQ0z+aWcEAwmb0dNnfjCspC/WOjSUGPs0vdzATFmjs3
vSpixlzhdILegMS7xqtRhsGnWWXhp9WCkYrc1m1eM9zK7/Au1KmtjPpQ2imbGzjpWLZTvFBUTcim
N0zL/X02SHUbh5QgNavLreos701UWXAj4HTuunWrEwEYQ+q0jKO77JCLieqhnMPXTJQJJ3bKMv+i
YTBgYRYj4Bb26Bi+ZUasHlw6rObW023WHhFWYO1ePNIzsDrS/V0Kr8u4x/AOm8Amu5RFEhc/73wl
lvlBNwkAfTuY93bq+cgSPH+TIguMNzIZUYSJSl50OmfBAd02fXVrwis/hMcjvsEDbbo7PS468SLF
IGTxriyLNIfuUCUKPeuZr6zQ6ozg0DPaD8AFb5S9IEqUUX7KYRLPYdf7jxaqiHPTZI8N0JNdYTfF
ifat3vj9UOA2nO69fGFQ2X93svRDdt6bT0zrF7tqqSCYIyA7cvs3/4dHyQ/yW/zqu9EpjEs+HEHI
XK1Opeqa7zZKCFaXdaMAazd2gPCoz/Kjrubuzkb0NG/63knBpmtYtI8Y6vSuWMRyl7L2BOlWjYS8
/qHV+0/39G+6Jwtm+79qnv43+cll+9H+ZcHw48/8396J1A2PuUv4wwRjso/6c8fg0Ckh3mE35NPD
0GD9l76ITokdA/O/dfAPDWjdTPzZRNn/MLHtuoiM/pQe/a//+Tn9j+Rb9XPr1v72739Jpw5ox37d
h9GJ8Q8hQehxgQe5v2dqrYZCp8ZrcXLzAEudS1yQLjssGYSNn3Evu8fFqCSo73Gcv5Jp4V+6ymkY
FFnWeA9SgQAsbPYfOR4VyiYnvF4IXXv0JDhiZDleuU1ax7+mcGrvZzlkjwXDlwPRL7gPE896r+qY
YEXpy3MgvF03o7wfWimZ5QSa770cMdu2fb18khGLixBPqNjE7PIfOEPUGQpdeRH7dn7oWVLYAAKv
KlcgV8pjwGWySM/W0EJJzwriIgvDs7fCSPwz0njSFuJ8uqnqID/UeRBezm2CFMP3JnE3GX1IoIcy
r6w5w8NK9N2A5dBu9myL8gNz3+TVoi+4tgx1a02AQWNhPUKsrLaWh9iwbAACY8Cs7e82Y/5oLGZv
gzqmRHBT6I5QHIubUpJSZDsu0EadZ/3Bzc36K6OaZm9ryv8m0/mBi0E9NY7EFTHlVHI1ZJdj2Hbk
UzojuGl/xqrEBuGlCrIYrl863nVVtnyG8zi/wlK17xKSPI6Q0fW1Z8vpjvaeBE4wkntA1/2FSZzs
l8LuJwohltP1kA+MwxUvA8sD0qcyp+ME/dIop0cJakeZdueNHULPKJOTQxztjoOJ4DkyC7atG18V
ql5di8YJBKPaQsBbXpxBN4emGdzvCSRMLrEuu+g8ZzwQJxuf8O8WtxZGZ8HcXrJnBsNm7OxFMjd1
ZvmczFn4Brem2EnyYoFRe+NDDZjlMYyd7GoxPfNqbE3Iuj108Reu4PZS9maOJcepwXfgwuAErcyj
yz5L4sa37btl9rOrJHGW/exDiWDjEfj3ZYYRPSq7JthmrT2sMSzmbaj5riA5W6+Yxck/19n5dex5
+ZHcEfvCoyw+FLWXwfXws9cGdsJ1mdTuHQjD5TjhRrk2jcG+oEJY0wyr5Ibc0vZRLlzjxAHlp8Lo
2WDEFJhh6QYI8mrxhrTHu2rQu5yIUK6PUuYgTgpgMfvRSd2bvB4vRIqZdagafTRQp/Rp0n2kfcBu
Zgb8vRN17H8Q2fDNbXCQJnNNkABTavZ8sbP3Qc9sZ78Uz7ajPhH/IKs1Eke8+UH5WA328txiM4E6
Upp3VcocHQoiqZsu6+oUMQycmZS6xUKj5DUfJEbIWx+dDJw922aATF7KoRz4Q2y58qcgY049UInu
zIH1hkz4EEfbzk5eD+wdfhKMJ7vtvthBOOioU9ZjV5VY1kbvXMF8LEl42yxMNRmN51Ld2ZaV37tx
fvRm1lZevJQncIugAVE2MxoI7Td0KBmj+gKjfkZ0kt92LKfKSd7Xrel8W4A5w02Q6WZJIRdJQBmv
BDZNT4iyjLtaFNWGD5S1l04VyRwAZW8RPO/H3GsuGg3FdBOGe5fl1SFuiXYA5JgTVXCHj2d4NWK8
2sqzrTtpkpdboj5oUf+aw3VpDvrT7mZ+E8fcjubkH+BfT7sht3q0g74dvHYgdWqkAUvOEtKfKyI0
5+RmaSt1MIC+ZGwKXX+jh8lbsYZkXNJ579BptoyWae0QAobDU7LMjmRcHmIF0gk0e6PFWEgMhHmR
MCm+msuYxGHLeJXUouilE/Ce9OpsjGiCN6EuWScaGRZviEG5Cbi0MmUTCamqLznxrRdxlYZ3Lvjf
E/N1ZjVEdHR3WWcoAGflxgVG++FJfzpI0w1uTYKJOmzftnk9BAyIILWAtALx5lEzVeFzyK1xjfAl
faE/BU+2DO8hg4EjN+JCp43jH8EXcnxwHJetBNgDFyi8LHpH33Yybq6kOTYQWLMcyn5R07C1yd4K
wXcvIsW22Tb2ixoLcfQ6XqWOg2qfTgyrFj/pr0Y3rD8cu1kvF+JVXlMwZ0+dsIY88jKFR0OGCcQA
1iSAFcaNYcXprWUBHYPMDiAkaaYHs+etx1KzbOe5q3ftJIILJPSsf6a8Sm9s+F980ayRPLJVxlSj
Qj/Mid0fStYqJxUu9VPekyeFnAhhXbzcYtlzdvUwMBGasYOBOTZKhyyGae811XBtDYk4gw1Q73BK
EWQibEHvyHWb8Yhf0PjVR0yKUxWpRodvyvOybVGO5mse6/jIyZSe4k5sZ4a7t0svjc/a8c1z3QUw
oDGm3lhZmZ9cxyAK10nau3weg6dkBMtloeN9ABMARnvwCSyYScqg9vb1NdONLyUgMZZYPcd/r7sF
uezkJIcJeu12QfYTida4cEtTMJEtdcZEASLzWpdaZU8gUUHVfQcrU3P3S5kgE6YQiSTGMmJv7LC7
a5ImP1YpjzT7NJ9CeKETR0wZB833cK2Uh7VmdqbRuMRXuiPIhJaK7dSxo8R211qbs5ayO1grcEUp
TiYJ7qf+u0+JHlCqlxZ8XIK2EQCudbxeK3pNaS/WGr+GK/eInlM8I2wrP+21F2Bc+Bb80R8wI+zo
FljUrr1DTa9DJ5H/0VdQagHQRb+6thyZqDoHTHqWsqZyfcjCUx/cNl0ze68tJqweuWFwzIeRD46M
LcF6mLCgDSPaQz9T9RyKtK6uGD4b1VvNAUrtFQ6kPscKMtGcFOfAUBo6qhRbijx1YUGnOjPr99/c
2W3eTabH8jae0vzCT11LP8LKTuMDe818KSEKjZDSo6Rz5dcAuoXx5Dbx5O5geyFbrQwyY06Nn9nb
0jBRaKE33g9e+9JirGXKjMzZnPkku8R5AVw6HtH90Tez6aKBL6d9iAxyQ2NzzrRz2YcCXLRpVBBx
SOp5hpdvHKlFnsoFdWmKCufMDULguJElhG3lFsM+a74e0qS51nya56UjQTrNxo81ZvqsQ8+IoBT1
B6uc1v55LbfsBUde6Nr6IstOKt6TVgoKpYq7I4FrDk6vIDu05GNsmH3fFUvabmVjJCdMod2JzKz4
rAuRnTuTWCk4YhuMv/VlGnukvyR+897bXr6B+D0fsmbIoGK34Q7Je7zTWV7txtipEXOkiossronL
4WM+9tisoi4XxcHFdvfd6YH4bmpVI4uIVsDmV7TFXvDSmn3pt5+9A+THfYobcgi6TYaVhOD4/6zA
yi7r5n/TxBEkQ9f1zzdgG2KN9MfXv2BZ//gzP5s4y8Tvscq9+Pp41uoS+a8mzjJZjtE1eS4SspBn
mCXUn0IxUK4W4FWMviFrqh+bsz+bOA8uqyXCwKPzs33+kr+zCXNWFeGvjkrQTJjvw9AP+HGIQn5b
hJmcEmZsLMYFxPJGorYPw2DuX/UQOqU+S7PwOVwh7gXQcCiLvMy9tMO8IDKy4FbzAUZVs1Mn55Wd
r+yr0hDoeZCadGliSvD3uYa22itAHfFBBZkLU9RNxoHjdeG/xv2RmRw/68l0Kc1xFjLPA5FzaQ0F
9HNmGIFv4CUxuE4HvvPFGcuaTZibPeYIpxsqKCbPpY67DdApTJoPslks8ozwjI/+HUdTn4Y3WYaW
Hfw/uD30OdiF3b4kY4+BHjNE3MuMl5ApVXig//PUfPt/eWpYqAqGBf/8sXn+pouq7H4dffz8Mz8f
G7xVcMy5HG2eAwTdKx3k5+wDbxWMY1YpSHE9MD8rU+TPx8blsXExctBM/6nK/PnYYLsCKIKcy2Fe
YuHA8v/WY/PXpwYyCeNG2K72OmBxHJPxy6/qShryfsmqwD0GAbSAIk3xkiSN/cfX5y8Tl18nLP9N
58yBwWtcGRmhyTvx27MZ9wPj5or0s16WpYVxCKcIKLPqnSHLdFt4vn3Kl4ZbHAtX/fbL5/Fz2vPr
z14/r18PBgcous3wKTDZ0ltgyH97iamX55OtgvCYOGGl9r5ux+0wWfxc11T3kpnpRwLcKsQxzj1P
RZd9m4yuLHeeZlaSa5II5l5mh24IgLE1BiJERYnbBrI0NsCAWB3MmhKYfoJdth/fI4cct/8fL8J3
eAFg69Ay/LdoY+2siStLeMSrvTpNqmVfGFAhM3+cnwhip16yFMMUo8AHs8on38aQtsitknldbYTT
rVeK6bZqMQuZAwLMMEyXPaa4nA3foICKjdZjkfXdHtAYRgGjKP8mR+nH54A3HKfzD13w7ya+luOu
n/0xPGZ2PW41vV40DXo++Gjj/vW7xcX23z5xgCRcA8E6UlxZ4L9+qd3Batnb85MGOzGPM8CwQ+cF
zVl3dnNHokfxh6zmn36912/QL1fPj1cGtClwBF9xOBbrN/AXibKwWkICDOjBLND0HScKXWmfhH8v
WXz9KQ4QKpvr1eaO+3EB/vJTQlYMAH4NBHxizA4B71pth4BG2uDxX799q3Hz99fjCos9Bw8e4QW/
Hwoy4dZeO6yjYPV2WnxMaSlT9QMxReN2Lmz0fRbYMVC2nbqfBze4rHNccg7GovuUrvwCu1pzp+cV
u+ANOHZqC/kh/RocoIRIznOV48XJ+G4+DYlfMk1bTLbxiWQ5ETkJP2SqHaw3pOWiH6PcHr0lO/7r
F8lc5vdXGZiMfXk7EekwmXZ/41/EIga9uejpOGKxjIoELK+fxO3JaLTaV6oVGMir7xMKgK2rAErw
5ZXHvIDkOVh1t1e1JpNOZfDyiIRhWFKaLxaot2sXe8W7PxbFi9t4O8TX4sEKCwZEmqDPjQZO8ShM
uux0ySA4D+kEaq4U2xID1UHRxMsheec4A1fIKvwm6YV7HDKs3dwu6bGoY7GzEy87YuFmIO1mxS7F
d3HAlB086tiVJ8nMd1taTQqfNok/Uy6eTdEqZpU4625qwt3YbC++c1kEOIqG2INThJh0gxC833i9
V+XMU0k9V7pSz8QSo7FGgloWs3HD3GD+OkMSpxxKu12iOvvgxo5sQTKmgmil2sN1tTh3bmqbj+hH
ixc/SdX3Gq30xIQ0nFmn67TEG46+A1xhOr0ydWOAUgh9dMMwP8kZRSmEa+8G8F6w7YKsDMkiy8ab
vivpuGXufpgEDBooTtDxqG+GMoIro8yNrZNkyc7w9RmZOb+1ZzU7JcLTNBhEiMZ1HImpHLso0Wg6
DL+EZy9B0cZgInNshEi16KcqhBNWYb+5qTfSWafmKVFFcUkw9/xk5KpD7VyYyzWDK2owMj8ABnG/
bGQx2gfStoIT8xT7Q8ce6nvep/LUmZiGG7+1H5UDrIfYHz1AFOwb2/5gfFntFWv6rV1PaGKJp9JP
BBD1xNBPIx8NDPOWfexxnPt9mtp3Ii76HWfbcOqINI2gQYG71Kn4Cocf/gHzurtZ51cZ6KiNMQ6K
jX7eb9HMw9uiKcWiytBDQKo3E3QL2A6Sh1ImVywU3okyMY8pCKH72EILBicU6pD6ENBytyCH5MaQ
XvjcuXHAbF5bl/7Uj+eSVjxiXQ4twURk3tNMRt1gAu8NDdC8FRmwVlES+Yhz7MIIkvCgWlJJZyOI
34w6nfllJgQ+QqE0V8QvRtpsBr5cwwjLfunUPksCtidyzDIIop446HadqCxVdUl4p7nR9KIfkuH3
XZ+1aFXLGZ1sRIJejUYTkFlktVZzMbNqOKXllB8tm50xMmfr4AFuRBAcNmJR/U6MqKpTn3XiQjIi
XHlJsNjgJK+wGvuvnt/Or/agx3MRBMNJIaFlCFY7l9pkjdx0KsZ5bA6nHjs3QEgFMDOfGXZFpvRb
i8VL6C/A0tcBfoEaD37yMj05g1nubVMQb6OSegfb19nIuWcMbvfZASkFsuOJyQRC57U14V9l2SsI
40xYzihYFIZAFEV4czFEtqbax3KYvw+dHqtrE6fqNq4pCpYBmr6umJgx3GWsn3BzWAsuLGH2NTNp
zLW8Yn32CVrd4aFVmOvN+WLpzPZlASZzI3hQr1kANf1Wxd0aY1tXwzdL6nGLkG6Bhy71Z0pE2Z4B
j/+ckv53iZLMejRM6guQFSkaASycOC0D7osRsCErEH47QKiMw2g6EeZ76h5OcfMqpY0f0iSrNjOo
Cw2XMTzafvs0Oo3a10B2nytCHYEJue1XfKvmMZd41CVSKOz1lF9eXkGJCeGmz7Ndk9u4xGcfycqB
KT80OQ/L0FYSer0L9cArV9DngDGPW7fHFvrDEAzijLmzX8e48x34WhsR5u1L4nnuhu0Kv4nqQ9RD
Q8dLApKXRJ3tL2A5lHR3dshywuJgYGNPwE/dCYzBhOZid+7J8gYAg+jZCyPqSH0esFdGFqi779TA
w3M2aM71SjRniQc+R9bjiINlFs0hLg2XnX5l3M/8gHRL+B/lRew3/NqIL9/HGKVKFHtpd2/6OIFi
lfT32hTNVvup9WoG7kWrLHpeiLiHVopljVAw7Qt3Mg9dw6FgsSO7HuzG2ddpM50KJbBl5DKFzh2n
u6rsH62YUJ6x67LIVaO7QzF6q+OSdGai9IaDroc5PfD2++pTO0GTXuq2aHASY52Kuqns56grsGZq
WxCNHcYFrlVnYtVIRKNw0uuJtKdiOf243v+zq/83Yx7bthz25P+8YX38Nv11U//zT/xsV8PV2BcK
IsiQjtAWrsa+PzmXJn5AOG0Qw9apzQ/ex892lVW9E3r8TxTAlItixQT+bFeF+48ACghNrGkyoqH9
+zvtKuXub+0cxCy++ih8KGpoJflZfy22Sfoy+Caj32URoF8GwwHMnM+fP0LLFstodikQuWgqKnXv
j8EVu7zhFaZF81BXxkODIvPcz5xjSLkAQ61xZnNse/FhqCQ27LIxPnrfryJwIyZBMkGMxct1RdLe
lr4L6cFxMiWKiHrD8k+LpQNxzXFjVk8kFgvIFvDzKnJpFCSCq4DNE3h0Tllg3oyeyHNGLIiBzdkv
S2L6Q1SPWjdPeQBuacLtVOQW4QyTx7JZxGG381MMIPs0h8p87qhuoHjJUlHWQuea53AHuGixzn41
i2cHC3bDgqCywEkS0jEFmHj82T31WcXkFV9k5svHeDaMfgAEBG9qm1Zu9SHLOPiaeBJt6yLaqW12
ZKebcMODlsf8YcL3XZMWnDvtQU2VuKDrWtW5lKIXMTwsMAGd77b7Aa7GsMOegXuZzgTuQFW/TWXW
oWgu7e4oSeDcjZxFb7QLDgabJD1CwXvA/ljzYfXyqhEl9BAxPssqsw+yg+lgFWFyRI2YLlFTJOkL
M2OkiTOqCT+YripHX6Rj37+g3isZsmMEKaaUQ2XAED4k3ieDOmb0/fgGGLXdCLAKarKJV1TPaJ7Q
nYYWeovA+ZJkld4BWe9JR+i5cBejYPEgng3SeSLXr8cD6WT+PhDlQYQhktzsmSB0wH5Zd8GGEm+l
Sq5xeRFR3ndvVdGeyRoqj4iea/Im7O2EjC9q59q7qGvT2utmwQ5fsKkS6rkmfnzbawObfjF887LS
uyq8Jb4dw8qL2OkbKJKpCVo73qq5VwdncCxCaIYbISFcDgMRgInFheOMQ3qJLFVfBR13Ol4tEztX
lu3LaXEjMt/Y+LZN8CXrxXAoBhgPyEqn86TneVc3rnGfrJmt1ILfYjuublyje3C7bHqg6s+pkxHe
IQ7IjiWLtajPTOJwqtkliMoFfgmY9sS5kO61FuEeKaWzcVMjPAze+K1yVXHqUgJwY84O9h7w2JCu
ZF8wmlabwUVMlyRcX9zCoFEqG/FfibnHXQwYlybOWYsdbhSI6dFij4ZIRD0beXxalnKMirZucMgb
L+4cE9WjJnlOGzfcGLWTfbd7V7/3iw+Np4uQtDqgvIYGWj68A+IeCbC+8LyOJ74nIXRrO4vxveq8
0uZyDiww9n5gJlsth2VmnTMZRzZZ/T1y9NF/yB1V32L9YCnfkFZ+XSPaAWuXEcyL0aHdWHkvH39s
fzvTWpJDJitxLvtEF5vZ7vhpfLHUEsVjR3wK3AIzHoZbOSprMwx8LZKQvTjTsWn+2tQcqrvEd+Zz
32XlUXTogMNDx1dr2hBJuCaq89sqqPtj991qGnpRGP313pv6Pv3OFhntdDCGzRI5ZlOP1yJw27eW
mETsS6lDgcZ02rxIy7A4jFlQb9LGEAdTVLwyRTc8SxTwacUpwR29qczE2Ln2QFQqWngKwcbexeQ0
HegysSMEy+uE7fzZz+rpOpfGB4/Ui1gywBK5QvLf4Ho1GudamlSjOhfyojSIem8DgutFnT0XpHNW
qKXc7EoAc6Ej7xcsw1Zh3UJhfGpIUQ+iMLRDWMZ5dbbCbo8hZrjEVVffYys3HpTT+jQsLvBgFTYb
olZBjfRJymM8TkBh4nUlN+ezSQQ7EgMSvwmC7bruOm/TasffU+6rH1u+9aldValsyAYbhqQ77QzU
17gBhts8dbJdNrfH0TJZvsYdMRdNsATRHHslItX5DcGSe3SGIvzUor3zJycdIyJSCVIOulePACFS
t0xjJ+zhRMBGsFU9tLaoY6bwPa4cZyeNzriYezdlKNdb29Jcwh20UzQQSZDsY8fiPAjm62wM1M1i
mMMV8iCQKnPvb7NyQgLcSh4tosF2nSOSAy70KTJHEWxCiYsEMOcBe5vmDO6uwp5Ta0GfFa1jrY1J
tXbqFDt+b9QuPJrxvg8WEcGrQQrgFITo9BUjyGk6GHMTnsjUjjeVNRFb4oXFJ5D8AVDMGgdmGeT5
tKjMZVERahcGon0MMxlu7UDN28bJw23bNafQAEOniQ6bGv+J3FWSOcKx35ttDZZlRghhQODd0bqR
fNPDOTFU83VQy1WOwPnCmlaE34gpIBd+eSOoTC7FtGpHzFnuoQmS+wRp/mi4fkh7UJLUVZbZJsBa
HRkBr5m1DYqMQnHeNd77gnaNinRVFqvuXVRKXYC2iyNrZvoR2yN2qlnS9yLiO7SZg+9Dqe+9B7dl
qpf3hNRQcpFRS0XUvfFVXFmI0QfJ0a/C5Ms6jtyYeadvMfDGGwRE7fXoBMTi5aKOPDN5qyz3ex02
3+B3Alp0KRiGyXkpIAhuUD41z3nAX7VoR0d1P3Xfde+QKdFKpm4couTcjOlt5ebyLhQVYXGBWC4H
1fE2+Oq9LyD0cZhWnNrZ8BLMTHicziY0iTHJkEw9HNuAc93L8i+iJOO2gIh66p3C20usC/jEjHLf
yqW4FJYYd6BTHDRN85eWHFo8Eh5kQDwSxG4otTPDJnhuTaLKlN0yoijJnfBorXva/lHV/PoDvdIb
j73qrroR0EmDWilC3I24uYdGQGrdhlFqcte3+Xjrkkjy5kvvwfU8csXy5NoRFbLpPkjQ5adyVbrE
vNGI250naDrjZnI9aItdAP8oRibZsKnnkx7Gebs0JBRn0BFYrFfiqwvp0gUSjaxC1FZ1M1hLd8SQ
7B/9yQ3eR9Wab705fco67m4W0zbkbhjS4ShhCN24hTdgnZdTyclad0P0f9g7k+3Gkavrvsr3AvBC
H8CUPSlSfUqpnGBJ2SDQAwEEuqf/N2TX70zZznLNPSnXKlkiSAIRN+49Zx9P0tmy+xBXnOdxR5jF
fUMUKZ56hERrVk0EfYhUYJS5Ld5f5QREpLdpzHcKfK/CBaP8fV1bHo9M6Xdo5Voo4GttLyDr2Hkg
5FWvQSCd6XunyCZC862MgWINMpo50kpyB2PnG0dD76H0E/urFaeMB2cXV+vKSPR4rBeT2yrJZKo3
dE3Gr2YeYOOpdPtAhnlzjFg8L7008n1Y+rezj6S0Eh2OJ7aD8WAZc8rt7PfiG6iDYi3tVtyEnZc8
Y/NxMfwk3kYVQ771aO6v64rIJQJ+RbGtyPy6V46L6wQ9f3uNajWgiRAhgsBRo5ErqYCI935s8UAE
Sb6PLZXuIjFgWRMWrCaua98p39jjsIuKfQMx9JnVLHtmi9OfscybD8xkcTKnIjma3kDFGzX+qSEP
IsUf2JI2j6k3f4ptXPxXvTEt4Zp0PEDv8EBgssq2NSKwEyRAHFzFaL3TDjAy9bEJPbxVdx0ujmcz
mPU3iOr9IWir8KpK0+7GBbr+qXI8lfH8VWm3cRofnJNHgA3V1fwEtKKoUo4PLX4PixV2zTlJh5s5
rB0fswE8EtACPA9XDPuKYhsQvvtpICrR/xxnRjJvyNdhZw20G/IgKmwKk/LBKbgEHyFlzeRLLwZE
IJXQD2hZQOET/Wlc8nJMXjhllztkX4W7KeYxP2J/gkcYpHGwcl06piuM4cWzidPmjgF1eRgJTET8
ET4MBbUxEAL9VhYlEaRSkPvYzfGVKilJ87JvONQXffFoSSzfoOHtPVy37ExGcbND+ULaOaqldW3M
ILw8VXu7wSqHO2BWSmHFw0CGABoQWmrpc1HOeuXaaXnQdJBu7ZrQ6PtApKq6IUxm9DZhPGLMzuDO
+TbFAsTscGqDlda2XbffKDeTQMN8oRfiPlRd7BM3RYFXBcz4DmkoC4Sv6dTPV8iyjLXfptY2n+tS
4eCRrKNjAJOAwCLn0Enfe7aDpIB/NcS1OCi4xNZb6AfRxjTSKD4n/YIE4BZW6RYZz7DxbSgtRE4K
pMGS9sy574z6oNvQuh8bOL6F1Rj7mcBRckvxdRFwXx8V9+RGd05yBrGcrCNbix/Qzd2vZkmzaYW1
qiOAsagfW+LZkhcLhta6cMPh0vE8rgJwrd7GZ4L3vQrq+ODrghIcIBnMGkxZT3M6mFtQJbO7DUmq
2rV2O7+aFNZXw1ST4wRhguABE+2lq08zaQR3NYGunyUA3/thsNAX1cmwhtdcbwhXcWpmPIVDj5+5
ML1UqgMowvsx65lhqJQAQrcpNghS3U8tVST4W8Cbc2ml25i9juK8mbajDYFf5+IIUAUwCQd30oeS
cKcy03713NE9FJmC0ZOxMtEqDFaCrKJ9Ejs9nGCmSk6CNZI4dzm8gcrq97nt3jgjSQYmdJWeK1mp
DhNkbdvTAR9JQyml43PGkXZcWaE7bLlvGkwy6LlAenG+4aY0EZ0nErFSIbdhzjYeEc7wpaWmB2wo
ioOREAdgDOwk5eCXjKnzrl0bpgF3PnWcXRUhRS5DYdzA55nu60Ee9JjllzEjetKLS4dsJdB8QN6k
/F5jwL5EESkFm7qJDxEoXzfDcTVqUtQmcPVropMKYIVdz6YzTHeA8MPrfoyzbVom/iFDpAKQA9mx
SXDjKTGt24CMPcC9TAXWuo5fW1GmAIfo1FPYNcF1xvAKXbUJlDSP6PDnSILfbdkO1lnU/4ksaLy3
L40jMtxnwR7tvWXicO2/mXSbD+iV5+NULAM+Dp7JqvfI5x0BoINrw7xLGqC/8ef81QsduWUqBTyj
HD/XAYeIGFH13HxjQPO5TWGN5LY2qy1DmwxasONsIZHZqzwJo1OatN4rg4CIoZvpr6mZ32nGY5pj
QWfPi/FenjGjLVlVraALulicFSLZPI6zW/oPprnRLuoyEJrIi9uOejs1ewTLS/tnDNr6GDZNjhu0
Z96YBub3oeSIlnZpfyjcTsNObOw7bKh0BGr1tZNjdxJ4PFcM3cSJvtZGyglPau03bMBGdrJF0d/N
NDt3cdK8cV6jFIPHNG3cOS2OhL31yG76dnruO/rG9HsuEKiiJ0qpx8RoGoy1nbiSvjMscCkKxwo1
6jCDxZDaUJuy119Cq7mQDQhtNrWfSiJQ12nv0pD1VbAePCd4lqNVrFDslpvQBNlu68h7hPrsrbw5
s6/KSZ4To3xBu90egEI9MAr6QQw69d9EdYQgv3yQlf3iSOa5Tl+63zCgqI0J/GJTG8XTyMj5R10X
BiRQJOfdiq4HxfdYw6+GFnMfIMklYS3GtN3VQfSlN3XWM72HS7vCZ3HfWEt2Gcj8iLZTNww7r3XJ
cEmLwuKMAyEyw8IHRK+gI4wlDW5T2sNvxe4lOzS1PAO+mamTXVJKzkk8ctSJNnxVNS7k1Ktvet+l
sLYyowJ3miXWyreJw9vSSLfarSYe+dq2/ODIv/CjrAx+2LF9z9CJxSNI5Pu45DR5bK6WM3wFIaqb
PVCVeItthdAH8JMbLx9PcyIyHnXrSbElraGxM8ixl17gEuA6hVqshOUzxvY6qrzE8va2RyUMepMl
wR9VPxzSCpRf33yJg/k0csOTq1Obxyw2LlHYUuvkXrNNG3HCZ9HtIJKIrcj8/FR7tP+aEL18SamP
knzE3+M2ZxX3d2HafsP4yB0fTd42XEgxLtAZGjOgDF2cswKFGmYF1PUCa/7NYLvPieW2V10EQ2TA
yr+OwR/upVnH26QqrMOIH32jPN0eyy426Vx0QKky71s9ROGdNkzacNFA+EU1fclii85ZNzk7kSEW
TzvnLUJd8TAEDFL8cRoUGaoVNotW9A+sfYzMfY90b8ZFJ9XQjDLhDzE9cC/w0Qz6LEkCm9XMskPo
lxe3y9s1IB5Xb+wEucoWdCcxe7D8oZ+zP1rhzHg0mepXwsiqFw96XbHJIEB+zWwZjWtryozXiizA
G2HmQAfY8LCQCjEegixVZ5FxRAJcnUoQofFJERK5dYppeqPO4tGK6+I1Sa3gphoc7KOd1F+NxP8R
K2siEQ3c1amhDX03jwCkPGQ25bpOzOET8ld9a9vSna+hTEAvGkRR7emCFphDOsIk5zn0gW4lltj4
WUIqrZ2UYMDmqd4lNWNGF5XitYWJCAYpmwGonf5xir1PVAjeQxPF1S5upu7AczBtMYlaHK6Cp4Eg
6FUtS/shBr2zJjzhJsDu/FqMiwapiIK1JXA0bTDKZMbVYFPUnHMMCasGgcEVNUQ37mJfVcCOE1+f
XAw388rvmIDv42gYlyZRjryfXhg1TeFbK5ThhJc7AzG+YKYr9aRqFw9IwwAUoichSCtt0uOb6hS8
FuvCi1/hS70eiFN87PkDmFsaPT/rrMsxcQoMYQ4NarmKGW9fHF3rs+DuIfy1Hrr90JQJpK66Vhs2
rHDVKR1TMeFxWVl2x/xTdUslxCrzAqJefHGVREmd6bQ71ARhrhpjJGAUhD+w29iAZeEGzvjg6bqj
+USWo0+4JgnWtW2ET2CE42+ejFNYczEe/Q09tel+yvqRRFEeNNK1xymhoOfgPdps0ZSgRb3pnfrH
QHmN6aS5mzADosX3GaZnaKO9Wg97rPPN3Rj39jN2pZI0SZcFe1aedds2FWi9vOmD+xbuEBWviqvb
HETSM1xMfXJkQ1+mgJV3UZPRPWe1YV4zlZz2dh3Ay9J969yRGSnuQyPi+KJgE16BlLDfphz7X9cG
/YNtOzRDiWPhKa1gmgFj8oISP23LxJBpacpDObjsWHqgK7hyMM2m13T4O/YTQpLzK2RwE2G4/uDx
TRfpljTVGC9H1t7OeBcJDJ9q5pO0oR5NLCSn1GWpLHOml3ldWC+R1VKozX4XbOh0qGsZhjgf4zRp
nrW/pEsb7LoxiCk2e1xCHHaSrRm3mPmMgSRDWqNXKhrFsR8wc9UQt8+1VZaMYFENn6u5Gj5hBMfJ
5I9JsZHkBK995UYsJx2upayprz0MG4dCWvG27WeyaTE7rZ064y4x1NBdgrxwPtO9NdjEhvrRpL47
k0Qx7HRH9U87U9ClMeT9JNN+HYRxT9O+Stdx3RYX3YVfjd6ytixOEbmKXrcxptm6hD2PBvwXuU2a
JQbNCm7L0R9x6Xv9yUcFMxD9lG/cjlOHpmIksb1TpxZMxcVQIjujSXorg9Ha9tFk7tJgeo2nQq5t
l7TIiBRgEhCjgl6Zmp6MxInQLVpyS2YJGj9u9L3skdgjn7NJ9azo2VRZif0/DOaNdEa4vpYpQGlU
1LLmrF6S3J3WHBUYjKsRdqKwWn0biIo+sAXycFN6S3rl6EkIZaRIb1IvqzL6WX12JvIR/jnjG3qs
FpVGJXdWFswAMGa4ZjP/3YzuWmecbgZSq1ZAv57C1v7sLGA+zyi34MrmDZ2S17BUAFZiBh7DIONN
a4BHJgCz2tlW5h7wgO/dOL2fg5qjAtrXdajNeTFp3UA9g4acNs9126S3fozU2rAPFFbdvp/d/osx
MgaxHeMzElxzZ85UyGNjMIDv2ajHQL8WYQo/QDd3GjrRtDIrmIsrazkIyty4QbM6raNFidFg1TnD
D/4G30BfFjUO2AbIKQljMBo9ofu5GzyAxMV47msCklXePP9vbP3f6KwROS+i4P88tj4Cgiur5FeP
+d9/6R+T60Awgxa2w8ADmS9Hc/7eHyZzi6G25yObxDC+2BPQYP8htLb5Ed0ywi18wd9DTf3H5Jqh
9jIDD3gQfXZ6E3n2B1P570zm/rs+8xeVqGULhyRIE4iYh239g94w8RM3pV6Vp7EBurUaanpgC7T0
qm6EQQ4905ONq9PwgRUNtWAXeQQIm33gjdjHyVU5KBYgMmSq3D/N6Peibd5XrDKdaY532nELd4+f
ejLusjBVz02JXYN0BifmqEljiZmo3fYkmaP6WyFa1vZKo2RjIF1pH6yHT6FLYM3MUHvullFgBQQn
F47a9lY6SpD0SGtIqcJK61LKvYUwMb+iAuyR6IXxNqZDWoLYXU7LU+DZHvbpwbXPoU1HqIUQexlc
VqSi1/dtbhs7hFEIxpC6AHX3fCt5qNN0ukNv112r2C7uCybG5RYImCHXaTDGHrNGk+aVn9b3uVf3
e/58Qwe2mg7x4NO+q1UCkTXYj4nNoQToeLXzSpSPdivpzDMUzSz6nlGzczthP+cL7C9ByPpg2SOQ
c+l+ifupvsEDEqI8c5xbbafq2GMJ2UjLvpX+TAhU6YutMSU+bjwjv3WEkV8DFr/3TDLHvTzn1FyP
Qn71afTuXfhnayVK/GhFkb/Ltu575Qg+dpnEl1a37vUgl2wlMqL12Ry2DUDb66hWxY+098Md0RnT
rvWI8ImVaO9Rf371oghbemRFZHGiVfNb/oEF8zl0CbpQuITXde6d+qECxJGE5UOqWufeGcPxyqnF
cJu0ZsN2Kd9S25GvnMKGDaG+V7lJ+LynmZURQOaulF8bdz0M44dcZQUnkry9BtEl1x2fCNz67E7l
aXdt0PFYJzyxn7JxjlZua4/oxNpiU48e0l2PKzXGIWbuEMWPM+YXlAABEol1WlYhfxbd2NakyXZF
+WOeJkKicv7/yF3d/A4CSS430xiF9yLx6jtkQj21VJRGK2RG87W7zJjSmsTfjK7FfjZ0eW/a3NHC
190ZNaF7NaGVAEXlMuG020s1OvNLr4SXbKHdypObSmtTg6RrVo7TuxsgI8OeYPV4ZzQMhp2wPZnS
v/R92wjKGgZAoD3TdZAyCYYbChG35R7cjCblmI6Mbu3P3ZNBYq9sZ+BC7OeRuHKhvK3apvw8DTq9
lQ7YtY5kt0mFSOfce2Av+bYM6q9tLcSxSKunyYHzTH36pRAq5+DDwYuOjX3FvDZfl8s3NX0z4ohG
1XI0nbX5TDd5BPwVRgc608ZlwLy1jegLbSCHvrAYtjc2uISd0VL551nsHaemdZ9cHxfSiDZxU0Sk
oRk0dvzUOAkitTnX2nSVo2arRaH2BODZx7Q9zV1ypg5n0tlhhiiT6zJiLM9wgfKK4C2IDNjaQTvt
sgFGrUtU9X0QOfldHXjxsU/5mLFAOccQC+ldMebzvuzwly8F/37ORv/iqv40KZDZaiLhYzNY7XA3
uN2TtiaDjX4iasO1ZMkDVkHgMxGtEs0W0u/hpH47RYNTnIfKuy5U8Ea+mLf1/Tl8TEnt3rk2cz8J
GeIWk2lyA8j1tXRrQB9NgdgzsV79mvM8/B+z+9Iq3vLiI9uoOrevQIAWO9P2uKVNGmB94b639fLb
iWV3JYHO0bRUVbVGwf5l1ph08cFH6x4u8DmZxulLOHHuXHF2bx4ahZbCBGFBHkdxUxUSnm8fkht+
G3uRdcQQIdt9bbuEcedeT0DWnFbHOuujCiZuly9Q5/C+S8WPujKHdWyP1m6QQa5XWIToSxtU3tAe
y6KKiAvAd0b+g/aWaW/iA6iamfQHHKSANTYEoa3KeshH/STzqbXcw9SX3Yl4IKnZW4zmawYWeEIe
AENiO8rBJr9dIeVdoeENDpmmND2PrvLvRjbsB0jJPCLZwK13VF3vfW452p7kXKARx3nuvXXc/Rzl
F0TlGm2kcFeDX4v7JjcCQtwtU50q2wxOzRQZuy5MS9qkTQck0YlvZK7zhwAktFjRORd7CR0dQzmo
2Zc6cNstovXiYCWxfMVxYoZY4hTpPvHUuefYUZy5hFsLXMgDc8W+Dng+HBQzEFJmTg0s7T/oupvD
Co0ZHfa+bW+JDSS1CcssvBXiQhBTpihDgYCMs2ZWAnu9UWbywp4cg38q9KVdGO1R74U/zFECbpd5
5BAUl3Gyw118XQB4p2WUfy8W5rv3jn9PpAMKXi9U+DiED+9V/bFYiPEA2IHHEy6LEDyM+BRXaSqD
J72Q5pnr5d+M1EyjU8HsY8l6SoY7bLL+E/sI8oB3Zv00kTFfCcSraysjGPOoFsJ9liShy2IUR09h
Vva3oyCUHhyGNG6Td0S+/U7Lf+fm58RnchcvOH07RJOJPiD75hIfSKO7fCAwBBkISQ7RMbOyYmNl
6O8ZIXbNzdwsAP32nUhnv9PpJjs0LyREDi8eB/nvYDGaL8ECtCvf2XZGHMbg5RtGI2qB36EZLmje
LEg8d4HjTYrT+cpZkHlaLPQ8sYD0mAfB1JsWvF5tLaS9NEmh7tG3T5+xNqNpDxYsH0FTEPqMEVjf
wic58sxB8NO2Cc1vWsB+XHm4dYQyX5DZwf0rk4UByPnQ2+sFDBghsN43CyywZHCWIvAAPMPynJL0
wrADsoEtzrQnmpMlOzri6HQ204IiRIngk9kCnnBcQIXNgiyEqkbEFSIbeDdtfWfptoMTA+Qwf+cd
igV9OAogiK1YeIjFgkbM1EJJTOKFmKjHtvpMqFVdIugIJ2AKWEO/+xRQl8gEuejY/hujyPCTkOAY
qwXMSEAQjEaWeMZt0zu7cVgwjuk70THBkXgJZ1d86T2VH2pZw360Y4/sncmZnDcxKEn3EExk+E6M
DN7pkYxH0cZVBOTEwci/Zrheg0OKgPk+yCLkvjRLrNc+JFALAH39JXaj7s4LuxD2+GgzSp8XkmW8
QC3rYeFbBgvqEv091MvonYCJbjD6nCxYTLJZIGQ6CyxTL9jM/p2gOSt6o8WC1UwZA0BdADdTiusY
yl214Dd7OJxkjcl1OXXhnduFJpk74Dox94lkg3XFxlJCbRgQB7FvGK3UzCd79w11PtI0d4GAlu88
UMwcuJGsd06o1SbmnjCxmDGDPW8HUhyPdgoiaHZpBMy1k++0aYI9NeQWBlnxnQa+pt2nffHdTxMa
Mf3CLKVNpD7FnojefJIRd/073ZRvEy0l83N9kQv+NKbMahGIejAwEtov7iqG8fetNkNIaGr5R23I
nKXFGS4VsaDPOQkVj3Tc5N5MoK7SGNJnVS8oVivzFxZ6Ea5jkxqxGOJT8A5uLRUM1+Ad51ouZNcW
wQvmkAj9ICIK5BbbuoZBBfxtvsoMqz4NmFfPvMP8bC8I2WiByRYLVraom34Xh055bPIYplQ2P9fT
gqC1Fhpt7DTi1mka47u1cGr/d0r+b07JoeVgYvvPh2SwTJ1Kvnb/V/34P8QwunhLXn92Jv/99/8w
JnO8NclzpFmEqpvN5Z9MayH+ZllotYXpOPg1se3///OyE2Dad7HOhw4+Tlf4/OgfSm9+xC7roIEN
fEx1Nj/6C+flBZH9iwkxNE3PdAmGWNKRfWd55z+bKolSYA+bRvOA7nhdxD/y2LgZJ/ikQbAh6P1A
XXVqYU+QbPqZyRBhF+2fmG6XIM1/uQSymZDf8Z7x3i4//8lxWSE6qoMAC2mFw+Q6cj9PYX1u+2xL
YRhnCLfMDl9MCDIXNUd0qesYm4XtliwTLy4L4SyJczPiizkbhEIE1Dc08YV13UifE5OHELtON0Yf
L66ary5EoWWgqkuJivwL0wzahnI1sanRuP3UztU+KdpVa2wnLzy47Lp00zNAo2ZfTqvZ7CjRDA58
zsbkZDY55dMUZCwblnNgFLUqOG6Tpn0V64GNJZ1ZIInHCUi2TqiMPI+tzemcdttmZ5gid7ks9ZbB
74qeeXfnhy+WY2BxFq8zDqwtqEoU8s7aBT9ZNERTSLnVFQBZ6hils/vRiB5TBhrbrC22fVd/gX1i
7pNc3zLQpddcvs2xXgMaXzdoc/ZMlIMV/hJsL2X5tRhdc5/REF1N5vC1XFZwX7fnsh0YKpuoi3xm
fvifk8y5iYs0/h8j/79CHdh8+79dXW5k8gsd5B+/8Ef7zfwb9A8eWtsUIAV+5hwE7t/IbQWtyBT5
w3LiWn8LhUfvwrGQ8Cx4hJ+XE4cVyGKqZ/v8Ov28v7KcsJr98iyDBrECe4mjpUNoY0f59VmOBiPu
Zel5x34062hjp3NG4jZeZI+idO1MXvscEuW4o4+ELHoYoxPKj/olRIT/yeOY/uL6aftMkws32Ihr
7ad1+vbvXcCfIQUfVxquzjZ5+1wgij7/fTH8aaXBqq9IOgzdI2P/6tWT7ngLnnux0o14qEn1nvaU
pEuOeoWO5fev7dh8yL98NgERW4FFP9DHxO7DePnw2Ug7r32dIAKMo89Fg9YHYFQSXrJQVUt164kz
ZzTwaM7ki6vRDZNPOACTL+Nczt+Ehvy0qefJOcV53G4z0Hb7LmcZACVV+XdCBpTdoxYeooeiO1u1
w7HcrMm9RvCJ9LRAkOn2bXEj7YnHmygimLlBQ10/gHPYaM1hEhGcNGjWdKSi9qlvv3COXmTvzCjn
NqiuREt0jWJLvJdli4wbTDZROB1qY6apoA4AZBOq6iSu+WwoZWwRejxquvoIYeFOEEDi1+W1chHX
GYyXCOyo0GtPRhGh8JqXQF7CQlBqgnuBPOfLNaNYdLmojT+XaVB4K7IsrbM3pBEA+Kl7DgaMAMi8
wd+tTEuCZuQL8A+Bk02c23OfWAUYlAYHT+Qivt3ch9pI78w2SawN+A3zJa9Mf1OVwlQb0C/hdtCO
Sna9M7IqMln278coQCYRNY2PBtqV3aOlK7ktOzHoI5t3znQTKe/9mOiAczfqHwDezIR2BbBnfLJR
lyHw8vzaQpIEB++qHBVH4ThO7AFXH8FKqWK0sqlptBy83raNVe4irB0877PA5AN92S9vsxI4YBvj
w+JAi0vHRb/GBNakO4EfSO0U45JbOnEI4dDMfWuk3e8yM9mFOB43PKnhEehVcT/bE6HH7F/paUai
uAm8TrxK5KGHmQ41Kq26O0wJKP9dZ3cxw6vUhiXa9ERlrvumbJGcpNYVMZzjibTK6ImhHDXuIAea
KcKT3+kY9TcWOnWPZooovkOcRZNkc2ZdITNAuQxXrkFe388ecbYIcVPCnRHMxLQernWWaE4KaE+h
blqqSMZ61Yiywv/pRE3M4YZEq1VQd8QnpuSpBkyv071tVsM34NgFsJOMw4lc1SVxvxcys1Ty2ifY
ng5h2bs2UT0KyypWB5CDTopVjZ5ReJ48qCQzbU5Nx1WPTG+txiAFLNJ4Z1XI3r9GJIwTodOqNLZV
FEyXnpJpIuFYdAwce2NOHiZcOhP9naXtSspsETEbVgW+FniZ9ReEhTTUgDt7JSIeD5FCPGTmYaZT
w1aAj1fJAQtTYzrVa1uBaLHUlHOrj2Z1nLI2u7dwfrEYSt5/BsvgJp21uLZ1hdPKoH0QrdTy3iYZ
eQ9w4yw63Ii1ET31bkvanc/5hnAxrn6MxXxoqnE+JExnX9rIq15wqIQEF3g9bVY58CBvQYRhh0KR
rd/MVGnzwunKM69Dun8aCWBdvao2Dz30TOQZvy/lIe9cItsjmrdLA9bRzOj6awYE81PeOkZSrbPB
mRdR48KCICjCda3p1dNamfUpgPnH/2QxpSH30URQE+HIFpqyz7Ri84RYZMMrXwkswRw1qbm9qtTs
XzetxRX3VV8Zu0ETRbRyDYVJPLDzm6mUPTPsKqGBA/GfoU0S2zcuMXZqBTc0v1FeTqof5LzK2wRT
3x9HJNj42ZljFueCqTE5x1wB925BC7OEkNxfu7QWESM4XqQ3ZavEFwNa7bTiw8nCNSnapUVehY9B
WkuyE1bY1Aa8BkZ1Lf2JnMDAh0cbMRfj9AlYJhva6q21uk/OSJxbH4apt7e6cLjD6ODkGwNXDOlg
MmjoZSCX7QnhC2k5Is3eWdrMLtLpI9qRxlSeZT6oRzvTIw0Rqb2v4Lx9MsMdC2MxouvUrowZkZU3
nt08ra4iiYNNCw75KwC0UGmAWHnbYFRMCMhtP4a2zZSeG8h4zNhnZt5yiAAvbFBxW00hlmz1dtEG
VzaU/6mjKbsnOpx8Dqv3U7XohmIEmp4LPJ8Fvy2c9n+z2/+qcES5HlBR/Odj6bmCvpC8lr+cRf/x
W39Uj5wdyRnlWcL4IJaEpX8Ob12wc9jtqB45iS0H1X8eRsGAg8jiFBuwUSCg/+fw1uYPwoAjOd2m
0WgiTfgr1aOzVIc/zW4tODGUxy4lLEUuBeuH6jGZ1KCRdKkjWQ4i2KSpYd2baPwvLBPk3TdpAKQB
cO5ba4joUchQoaIto5OhEqamyu6JJxUw/E2/3CP1RsAJvLRYBUFmPAY13kchMb4BnCVg25LpeGOV
hv6eKsLK8bTmTy5y7W1dkKkdS8IOKtOVIzu8QCjdkJhoxaYa9h36zUPVkLGpSz1e//SV/ZsK9QNT
iU/AdYG0e3wMy5SdVNdfzsLs+YpVra6PPJHApKI23McTaBO765b3xXX//vU+1Ovvrxc65oIf8ulB
fUSG2QYQqzjL6uNgKGcFafMtZu0Ffs5n8PtXWubuv363rnBs+h0LUB5W4Yd3NmvfInzKz8mRbVoO
BikNZcyt+8CJkofezt09sqDo/vcv+m/enkCuYFo+NxOO7eXnPxX8mCDboShhWWh/ITEby/gV25Tw
Nnr01PQnJf6/ezUEZz4qh4Az+UcgVhwGA3VOmh8tc/CyC0XAvBt90EQ3Og8ff//OrA9cpeWb40zH
iwgHqQPKjl/f2sjyLAvKvGMjx5wsTRkRLdM0YKqDhaUmJzneaKWt89Bm/QGNAfzgpAVq8fvr+Nf3
jNQiEAJZAXw7FpVfLwOlhZgK7aTHhnwQJKDt1G78OIoeQ58h2p+82L/eQ57JARcCFzlsrvuRbaaa
MHdwKaWMJeb5rgpUu4FToL/TXM/kcWoTwMiiDHGw/vU3KXwLtqbvh8L/SOrKQGYlsV+nx3JoeiQe
fJuUQ8OAXRsYwV96LeDN/H1O0QhYWAXNhQzx8y3rErZm9RK8eEIEyAaVJBaC2lTTVQxd5dPvX+vD
evv+Wp5l81EGwnQ968OXlxadbyiDe2ieZmDKFRFLpzxxemvz+9dZYBE/Pft/fx2H6HWfRYbb1f71
PVHVtArlanKMTK9H7zikvCl3QjkZ9Y73IJME9emoCBTgtIrWdWsCIrj8/ho+3DvLNUBzZKFDgWT7
9E9+vQbK9ixpvI5r6NGIIw1vbODxtA0jZypA7wfeBjnv9Cfr+ftH+OGtL9Eavg+Imj30Y0MEQgJj
7AjTnGRU/6xSvziB25iuayJ39sqpkV/CWMLgOEwU6Oto0FN/xBIzfmOi2aivNTHTpywqo0NsGsUp
IpLqFM2pcff7T+ffXedCJAFSuTSeCTP49ePJPAetsjCMg+kI/22atKs49eUhX1HuD/6BeWJNknRq
CMQ5VJYXs7enpZMYRUdAje4VM6joOCaBcx0afit2fi+rlJFRKPr976/1X+/awOTThI+C2Mz3P16q
GZZdxYw0ORahOWXrjEkZKtm27ba/f50PSxt3DAU5X5kQNrI58XFvTAybDwUwwrEaqvkuTJaAPGw2
3hVxTt7D71/r43L+/mKo4Gx2xyVv5R2j99NONQUtZo4xZTmvFHEWQdRvkKDrNXklQKdswhNqrEtX
lh7FC9RI8OeV1/3JB2uZ3vIk/nq70qUyBRmcFAVczoddJVe1YfNkRAeh4VQdxTsOoAtHpz7GQMLv
DMc33zwO4Osk0YySp1rSGk4StAsrvzCBIMV9dMLUNN12hE5rlDlprdZN3iFPsLMCU7lsSXcnCuZ+
zp3oRz/q/CmY8vlCuPsI5aNR/hLVix2ogKnUK5MFFxelfe+RZ/nggx8+dFZgnSVTRL0x68R4xB04
3+FlcTTOSdnfgEHqXnP0vm8zvaVLa9QTQtqxjH4UAbSrU1k0BBaXxL8fZqQZpARydEKGLyBzkeyM
XIFcFdt9lQgEvmKncT4NzrvwG0uSscZR5f7I+84dNkU3YtACUSovscOT7XosLZbqkzctWbyrNiaK
pEKCsS4LysY1yQhBvB6SMMZ9L313PwCMaJHnju23QHCALrGtvAS09IN7MqW533j642yXVSG6c3Q8
BiKtlrWTya54md3IQzsexhex/G7rVVzG5AH4b5KhJdc7yY1HAvSmC/tM/kSrb7h5/3gjf+i2dinN
u9ppcIFUs8jxSlmx75xslDkXjuMQ8Jp5cX6L99UKidD/Y+9MlltHzm77Kjf+OSqQ6DG4g0uwESlR
fXsmCOk0aBNtAgng6e+CTpV9qhy2f889sCPsKlEUCSAz97f32peg93lCBWIyvlR1wRVZI0ERvinF
cgEdgs8OLlzWr/i79NGZMueFI35pMPQ2q9t1lr+WOPM6mhj5GccA5mSY7x+dGULbj7tuTg7hEpYI
XC6LQp7Y9lNQAezaGBafrbSt7KNMpLUXZDnfc7c1SvxhPcjIOJPLnavB9EEI66Zbc2ynm2x2xnTr
OyL7UnqKRxOQTWxhJvYie70O5eq0DAZKvqM5DVS2Xch+pVshEcCqseRa8iHBnhM9Q1aIOXrB18L1
fkca1DShXrDPGdIezTXnD+g3Eqom1gwusJ3Zp817qteB1hRw9VJiNEHySqf6Ykg5MWDVNx69tOAD
AxA4n8lS5KciKHfhQsnFhD56Uxtlu8eIJLBdLvWuRawB51d3dwlk+qMZdNWlxvgZAW7Ptp7VUx9k
V8tpaE2PsjM3fkyUv6udoXgHmFmcITEVERNv/0Yu/qHIliZqq3hinp3bb0HAbdfgCzcJODITGxht
GdMSWZz5IuFV3T6csDpimiiLiE/Veg6z8SZLqvmUC/iaaWujwaT1KeQm2aTGQKknLWzAhPizgEt2
QAeLEuMGmQyrd2L88s4bXkv7nMjshrw1nQ9IrttxDpyIBcfeU9Dw5MVw/Oa+sS5LF0L+QHNboyp9
KEJpRsUimKMviLdhQ6I3C9P7Pp0/8B68N4PRw/aQ9nb2KIm3ltE6Gmbw2no9TQOj3ZCxnKAX4t+z
vkjbOS0MMjDtZig1GRV0jvc4jvElonDyqsgB7FJnnk5pKXkAO+seCWrDtZfZNmnhvr0TWdmfjJGc
1rJ4V0SkZ6DgjsT1F4LxaCFafW+JxlzMosYnVsWrbgNoID+J2qnFJqYi6mqgDsva1KVjm5txtpYn
8m72ftIl9YIKge5SCdHesFFy0q32eF7QjFs+dfhJnjDb6Ie5dtk/1H1DDqMBpXMufOILKKn+3ilU
8C2XWAMmOiOOaRsilcbsos9dYt4HrtbQu4AT2csA8ZL1h/J6UqppRA+EvO2Vv0Q+d1p5dAyQvBur
wPnWzexFCrK/VVF5fcSwI+NRBCkILworgp+E/kWTc/QZuP6IF87VPlxM5zDo0WmirrHkTW+qZ8ox
oDXqbNXWFlyfSYn3c6s8vBh7N7fkJQHaYl/lhXuLJNnvPX9IXhT9e5c2JVIqi6kI1oOpQOLo8AuN
U2jvboUrCjd2ZxwrAKgnOtuxBloae9MySi7MnL0DR4TSoHuk83dy7l4rsNx76I/j2+AQaVTOVFAF
XAnrEcaN/zJpmu4OppsRoKRSY/Vxsx+rpvaiIYJ2PRmth1O3B65b101kqNa/4AQdXtAlaJHCFEP3
vbGCYNfofD61yj770jHPYQylNnKYZjgu1p0iqfzD4JfhXRm3MbFH2pU5/Oepg0zRiUcjM1AfFPwE
vtTwgWwcMmoal4qs9eh8nQAo3PkE45Hzqh4yWGuhOHIJEO6l5yVO3IPGRb33AjXi3cmcp2Lu6ZxU
vb2RsciPcd5aZz7BbGvj8GnHWBxG1+XCDqszQ0UzimVo3QIccC/c1rev6AKkSqxZ3IfYbcVWBro+
gKls9iVjovdhdSPxoGkjCtEyOwpUTV6qiN01TlNZQG61oAukj3ECmRPavxnUN+YSs+0PbegHTW/k
1Y7UYU0mJB9L4JSV/+YWHiJO3SaXk+EGkK5ipzxS1jN/VxzHr7CpDXfKAYC2sZtwJExeVKzpq/oe
MUZwrzmxN4dCYgKOR1GfSjEr7i7VnHUuy9vGc9VN0E/Thd0SHoqykKATk6ujDioDpHIcXNaYOs/5
UJHmTkb5UVSt7+0KYDIvTuK2e8/Lix+hK0kTNH5TH3FLoyXlZffs980XyUuvgzoHTKW7WGXUx8v4
zngu1zwEeuOYNAN72UCYKmoZoEJ5XmDvxDMdanW+4xvPYJdZXzW1uttsaOBtEA7vd1WSzGc/HOoP
X1TjaSF1ug1C1sA2takCgtm1dYJC3Qpz7D/yruCZ/bPuIw67gvKP0fmsAgGfuxaDeCABnY3pQAL6
kcIeAmlO6yo3tqo4JinjR+ul1XlyGwsukjs8YZMeP4COBG/JQLHTpoJhgyHOXAJmOe4sSxgmKCLV
heE58wnFmAgDSBeQtyK7NgsJpCtYMVx5izyerWwudlHJ9WzN/lat0C7bamO8m5DleVdqunCq3Dw7
mqR/yVBh2tYA+mRUDoNHBAFc/AB2oJ0uBNSvE1OkZtgqSDY8zuYleQiYWDEida3hSK01y4hAHeK6
LEEcJ/1iPAIoMfdhUfO9sSgcbLNRp2bJhq8NZyNOGCkJLkPyKXRB9iW21ksZRck8p35j0RdkAbn2
TDt+ZqxkvxtWY/ywvEFfMTVKHt2KsiVR87KTM4VPospQ9Vd6Wrxy1AhogC/usyc2xvFOxZ65SYv2
3rOfSWZhGFxBbDFENmOQz5T+MO4MjHufMCWsgGqhQCbYw1bzNt2KdXMKE/otm5Ot76fk2ypC3QFn
7E210uBCsHBFaaVVZHBOZl4BNW72kguLZp39AEwOP3F44CzvRC3oj30hAn8Nq56snvpekY0gw+DR
QRlG6KcdY+vHXM5mPonL2QXpt4j3BW8b2ZAhOFgztES50u0ALk0PrUdFqwVV6JxX4w+jAU7dLgDe
vHG0TnT6mDvCq9MpYwJ2EZrIA9Y00r3cdMOhAdpAuRJBTc74rDpshE7OUDu7PszavdSqvzLVlF8V
YjoUHl4fqKpTxKHaI3o63WjPFJitJ+/C7ZhWmXKEzdLSYMbglgWijm8n0ZtU6OTNPlD9d7XCAhuj
Xg7Cy+oN7psvpEblvlsBg9SlAhRKzCNMZCJBxnvmOSArYBNBob6uVjSh0b5pudCZG59U7T01XXzm
kYtgtOIMvW75kbfJM5UR9z68Q9wGVEPl5XtoZhqrPiKlr8IP4RJVp0cW75Mh3CdIiGQ5autjWpGK
pZHwkE+tY+l1aovtYZ8PzeWU+hoWm/dVrnhG65PU6BqcCJIV4bjYy9cJrqPHrG6/In40efs5eTGb
nklP1wXFyemaEf4K4++VDymW3dhmrwT/8Aer9Mptn0xoaY9t0Ia7FLCkvxImfVyvUdeOw6thdcFu
0qO6GDnDXDHiwy455ettPpsn1878V693KhxWrReA0dHdMcOadDPofD1O+GE6HWrNsBwzIwaMRXjL
FW53o9uDDLpfDS7fTI/s1cloSgQd0qR9YB6s0dL2pQpk3+MhZvh3W1rd+npWW+TvcBo8jXAhYkXJ
s+KK9iFkdRtUTSdXwKNLsafVjXxzwX7owrcH37hWg8LM2hNAZswWIpp6vebIWYQZxisrfguSIv7R
xx43IL+VEQPAbg4iVsBBamsFNceihMt+2NY8XtCZ1pnGXA/x25BwQIiNljNGbbmXebZM1y1r3HPQ
xvOZEjdOyZlvQP9qPfM6N9xs3Klw5tgx+DyWNMXMUSXW04nIpvF7vlj6JvdmvKOiwFCTUBWWFjp+
S6SByJ04vrgXvat2Hh7cBr1rND/AQ3vuWaXjeuQNVT1Hqdv0JNlGtg6l4ZmHRtjdkb09L214TI7T
mgM6GORk2fvC53ylPfXFK6W1zTq2f3TVN7dut0QFvaNH/Px5tLDkH62iZyEFqkn22kUU6DnkBxhU
Lj8nNZ+/b2wcjHZMZo+xBz2Bc8J4MH1Hvn7+KyEwtnuw1d5D7efhwXfd5QLzLqACSRovmjoLlSCw
9Y2GBL01OGwy61kq7yEs+DBxBbtY5lS7/xSKmxJyjjXVwXYo0I1LmTXmJsvS8EDbKIb/VBcn8kXV
wZPM2+tM8QdkOa/Ic2S56xFebt2sFK+S2Thb+8LkPeupO3ZwJG4L0Mr7T1Q2nPPlPDXU9cE35+9y
CBM+Ni7HvnakYC1y57ylgLzhbD/A7Om2YxHrYpMtqCKIlzwMBsHpxCS+VDuj21IvZkrJ9Y+78Yri
weYd8S87mEWOohgsl2HXUaEgylAhybQx4aEqgeegyIo4V2WrzGtXaBeSFozuHlDfZRkvBWwYrjsj
q+gmyfkG7IXIFME6ep1VDwNpnIz1/aVN/MMgPI0owjHrrhzWz6QcmLIJ/iff1QTqaORjQ6SMHNEs
Z6sS1aFepbiegoqzP8f6Zil1AHQUv5fncAUoBxjrJhzXFyxz7yGxQoNk4Ag4oKzR831qQycsOa/S
5EeKyumOfrX+01rxaQlv4oIVto8RgxfazUuHGaHVhvmaCtfJ6RAvwgOUenEPHFVcCR+dFdc0B35h
WPGPBa7z5ZhzNdkLL0rSrH5HSqRZguV8pJ1xLV8XOj6NaVy/x6k5EXwiBL4xUm5hulWYTWoV0w4r
6vfC75mYt5Nhb+Z+LE0MTWUs7jkc8BfCwkH+imHpsAOOdQXwLbOuOLd0LypcP15plsVpqPmYxr62
7jUcQXZavHGrL9JvcpHNO2ELfvU09OOpVJhyFZIrUbiA3vCFNEFiosgBF8832F2KSx6+H4Pbw1cT
GUcP1XytzCCMQoZ5h37EI2Iqvh0FPOelnZiVxsMcolhUoE67kZqJ2pvPNhL4uZFj/NZpev1oRV3E
ZZlY4qYC33xySwwdJI7ADW4rHocHk04yzFUdX7G7XgW6QZpzGxdJ4dPxV4Cdw88UDlwl/mJ+rCVf
74wiDfJcacM9XXduvK05nWLw5/kITqo6JF5iPC4cCH74ccMfHKr1GuxMOnd8Fy8hfg5sL4E9Lxck
yIOtH/gc+wIvHb8HHudkmFJieu3rbPoyra2gm54NeYeUCpslZVvByki440r0Y3WN62V4hDgSfGtG
J/6Rwdc4jS6ZLQBTrExOpuGtuf4MPLfiChjDNn7LPRczD3TBLt764KzGbdlk9fxTfv4vW/1xbr7/
3/95/yYpXvndSv+rfR5kGEr8P/c5/D+sofVfXQ7rj/xuchBrTZ5jonOGPph2xMK/mRyYmWKAcDxc
Dky9PrPmfyTUbf83c/2pIED2Xv8JL/iH4178hiFiNTmw62d2/R85ZPFF/Flip3TL5X2tZHdmmY7z
10G4pKWknwpPX4mMNan1NoFWpJE2gevV5iXqS2DJCB1YLcMBCHopzReF41fsigoLA6qEo5YOX5CN
Pbbs8g5lISLK2zbBA6RRsB6AYeGaCexaenKqvWNrmGQczWb44FqT9AZDYcnx2A2l7MkY4bqsOAdX
5ZxXWwB8VF2EQVNduXE+nWpDjmx0Ad6dCY3iN7dbBHTDezX6ejzoevSTyJzI2rp5c5VLChlkPg1i
47qF9YikRvlnlg4agJXUGIKwN4Q7TWJFb8tuSSARo0vdL8VI3UxjcaqtEFnPmZnG3c5KlR7IJA4Z
6r0NkedQTagBtFmVPG3Cmo2sTFr/OsTomEc9DaGH1jCoN/GaWfFMK2AoG6VRwpt0iosGyWWfL52P
s9GoeOHKyaEb8agbbyw3huqlZ3GvOeCOh1qBmUz7foSu0szWFPUJE4S+kB3IjnZ8VZ0zP8dL7XsR
DcggKthW8ISKO0TojRObg/UaQ9K40i4d7r3ldTtHFOPOox9Z4EnriNHWAmy542uKbWxIllmh3SN2
D/+ZxP90ZSkd9iCtnVYRdmZjszq6HJDWcLXvQDXuLGVU8mCrkpA68t+CXXdNslFnb0TuKEd/gwO5
q7fmAGa48UaJ8y9mPJ+MQ7C3tNYUHMIvlok1JvvZ4vy/6ZIG1IpgssZjNzPfF1ck+8JdjdpFvB49
GLi8S84s9Kd3kghfPTUPHC7TS2JX5Sstzh77lhECL2EMdVHSqGpurQ7NGZltO8CSWqH3qEJNWgou
GjGJESw5QvcMHZeC6i68mdwWF1/cgadrnQRKP7iaDbzy4gFj3KoppEP5zcyN+gix1joq6cstKZn4
C3dDR6k6m9aPWI6EUudejcUhUa31GNN5f9Sd9PdWOfrwo4hVPwTO+BWXhrHKzss2Djoy5twBDPv8
xgYhnkysZonHakbPnHMqUjd4WxM+h5HzBEpjvwixxbKLx82SBoV2cfvoOmV33Qbm8lEqGW8J487P
DEbkRbxgC40MwyQzBrLT3o2NQfiSse916+ZIQArS6Qp1QTxye/qYBLuPJy8BAorgw54azs+LaksJ
QkrF5X3hgLjt6YE6UHZwUDgPo86PHXLKnP3v3LQlmcJoKtzXFeZnnizADC6bJoDT7armppNxuIer
VH6vRDEf27Cvofy22AanOVxdy19zM3O29qw1R/zMuQBwGEa1Y70zgnwBaccKy4ho2hJD9JlWtrbL
98gQoU2bwbvVvREn/NrC9Ya5+2mP+O+q+G9WRQuzHgvZP18Wb7+DaoLk8V79OY32+w/+EUdzfvMw
EuJdD2CyMd+F0fI7viVYoyUhJhc2pp8NmsyG/45v4f+CpGdarFzEGFjT/lgcw998HDkeyRFB/eaa
+PgP8iMYMf68OmJEYUm0caKRwherlerPPgQIUj07X3O+cIF6ANJaEW9gA7V9bcUTsJTQyoUdQbbq
5F4rj1QUODp25uuZe7+0HYthWsJMQ01TpbtNsYXQN0YjAn5uzBQqRgry5ks5C3MLFmwSm4U5M5qW
0TM3EoBIFmon2O/bPTqED0+OCUMaw0ju8nQ5GPRYPnf93J04x6XX+MDMnQ8r7ym2DBtWQ+mnuy4E
+MahWbYPCePI6sJswXVvAbiT66JQAr1f1Ck2Z89GmTCbkCnJMPG8SKuLzF+y74YQyVeN3eA88TOv
7szsCA0odK6okI+Jnfq4tDdQcPqSGzqxdrVBAiAMkvJytMP8hnybOo/chgcR5wvQJaTyTa3GaUdi
omDancDf4jmTRBNJUuJsCByllHA0woaOh7F0mbx2fMzC8KG68Og2TxVAqF3le86FZbXJzgr55J3M
ESfmI/JW4QsAa7bIO/om69ucoM1NGtPkSAlpUZ3IMTbwZRiQFpqODwu5SkUk8M+Ek+E/z76n0w0w
YCRS+DMv5FHUFdrea+8m6kH0PZo7yZ2w3FpGnjRUFgTFoaJP6XkqCwvhyw4OEtkBSAeHBupmCvha
tllEdMouhO7G/h64XpADrIjdk21o80ePsLFzpEBEvZVhWW17yq8Q9s1bByBrHXEis69pxRje4BQm
Tx3h7Juxz8FlSW9n9IGKXBCAWK55/tp0np3Ccm1dwtVz55rKOQNFfMm0A6ia/jP01WHeVxQ4PMwD
bErPcOWFNiXSvlBRUeT5fczo9obRpb+NJ0cf8aaTzcOOLx2ewelgMu9Yarmem+sY5nLsItVK5g1a
f4VTZ+xpNABikapS3HORsyhNU3tkjQKOB+tvh+uE2aZtOVuvcu9qrjZIhvC1TYZNkIqoE0z710Vm
7gYyu7FPiYqh3we8yz51o2QAEiAGkZ1Y1I1Xx/eTY1Om7b1bNg3bQjc8+UEPUt1IKbYX0xiVsAOv
7RHkTMVlqzeTN1uHhozCmruEWGrCHyFhOGA9x5p+T8bf3dDq6dTJwXPknIgn6JFTtifvo9cEjQCx
PlBQlyZpwB6N42LDPDwMBpB8hasfXFYzCm/ctkjFs3C4Fnamm2coraZ/p4I0Tl8mZ8FkNoi8tPdV
SOX8pvRgPwZizK6psLbIpa2GxTLHvxF1sZ2um7bacF8BLlb5UdcW27SyBv+8mXKITtWhq41ufBiz
zNEP6md+JfkMsxS2OeZvRaG6pdoCd6vYc6Zub0WIxyG88Z5EE4GrLEneJGANeg05sfP9GLXk8tT1
DBFkXgQiNiIff36gZz/ZlnnFHLGVtioS2lYD5w3xgHYTvwjJob/xGYWUDiHSgDCmKhPWaRUXCq5G
5cWE+c0aTBwk9kHFj1UxeIjVrU0HmaU6i6CeIab/nl//V0Z9lwLNf7VQR+9l9qPu/rJM//ypP46w
nFMJUDow0yyyihim/7ZKE6r8jWOqaUI+A5kmHBbwv6/SJv5qlmln3YWvUc6/rdLw1+zV84+R7fOA
+x/59AW/41eXmLn2zK+oXw8zJ4799fD9q0eVCVHdtAOaJtGPcDfqmFujtnGqRQXhvTueb8wZp7Gi
qMIs1BsRqvGJ2hiQIH1Y/Q7z+6e1wOIvzs713ThYF+lRc0yHFqD13f5inXOquSnCdBivrbYS10kB
OWUz+DX5QRqoaghA2hnefLbc2aaTgWqjlkEoDX4LJBAwlH71LVTKvOE1UhC52JmeFtdgUDd7bvwd
NJKY9r9837c/7XS/xlA/cwy/uOw+37HHFgy/pYuv8K9eVCcjremFs7q2J3bOW29ayqfRwb26Vz5u
Dlwgk8i3mU+GcPE9OKlzYdoHOXaUD5APUN/SqQdZkhkNplWV1eNGyRT50e9ccMvJ2rFWDJgF+nAd
AuI0foZhdlmUmoqdjKVv1cZH+W/cg//4Nfg4VMiH+B7XBmvJn78GxjKJZi7TX1cqDp8x1KJjQ07m
0mjISdyilcPci0X5+q8/zPVa+/WzZOLA3pPNDrnq9b/Wt/XLt++SX3CYX1XXVbCIa5AzwzUBrSgL
4vT5X/+m1fv4198UYhwGYIiV+BNv+Otvajj/ssFM6+ugMZ33lqaP8hArlo5N0aQ7sx3KJaJgJaij
3Ha1/HcXzV92xiZ/pQUHy3JsZ4UlrDv3X3+979sZDcYyu14n9u8UJEN3h4xVHtxF9jCMET5mvALp
QZctbQltUfvfsYz0R01T8tXk2Z0JXjCvgZ7Tgfdk48SxtykNPd8bY2y2prFIP0JWcboLSBHL8PPg
9s9v03/8ougB4LFBOJ29PZ7oP79/k9WeYHhsUGMSw4TuFNWUwihU5WyoRqqSE77A4iMJgD9MS5vS
dIqHMLLE6P/Ah7TU2PSwHzp1Pn7PIPx9G90m9U//+it23H/4km2C8FicQyz4DncnZ65fP2VI8JkJ
Lt0+o700cUg1Mg3uh+nzNK2AjlGG25p3o5whlKZp6kcdmnrPvPFQrodyWHfyvildTup+qZMXzCXE
OHuFHo+08eSth/sY7100fJ74M2Wzn4jzvrrWqyTQruJAkgh0AuNTM7DGVF646Cv39AnfJnPFel4O
fnut0BvUp/LgrSKEyGaLZ4MzLMsGMTu/KlfBAiXKOaWriAGBcFXnzdSRIE2QOYxPxUOv4gfzIWNF
x34F/KoeBtNAIyFC7u/jvh2OTmxZj20qdHGIfQNlZQEQ9oEpCL0lo8iR3iNEmKbpQeTS+XoUhDS+
MbbwuO9X4YYqgsnfjKuc063CzrxKPAIOyE2r5bRzwFPvxacWVKLaJtGokwDn0CoXyd5GOGpCjhIG
WpIQtbpgqbEojVjFpkD55Ss+jpTJR9g8uLZClApzbAy9J5f3AJ72rjcnaAMjiOK9wWHq3Vrlrf5T
6Vo+Va/qUwGbVjHMXmWx+VMh61axrFS2vKgQxYBwrFoaKhq6Gm1QaGx+DN/D/1Te4KvHEeYY9LgO
ZS5xVo1Or3Jd9qnc5Z8qnv2p6E22P115xbKU8d2gWyUBR0EdqLpvbFGJXr71uFg/Gecdj/L6qzVL
aPDkvtUwNOa1KpQsiF9n7XIYQ3ZyR9llGbY2q6wfTN+wj/lsk9Md+A7izdyaHOmWlDrlLTZ91kOF
a4bjB2WPlDqXSsQ3UCFBkl4Us69XFCRjxCuvVzZXlKZbq9fRwFq4h4OZxzgQEbNpQApWo6EAoiT3
2Bm6cAN02wnjHdYCjwB0CLYC0xlyYVT3saTFKBx0vNelTwFBH7MrABmayCUKFpcnZgVIEup42mHn
HXv6NW/7zKCmp06y4Ac1mj6cZFwP6pA5wRBcu2hL8amyfeW7nBanvl3mix4RtUt3TZLShRTj0m2R
KPsqo4bOk/OF2VPmHbkMz7KI1incKF3WYujja7VejEYuYguhB9Qa/zGNmzI3AcVSqVG9UK0QyiMc
b1XuChhk98ugqCdBgLQEtZgpxSCcARGqD3E30v7AYmyf8mSxiv3Q8A4oZiJEyyFjWkK4lnOjzzLg
GESEogLDHgsBwZ9e13KLex2NgkknX2fmczan0yu3l+9lgeqCpUuV1MBArm6PkJ6ci4QShdXyVLT2
FqtGvF2oHyc1rrsmvKVYIHciO2vzZSObfDEuKemG0dngBOTthn6zE3O61Mc0E1R9FuHanbf+e1Cq
AZpy+SR2G006MxaahTPjSwePegauw31kXYulyhb6kkb4oI8zrLrh2mvCud5WYavO7gA/8gB/puAH
QmnzacVZKqo37NdVCoBQlsAMtLtkl0Il6tHJLffdneJ1oEczh70fqsm3d723oPpLjmtyW9pU4kRI
F7sMCuNbqTU7ixwN46F3Pf3RdKl9Mfo6ieFNuLSfVCRtMBGXdT7tq24U18vU2M5dr1zxKJTBv6E9
jvCRErM/7UZL5hkuFcvSR0y/vXWTGX6IM7FdL848b3sKCfu0v51mRwUcmtYxRqor3ljd89C9ZAUL
n+0A88FO8pQEJSEwTB9VH8bWLRH6ori3ArB0xwmz33BWE+c3TAUzfoLC8KZdrSW/uq6XBaC2heec
4b6//vHrW9c8n3hf0N+vHRf/1t3QunxUKdzwJQqLkVunKZMiu6s6n1u+G9gVJPwznqmWqtKbVjgw
/rBQpeAE8NtMw1kaabNSM4Z22iMvmTZdryu6gP8N+Y2/iAcIFqN1n6wq+RyTVF1j+iAXgtQtuC7m
xHvXFdUrRLby+d5Wk9lfJmxzc6ZXVZE/BKwWh74yQTCFSfvmmBZIToowM+tU4xsbSKHXwN9x4Laa
De5sw+TkY8XG1s5fixLHLyNvCjJaJr7Fi2bK01/I2JA/ZuIBPEMyWiK3nAMCe5dZc9rvG0+GL4YZ
S4xgTdJufIfHHGHi9D6rVX8ZSupNtq7VWQmPPddhOUqt8LnLgULtSqviNlmM2A6PTlWL9rvkgTyf
0FC5N/T6xN7lrsEnOo3LuGOR0e2lwAXkwYwoFaxn0vhUM3Zt/qULx/DRmNmmn5ZQdeKb6ili2Egw
YOMx0xYvNUmRLhTJMuM+gmhJqeEraLJYasrOz4T9yoccHO6GifaFI6fRvVg0PoKoMEW/HBoqPutz
5U3OlaHMtbOxreS4JgObNArcXqaP7ERoMsFrQEzRz/q1PBxe5CbUI5WoVTy3D2XSiuxV1Bjfwf2y
A5ufGmUbGLqIGXTMYahsORlxoz8Y4BhoOT5NAccsNMXdhLK/HLqh7SnnhAyI9d5SuX1LNdMCF9Zr
qIpsm9EENSsw24HHynW/0/CqAdcGFV7sbqECiL6Ens7ZyZ6wv5RWAJ42aLn6yUlQkDwT3KGwhEFm
+4IHQTzmKQMLbocsfOZal/1txSieB6zVhPk+kKu9axrerGDQOPmhgfhPrlUxYNSoh87ZictgvG9J
Uncs7lzRFNHZfJscHBi0Zagp9ZXfNal9a01m6R1XlZm/a5qIBhad0ZDy6cHWb5jgDOpcljHvv6OL
eN+nQYEhfzJNeL8O9/3seQDHnTj1f0YX/zvz+HczD4fM5i8b+O27ev8/PzWY63eJh+Cm+57U1a/m
AbSI9Uf+pqPQmM5WnlYWhvecSdnt/1Gzjo7iEsoM6E0mbce/9XcdxfuNEQjMPoLjPP4+kX2/TztW
kBb5SM5ajE99jAThfzLtQE77y5HSdYj4AzpgWbJJG/5VCCj6YSk0TOPbvIClEka2MBFJuqTwbkKM
wc6d47Vdf6hLqtj28c+tlV63WUU81hpPGb6AZuMXuGzZeqD23YMrNsrpxQ1GozAjDzjlpmHLRSih
MvUtpmrzmzRBgxIPY4MUcHxJqQaxmLMgN9apVQSMv0M6fNhq5CeZVzRcJRXuyLBvgw/DojZj8oLk
RO1Pu6nrBAQr2/B7l+X5gPFs2dphiZZSIEpEWIaGYdNaHZW2S9nQdUsLkfHkm8ZHMFHZJ13KIytA
CNdYdwg8L0t+NRXQev3RHb7olSjjMB5Zbc1eet/56/3W19N8Ow5LHG45CMhuZzf8xZtgWCgj7duy
2YZg8i5b5hzJmCWRwsbzkelRPfWjl+bXLj7nbY/X+CbrTJTpOZvSLCo9vE4KtzTZi3AK6X4zVTY/
+K5aq1viZn6lyrjaMMDFUwAxPXlAC4nDDd2rCNnEq3i8e3F6uehpegXgSWuV50zmkaa6cRdSmFgx
786l2PvKS+FgZXbzQkUILKCkzdnb+KM8GayY9cZwA1KfMl6Cm6DQPoU+5YrSzZcM3oo/QT7HggDN
aOuV/vymBnyit/wllslmcJSMZEuQFSzubKHMzmOslac/4Jw7uzTJios+c4a9Tmg7JWM1bIFZ+Xft
wmN3g5sr2Vqzqu8Kqp5Oc01Qy6QL6M5wQ72rKBs6xQ4aDzZh1/ummxDOPzfNtW+JhdTXDGy72CQz
ZKh9WxnNFaOUfD6b1WD6zYktvqb3OnQrahV3fBAEgaA1Vc2tU7RpfWRHKcgd2NkM4xGMuMeJR/bO
FdOqihMn6CMQHoRpkEbo2eTTuxtw7AIlQxx4kE2FeO4bU9jgYRx92srrHlBwGjKn70zmcJE9TWDY
PdJY9Smv4y688jgrfMOKMzOXKv3Ch5o/S+OKyvaEtSeY6uveCLIrmN3ppRdX+t1inSHY1uthNzfU
gh2nZGY0wpyI+hKj9Mz0Ys5LuL0hCUOxYW+pRKSXxKDtdrUeVEmW3WbTLJYoxQnK9K+LJXd2HPgA
mJs5U/Sg1wPmibgZx6uF2EGLKu/YUY1mT38ch0+AbZXRLZvcqMLk1qvMNWwpOX+fp0Vq+rVd89AV
PsV6iZ2g7wuH5TtfDZWl4WfXWGPKcQ89nUgHiVCv28oy0K9W1tcHIr5tcvr/7J3ZbuRImqVfZTD3
TNBoXIHpuXD6Kpe79pAUN4RCEUHSuBp38unnoyprprKA7uoG5rKBvAlkLJK7y/jb+c/5jm22j9Sw
gq2ElPZpLEHJz5RBcp/hQs3OtavYzu7BYhXdPqYB9G2KYKRs/LlP8Ov5VnWwaVbAAWraCsOcUXbd
kZNofrL1OhKzqmaqhMplucSFEgZbT0XyhJjc/B4N+8Xp3bWNEm/F05BZQ30cWedUpyaap61fGyCK
WpKOC86PB/Jm/DxGdgASX8WcZk5vlpts1uqwTNK/UTjOs63PbXq6ncQIuk625QLgvckOvh+1Oywo
kRGmvFc0gbF43FqE7h5ICpvDXvYkPdxAWefKLSFY+4rpyMDIkWwBwojnerHTrSlzi/c5o03nR6M9
9aHMzkBVy4d3RIehgZNHteAY29OwNRSyTiFcozs1cUzKUfYKyS5p4+bMb8C4IXAE5xv27KT6Nq6/
FKQbWsPBCTbbeB5N6q5zQHETHJOQ2jHQ4o7bxHINMQ+g+xtZ0SUFf5gSUafo7QvXy56BvYzyZ0He
8NswLq82H+EOjxDoEDwwpnV0/dF7cB0W7HEXzdvO4nbpBXhvd+XSYS4znAgX/TROjzhm7CuGbxZM
BQ0Y4jIiN9Lmtrjq4OtKvulueosnNKZNh+dLbEXK2BUOg9lxkx5whF2K9Q6zzKKldKSi4gIb+hQ/
sCyMSPgqO5+5xxd/Xuvtr0s+JQqjfyW+JP4mpf73PPWv5im2Q//haoqPRfdPAKmV2MOf+ftAZYKJ
gt3D5oK1wcof/X8DlXCxXa4QKKI0aOTWP9hHMGSyZMA94vp0L391Bv19oLL/kC4LYtBAJi3xUK7/
KwMV3OJ/HqhcE22c/xinyKr9s32kpqzTiqI5ufNqHlFhTlwLmltiOaGDbW4+elUmy32fxQl+K57C
l9gioZ7TbvCzpRK6Ir5a4FXwoU4Rl6XLfA3Weu7nQhRqVzAwgQku6vm20lmTv6YL9ZFVu5g/lYyn
YCP6jJp30xHevC0MUs2HlNPzxesowzkBJRyGm0mmzXhpaJHYJV1Gbndeu7Ky2c0uNc7YEHEcxtVs
3Jr9XHPTQGsLhSoXalfn5vvQW/gi6cs72QBWwewrX/xyHbNHcZOxvQ/Yelg73OYORD43SS90F42n
HsX4aDR414eqUDU8wHJ6GChOthixyNAFr2M5yQOt5B3ltfFKI5nnRb1OTluHsqdtseeqlAS0JRzV
Ihqcb2T1oo75ISc1ihOlodxDQDoHVJc3hJaMiIj2hneeV9lcenGfWqlzQ6YRdQ+/qnseoRp+8orM
Z0IiKmqeF7deTvgqW8M+e008ga5rBLF0lv31ofHxDO6syYLIzlHBqX30YAUKs9y7i78+GEc7QbQ/
KqY5cpphm9VD752XfiqbYMHUKIQ1cRGlzDAZaEdD7hlOoshEMJzzMcDeCn9GQPEGD+8bdDswXJJS
H6QlHtsWqSbXgTH95Gys1e9AifY3Aiepo6tVtk4hnjxitHu3S72qBT0deW9Uf9B5qotguB3ha924
1NfyQjVZlIRz3qtTagel3DV59oCsjbkyxSYfEd25Wz1eGzNNEZnzKSObV+PTMSwhbnyVVSwHTJIm
ADcOxB3vsBBPj53b8zyKjJw8DqlnOlV1B4geedwOMf8qdELlU91eQjjc5TB4T8VkNntyze1HZdX5
p9VpIQk+tq6zaaA+bDqfONMm7lTDEwYPxk2LfL2xZZzfECZXghxm/z1R9tCFCyVy9wavoLOp8F18
jxvbPAPVR4qZoHuhGZdbj3/ukrsS3X8R00NZdeKQjJmv7mwR0ValfVxImWUSYQAROm5GKrS2fuaW
a1Ohc01Xr+dm6nL71qUW5aaMFnOzKHOmiDr54GtEBTCZrfs85iLREjrvbffW9Lz2LZmy6HvSJDgh
i2U41IooHJel8qYXXv2iWrr1Ss95WD/ZdxEBQJalsty5WlwW5dHOktZd6Eva1f20Br9qy9r8XQGR
uKtYtL7FdbqcG22Pt9WQ5ccWVwr3CTc+KIX3NEpJpEcaOcYaoV/WLvvP2DacDbdS6xY07rfFMolV
KJqLjQh4wDI4t3WqqVhV7fjq6ApTlMqm8XZKpfVeOPM0bfp5oW53BGL66Fp2vxNlK38bnp8UYcer
sc8W1Z36Lv/EWReEYPFaf2twSQg22eDaT7UcKRmzvKH6tL9SqYo5fVNlDQ0yRZUeyqBt+Ttq45T7
uRUCdDA2uh+AtpludZNNcDN9paiS4JFOc0TsHyeHKXukeBwmpDupfefEhLs9mJxnwVL+uUuaLMx5
fZ5Z/z/wsa4efWu+DUb61J0sCkhwJFSS+5K+Xr8x0mAT2Ln/c3LL5D7I/fRIOU/5kyVAsM3N2eIW
UOCNIDNmm6w7Bbkx9UjExD/NcpiwOM3OE9jNutiIcbaOQS+jcOyWF99Ugv2GE7O18XR6pVuCk703
5fcqj8dNkfQGWCpBgIjUlvPOdTbYShJNj+RB0tD2mvEVIa3cOFJVFzjONEgM3vRJe9qAgiy733E2
GmHm6GVXQbgh5GvJN6ukt2YRaXA3TP5yP5d0dIo87u6tpqkh6Y7mkyeaJQtb3WTE1ODF7NpKmx9c
AZst1dvVI+msqgvnMZFhonrM5Yjmv6mhMY/lQCheWt3C7o6P1m7hyAmTbh5YjMXJSF05J78/0sTh
+YN7sTRgTn4i5d6OhfUCrrk++6OT3FRBU99rsTbMaXPglQ2S+Rckxu7JGbichsCAuHWbM+1SiWgL
ityJLAj6vk5LAyYqhJlI8U6KxwzhbCMh6l4mRfG6IXVzu5TV+JCTZyTcHlz0YDnUBc1pEp2ka8Ax
NQUMCLpJvuftYD2rNq8vXFfmJ3MU7UTfUhI82sFEnNTvplM1Ram9oRp+DAfaM+/YuGSvRVDp19gv
m/uyz6NvNVb1cz/pCYneX14ERn0iP5U6zM0w76K50xvgkC2DPN8trucOJ+KpzJeBcKTXv4BJNMm+
2m25NVKnBHaKyKrNxLzXrRfLnedH1U3JXaULiwwcE7eiAihKgz3Ur2zJ69iNb/bkUTk4JO5hnrjl
kuWIlhuRCvfT4u+nOygqU+ALSL+uMoPXeXHao2kvPOj9kgaQTRu36d5NKR3w0rp+jryhoWDVYbkI
FRs7Ntea6bbXVbNva7svwy8F7b+H4385HNsr8/TfN1hf0rL8Rcnrx1/0RgxY/Kk/x2M/+IPOY+kx
5AZS4EpC7/tTbwy8PyjNJFjkgwBwIJf9ZTzGmiUdz4YLEKzFmf/Xt2XLP2AB4rcW4M4AOnjOf2U8
ZqjhX/mLhwUpFJmRQJzFF2haXxiyf3DLSDJ7RWeX5rk0jWrNCZCW4uQT8OXSTkz1LrMlReUcpnWz
J9go5M5lO/BrmlgD0J6c0o7T0y1NRYgdUAkNy/8V95JtfxNQZeiUawUWDit+KabeC4EmOq+DbXcX
yrC6+2WkWnmfVsqhIDgxPOBK/M9wcJFuDghV2XElm589BaOa6eEhbzr5wxjtaD6brYbsYbtWdzuo
wC5fZBb13m276MUMewh1fcFgLvufaiFyAAZmCiPiVJuAPP8yt1QwZu28xQLDOerJ/n1UzpjwOB0K
45IhOSwbjUpT7zPe26c4ygso/BaUq12dR+kLDSkQ6Vn6LTxSqY08Aflvf3pNpZ9cu2e09yiHtyb1
kzFx3qVemoatqaFSwzWwDspKn+dMZveu8iJ15LfIy4zyUWxxlaRHvJodDbjk2HadMD4QQEl5mLQj
nZrWM8KlxL+rcZLhbvY5pZfE085usY32EaqXcxkCTF2i6z1x6oNAV+duCaJvmNq9p3olQTXdbPlo
KKx4tqqtnXzF17Ho8yh6fBtG1uY0E0J4oKOV16AeeN5P5Y0bVDmcA4/Xsi9Goingk0yuKfN4Jhsf
+6ER43nyUnd51GVs094UxUVzzASHVNfM48bqRgQxgtmkM2cOQTvSjGlzFNGpUlhv9cIym1IBY3kO
MAbYG3RaLz3aoJryb2nj9+VLDJgPKaInwjJRObVamdqD1Su2Q6ckdgDKg1pFvPiA3dGQVPKQ3dik
c01r7dDStX1dnGjcTWbERMfG6JQOyyNWYHftIc2xXVdkBVKHs9WG5hsmbkADet8Bt6Y0HC9/61jj
Ll8i3MCTX0Pa8Z6zyUG0tkDhNRfs0QDBR9JkabUijHTYO9nBnooIbbzcl4i+L9SHP0xSUKzHP7OP
kdY2xTC/g4clSe+l0T5CGzNz1Z7wlSW7xdXqVheGeaoJ8uyx+Fg3q4iG7CiojMGEsSnwRMG9yCn7
9qv0bCCbnEwShbxBufUSzNb3EmdwqCnf2qikM0KKsQdiQFxB4S+AaW3T8UeDa+ymSe34rF3UwgX+
/66p50NFbKK16x6WCP30maG3aWGUYayNwEB9VQlY5OSXs+g3D38i9XlVvXE19dGB3WSsxm1/3Ab9
HK99GuRj05ksl1qeuhQ7xZrj2PD8B2PeKHHPV6/Oinsut56pwzWEbeVXndczTAvJi8MP25FNIqir
mitIvHTHSmvwq86TluSfkGYXER2CpjdDZS3P3N8QHVt86PH4CBHkxOQFHsOcd7Hi1Y9RzfArvLRa
H/x5uijLIOvg9NOeCsqOavAFHlFkf3MlxgbSku1WFPmv3DZBOpSju1V50j+lRnnxtRBhQG3aRncO
h2DqX+yam5sqmM0JWwsQEJb9YBLl2BVTU4ZeMIx8tupWlLwf7gGICmgiHDFHv8k/2X1TO2KZwY3L
cXnTN5KdeiQVze6dOva+ZL/opeIhTvTDgGK4ljkiUpTXCXbFR76eZlkfeTjEVWsQ8LLsx9TS7k1V
d5RnUB6yr6c6ePd08oalBXO4Nf1OugKqnNf24bpH37BFn0NMNcFNTxsk/hw7eOjkuLIi3OCUKe8x
cpsH9ifmnmMCChIZUo/7tdu9cq7gl6XGdMDp1akrfRDAo/AoHUzeqL1Z6f4KCj55RH4PLs1kPi6N
0UE2Kt7bGLacCvo7JiSCEXQsMTPSAVu2j/AHOF3WRUxvqr2SxOcdSFAfiZ1eM5nwdKACceLmTjyy
e87LzN1bxRI9jdl4qVFCw0l06sUz1IsTUxZK+99HuwRvbmydrN6BLiX6el/kOROiNeJEaU4VIiax
IgwoStvX9Qp6GP3msyT/vgNrwXDWWc915GVrywT8iCLJh7OjR/OaCPnY41fEH/LNzaxlY+ULiBab
YoC2JuYRrO0PbShtJ8zWs7Q2/Hu/lYc2VdPjxFu3LudiJHFUjO9ZFIu3nAKTbSM9ftQMNjDc1IAo
cMXQGRELq9s7g7bOEJD9DSDiVGNBgG6Uzbl/oGp0OSU45Lpa3RAkzGiHMQGZBwaGosGAN5LlIWsz
kqGjHRTc1nv70zZ4v0gfGv51htH2QFLWwJHR6Ever8SzcYCCo5zkRz25dojVh7uo5pkw5i/CHo5l
VF2CYeHBqqjEtbgzDHN71alXfA7knohVvCkSRDtSlyGsFKyntuOl52FeWy64sdtkhKwwhutxnQhP
DhuaoxGblkScndQhmGrIedP2sXwHu1Y/SiAnLOGarqyx+nAyDYUs72NjaCmpaRI37HiuUdlZHjFR
q60Qot6ju/S3VozjMrUs2kB6MwWvZrzQP7M+nqlOrtZ+Xd+5jqZnfTPKvLwz45q7pI3iHmO9XlT/
SBOufwrabLmZBvnCZq/+QfbDoEW1KHv8bN4oWzZ1YkQjsKt5OPKctXZDF3wiA96LxEtDeKHdY+uU
92NpGKHOjAfKQfu7bEpfV5LAngaH6kYv7qvf2vnzlII2MUS3E3x7sCly/Z3j1T6OYo4+Vg1uNzpR
c5JAm3aqGpIDOWp8FX5N6In2CLArw/tKaduBgDAu8TBm3+oADQcymv8bJ2687aF4kaeV+Ufle6w6
R/BRWe+/y8xhOecX3jePLNoWZYLVopeo5zKGOzWNZnsIcPJtpJyq7WSvP0S8YWojJ5ntAVZwIAd8
eXFDJ1lBrWKT/ZixlD4GFLG8ynYA8tYn19zMHJCQPLKp5BSoCmljJ+FSN/YG2HV+bjH8HlWPhra0
ZXwRVn7sMlathoN5re8DVISCHBrHbdI/GFr6R4zy+pWV1bHq5ukZxjOGN9xsKU22WXrLJuqnzvxP
Tud8r9n9b/sm6l/Qss4uG+hDHTS0c49GuotqlwdEiumusyQsDccyQWVVyrqWUqZhZTn6FgFw2dDB
Pt+SzwqOI6U3VAvoT9wpa5Fonor7uh7EEwdkO+1QUCleczsqiQ52Gbd7OuQzHl6tUb5rL5DnmO3z
HsZZ+s0cGzmHFX1x3H7tWT4ViRQ/ytxxf9gpNXV66ehzjRKoRCJnYOh5zS1yC5sFsAED8HDj9WsL
Xm9uS2ndRVxUJD+3ZOVg7pKfK5g8QhaslOGxYxbFmJwbmur2WTHETwFFOI24MGiFRTl8QzilOGj8
WUWue9C1t2yLrp52fRRjkoFeRFTMwftJixzv2o2j7G4DGBSkVlWpDTut7yByu9BaaqL2dUT/fF6x
jwX+j+OpOib2F5qQdCXEkPwoO8umHloNN9gUdlEjrypR8iWlDelAa5Z/TpOiOisaWoiYBE/zkuzz
QTeP5Bjsgyl+9HnCwKSiaqeK6AUOEj3oUBAjFqhbmMH1tnUaLIs0+zbuTOO9zo90tqB2N+jXbDtE
WBllzT4Q4REoA8cJgiY5AJwAegAqlCXfx9Uby4C/N31e4iKoX6aqrHawlAmopcV5JE62VcIvtlxV
FB8PyrMRFWqeiXmFv89+DMbCPrix/MzL/qWqZ+fOcAG4FNxTrM6ZQX7imW3qblvbM2ym2mkuRjMN
+2YxrG/0vIAKJ6b5MnXIMMD0eNTNhr0hsGZsZLWmyBwj21iqqm7h3bwUup72VctMl1ZR+jNr2MpN
3vKwpHzKSdAhn9nFxp386MUT+a1OepturgB6hC5/M/xSPpu0LOtx3idGhgBrD3f4D5L9QiXmS4O0
v83tPt5rmx2pDR6WodtnD2GoHIAwh8s8ZsU+MB3qgf3oh9k28TaghvyA9Ds96JmcYdC6AjmcDfgk
sHkTm72W09xfLaSZotJjuLQNveK2OV9hB94Ywoe861Yy9IaBtEvgjbc+SYCK+0YuDCxgy0dcuwdP
tP0t19yZFyPDeLycIh/8wmIYhzz5bfg0Qwu3NQHAqPrIIudep2s1FybYINF+2NNJtGd9VDGvNvIg
u+FgVUSEpVJnQtA8QJV5Y2b+i+MlciPT5WPy+s+oj0FrZXx+KvmAU8yropdqWIgc0u/43QCrHfYQ
KztcLmEsvdsl8N/8uiKWHJD15OG4sWK/vkYRPg8D7+StbdcPamQ6M1plhl2/0AWPj928ZhEgOdD1
972rkV0zOJU8ElTEt8uTAIHLqJP97PvtqeET/H1ukl8SdRIiHo1FiSQvvRltnItkEgsq0Ego7HCs
FFceWcB0p0rmDHhV422tpCkfxs5CfzMmDePPzQ4qNeImRAw3k7DKuvrdGgWWoHFgdeDU+mXs/fw0
DBhimKqzU0Bb8oFVh72HwR2fR7N3903ZP1PlFG90FdyR4VT3ZWqI307a9uclSd0b6IvNkbXYikeK
5r0z2s0zKa+12cL64A6vLmChuODH5t2yxFQSt1V8K7ENh7CznAvWBhDYyzQdJADmLXS1aj949lp8
TqlMgwsxogDzMGCn3cYT+8FCx4q9eEctQI/DpZTmHS5+P6TxQe5YtkV3rujcdeX0wy96GtAt78OL
c14xhtoLumN5xAh7cpoBit44XGFIr/BvwiFFFnxnL5pute/JrSpYPpHZKhmDmoUdGn99G+Cx52cn
difGPW79e9sCw9JNFpt39PSkMvMTc+PJK0oFa7sY9hxXzo7TnLVh4ZS7PEsPKqnvuEz5j70y7ANX
YRQXOan3IaOVD5sEnVE8qtf6T24L17kNzvT30WWfKXtrRciVlHeExsD1o0KOPXszLEQ3ztNjm9ki
RK1Wm6xrzXOX6e6mreRvvfSXmczzZr1bWEt6FZzuO4TpYrU8n1nDusB2M2sn8hyL62iItZGr22ba
N86jrVgIFuSmquISu963yod2wnyNubjm4094eV8K8xCP6B15xy6zdpKZrS3AQsPvLbBt3a+lqh/c
qrvM9aw2MIm3C/osKgP3LEvCnwWSvxk7fMIRy1JXtqGZTJzKjhkdE5aUO+gZDkPLfDPykxr20DU3
ZGM5Ix3RbBkAfwye+pF6zsm39f3UVdMpxe695Qp55oj+VhNk2Nv9tOOqxScZK3nYDeBE+Wkwr4vo
rQNYbWSUhYeu3clTU4vHWRknX/W7ZXCpZNWipMEtWcpXbRvIJqRPQLPk4pmz89Ga45nviIUdpCBu
Xv4Yxg3XQezrmwXDVY8isBVROt4ka87OscsftCIEDyo2eCN956BHnRAslKw+hH3vYUfeTrWwtrI1
913rAO1rKKMIGZSNLyvZhguOei6i5Jcv9LVdrHPmux+YI/d1/tEJwJ6d/xsNnTZen9h0Kcjqt0Ww
1apkP03B7qKH3zXQHXbu2fdEU9StbYzLbc1axCKbli8+WsmiAjoTsXuxTGDRyKn1HTfIfYOXltrN
vnGnkHAdzJgeIqjBTA/+LIagOA5cygdW4PwmnuT1kIEFM2u9K1tWvNsE+M2o3XNdiHNjOgjrU8Eg
luX9HhUnvuGR5dCeJzxC6mLW/S1kz+Zgt1YebDzCPac019G9z6mGgQZAjwPRMdGJv5mYyLtnw3aL
dl/4rTHvGyMDKUy/GlIbVFt+Cgtt9eleQXPWhA94jZyIHXvcG7N523u+/aPNJi/rbiMRYEL+M1f3
/1uvP/yqVs9s+7/Wv/iT4YJzLun+919/2f7t1/GvarXa/uUXu6/m7If+VzM//mr7nD/6t+jf+jv/
s//zT/Puv1TiHfNfKPFtm/JfXad/1eK//tzftXj/D0EQGnleUhfwN8H971q8+MNduWBfzt4/w9OS
uOKfnhRp/gH8wFsz1DYwFI+M4N+/2T/DvbxO/27u8Z8ChWuGEK3d/kqpfnWJoMj/g+Lem+AHOlhI
Jz0BozCLZj7giieLbOcBcV4zTprPqR/0Zy1A9P3DguLPr+V/IMDeVylcrH/7nywX/qr386+TRhck
Iaj2DsiNr/uAf/jXkaK1kwFSP2G6gsdIOHpvWC0/l0BWgGh1CW0aGtDTxmKxCFlEz3BXB0yNt/Dp
55cFLgXDMKkYFPvMpcgyEDMovSyyqDRI7WyLJbR+X+qsWaxNq9J+OUepN4MKaWtrJwUNCoHHtpKv
ck2kEQrIrhg/h1+e8smZ6BS6FPkdGIKKcNmjNjhHG7hcB38cp/vF4+utZTIfPOB8N8TteN3oxilv
+TJB8GF0qT9kAMYSelu2LXsScHM/Kx42ic08f8yBd/TNk4iW3rjxmfAE8ynv0s8Bh6S7HwOPydoc
ojjdFX1MnIWZ13DeE5M8E7ANRv7kXHUy8yWJSF2P99rywKZ6sT/G1yUwEn9fZZRWPpKoc/cAHQsq
G9O4MDnJWzQzuBqmdE4YMfmdsSB69TbBOQEySu5uExsZtwx3XlfkuA9gPAiWltIP4TmIOM03hRuZ
nrtBYf9RAHy8G0iH01635KjT3qzrDVqV/4bLpTM4kUccLkDJD727bDt+tanMofl0lB6uHiNrS4gk
lkd8GII7gFVtxyga3pr8YS2yPRRNQYlE6+cHP9jXzQCRf8hdnnVMJNrWrIiTzOIDA6R5062EFGMO
oofBnacXHqTZm7n2q3lEvELp9FWIGd35ZZSTevTbbtpg/yR9AsJmj5c3PXV+IN+xMfPQS5KKoHtT
EjApuxvCGkdLiJzOaJU9DBMZPGhtxH4p3joYYnQZPsrTFMzPHgctxtsgaH84lYgeiyzxthM39FMW
0xxhjl1x9sy83bEjRYBd0pxpHLSpNkRyiFlVf7pxhv5JJlXdD4arP+KBRz8DCB30AbFYXDBKGDdl
4vKnZswzDw1tH4dR6+WbtPJnZdTWuwvSLQ4tO/tMySN9c4lGbu1R2nvGCbo+uVYjkE/FqZHjrwgv
xseCcrkLAI3MZJDi7gN5cYe3uzmKZLTJkY/nwU6cuzxr870cFskFLY6qYxPb2akKhHuJKk+8TzC0
r8IrR0bGEQSpyvIT6fSAG0bVPrd9Fd/J0SHWKQtJ3co8XbFzsFOLa+ehrhNx7YdavekyUe+8oyD1
pl6eKXvPj31Z1tdssfPPOu7cKIya2IPHLZd7urMGLlWAjCDnimET1b7HRAO6kCJSJHtDTunFnxv5
QNsDFaQjPxLHfGoiVgd+mq4AIXnXI4jcDo1MX6fVJEvwezQvdTak8Igz/dxn/fiUpm59I6lE2BlT
GryjpqpvzeB2586pQMUilKsbc/EWimCKpLh3THqn6mWimHEx462pAn/f6MH57QwNRB/PnV8nZVGp
FFAKkdXFqXOiS25W5TbqExM06bo+K+OThSFidvDURYFkMLb7n31JjF5mZX40sbZuSofbmgAaSnq0
BGIEG5bOGFf/qCOnP5MLTPe5PaehW9rjg6q49iaZPx8rOEUP0TzOb1RbLp+g2IYHXpDobqpqkNze
LIDwj1TEEhKnXWRSxzG31aG2FaG5oq+ylzolUcnbzk+LAY008LL6pzTYeGB9Q72YIiJ8kzutdrOm
u/cEHQsoo3Q3K9LjZK0c6/diJaxwTDcivWBykULweK6nbLgkUXFfo1NercqK36Bg5ofFCci6ydnA
hjan5gUngnkJwOpiIC+sh3ka6LwT7RzcAjHMD0E+3eW6r3M8zHxW+j4GoYXAjFNkxLSRZiK+qSuu
NLHvrvRsWV56uHY4QjlqUFvPhuuoG0vb4smdWa6F2Kgp0tHu/JmoceKuSlQdGDGx6yPlgvoHm0qW
egpW+ZQFu0hX1nfFlf2E/T0/aMIXz6JR7WNMQvhqoQXC6NcLFKs50y9tCaB9crwF5m5tfNQ4gHii
ifExT2mWYBHYerflOM4/KdtRc5jF2jmWpTPeGHExHKJWDNeha+SNRWoQT5jW30bHIRq69izM9rAc
JAbEB55s9bu7ljL4Xen9ngnmsGhZeQdBEP9E/VA7O13Q8bp6P1Z+f56n1tl6a/eDUfF1hsHaCOGL
DDaA2YJ8o5JU5GTiR5mH7mJAf09s/S3qaZioQNue/K/aCWdtoChtofdtMOhXPy5ddwdSqfgh49g/
lGt/Rb82WQx+SdH42m6RUHMBm5cig9ni+Yaa1+XXzjaDOwVO/ZKtJRm9T2pCV0Z3iTqDXZidoZXn
HjfZoexfgdi44HTXxo3WXts32rWIo45b/3ZZyzlMift0E/S4aTZYdWLslp3xnCSO+67TiqPnq+YD
mYrKDw7t2uV6QxNIZ9IJwh5VXlP2txxLA24/H88nFeH0iHhflSL9V70I/GgdkqrEzVN5/ke29pCY
qfyw+7a6GHHpPPkI4RuSVfJ27AKbY3C27ufVOBBH5WV9A290LsUBDmo4zGW6DdY6lJ6681NsVXKD
pbK6r2JLvnhrgcq0VqloXTkH46tfJaBpxWf7QyVFCoW8oiqNXUr74Dmx/Yn9jZYW0dXLlv6b4EmA
SWXh1Vr0fzXiGcQqHS+FUdv32VfzizVMlMDE1MFAw6gANshb/6srxl1rY7SJPGu7EAA6ixxNauhf
SU8Ec2PMyNDRWj7D4qsO27WQhrBne1+Tu7rP5lofVWJZx0kiPixrmc341WsTicZ7ZRawnqFF0sja
O9L77RdG/16stThRVr/R/kPjnwoepNW0iu/P7Jg7Rip1yOyipahOJTfjWrnjfrXvkJprIh7aevlM
66YA+bNW9Vh09jgVj7cZCYuPJqVrxVrtQ8wz24OrLs79V/MPizdPbeVXIxBOiP5KKl5z6W4IZDfF
3YBhpA7xf9oHnnflnvxzhkLAtcxIhXfEfezfAYyZeCqsrURrE2FoKMR0TWlRT7MkG+yMIiNsdyI7
OXksQj7Z+f34VXrU2GsBkmdWjK+gCHYZV71Ht2nAYSxyPLnmXN6hgLAczSVo95jQIbLqkqB+ZtYh
MzlWMN4wTNPNxwIcb9n4NJh5/GJmVf5iW8yANmYFO2TNpe/qrAvOS+YyrcROdDK9Gg8LqSmJz6Li
CYZcHZ3SfkApmtbGKNVh72CVJ9KeETOojtw7qZeSf5ZNZd0ssClI7d9GA31UU+c38LrZHBN2lxcE
2vkaaETgIPuKxWlarcpx2cUM/m8LCruy3ed47cDqrfRapgieOfVYReaJ7yl2fzSWPA91hJWCZjT3
TazNWrMBAGHAnbjVwOt2tVw+mmRGNjEefJDx6KmDu83Xtq5WsxmqOhq8TGnYOCXzcOKKcE5zUexy
Fb/wthD+XzvAuCX3W5kz3Bh5ejfYqby0mLHF2h0G0anfYKjOt/+HvTPbjRtZs/WrNM49C5wiSF70
TY7M1JiSLNm+ISRb5jzPfPr+qF37tJXKk4ILfdPAAXZtoKpcCpEMBiP+f61vxXOyWDFnjFE0ow+R
UppAmwWIyjKzPR1zMG+wbkHm4OUmsCyYk8uMag4xw94Fe09iqcQ4qqNWJ+3Mm3PPpjkBLScKzZoz
0aY5HW1U9IGiJ4KI1LG3gPesG6yLM7yOXLWM6fcMtG+tz0qbFHa+WyjeuKd4rl7BagxXnd+by2nO
a1NqktvwHdobcDDTsniLdDNbwAt5419nc+CbE0fjjVC5uIg0uHCCLSjLomooRKLwOH80/HgslTqC
D3qGBiAqzofvD4aBR+kibO1wB7OZYx3UEVoj5PYgcW0JXDDVjBMpe6mMTzYEw/ODH6GAOJVKXaq6
rho2KCHNORocFRldmKkId2hGqx9TVGUIn5MAx6MT350f6mNYKOcZwLx4J4B7W+JoKDgfkRyClKEK
8GBr3hFSS7PRz1/PjzOr/n5X1s3XZJiWSRSzrhKyLucb/ttJO87HERUMZETCmcZNYFfmTrYDLqos
bG7R98bOZecEdORHM30uLJ8TNfbA4EbBscHhmp5etn77lf6nK0NX4Y8qr/Nfzfta0FuJ478LRf+L
6kegdWC0n1Fy3ueE1fzH6pkkp3dizr//w78LSA7ecZMnKTiM/tu19HcBicLSXzQRSBoSmMF1Oc+q
f0P4xF+Oaeiw2gxnfrf+u6xk6ohDcfBZ0uCgplKR+pOyEnSz9xNOdfgRugpDnhcI89QbFu+3Ceeo
NaA1r1QuiDzuDtjcU1SBFeaOZIrXfEzqlcoSfWckstsiTp7WWjc67CrtYOWjfUOSKFMclVgMtbKx
3ThU6eF4EfVcKBgg5VHgr+PGv/MLwzVj2kWeWZFZZ2aPfRvf9jr9XkBCaHVgvNFPg76KSRD5fpoh
YYZDTVXcTPT7JkPdgzTJWk6Gn16bfVc/0HHni2A15mpsK4DeCscS2/hCJfiXUSDRtrz2QDJRcxfl
ci5lU96m+9amdyGpaKib7PJitIIOz06ZxnhM0ClESTZcjr20dqk/4AmNJqoJMGMpdrfGEufMJFc+
t/O6kqzoNMDYsXfDgFHAGkojmE/4ozuplbpWC/QThSjFpVrZLmbVuwLs4sJoHO0Kx9AFwZkpwSEO
3yEbl2QckBdYlra3adQiXTJh8rVNVMSixBKwID5iSQIIZeuMPc7UIOuzhGJhrKf47uUIgFoT2emg
++hlhszQMKrVA0yeZLovRVau+jF4pE6of+lTIUHIWN23TKP5HmCeWqmjkXvXRTXq6jrJA1hMSwrv
mnrRZZ4x3WeVEcftOuSMocBVGTQ4pHnSKkQzyjrCY53hXVuqAjwjaoOGU1mDoP2uNDL72vEd4lV6
mzYSX/6u7LcpjUOXD92wpRVFXQbLNt/CNGvuFKuhbj6CbQoaeuW1AY/QD8WlFYOcizS0LGslJtt0
0RBnmyyi1oyvFdRmhbJSEM750xZf7lRVmLuSUAkS9j/E3guOEl1tOcsCLdGU7S0va2T1Ldc9cVfh
dghjmAR5qEREg3AciPqD18Qpxxz0LNQ/rAl1z8YhwqWdtggaq+bOoYEzyi80IWv1XulGOAZrrEtJ
SjCQn7JYb+Z8iIHCWwxUXx2uCIZh67yBi5KhlE5U7Sm3i+HQ0xUA3BWR77nRQw10WKz4uO414XhL
pa1rZx2OnfIYxCKMMRZbKdmxMh04T6mqvYCT9FNMfokdGXPFXZYECjY7S3D+iiAJPnoii9NrJRpR
JeA1pMnZ9bLb4OHuaVThl884UGQZBGotcPMsUdgqEMS17O12vK/Aj/gLA93AU0yeHTGBpTS+l4HJ
+cRP/ZsSKfONLEOb8MOiWErQTD3OvwJftVqLNYEKwGcxRLjhiD1f1lX2SO0OV6MFSoho3hGTBpgo
rdrpUeSRQSS9nV1YCg7suiGZ2G/QyGool+DQaZnFI59o1UTCaMaFBnYHN0bd3LWdld2WduFvLQqm
gdaJGyfqfFD9xXCBDFQXFOr86dv//yC+tWU+aagQNmLy9ThjbXgOM/Y7r28/bPfzP//P3//F319C
Kf9yDKwu0tCFtHEjsMn6+0toaX+pNm5fR8AwAsPJ5+7fH0LrL+iKRKdbMDNt7L1Yhf9t+jX+UoVl
cQZTNXAIHJP+5EvIEO82XsjAoQ3yc/jmwqWVR9zRkeYLk0uZXBrQo7MW4xXGwt/uxok+ysch5n2A
ANwFEoYq8NEQXt/OcXvOhBnNoI1oc94mr0VyS//vPf8Ho8y/xW8fdD5WwyACRrGy77XyPR9eG/Ev
c8//sxn12YUc7YaRqoO46hiinQ6WehgRJkwv569i/hG/UVJNQgUclX22YyJ3toHBvr8K2Nx61lGy
c3vTLhedQkxkWOSHNC23IuBodX60Dxf0NtqbPYZdGF2996NB8xsoC1sVik+ftDcC1xdhCmYr8Ytk
9edD0UwkNgFejzBnltDvj0etZTHog8aFBbb/MEB1XMCg065UgkY+OZwdoXTf7qGmWzqBb7h/rOPz
kRZTh6YiVbkZWpnLOGliV6IwwXs3Ucpgf7PNOwAff359wN1Q2lOz053jQUXoabqSh7U7xtxFnVDb
hazwu3sK/3d+KAACH+aIDgzgDdksAQK8v5WxoRRTUSiViwQWzUniKREQCzvaYQKGb5pU5W0xasOC
XVBw1SYU38+PP8+K4zmq49MyybSYl6ajWTNCDA7UGKocpa5hjeDcpE3Tfzk/yHwRx4OAksW3xUcd
t7H+/iIHaKVj4+iV2zSltoWviY3GtwzvOtHVyZ2IFVp0rQP/r0qrzfmhT80fYFMcD+DtONq8+P8+
VR1hDhr1Stz6fTxSlREkAkRza9VSVHychh+g0wsab31+WE19Kxu8v2iazfCxONtbJv6zoztbJ0oR
+QgzXWDz1Y/ckqg5Q7XX11bPqiO8OEHFjUVGTVCkokVpN0Nt8AiIj8Ut2fVbaobVox5MBnjriXpj
1VgHXaQdUR4dVminkiFRq5W6AjvYbTRoNvehqs892bSNONNQ67MiK7qoZWct7ZzkZbugnGJDfMm1
zm1RTdLfoPFDOiDpDLiPrwgxQEpVtgRHhRWijgp7fqAm1gVCT/lNSa0MtYoYgyu1VCRheMm4nLBT
rOkUdxfNvHFcxLjTQXDG7WXrIL0MG/42KAI8Dlb5Q+qptffClDKxUnar2prSranXlxQNmy9DNpqH
3mu1rUIA+Do3qojMSDWG8quZG3DBnIYQ7lzZxCWvsa8PCxah7s6wKA6ZpOtdIqkZ1znwHTqKY61d
eez83RyZzdLP2+DgRV3/w2nS8UA3sSU4Fxov8smI8cLptScb4CuhPVW0IgVj+iJ7KYxVP2mvVTWQ
nCVqs/mllCam8SFKmkdHD+1gM8jGPMB24QfNN1iY2lVO5jHmpgbOqhyFXKWF11wmktBo3LQ+UFZ8
9kQ21BrNDdFYWPYi5TryzdcG4MOiH5vZuTd8MSf91ckcQYdT+EuzVcKvQDKinQrLlm1+wIuU9ebr
HC/q4PAtJzcqWTGipOAhCG9qHsEXm4t04PeIEN3sU0fUj+E89VH1Whep3QbEG4ISNUSlbWkgBIc+
0Sn0A+pa4YSuNr1OpGwOi5etM+3dpeONgEWHUSXVNAF8JqgjuiTTMoA+SWRcUbPtUzt2IxF195wz
2/um8PjDlYOFGacSPkZ/zBdq4sV7m7V3gaW7XXdg5m5sh9uJiVLzVmlV6CuO+dY1oOAo2kW6TJFe
lWHJITfU2PhXREuaqK8Pox+q9xG+g2HBKUjcoBmLtgFgiK3GifcFOZ/hMEsU71rvHbRtdMatFud4
1tI88cwb9Ab6Cn2ZXKLXM/djUZWXpWKRFAsjYSedQt56iqFs6xmKaGmpf9mb4tFLS7TKFjRJbOSd
6rZBKXV8a7S2WiTvwzLG1v3SDBiYnaLPG84grbLNx8D+ZUax/Yus8GZZK3V/USG9eQkob6yp7Zsa
YXO2ulbqhoZY7sz3w1NjudKmATtlzZ2suyEBX1aoLhyP0U3RP14mYJQeCGKd8HTbdKMNRWhbG1HA
FrVo/9XWve575ongAMNMdbtQT+QKtR4ZqVbYkXpPBemHFtfNvoSfdd0aQ/9cGbQms9Z3bgZtMh5A
IaNoqGvyeodSExe97o+3RocgxS8q+zYKq+wZAlh/wAU/3A6Y7a4HupaXaKzHKw7n4iIuiLTVStEt
yaOT98VoQBOfxsktaWkSwKPqDFBq8+KV6F5zqCaVavqkeuDIaN2JVWgbKFc94mpMDG7pIuCMf19W
XcTxUdau1rEIxQoUMaaGWA2EOqGyLeptk/d+uqoL2lFsKM11q5olfTc5RaRyl6C6iM8k2a4D98JL
E9DTcywPk0c27flt/QcdOOh+BKaFv53E9ER4OI0ieGPRQqQRNSQOCxv45XJlmb6zE7VD4CzBrOtC
9ZVtFcQhWWrSYE4QuY6Zz1GbtTqS0vSviF401uPGg+m9ps4DcVRXcRx0XsN9GHI2ODqRs7cZm4AX
CNkNy1gXH5LctLcBzI9lwyrwPQwdQAudZbmNDg/eUpEAIZ8WF/ocQNvnIVJXm07Ycx3n2ktjkZy1
SAhC/UVrIXkc66G/cTQVi838x/VMCowWqADHAfoPXgprjhSOhpvapv/Z2dR218xhpEjErqxMDacr
XSKGpC2AXErWJtruUUfEZCRzSjlS2ScLlf6qEwF/1KwMjughCYpv2cg65rc7MxvIETWD/LELUyLc
nDbbYoMCcTxpwL4UwoF68N1LdZiTU/P2mSJls7Mp5XPEbqHZ2l6szp93RAGgDa4dEvwCIH5CWVfY
Xq5kPHQk3s5ukVHLBxdrJzkFdqGhRMXW4qPiBDkY1RqxhURlNC22vGnCizy7GdVBTq4T0gbQkGl8
JZFxOoTmHHNNIzpcisLO2M9ItFiYOxiW8EJvP0zkRsLF7cjxLpWHIpR9T1uBR28bk3aZAwkCRGQE
P505Xjeeo3/TSooLT8sdEl/reoWfB71CyX5zy0EUc1OhxI89Hp5tlpXy3imlshYmNS4bKuPWfwvj
nj92AGrqhRLR9aP8R5ixBuk+d2pjgdd3uDWq0XzW0jJZZwUTXHpmvMcYDAlcNZs1XdXsNeIbvqNl
g3QmltMjE8m/lYHi3zRR69xDeu6W0qwxHFYot+zKkF8bzqIo+0Pdu0xANI9IYYnR1T1luG2aGI+F
onavFOGUL5jKPeKw0RKtbEX+/ZziZvB+jSq/7GAa/UY1C+2acGnlwfdiFhkjJj4l0du1IobwW9bW
9sHJu2GjqK14MtrRfOoqxXyKRDFe86WSG6SqymoMQ+pphUkgu4cvD/RgdZcHabbWK6C3SmwM1293
vRFw7PLatm/0WN2oWYYchM7uhahyDUk+ffSsnfplzkTcDIJIUiTe2TpzAMukY2OsixKT01CpJi+x
5Yz7Fq76jWdrPkAlRGDLt7k82RoQQcVELURx4mKyw+Ea4ChM/4TAUM1sOjCN1Llu1DJKd6jI5FcH
Odq28VQCK2faDtVrk8c/ldNVXKNd1ErSxP3eIZxRHQlIFpOmkfEcvlQx+iYWhXGnF152Y1XTBBJd
tD4ZkMX4qNKMFcDU+wi71FiTYE4nBuklWYixFd0YCP42rUGSuNmmBLL303AL+ZmQ9qoYbnBW8+nG
w9BQqMrJeQa0aFHSQ6qJ2w4935pvU7dzKn8ixsGsiyt86pm2zKwsfyAgE9QYCw57oMyqLwg9aG5K
f8JQ3sqOTjRp2GOvFXuaqrPGW1MoJMeZ8lCrKhpLuFbsmE2MhUlHpLrq17yajUCKjxMEe6PdlcYC
jzSRzlqWPKot0yktiPk2nFB7UX1zvDLTskaP1qsvgDn1djGEyBkUk6jxoObFpGCp71FOTQcaV9Ze
UhRf281Y7cg0AYhijF2BBMmR3UAZL2elAzY0HVS8ygH5eEnOgZS/ecBECneQSmt32TZKRFk7Nm8j
Q8twZU6l59ZaZG5D1Zh2YKgkCrpwO1/RjRVgciBJOgApH+r1sg3Te32IqzVRbRk8m0DZcraHjWAI
fO0wuXFV6Vl5b3QGPbw4VC58r7tti5GIULMMln2kvNoluRWamX1FdkIDOxq9Sy4DjYCas3IKv642
tl31QHp8fet5IZmh7EsuTE9ULdws1VqzQwz2xSQAKgXjrU6w8xIwVvrDypQfBKjfDHptbPShT+d9
W7mzAws5wRQ+9Dlc78rGE8pqhVoe9CZtJGRPHsc7J7a/KhltAGjZaOHDuvRWSEj9Ba2BZqXaDdo0
UZjrxEJCj10OM+yi1SVozSIjTd67KrLAX8YdojgZJkhTc6Nrt/Byg+9+CyQ8HrRkWoztgDwFg/h9
YUrcyImvlkA79OAiiGRxmyF/+6r4WGj5quPBVoqWRERLzhAic1glmEd3bTdOez10IBngeXcVStjD
KvdL89a0q+k28mV1X0CSXXdpa43LYahITZjQGQ3wJFALBsE2caZog2GZapyahHsfwT1+q6Z8caop
vdBwGbpTnAinWvW5j9N8YyPUjy/q7IXtPdpGjuNXGuEWRFToIodTF+Fv00Gj3nrTCFcfsOuWpLl6
09iIP/QUnPEiRooLXLziKa4GT7yY6KNmStA0ghhrokMmmnzTQjX6Jiv2V9jNAv16JFXhW5wQIgNz
OHvyRkv10NoSK6jOX0ippZgdAjugL5O1F0Fom/T06+YpawzhDk3Z7xPhdxe9MsY/GsKEAwrZPFya
j95tZxXpz7S21GUnNfO5rqNc5xUprL0W6+Zl1XAClwoH7MXYIdnCrwvMa1Qa84uRkWERewK5X4iP
6jpXxleY5vZXPbeQSDmTDTQ4mTaiTqJlhM5vwR5vQlkXALFatMrQr+RYsZJFSeRGRZcQ/2shVUz4
2u5HThWrHMICPhV75dfIkuowfUBn8XXIaLz5rPJU91UCQ5yRQ7FWPIFXM1axTKheYMwoW3ycDrAF
R6YPeZzml82U6Luq8thKrf109HxjacaF3SquQZhJ6nJcksrr2CRtsehpT2qttB8bBZ8O5057yykG
WIgSel+Ilm8u+Sgmt2wVo+dBM/IvURmXX4u2GKxtocCCX4ReCfquy4WHnyNmS2MqTXaAE9lneNYI
fI8rqXeLlhzQfae3r35v96iaSMAZ0DJcGOxsf2SFivHFm4nASnwNeT/JaTUpybaJSSfueVSXcVcA
X3PKormmEOhfR2yGZkgpDAaA4uUVRAk0ilWkAxSxfjaZGtDHo7u1aC0QZYbXTHsnr9tbsP2cO/wk
eByq2uDDZWmITVPvUBdG/kIZ7LsJ6+27OQ73U6vX5sYCJb0inlrbRuXEyl4oBlrONrknp6xvlkGA
51Uga0ZdKeuNJBlyQ59rDv4NTFehzbsNAmld6rGEIxtXrbULUoezaaT7L/AM6kXGSgjFTPE3tj9Y
Dxx1+J74TvrdSy11VfjOEzza/kLFK7Tlp4CdHMrm3gzNn1ZiVzcdRa0XHygKmTq9jQzdGKMrx5n6
bVcRG+TQuNvipkO2qcDh5k5YT1YXmA9hB64qaud2WEXvF8ZGR56TdDZCEdvGCEjKcKxHFuT4Zigm
uS9LGBtN38h1kWTec+4Qd5FUvU2ZEDwGXrkJoQqU2IVesbtFPkmbteuzu2yqfXa4mOvTtEFnPqYH
DwbnrVWiDZaRJL4k6Ixfmp9lyzzqi3VFDOPey3DiAy0JLhMRi3sT4UvmL8fJQwgXoZUEzFhvU5bb
dUdmw2pqBvXgea10kx5Yd06EwHbsjOS+YcWd/Z7F2nE6WMxJ++CDKl8Mlir3hp+P26avvgdgJN0I
lMqyZyO4ZyFVIN9CimQrZ+17M/Wva7+M2f/m2a8WfgtG26Z4Mcqo+FbbTQvs3UeN/0LidqReaEXr
QXLzohXVkp7JVusPLXwTfKP4BJ3rMKl8vIRANoaFUeWwDMuMMvLSDirnOhur5CFLkXSBF3S2QVjP
HkgnfZB6DfMJrZU6sVWpSqNCc93/sASnBnyihEgJwSGp7MbFhE51l4aOtuY44Sq6Hu15/8VXRGKP
qc/emGRS32VXmKwod/yodcDj6N89/KR8X8mYdkEfPFscQYhquhSViuU0QbyMfpdmqq39MJ2kvzBz
+EiyNCikxFl143ua20GT+hVIQ6D2U/RDPTi/ysFUHtHG1V903aqClQCnh4+jIl23JtADY63It6Qi
tWs9LLOVbHxkdhhsrs8XQk/1QAxT5QNNiRvhP62v3+uvRu3IHEp55VpllOy1tPtC2t/k+pLTrWNR
yD8/3KkmCJoSUgyQc+FAPqo0+xW6UHjXDEfGzUOpl1tOAMO69Cz1k3bLGx/sfX0XM5MjdJNtuA1Y
9riyPE1/F7UJiOt/1G9F+tFrfw4NRXqlTrQr6krqFoK1+hx484kSWN4/qN4jrkFIg9AGB/Nx98Ay
mglzQeUalm8ecJtQ0vOpk/75TeURzjVs0qP0Y4GcOZCnbqb0YN7aIZADqEc6qMlhRBafPL9T7QjS
PDkIYVWjxTg/398afzCDkTfj73f7viTjuM+/Szv/fv5yPhvjqC0XikbHLc4c0fTmaoKqYNrp4fwQ
JycH80/j4TA9AES/vw7Hiey+0pvKLfiAXfmtqu/1PKNa3vXh10Ch1VJmHd7qilprYfjqjqCmz1o7
H189Q0WlYaDNUh3OL0cNCFMUraHkTun6GrLGJm/kstfi8jJRonIXF062On/RH+8r44HIxiwoYGUf
v3sAtFR7LIzSTbOBVUqOByvQrE/Wk48vuEEPHRMj9R0ogm/aw98miINGd6qIFoTR58+W2hwOSdFd
AsoLP5mKJ0biImxYhFIT6BmPpolTY8gbibB0WdpQ9ir1hTFaD0UVPZ6/bScek4ZoGFI48rq5Y/R+
qsgijQ2nInluCmGPJc+KDb8izpZh+ZkHUv/YbISw9ttQR8sFB1XppXPIXdsR52hmpr9Ie3hoC3I+
2nXZZdOXEfHcFki5V61KkxKfWpXeNySsyrqZ9AakiEWVsOYsnVYGVbDUnOK9sKNiT7yyssOmPl15
CZtBs8yMRQtBes3mCtay3kTN3uqS4brPW8pYYyuTJWdt3FFQ8j8xe4JKP2440sqkuK/yAmiGOO76
JTO2zsla7mkdNE/o8NRrrbPvRinD53Sa+WJJQhMl8b5VRABsSGjj4DTI3axAD+HqoAMEH6S3X1KP
3VEDMy3LCbPsbSIXOF2meVyu67in6BACwcA3Z+gLvyd8tup0a69ECrlhZm66NLj6VdPYOuC8OFpx
jrcuYxMtAyE3oLtYr1eOD9vDQjNl0lJ1uFu6wuZxqtUXghWzTz5aJ+aajiwXBQffLL77R3PNSzvw
idXIfYmU+rLTHGPHUx9cPyJxY+at9e75yf2x82sYuoXDGPswmbTHnd8SPV3XFylZIHZD7FuYp+vS
r6DHGAVBgbbfXAbUXx7M0PEvzo984vWlra1KEnhteGDHr2/lIzsLWolhJhzHr53ste+orPCZoM98
PT/UiYuky8tqxIGHv4576DRH2HSObeYSS0xptNOo5FMOxgETZdWOoFPChWq6bOOi16ncnR/8xHWy
rzIkDTEkEjSb3y8fVuwDrMizzK09qNVlnz34RIfBpgb++acjmfMipYHxUS3c1EcLIgfB2kcOiy3V
tp/GMetXuo0arkoM44+nKdsNBFMIo5BhqPLomoo6z1vCRwETaS28Ukn1xYhu+l7IDafPn39+WeDS
2N+YaNXF8WcLc3GRmUnJZYnUcJVizHIaCRR2ayiun3kNPr6ApkogAx8uTdDVOv58lTSIA9mmXJli
PgSG8oS952c0GA9kM32yB5nf5ff7U4ZCnyO5NNb8Y797agToFhW6sUaRrA0KJk4uEnzJkFmmrIMD
AWbq/J08PeKb5nsWwM2h679v3hQTSwf8vNgttW4fO8VzTmSdUcXlog1ksgha/fL8gB/nPk4GYjbe
dh2MeDQjRc25o4FG6CptuycswMV9dBNK9ZNhPm5s5mHQyBigabiZ87//bc/R2eoQhvxo2D+68qBY
mbkDAqisz1/Mx1WEUQDyaKzMKvkKR5MefN1AxqYG+ZeQT5ya9jKJ2l9WJg9R2dBVs4nUHvNPVkn9
45eSUVk4LCEESObjV81Lp8ZB/xK7jhgphSUQ1JZZEU9Xg0OrbsroZOFvBTsCeDIOltBT4L/WqrVt
SEnaJTSTNj3bomkU5R32SczFRcHmYN4WYEcVF2hj5BdH76Xrw1r55Lc/+WBssmnpCNiOefxg6EsG
s/0zcSlRZetodKK9MlDsOP9gTs4ydJUWcb1wPY/f2dQs+Yz4eeJmjZUQ9Na5aqw92Fbz2a7lxAsr
HMnelnUI2OjRBBBWYmRFicdaJ6SVbrYX7AapDpvzV3NqBZJsAWzwqxLV19FkJixCHwCyxCgIarCP
Fp+pQbTNmhzKly4y/3wXzZkRmSifDNMmjuBoTbCbUHaoLmLOjt7P+d5VoTyklfd0/qpOvTzQvKWF
JJeDwfE0HmrS0aaclycJhY3LU6PO7omfVFzzTeUL+0efFNEOFUv9yafq1JqHIhaoCR/fj4ce6idq
YJgdqYK+ftNkyvMU+ZsieiRD+J7l+pPRTk14jj06k3321BzfzYRrtCQ+Ubfwi3ibSmEdej1SVudv
pnZqjnATLZ3PkYHM+WhddVp9gItZxi5BoupjSGrARkFxjCXG6BIK9Fb/BbpfTnJ7092UYxYDTLNI
zbERdk0jxmXhR8VKK712nfQ2Tdm2jT473b6Zeo6/b7bFCZs308BFd/S6VF6tij5N+doMJrXCpnzW
GicnaBXaW2jZTy0c3aVVBFQyM3iSMW6bHYzY72A2IOcVzb6AQbijiuTAHYEM6wRcx/kbeeI+0thi
C0pKJp7N4w9iYvE7EHSXu+DSfxaT1mzUAkWVB2gkH5/Pj3ViIs5ZU/O+AsUqu+73HymdKBbVtBu2
9p72U6XgAJ5bfa5HiGwEmUVrNMPNJzuMEy8dwUIYuBhN5SKPpklXJeNQ+TmXF4mvQegrS0ItEoqZ
BPMZ+lh+Kau+XNGS7dw/v1aQteAI2NloBEq/v1ZzDtmp8OK7nNWuSwlqFh7PAVkycdSx/zjaUPXP
j3jqSXJrKQPoWFdYyt6PyLvSN7VZ5q6iAikeNYArGbD6Q186qZtKDtLnxzvxzeEC2UPh2ES4+vaG
/rblSD0YsGHOrR06Hwm3WfUrtczLlYEs7p8M5ajOnOOKC/X4I1pYJp7zjCOa5uTZrUhKyH1WIy/C
VtM+Wb5OzVF8tkxPCEZzPfj9XezQxWQTlQG3TtuHNshfhSgfEsDTuLjLgw3E4Y8PRyxgmC50Qf4D
xZWjx6YNFNz1esrcSQeyqFr9XUWcTEEd4JOBTizMaItVbMRUnrFxzM/zt+dVTOA5VCgUbuKLJxAp
W3sqHz6ZEgY/42jBezfG0evmYO+KTFJOXFS92gK6R7GvRS3u9JbcIS/pSTJ/i3/sKxivEh953leY
9QQNm9aGq9RrLZKoLKTdA5ufrANNw9U2Jm5oNNV+Ms3goDv+sMzGzvvmFWq2TWsUGpxuwaJ3Pg4n
YaPWVgeYAlqFYC+ih3c34WN7VDMNeEGOf3qrdqXncIAa/JsoUdkd5mG4yGJSpYLBCrZaVY+7RKDT
6owgvepgR7t4nR/CnGB77nAMkJy66SJALeSiUILO3U/FGkCNQDEYky9lgh7uw6jdnL+9p+bmG5qM
eYIR+3j9lGVdNqNkbqIVfC6H5tkGJGkaysYACkpAUf4PXjv23Gz2KN+jjD96F6A4ZiXRpBnQsWCu
OV33erzrm+yTzevHkp9JrRSFP3sTynTO0TCAYQKjGpzMRUl6gCJHzm5v/yjjL3SiruhKL1uhk1SW
fXJkMk6PS5XWAtbCqeZoiXaKtEyLXlATyceJ8DEiSfGBKwfU7mqypnHOGacUKXiTuCtXSYZSSGnJ
j5UlcXQCqa+IemVnqK2y0UhpWXqow5hwxRbjB20sJ3oRWsdBfUAPFFsTPN1Gk9ReYDP7mndPzC5Z
wpMogXWCaVk0U+GvI36fVZMUrwi/tVvAAsTIDzNGSGj883QSy6BuorWlQD8vwYN88ihOrelyxt85
+BF4IPMt+22NCDEVplncZUD0n2HSzlRgdRtr2InPz+RTa9Fv4xxvjIhBTZPcAf1ui0RdQu0iRJlI
jfODnPogSngJ9BXotxGh9v5i1FIv8hLSsUvTyV6OwBI4jD/lcYCwth4/MZ2dHIx6JWcWB3fb8bZX
VixGWcK7ogQy5SQ6bWGfbJCBIahswk9u36mFQFL252uBZe/D5jcZR0NGSCkA2VYHvbbkUvPGJzip
r02IeSuQn9xJ7dS8sDglcYDFS2Ud92mmuki4v+zToiEJsHro5BtOVb/TqcWvckMJXLMomyXxFcYd
CCDSlX2UzT4gxCvbt+ONk5vjFwtfABptz8eZev5Jn/z1WBApI1G/dY4Xxn7waiUO2Ob0ZfFqOP5j
oHf3iUEz+R+MAwMUtTvutQ+bg7pTxqBAlONyEi2o5hDPOir9Km+rTz6kp7atFKdwr4E3dPjf+6lr
9A4ybgRYboNwPABZYvfZocrFngTRmyQvH9LE+aRQcWoC/zbk8YY1giKHUEdNXaUftn6bv5Lsh8JV
7qu8++TMYZyav5xIaZKxfeQsfLTyNr1twoCzUpYZffzeBMWvHoQ/CEPNXlK+JUGzUMIluZfZOixn
wbGizfKsCuUP6Konk6LKk1cCNWp1ZMtYWzAbBE11708O2OkM8k0Kvm8zWL39aAtWTTCUxAGmSg0E
Lp5Lm7n+S+11NO0khAyFCta2vcaTWKwbtnyh3REyOBrhuk1H/b5AecnHHpfz+dl06i44s1OXEgfz
9rgBmyRFXWeIlN2JMFXSmcmnVs0nUYgLaqZPJNr3nwx46hHP9gwcgxbF1uPbXkSaD0iL1yQkHxVx
TFsRt8Xpd2WQoeUtSL1JHv/4Evmuz25jByPOh9OlI0c7bXQjcWPHJ9S+GuVVFrBDG6O8fiIydnLR
Ib2cH/NNr3G0CUV7o3NTeUU52h7NLl+BUS/tJHVlOjnLoG8B5ARat8yIm7yAJp08FnoKadxEsvWm
Uwb5mjym7dSsSWNxtkrfI5n95Jc6UcRElUDVZ161rQ9nX38QExBq3uh68tCzGQReoEozNrVXzREd
EjS9FMinRLIm8JbYWXoyyK9NbXX+F5lJucdb9NkXjhxD45hjHpcKVaQRMm3CFN9yZNAamcXNoZFM
BwSWmbjgcVk7omTFBT4LcpYSisiaktJHDUlvuO2NXt2MxOl+DUw23gRaql/ZFmfEBDClsE3EG5Q9
Yosu93VEkcmS3a1NGf0Xe2fS3Daype3/8u1xA1NiWHwbEiRFStZAybJVG4RsWZinxJTAr+8HdN26
Fq22onvdVRG2yyUSQCLz5Mlz3iHeABi0A4k/1kXsNGgCxr0beNGlWWXWPS7P6oZlCxNlYiF8ib3e
P+S6+6Sjr/fBwfy956cDBgfdXTr054Ujym1p3nYWz59n6j6Gn3uBHGPyJTG0ePvnsX7vUqAvwRrA
RmfbOEtAaDo1TbFsS36FGHjdeAulR9XZwY/z6Mufr3V6b+ezfqn+LipRbIPnx/9Sc/J+LBIOB4MI
vRXqDrhVzbNt7MK6GoLSzY1Lo9LD206Z47VpatGd2WE3YVt5vavRa/uZSv6fntEH8g2W8JZe/z9S
Aovi9t9aDYuk9///f1+e0Q4ro64qf9Vw+Ptjf2s4UE35F2c8ir1/6xmxd/xbzci0/8U5iQLrr4LY
9mLaTtvHp5/2Uy37P/oN4l+00pciJCR11IW4uzNB7D8JZL+d00giUbumqkUuyImJfuRZuWKGI4B2
XE+BfMiLeV0mqr+TLCgHs6Gm/QAG9TYNOl3MZ06zNfogXIDsvE2DIqHs3I2hr8baVD+VdmU+TOB2
H7Okk86Kemv9FFFwfPaHVH4QJt699ALO8BboGoP69tKJlhnYCBj23ewrLu1LDfbINCJW4PYOLUNP
IeTf6tCz1m04Q676ZUrc/ly3b7TA30Tp5clJsjH8pLJGKWpRn3pzEDOtJILDk1t3eYHs9NrThg5L
D2xF6kNSLZdThed9cCA+a7T9fVGmCuc/ZKp+Q0fBuMIWpfbNO2GWJrJPnrU3C2dutuTc/mPdCe8K
eT8u3hs9u1aMt+QLpX4IIprDODR4RuzQSkvVRavJKNzMhJ9n0j98vkJIqMblgNiaESQzIo6rFiOp
OFAUvq0PCl1v86qfj8G5j+4/NTUdZNnbsfNGFF2p45h3FJOYK30OqiMHub71WmU85AkdSpXhCPrn
N7ak5P+Jv39f1Wd5uB4Lg9/fXtXRdDdVQhp3qTEYD6U2g3Rwy/hVT1VzNxmzOooTccz1Y7gfCIHu
/nz93xemSyGW9q8Dku73Yg0M5RKvdGUgIOmoIyTq+mnye3UbDY3xQf5uvE1mTs9KbYCVteR0LoCS
t88K9wIQvd4bd4Bi1BEDmzLbDtCec7xarPYFKVD7edCdZXXqSAvX7shiOXH+UghcH7zu9x6ckibR
0gBO9dusNSFo+40e6tj4NCwS2w3z6srsCn2AyAV77M/D/N4icZfM6fQv4I+zTd2oUz3RrMFEYBzs
WTnBC1vbSJRf9kiRXhYytfcIYVWXTZMwy6HpG9fF4CsA6giUj6vFoQkR5UEdUStepMNAmVxRYPI3
mNao2zhGvItvTVllwgOkSK6Ay/QHiclZ9+z0At1F80E3MFbAR+dsiaR5FPbe5Bvg4lO92c6ulBen
eaPQBHiSstDWuTcS9zACvyq80d9ECTr2a/rszUWNi3YEjZSu9g5L1VxibaK3L57U1fHPg72smbM1
5aKqgh6Szc3+hl/WUE4fKLAad2J2GZDTMBu1rJ8MPTQemlx+NLPN88m05OcIutCwMwTCkOdnsqKL
zFTPpvZuhPJxKbpCPCP0s/xipdGq1y11Ky2ndVZhEgKh0oc0xrhmnPz7BMMb8t1y6l4s6J+3qU4E
0DUWQULGdmUvc+I0RC27Bp7sSexftYNbXU50j640LbH3gOCN63nqP0JQ/Oz9/DqQbNYLtM1i5nIo
+q0UNlO+dptkiu4qPrX2cXeSQYr48E1j5VN3UQ7xMILhH9IuMIUGnj8ZMJfZ+nGELXK+wFvWE8Wd
tYlI+UYvYO0NMFaXVL7t4U9yroSpGCLpEEAc9GljxKP2udaKCLqcW1XIgkew74Fko0gQ6KbOyoBJ
02/YAvCMyVI4PTbkuTvaK/Gl1xbpFSe06hocNx4wXiX1flWbufYV457sxqim/LuetUaQkwfEK3Oa
EXxFjyR+mUQ1OQdIZ2WQdOzfB90HMQX3L61vMYZHSFbFPq0IpMP1QLjxonnkulr92Jd5OgYQYNx7
dHsRHGnSCBKRNAekfQsR0S70YQXItdOZ3rdGy6W3xnkWUMqs5s5cNX0PI91skNXDvsywMbHs43pV
D4inOD4WeONg9GvXHiJ5p41IWyKy1pVi3bQmkJUCvYT61o2KHJc4H5/NwEtH/zGKe7bdjDmCRwdL
zqlQzOJEMVInzi1/4wI05u4gdzy3vk2aUHpEG1JAAvFQswtg6svHJrfN4wAXLW3ttSHuzdgB5+6V
l7lZz85sxIZXY1zd6y5K/kgaT58cq2quNEXXb4sYRhFnqzpR3h6Dzfgak6ruu4eRa7WKUNXf6Ukq
A3i+0bU0bbmVuLhWTVU/jbo+fzVaLzmYg6eCpQz0beqqak3lHPso3wy35mxVfxV+K75SQkRDzqnj
FyaK+hH1Icy2GTXgYCHK1us4hEMuMUQICsMd1kysQrdwBiuV8vAIgYrrVd2L3UAVUyKJ6gdNeEmG
sKKHJdaBwiwkGXcIKzj64HGmyg0Kt/AWjcPJpkKVrZAODU1+N8zRxFETiiHOE6tk0iYoeF5m+HAx
UUe2uN0MxGQwNVPhQfFekp9ZqGOVZYx0qQ3VpR4BjyDaa/Zz440upmHwjvAdosbyWWm0q1ZT2LEp
UMRFwdz1iSt+RaxIJmblCoMoNlMbsUJrjT18/QTbmzfrGKB6V0laaWtdl14w+iPTC3tKXj2oxyfc
XaK73vXmbj1Pjv0cCgpjKI+Qr3bYU96iuiye4WH5j6Npti/tHC+Ctw6BxyYOuXaBETesbJySWaHe
ugCaV6+mRnBznDiqS9K68JFSgRdkE9aOWZmZD40ulh8CEnzVdQPxmXAWog+FnQDeKEbH30Sz4pkG
LChwCdT5CzxiqmzrCQZHmuzUeCRa/ISMjfS6LxtCjE/x4ipqCv/Kdyt1pJbBpp5oRNRTjCSHQzJb
sIliLSwvwsprXxaP9n7tS9t4aNueP57utsDcAKNT5HBu8aUjAelFMt02p1wky7GRuimLTAKKGXDY
mHkjg01mOJmj8TAYMwa5JuqafcJxwwIt/pAuJjpxp+oxmJbscTIZe6OYeCiWJFfK4qF9gcqujuny
p0Ei7oHmGNmnng3i2cvZRQFFtC91zm7b+FHzlGYF2a9K2ul4ShTmrEH/Gu0e59lU5PeoN/JqKdlt
lOmlLxzVoTwmVJf2VaPp13rMknaqUL9GFDqrrphGvDtzuduyath48AUEc8sd6alOEl5VDYp7RlY/
hYDL0TbOTE1uQooJz047FyFWQg6c3aaV3PnAZwagZLRJ0ZtBlGB9SnD6JVXJ5rR7+Xn4sZbUZ0r9
tAhyxHaQnNWyJl25tdPbn0YxeVcxkkPPMYIS+Y5thxusTahjCH6UkPyxAAu/5VrMxcvTEgISlart
oOSSBrHzdIEc7zx7bF9wlOcd1aFHcsd/QrNgAy5tRNPpQHBUydCN3hmTQWIARWhPkWm8hgLv7nmc
6tLCNeaYYDc0rdAs5W6HHh+XcWTH7ZbpKcrcuNajlJ0JIXu+OR2QqLDBKPef6jGiw1GggUKW5pTM
2j6ePQSi+OcKgVMmMFKxjFkHUuJRDYn7gIYOGhZdoyc75IeZI3mci+e4GBlTZGx5/lMQyHJLHaek
ZFTwI/CvUGMC7u6zwmpnuXwxdt46XVZ93hn1Uwpj+dKPeKuk+81FE1q8Vcj4XpCzkTMOIymoXybh
o4aNzK2aIudZAri5zHSsSGHRzVhC4PHtX0nZcienmYiMvtFejgkhQBjocmyg4hB87KiJ2ltfhea4
91CmCFdpYxOazCqEPoNsyWPSzcqHtDMjbDNjmIGzhNeTA5no2dyjwCSe8eA0HkzN4wyASwNbk/KM
h9GSDDLgGwPmb5j6uFkkPg4cUc1Cb4xR3Z6ekJ2IHHkBCawk/q6704F3Hhf/KhpBD5DrzYeE0I0p
DEfahx5+/0NFL8XadEuWNoN3z39mjKdtE5MHZlSd4zlleTHPPovavypNT0Ph1iwCiSzS8TRqEgVb
P0hHOPqBXG4ndniKLAnt57rvWK+Q+9GkyEqW1TxZYeBaM1r4sOk8VFUjwlGSsbjgwhEd41YKpE2Y
8vjqZqE6xkmIA8U4uM3FlIi82AioluKo5FhKfJNsmLPo7ohnG7fYZMVP+4+l0jm25r29z1C1qGCr
emN+KAaHT+d9bDb39MVokyNZxUDPy+YC9mCJfQrg3a6KDII8qUi0HMmxDMFTuGBOnAbgZyxaDu5D
ahIXlsAqI5cd5zR3wwjuyUp1tbxQbjJ9o2If3p3mp2324S6lELAbysbOPrm9xxTx9F5e2CIbDnE0
Se/vCVGguPVauwOmgQU+UBdwDvwNZl/iOQJk+nCaFRiOsygyMzSuHbtkITelcY0QLYOQtRqyDg79
d1waREkkmuZMW7uNSRFCCuT+UZHkgTTKn7inS8wKpD3y/yYSIXQLDNO4NmwegSkHuSJ2qjEw8oiV
5YYNO8wCTdhWNZOmTyuivZUYN+AVUESJZya1rhk4sEEFlhenCIi6dgYtP3QZ7A4tRLbvLmWULHdk
2SwbEA5UEV5JSCF3BIUqkkO4bTTPJ1z1y92mfccys5qJ60b1pI7FZEu87jmqId87kfiJiOfuJ2Dd
8DHsTqNZIZUB6AkpxvvBQJ/louuHMr7BFFev9ugAGddSH7gLAZx1ZufHjzfQcVKTD53oSUJwL/Mf
9bFOdmWtlud1/fHW7k33vvdUcWNa4nushbg/+ml7AcJKX7mSyD5mUfoaWS2yKmYT0qPgSL0eMJ1l
crE9plgkgDVL8KnuKHn6ZCiT84gxAuOcgC9dVWKcFWJ5qYV2jTcNcKERG0McsMBdoU4/WXZroKdQ
iWLPyV5dlEYNBRGNvxLvLKt69VVOvuCYAHpskkwsqVuz8zZKtZ1+aJbgf6ChQSESUDg5VW9XnGDy
Mt9rlUkVhiobtnV5OGr3UQo9Zi2Lml8b32CQLIF6DBXAEScK6Jxo+RGXmoEch46hOmIoqY5Z1JHh
qQYQSjOyZpaDcgYp/3K0FpK7jw8ATqSS2wtnl2KTiWtKYIcjdwrsg+8LY+L2LMAO/ajIMdld/Nrf
pMsebmhp+Bh6ITPodDCM9KisD3me1oS8jphWOfg8XFJPgyscV/4VDCR7P9a+cU07yX9EMKp9MefJ
Cxwrw7+M6YSLhmOyf0rAhxd9ERGtZicxHwauvD7FTdzHCI4g7azN1JSsiXzJN+vQ964K6SVFENaU
r0Zl14htIPZQdcQ92bCEQKWQpIZadtAqsXWiJTLj+84OxNkuhpoSJz/swdHbS1idrDjMT7E6zRr/
SvuZYTTUSDR25iJDwnOPX73u7jmwqQ4OGqIjXt/LXYUAPMZcpulxVunEs44N6IPnGZTsBFYoa+o8
DImbamwbmC9zkigcNhZnmJyHmIo1xqauta+FYj3M0RIOTikzfe1XJ0LDkypZoW+xenO9jTN15pYr
xw+x7NVnFTvzVYwn2Oe6j7KgZYUQnTnt4HmIvJO7cp1CNzGEqLVbqTkVCvqzX3obS1rqwoyE9r2v
LfGS+v38A8G74bXKVUu6PeYYRjiTCfd/cbEmKdvlFFe+2tyuDPowzJHRasq02TSVag4CZ7brxMWa
Lkqd5EtRd9E9vcBBreHkYKvUCn0HehR7GKsOP8PWy75XzcQ3iVJPWjLl0o9u51LjxJrr0WiskXvH
KVH6g/N0qs78X4fngw4PgOIFYfLfd3i2OQnJy/Ov7Z2/P/N3e8fT/8VX6FSnAbSaAsLGP+0dz/0X
vR1H0Peg/I+cMBWqf5ueGvR4cEahH0DBxaQy9k+Ph54QICcYOdSe3QVDJ/4nPZ63vQ94kPQ7bFBg
gg3HoRJ23nYZlT5jdt5fmGYfdWSmiz8chkj+ld0v5p+uAIyXOX1SBlgGecEvY/VO6+NtCW6hnNmA
qEA3An2hhH+u3NygueUPs0Kns6fY5E6Fg3eWmQeTS9P6f3EpFKLhhFNl/I35gVjOYBiF6Ha2QYaZ
m8a4stq43sCNa/4XT8VQgveg/w8b6Kw9MCPdV0+23bGZKJJZa24Qy+3QX8ON/mfn9b+VDX/bifg5
gBbPdOLW0Vc8q84rTJdQbGIAkVD0kZk170q6/K8Kc6eoRKHTpdqCcF+ILZJuVx9U45fy938qjf++
+MJFZxYbHNbftgY6FSNpW3fdDjIWVU6QOnid2s0HVfjf5whqybQzPQgmkBbOYf1t5FktIN5+J2kc
SuZm2XYrgWbssElrkOIfPNTbjtLyUMIEa6ebtFCZJueNfNEMphUbXb+LJofsJZM/SFZevagqVkZe
XDphWn/Q//t9GMHnmCAHUGhYNoKzAj0SNiltrKrfpboQmMP5OS/LrzZ/nv9v6+s/n4s2IwcGCLN0
ApZh/gXuyTmXzb/JeowQkYaxNO0q0tobaiXmWunF/xDvdBrFX692NjWA9nOkFHm/A15loB5LeWgo
ulWNjcaq8v1uhe3Stz8/4Fm35ucTLhgz6KwAi+khv33CKc4cbxxZdnBa7Rv47vljpPfh3kGD+QLn
1Szom6M7TB5Zot2+ODgZHsjDL/pIVjsEv4cNRiPjSo5u/V0pS9tTXPNX6L829zNkabrT6CNmKBv/
+b5PHgVvlxHKADb2BQAA4E6fzzivjRyz6lhGyYj/ysrWRmRmMRwYNti36kjSGc269jjIWIzexsyV
/Rcuq5xgqOVeu91srbG69W9oGEYfrAXxztREJt0AWGtRfLPOG2Ac2J1sFnm3U128MUNA7yCD1Lrx
HBh61Aw+q8RCAHF0/Dyocqxg4IzKqxZifxYUCijxANAa7HO6gpalgxCqwyAsOemUaPZeRr0pr01s
M/cg6augGfBZHV1Ksk0n/cd+TLTHbvDCtW+hcittzd2CtUpWgyW9DRKOhy6T7WrUck5soUBYOQfy
ZWefeywQrzObNsVkzdlWWn0SjFp3U/kuCr8JVjvUrhCMBAd3pceT/kXD02+XlpwzQzG9ZpN17LwO
DxtMuS8QW+hu+OZy++e3/nuY8ZixFlSQBRL4G7xU4YfQi3F56W18rWU9SFtP3xuJekCWqt70fWF8
EGbevaIgWAv6Xku8ebs8kFoaPH/OOjSJw73RImloRN/9Esk7q8T2z3e+/vkJf4/boJaJNiBIsCyA
8v32em3kD3jn9d0unXIKRVjp7qNqpJKG4sMHG+7v0xR0KTDApb0C++ucRBr1YkhHBNB2vjeIy0pr
jH01ksX/+YHevQpob9IUTleM4dsHKvRQKzqEwXAXlTouUq6vXfRN5N3++TJnHfcljvE0kKw8skVs
Ds+RMMhnLiLmfrtTOBUEFcf+raMoszstUgB22LqkFEx8aIjRQXpfpBntIEMnH4Uli8d5G5ZApkA9
QYJPwL05h1bgo2rPEBjana3wGYVZlm/DMe229tghIGHZs703SuVvpF79yKvRPUJtGHeR0IdPCLJZ
B5FV4QdvwHz3nmAv0pC30BA6zzgiW9PgIVvtroz6cq9LsfF1jBpnFBKvwxbFt9jt6yek4qiQ4Vh/
09fJtHYS2IdoDFaBW+Y/ckMN15gRBPM8/tWnmonVfVffT2WfrOouERciisdDOeXXmt59lFy8/wA+
QkyAF2hyWwva4pddGFdXv5i8kUGNp2MkMRjrRzv6TAuVTb/BYBUnY31duE7HjiWLwxTPzx415lY6
/h7/QlRaPDlg1VT5d9XsVg+ePf9ANLk8UOn0t2MdTcGYQcG10i7fyqT5SBHrXErqNDs5sPzzBGer
AAU4briaqLhRDjssx+JDJ1QZoIwddIkkyPfOtEL/bm9V07BuazhTf14g1ruzALi8TnsIkvP5cqe0
ZI+T6NtFbBTL2z73xDfSqlvXBvid+/pLlQ/qC9TJ+HuLsGs/RGtEPuMgs2jgD1G7NfW2CiSo/9WY
GOjFUjmi78gFd0qk6dpOI+PHVMI3lKF771rZRuhphSal/6X2QJ8Zg9CvkLVfsOXVszvo987EhSKb
tm890uP8YBv+PXXzHE6DNHNhxeq/ccEE2iQZxfN2h2bdlzLc0bvPA21GxbGa0d778+i+E7YxAOVg
uJBLyRXPThRtnmG/StDZ1VH5iiwghUBjSFe2ojP15yst33QWYLgSkFnftuGcnSf2TRj1tRsKZpKM
HjLDir6k+dL5pEIKZXvK8nylO5p3CB3as3++9Dt7oYO9Ffx8a9EiOUc24oGHvxt9sl3vTk9h590q
tznqdviau903jrzOBxvUOWJ3WTXATTCfNBDHEc55TPfR60K0gynLMbw89hZ5zxRawVTGw9oa5h96
iGhrkqsgmmqSGxsx96GNJIiKj/gz704mcKPsLEiIgL94G4GSvkP7Hj+S3UgbPdBr11kBQkA2Oqmi
tYjT1z+P9DubprOo9C1aYgINrOV2fgl4DjXIxYeFlzxJuCY1fhlz78UfnBHfHV9QYZBdl+EFRfT2
MuhbogVkw0PijIxA96DiYChTH1MVT9uPLfrO0WD3gTbRqRspIqPPa+QbNWiXM+T7D9br74dy7wSp
5FAOouA3CZ9x6sUct/BcraHT8cdwo20rURQfJqxfCkNb14jS72IXLEmV9foHy+qcwHWaa4vmxIKQ
A/5zPtdQzgxNC5A3PRE7/la7ErzFKKPupoXcUqxGp4JvXPV8AW5pS79ycJpcBHpaZ+aqABQANxfb
8k9DDFdkZXYdsB8RfQiifCfQoJWCHS9LnzznnFMea14CT89pdmjGym0PxWBjtzStyeWTD4bknUtB
47Kxs4D9Ccj3LKYlND3rRrrNrpvD4tVGOO9uLhcDCM0BzPbnCf/utRaNN2zp4HqfR7W6rOeu9mw8
1cxE3sHldLbVRB07lYvl7T+FxneKZ+8EMbJdyiKkiJBfzs+N5hxGUJm4UmIhoQtqpr7HJNLEtaPF
4lEV+NlU8fRB5Hz38Thfg9FGHvs36CteNmXnx6LZ4YFJi0/QNkjSwgykbn4kTuWLdzZ6Mg0d4U1w
i1CGz3INL7MR3poNpogtgS4609TJdRLb4xzA1S3ztUOLKHDIyfE/t4ZR23Jy7NUGvplV3BWeYHEl
FjXGfYjyxKOJ5nYcyDLzerrDuZOsurCJn6tRaJ8ypBfbLcr/9FLbEsTequSRrLXrIJwc+IMYje1o
6dZ0KTRkzpNJuvic2BKCaZTFxoPTmzMgNVsJc5sahXI2lo/N1Fd/NJLih5NSLInAtelOfKliSSdZ
JpmMP7d4X0FAL6muofFrFPZGQ+D5UMxKYfMDAKO9hqXbe5/srp/CO6c18nJxT9fGbUHbE6Oh3vaz
MoDIa0d43JfCDXphVem2F01+P2gg4A6y1JBTkBntqymSpkRbJHksWki7K0UXLd270RjVa6+v6L9N
GdjBTYHumLxKB46TAJKwDcp3bTv6mNcPYkJ3foAWdAnHLtSpO9BnC+pCLMlVApH42YXoNGEV3CkM
1u1K3tci0dyl34Ou8Bi6w32Z2LJDVb3x3aNeFbi90gCN+qVdr7aNp/wEWFQEXNCuo3mm0QpVq5Rs
UZs8XMp/qAr7ELZb4X1O4wbD+ryo6Mfa8WCs0roWWBH1d9R5t0jw119C8IRfc83Tj13p4AZRgFrX
phQZssa/6fNpWzbtVsVueQxdiqh2DFR3pi9t2tkYYHxebKN+OFhQAtZm3T6nGfL/ojfDABkZawus
B7SONm6Gcmq5B+nunHbUNz7WQDvbn6sVGTONYHo1l61dq28uAvVYHuFzUbrD89w44mKw1Lwa1LRC
sOQR2aINAN3mVviF3Bh6mdxmFl3XXk+MS6/I40/WyPvgtAAMC/yHmi2xE5pxlyQLCmFSIcIydoYv
WNaTVLQ4bLFLBC3qj3f0+fZNh0E0YqIYMs7ZTUZ1SY22PGRKmcGsIyWpOgRa0zgcoLJnBe3POEh4
s7ehZx8LLQY1MuI1Ns9yXiOM3wehOZm7mdT1GEZ5/RdAPP2qjF0vmLrGCZTeyVcHWfm1hrFtgDVA
vgMnKvYSP4KVi2kzvPrE3LcTfTqKFAfTUNtE1MY2E9PXQu+br6BcLlxhg7udvgoVlptR9ynU9eHX
wtEiyQosvP3Qu+V20PBvmIX2kPleeGhDKwmcqPI2emprvAfEROzUn4OYc8Mxkdpwi/yjd2x7xb5o
tVcd4vOrfKH0T1r5o23G+sKD0n2RtEVxURbe8Gq3SG8vTXAqXNkALGZCdqgpQTeuyDQXJkSV+N0D
PslA/00mz5cCJUoVuPQqMzZTgkQa9eNTzdhfI4+YUB4JESPIjL3eR9NGq/BDAAHoXfKHaqNYEFi0
mWJqr7xpjMb2CZMwt21WkxnaYxbMrSmfNIOWe4o5zkozueedq5nVd+XOWX1hZfQzg8KTLljEynAX
+LHTgWBzPRmt8mkQ2oHyrN5SpG2SCykZqVWXlZjmYXNCnzVVtyeUWYhYQLIfU0cCY0maa2M0vW2V
DOOMDRrFOBTK9W+OHpJPUt+tN7R888uaTfZ713qRAwYkqtbpKBLrio4+NM0hC199ivv9miyg4PAd
DnpAh1t9ps9UvOL45gCuKFrjr1K5MuCIhhVxCXAl8dF6bKH17zoylgdvstOnoeV7Ji3HtLEzm8PC
OlknCmU807baL1ThaIOkbTxvu6FnJsSW33yNkab+3tQYf2dKa76CMUkuUhl2+d5SXbZNJr39Iui3
cj6sRrwbQlF0QT+Dv8MVTBPrTLfRl3Mc5FNJuPZ9I7LApYS84VTqy23GuQkxnrpa1I6TaHhswjGa
N55IAA8hs4rRUYX9l78uaA3usRGBdzkSRw5YPcT3eoHbNvapvbltGU7tsUSDC1RxnfnxZWTO3KqT
DY8DYKPxUxSG0U3iNR7y7fX8qerAqmE7wLda9PFtPXHuh84UQDQmtzkAvY1v0rGt/6J0Z4JPqgTK
zyzVDaqy83bG9AOZFIXwLi6h0Q3cZQwbaxGLGxZRw6Li7VKEbw5ZgVOeG8f1N7lgne1ZAspMGO8k
zabdjC/MzosZVE3a06XG1Lyrhay/ieWEuS6duR4C8IPJjpFNLgTOgIQ9WCyGtJtDbaT+1Ty09bdu
quXXAUeazezi2VgZqKqv5j5mWBsMGw7Rot7f++Aj/LEVN/bcQL0YKj+6UQnAFPLdopheZhwacaCs
zdHCwcUaEVG4QnrVrIHXLiR04OGYbJRxWhKh+hBwbAUSqzYmcZOIKvxcO3F07aAu8RdoiCzAEm0G
ja6hbrUCudO+iN4yN+CMmsOE8k4Qaf1wKQseHhy8+rw4nv2Fn02C+iWfrnUsrHpss2YwwIIMvITH
jbpLk+9lFoIn6XyKOMHJvQv8Fj8QopC8iqIx74J0rqt+NbPOKWOVLdKnFK09FxgqoutiHYZTvjdk
t8xyYOmA6VNT3CdFPDwCmOnd9Vhxk7nQs6PXyRrcXuzca/7cYEdSjvENIGhcNVu7lF/RXlK3HrD/
R71W2RHUoH1jSkCZIjXCY2MPXCjTpq3vusA/SDLiG7tl1Lw0nm4xnJte9Rm0maZs9Dgo2odHs4Ay
Azi/RHF35BurOTuSsqvPyGy0L/M42NphlpTENzjWT69uTZlvjdhOWK2ot7SoXDkafiKOhuMKkXyG
u4KHRHi0Y45cKzRu8ZoqhsHB8AWM3+2sNZLQ69jMNGJWfJNnaYV1O7p1t0i4UsRF3Z13rbdejL+i
VXnl2m+718rTODMNepGum2JsXrUqNR7tCLjPMLbGD2dIe+Dcpmowts/n18pMa9gCJgyatUxF/wNs
JDoE4eAy9+uaYXHYydudPmYGkjKkvBj95doRaziimesMP1TtNXddiD1F35j1dTfA6FJp2NwZnRfd
hLjC77Bp8IKk9aw9cQx42eSxvkst6r40SVLqd1LzWmI8zi9iX00Vg+dZ7ifOxOEWHwpJEEMyjbpp
BxEcMKn3F/jh7joscHof8kWr1EF+rmHbvLKkneFb4kbJLeZq9RY92vYzSEkAWXP82kUVf9XWdR2E
Q219E34ktnYN0rAGUx2YlirXYrCcncF4reho2kHWSdYhPOzpaBRS3Z7ARiW+PI9mHtnrXKvuO9/+
BKI8oRepJ5xlJFi+3k+vgdId8M8bDmmBAyhSg86NPgKAi10AwI4FlF5B0fqE/Gl9U04ivHdCs9r7
KsFkDOL7vDJKmo0NBCBUfLrDME15kLA2PwGXkVdl5JaHKC6nFak+KaBP+48S6jPOV0jSu6A+s2qw
XobcPjSJbhDSPH4BiLspHaNeq86+VNhNfyHf1lcTfmbf/HHpM1XdNqayvG/CyqVbFpOQDmk1ffHU
GB31Mh63OMdeOFXeBP6oJRCskHLzxvmZ+l/xBGBpBoFUcbQyNTsi0HPCWbvTZMcIdWftPtN0azWE
mn6TFQjPtH1P48vo64AMFaCfl+k70LjtfY8rLqHOj459y0V6Ebq3vY6lCIXpCaoIaC88/JxHp+1Q
3UrcR5XqxY5yaUweSCq3KuBPrqpkjD8lHoWbyjD32PoZ32I9HLeDp+m7zjTmwEt6rGkHFiPGpN1q
zCgVRtPkXJJcYIZnix0OLtWW5UQArlJOp5HT+Ds/9/3XIevNL6q2jWu/8GdQC4X9UMcqXSty2C0u
l8gUhG3+aAjXvcPKpd2KoVXQVMkLQc7JaIO8Wf0DEFRurmsQfNdNyjRIyjxKMDksa8JaPcUru0hb
NGswGaaBgKB5Z4Jxd0jo7Sh9TieVHSIkirqsybHStLWrakrV3YyGUJdoxZaluE2sOSVRE4KEzO2v
C1vgjJRVpBn2sMWlDQ/OGkDm0dPlHAD29y5b0N4YscWbWCDvnllS3BS1gBaDgIJB0yKf99NUDZ8c
AUqWHE3LWHBOeagjld7kqRVXUJNm1DqkLDmWYpTAMqKHNnzywy79Wpi2sxMGBXhKa+DSm3mxiOwT
rA790GquJorZnOrcIclW+AgjRTAm+hFO3EEC/b4Ih249wJn5dGLJtuXoEvUrENo0eFbl2HZX1H2n
ldOmF4bS/K8+PVPOOc+yKhcFJzGvmxo9if9i70yWGze2NPwqHb2HA/Ow6A0AziIlUSpZpQ1CpSph
HhNAAnj6/iDbfW1dtx3eXy/KDpdIikAi85z//EOG8NX1x7HXnieorYdad75pi/0j6ur2hYq1eCET
qWbTEsoXp7AwMBuHeNM7Q3k/21QsxdxpDL2h3gXxFCUN5dC0H/VyTI+KUUszHB1VOHsnx33Rr0y7
vlVkvOpvZqe+Bb6pVR+9RFwzBsBnnzVqZS9lmVX3ekuOho0qCi3NzAaaJbL/Xghd/VaJLPlOli1K
Mh1y320LC+BoYTn/gGMEbL2Oiof7ltLkoFkrOCVWKmPRoK35UIhzWoKdLcXKFY4BJA91BO+S+pjO
NCeu9Bjnk/he5siUxCBWovA8lO85VOfEF0sfvagi077lScdJj1nSdCfaKXrRc0RPRPKkGDUQFii+
KxaqOl9fRs/ZLLlVPRTtxMYgkknWWycm+G9rehJEY5hWTUqiw+7166qoHxJ7yC1qzDp6wfGN13jN
BDvaybzcImdBZRlhkNLn4Sj4LTeZBV0qrGBpOTQxEx+apWYlTuli9fSNajVqJCKRaBxvKV5550Vx
p/pgSuDHMDG9WdmR40wJAEWar0Qz5d1kyRqxZ3clRWsR2dwlVNKYVxXTEL2M3ZgkpKWiKPaj2Crf
9WHgU+H1IxmXpuG9/HIxrVGJB7i7hpYGi1jlxQ7i6tqnn6h3hOHEgdHCl8QBaAUFUNpVDxb8sWpX
pBlwD8yClAYznzCo1UCBbnVkuNq2txbrNHd9/WBJGBXcQuatgSS/LOY5tsBDMPjKCSqHxTDuShxm
krM39uP7aION+gOiseRMRFzymM+jvquGqvq5xNngPne8NgqaxlUfUWyJGbMR9Hm35sCX3uujyu9I
Vc5vnVYRN49szYqES4kPesA94dkF+09mGL4mV3GE8YsurkLBlX5Q4/llvZtZjOJHmoms2HlDByV2
8Mo026l5qk9BgRsX9S63c9lX4H9HmQpF9VmHVHTEDWM5DA0VEIXEkoKAhTa1Oh51vAl4rcL5FZTD
msFXYX1ZBjpqx+I2GdGDtmsJWTgVQeLwdZMvWqbqm7ao1SMzaZQ15WDcl7E73cBlSp+WJZFfoLKP
v8Dq/+Gg/h0HFbkc84z/g4b/zWVk96Pu4vSPHNRfXvMvDiq6auikPITo2TGO/xcH1foJEwGgCQeO
z8pX5K9+46CC/Yp66JP/+W9D/QnCgwnXFIoSjAD9H1FO1U8DEloeBLS8GcYiJui1vYLMvxsKeWQP
uaj5ir3hxl9lnpBiShz0hiHhM942D92o7KsV93FL7ZmSRtsOzrwVQEP9ihFR1esHQ5bzQawIUqVJ
64DXe7HrZrUJnRVpwjike58jWJD1ikMhHGRgu2JTjJTVq/KBV63IlVGAqzVumm4jpZo2Q+xcCXVz
7+SShrnbl6dKppJ3IzrdkC0hK4SohfOKlgFqBe1Y3s4Cr7BmRdQyoLVuxdgsZHhh7Ugn0GY5PK6Z
ndDmQeWSFZ8zAerkitiJPv7ZNgE+9BXNc1Zcr18RvmzF+tQV9dNsAdiyIoGU8hsTaHAAIiQSHQbT
ihqWwIf1oGGbDvYddiu2mK4oY77ijcaKPDZFS4mwopHdikvKFaGUJigJfkXf+xW9RBYS0WiCaFLU
vOpUkCtMd+SkKLdlClCZrUjoguJjw1315YqSlsClPbApKMtttOKog9JO+8YAk5ucWrt6K97ar8gr
vJxt6cl7vKbLaw7r5Yb87460eybaOY1dce6Im5Ib3R3ZZao2fx7oGO8Z1OOsIJQ+IPmdMriJx+6h
NRSMNE0C38185kxTSgtFZ2+37DpNeunqQj5HHtslRFXvaSoN4lQJ7gC4qUG9khGGv5BoJ1r4AveO
lOxzJGqAgenEtPaG23x10owTCml88VTl+GOhOPF2KqqJi1l9nPjaKlCJ1aa7ASxywyY1NC6epw8a
/Sb4gdCb6tgJjBb8pVarY6ssVKmtWzmtnxa5VHytLtOLCrJ3mhl4bHXpZC+OTn1BOCoRssyMoqdM
5wh3jajcTGVaP2gEpV8MQtxP5noCUO5mL00TcbShGebISpFNbMuMDK8eoPFutsb0MvR5XJF3ZE4b
kaJbXmSJ6KVfZXIW9M+wa10Uy6pB4jow17cO1dBBMYwhC2JBShiESH4mQYfLBVQCgGkkNB4UhUew
Ikh+PW8JZ2IeQpWI7Tud0JIna4jw77LEyJdv53i+OsUqAi5rpH3wx+uTqC07D4yZ+9C4BW+oQSBu
N0WXVpuZtNTww48i4fnbpTaDNSiQdLwRilnbxxgIJzetSi9zC1CQtsu40waj+WFN9JPRUDfkX/Kb
ZbBz3e04rJKfgsCh+3jBg4RjzrIDI0rce/RnQGNKX74Xa6FWWdXwKDKTUG17dWFO1y/+0agyw+2/
OFPJDxZRph+skU0khKY7b1RPQBeUZvbysdIQ9/NpJHUS9qnN9CvphPoXY8n6VjZIlXyKMzBOAJYn
yjX9Z1mtc4y+NJ37zkLkU69SQY2aLuw6uhLMBBwTYy9uKj4D1VEpV06EHhHHW8iy/947SXqp1Nq+
xXVxPrWRpl8jNXOvslXKTcKKzH2im6MXTwcnk0SKAy9FE280unyiMyMBKuJEecDdadwtNlVvG9ON
1UWPLny9W0j46oc0nhGqijzCBBtPWLwaM67cjHPHDT56ZuTjukcgqh3z9oNksO0UE6t+4Q9mQF9d
IL9Ab4lDE9lyERVeAu18h5vU49hSq49W/VKlIFqljUWFe9b7gb4+vktGNfeLHgFu1r1b0jt5Bh1J
T0Vc6c51EgbdQ7Lr7eUp7oQdWurk3tgA/IDH1gbtoK83cx24elVfe86xwddXXrWWavaV6ucLeder
fog9PNfcOLSdxgg08lOCtJwvKUpQOWUhwUVHon6jO1RN062GrnLr1jHTGqIDkp1d55nveqO5mZsc
UIW58n4ciybo3bxNQqXTvleYVo+t/oNIPaxhkrQ5ZcsgNpVeagdotm+dhguHa91zTBYkRw8GdWkc
fVVi/Vko7hueICV1nyi3xUhAeTlXEIFLYw5pnGkj9U4fg8a264cBOxWSlLPlezlalGvM31bewbbp
p4cqG5qj5+QAAX0SWNbCDU5tbTu1A+JeOedoOrQv9kzRTtF6yKe5PKh4GRAN0Oah6g7NZkLD6qve
QDu6NFulrr+26sDEsKrVmzlXnWPHwmd6YeOugUO3qpUtZg2E62jzuzE31yZ1nR+pDgZmylZ9cQDt
Qi3PH3sIja/zrBgbnnVMwo3WDdShYgAB0H00vcjEqGNZ2A9Id9jH2WJQvJJyFSygS1700JbiezL3
0WYVGV4YppIVa8SMYoKq19WZQPlu2CyjXt3Umn3Bzj2/Z1nh32JH2p2xzOZG6kNVU+sq2R5zgyY0
hTLiiKk3P4Sl55ul1A8YH5AW3DSvQ1HrIfajqIS18VmNMEJUa057j14CIujwhjTja5sYOwxvoy9k
xsOtN/LRt8A3MTZnstyZ1pcI9jOq1miis6riZ5TmIkCvHvbQFW6kS0NMkeB+N0lxvTr0WF9y/Bio
IRxvnWraM3kSkQSR1CN3gsmSfcmcgaZZmOUPETnZD/Cy4uh1pbPaRESMZxUgCduU21zw2pgcDLwW
1YsTZfU9ZvjQjJKWymp14pBN514aUpVfKnUuXiQBBxe7RytiUWH5HWl4IRJxCPwYSYIeJxWBvoiP
15iKKYtvRkYl2lGg5Z0QQC/2RffagQTjtlR5JOKn3p6UW1vDQiVH89lyE2uVNPIYT9I8G27gWpms
mIq84Lq1GlKjF8kxOA31pXY152iuntwRztybiGT2Jw+u5hV8Kc02i2grNMJepVz62LUOVAr5TlPr
dpNORRQU0qpXF9LpvSp1/VbDnuaL7FK5bxKn/dlue8ay7IUhbSG9rSNJRzMbNIfOcshLqjBQZOWo
1mxg5C23+xqeWtB0PcHe0Rwx99Jcfq0CGoRZfMNzxfVFF8nbHGuwcxdV3Rari27X6tC7BpmTqNt0
54mpPATWXazH9MHu8jXrSP0Ns4oQEwz1OkSbOTnaiSi2pan2Qd3l5g4TvvOUJvOuW43UEGIbW6sQ
492SU+PlYy04uUb3diaf9KHFZ4d5Za58NXrvolWN+CEdvMtb1I9br7Hj7VBEja8YLaLTLk3DoSMC
GUK1vs4wrpyg9W3loF5vvGHG8E5aT0Yz7SZczUNhLA8zTmyXKdUxr3XdbAdDcmfTYgaF1m3qsY5/
tNO8M3qOvLGti82IMn0z4c9/JINOBEMmooNsoxvCFa5mZFmhE7nZYV7s6RRlsFcZbZBqr22Ada9e
zu6qnZxBsdNV55MUWrPLS5nF99hhtyGPsJDxaixkEgjvKUrMkRC3Kt2up8YzQIEkDeQwUf+SXEyp
kgdZXObWZhbZGE5uowPz4ROXYds1DkMdlnYK+0nEYzK/JQTojaZvG6Q17DkNf6aXvldUb9yWlbdC
PoN8iJxl2WjzIi5xZtXbbLTMM8DCc7tgJbw09jX1aiXIlr6/kiqth4Vn4cDkNNY3MdVzkOnV8k0T
Wn+WpaNsU2380cUzwzhLH8/uOBqh4wLUmRPdD6075gyy0G8AXNprTKmy0SMg11lxXpC6RZiSDNmr
7El0Tpm1GZz30bFUUhtLElUN8lZUwTimiFjBFzgqmwI9h4ljles9eko/odw1T4tBoQ0s8N3R5eib
bdldbC0Pitp8SwpdgMmn3nGOF5tkK20t+hH9999UwMLvTm5lN1JWgjpemHuE4wz3M+9BRVSDuxK1
jMKsvM8PyxIR4IVT4Iy5YKfcN9hK/lx0anEWSflGAxqXm1pv1zz6fsVoqqgO0yp5a8uSU19py+/O
aK97VtT326FKx22nqd1Xyhd7ozN5uPaRh+OBoV2NNLNujWyJBTY/hXFUTa8NnXnhSRsq+WQPcji1
jVHdLMWII1I798VtXrWOBWPFSL5BCFGxHCItZ1tqCUeBSiTqB72lpg4oPPe7G6tsHGNsaVdmDe7P
PVzur4tRVt+WhCEs8LxhYthSEXYTDKqsHqt1nG+tg/1oHfHjojltXG05pOv4v1mJAPVKCUhXcgBe
T1qIqQmMAatKUoZKGYEPuluzhGKKkuyDXVCtRANAu5V00P/KQaB6XikJ0y8EBWMlK4ASje/JSmBw
VioDZivNfoLdkK80B7ESHkDVb0ikL+mzIEOgfB7v4pUgYaxUiXwlTSwrfcJaiRTdSqnIVnIFv9gX
Gj88MbyEQKYMCgYGwrAxPqCM/6A+f4f6wGKFm/v/oz6nH1U/vOXzH6THv7zoN9hH+4meXMOgEtEP
PpX/An28n5CWIDzSV2IdEDCs3N9AH+8nfONwlVRVg6QoyHf/AoHsn0ysEMFVkSnCQ+dV/8Bc9rPs
DeEvijekLp6B8hiZ4SciMra3SefCYTwSUEqNukaG3Etg2q0hK2RRyGuOo/otw6L+0LSmSdxG7Xoc
UmO/75xy3BktxEC1T9nhfncZ/4RXCS0b/Ol3zHR+Nb4cnoAqmiIUmZ9lyZOwZiuH0X1wADHqW8/L
1Vt3YdPwM5zvcA4baJA0UzE3acewPiaLTGlGgYu9N0TfXdxL7gUoWtttmtkpnZ+XRokvc9LKPjAT
oX0l/6KHR1OMDXQLdjSmIEy61NsSQptQQtPuFXdP2bCEpppjk4eFCW4x0O5MJ+++JFDl9jUwfSZx
0Craq8uAbA5NRxikUeSVdwRi0dhI52wzdd5ji0E3JbEnXeMOpHv44tVMxWTXliOelYxgaeCy9ls5
lyrnMrNMKHBdk0G0rCmn3XzFzKEUJ8WxpxuDGMPQHH4Y7cc9+yQbRCy3VQcPLYqVXZcu3bGNM203
DIZ4S9Wku/WgiYZ2Jk6QtI9NbYtHp0rheeB/snPE0J+iiAnvpIxKiDqv7dBwZPalhafLhDbZKtBJ
4LUNWn1VTO+ramQCtjqhrPj7F8mzHkWN46uDJc9KXCv3y5B7U+Aks9jIdJxuYmd5gFpV3HYzEh9k
DBUzFGlr8dbNFfNbhwMh85FE+BOzalh2kNHsq+rmzXVMK4PZglveWePirEx9RlVnoyqE8SXDuB1z
PSW9XZZ2Y86RvkUhJR+JPZv8KjEqwhIbC/eHsto2Tg+nWutIPhHEyxJj6Wj7yUDm5yye4huLCudO
bZioLL0MtDa277nq7QnHo26bgaMcYyyfj2vuyRHjiwKyb6UWzw2dFDZIdfbeSuxSg3xQmodWpMvF
qPTpxhhV53vsJPbWRMK6KVu+Pb0jGv957DZ6SgA7jiWjuYVKMrV+kzfJa86yx66pm4KeleYvIpZX
1RnlxQPOP1lSkKBnpt7ObBMcr5SlArxMCdmreuOa9CU0bnUherpLE5Y07Ui0lSMtSLC0pv1s8SaB
MhWKH7nesLGgxr7qcYYlYjbPP9Ye+Iy7mhm6EyYoZmNiU9lnmf1VYPrYBRHp7Qd9tHEgREU4J8HS
OxCMxhrvNt+xhMCBqC0dPbA8JhNUtd4cFnERL0wwI+XRmsQ63VKKHnZAp508BrEWPa5aHAjpQU5X
akVygw9kBT9XcvUQTGP2OmabTIzJtgDYga/pRuZbKU1pA+fJ7nGRTXWzjrG5fEubny0ri7ZGTZa2
jr0KTxesIhNffTMad1g4GUWo96ChDtMea4c7nn2AGvHFS+TyzcEGYRNJYR48IBk/tcHJwkZT6gs7
ofxKWep2zJfp2HEXXCotJMIq90hPquTs16JzXirIq0NowXjJ/Bp14XgxygY7ZG2hdigRama+NvZJ
eYMlIsoDbx7HQ80gjQkfmwiKiMgtbplO28w7U9IjRWHKe7ujdAeNAAv050oUt7ALmh3UP3jPkppf
2XZCg13TdLR+NtvBCRP8AkgoKsonKOkt1ZHRw2OkhzxHrcRqktZL4KPVqjDWsvrRqXWlCLUhNUO1
5u9t1iiiQm1OjuNidWepJ8ldqsv8C8ZH1aNr9Rpo+lCGZSMRZjU1m68l8vwti3ul8lMT1yJanM6+
wxETG1Hw5UUGU9t6V92Qbrpx1DLmpkAv7LamWno/ugUuGwnL8mvsJkUwYlZ2BfJq9xPdGS5qCgTT
oU72qp6Nqk8+lnlKcCHfOhJUGq41Tv+RZif3ZBMROTSW6dWZp1Lbi07Ed6ZpNlSDDFuLQMdv8aWe
1ar0Tbozi4EFdXTEsPY1ab2WQh9t4rmHd4nfJlONBAGzy/g6n/vkVpl6JQdpEXwchlZYzuizd/UU
yCStY4sX1Gl8ROypy43J3rzNZoNBZq5Pm1ZaLRB9Mx0ydGTPDDU1/mDRsc/zkOfgFZBXGBz7w4qW
emqpV0Fmtc6NFsPu8Z1ZZ+ypCq09epNMowP+5MOpd23747btFTc5lWpHTvxg8CVHzdmIxH7LDFWG
0jVx2Gwn4ynV+uaQNY5z5+GvwKeWb3orPBailRu3k9LcQLJgy7GKm3h2o7dJwOOBJeDDjgDz0Eol
dFUIUk1jZheshJydWSsNL1gm/bbiQTcR87nyAjFbDXR9IHAymTGC7PgDabXyksm8ve/oEk6m1WJe
CFel+orCYXwbjUKccgZgYVfW026tS/ApzOs3VqmFOx5uJGwdzAXczYxU6kbU45gABxrdyXDbSQD2
JA5IolgcEyK7MpsheLtnbOeVsh5Oy6A+2VnfV5vWbvNvZo+wfDN7lTH5sRkzf8mEMi/YY/bl5LuJ
I18xCVzTwPJ0xIwK8Ap7xyR/ooTjdiWvipmNtwrs0+us2g/5FFm7LMMmdWMw5MGnXyTGWaQS+wo0
HPptlMODpcSqX+Y66rc9o/aw7lXuF7gxBB+YcNWLYbUl75mO33V8IlawzFwP0a48u63QbgTbGU+R
mGFpgK2NkKtUvfELtwe5cRw9f2UA/lUoGqAsJsdmwKiiIcEoUoj8k65i+gYTsCQAgADfUeq2vMpE
7S91ls33aE3Sh6kYVQONMzpAv4Nfi8ueuMbeykqxXOucWDUO8jWP2E2K94MVepMQ6zArxYLNKk3G
UyseHREC+Cazqf3mejSeMNYU74guVK4FpqV3mxLbtw0W7b2J0UO3HNzMdmpMWQf7BhvxxcT9thh0
f1IWZjZOlo03rYZ7HjCZQbRbBwHFCihPup/1zJmV+5FZvbkbOPQJSagXCG+sgYhs88I+ElTASUAw
YtXu85brGU4ySiKOVuhyfl0Y7gMKbzK1WkcRrC8IU+QistEm2D3t3NousnOXzDkRiJFTXrLKnZ46
4LWrZkjnpQU82dU2xF0/T3PlDaaBcnRrp612reimMlBW31w/0RaODERdwy4tG+1OT+OkPLpN6t0y
aGjevUolZBn3KPWAtnUNaAM89GFTA+tOA8Bmf7LdWa9/Taj8T1v3N22d7pAm9rt+5N+G+dek/v7j
vxhdv1Yoz+jx0n4+fP+f//71hb+2do72k6YzzGdm79FEeSod3K+hIfwVWT+myvSP/I7feUqZ+k+8
gvk/qR4YsHw0hL/O903eDjk6KiODdvGftHWGuvZtf2iecEI1VEg62CyhT/ss2mq7eOhKzyOb1kGO
nc1J/eDlep9uYpfRX6pbzxJw9VwoTUoT0TwTUaocVOlc9Hoo4PIsCQRpkO17byyrO/IZn6xIhczH
LDvb1iYRVsuAs2enMT0xgcA46UCuIL9emmJkPjJpd9kku1csBM+2LM5Q6ndQ1qOw7ywPNLa0/GIc
oKx16fugDuml5DoGQHMMTLHSRVvkImmwdIRt6nKqPfXO1oThe518hZK5gmWQb03yRrs+fRdFhtOJ
gXDDqd2LY0w7iZ8bRES003l1lpQS0cRBbqbD1tTz8zAvdzzpGEfzU5gQ+lOSvs5Nj89Du7xZfX4s
Ru2tduzndhbbusDKrysTgwQ0c592ru1LVXibmhgS+NYuxnvGcz4Wr47KuBBK61Xt8vN6BfqS2amZ
F+9Zg2+wiPtsi/t7HRolc29oDkC0cnyMDXkleMBmYmbHqx7nTUa5h3+OiVXyfIKaWR+W1T1YkShO
gAwC00qPejLgGZRPjzYeBrIxnxMD9uRUvHZt9ooi/eIklF8+3OGNyRdii36v+/nOLLhXs9HTJzWt
r5j5caHGxnA0KVc7mMzXay6UntBRRysvydNhTqZ48gXDarXdY+WAs+V6LZPylSETe+284OotgVPX
z2pMfkBplzsp1Ltelzso+ifGfOyEo3pqHOBYqp53A7ojOFx6zvPppHNz9m7t2cxl+IaQ8Z7wVMXX
urfhCXsGuKXgg6CEZGHimcsNFqRHEkSfkChEfmJNj6VqhdNcSZxiuz5ESfNajYx/C316c+vlNDIb
D7KkSy956zynk/rNbY1biJhaYMNrmfV+v1gDFtHT+Li0FizcpmehGvu45B4pqsuEsB97fxiWE962
yQaYlRLN0Ayme6wEDOmhN+ul4WM4+FTF2ptnQN8sp47ZSFwcNWd8bLvhEQ+P95LTPlBtVN9DOT0a
mMFzcvSMlXWOxMVWkkDT0jT4uO5aZV88z3wGVsR9xLQuDc4yW+qTR6ojbLEmZD7SsJ9Tp5v3CHgX
X9GmS6MrzUuGdXLgIAEgASwagetZdsUURwGjeyuYvX7ct848HtvaGg+itN3DNCrKbZ7MxWalsN5W
SjNv1aQYj2XSCiiahfFGq/tC22rfaPQfqJKnOm2JGMuTJgu9sgUuzxf5Gjl1p1Da64W9ywh2fkLy
+FROjOnCxRS41SPIwBQ+gs+Rv3QG9hT5hAo8YQgNbB82/dxtWnNKNMwhbJtJNnninKnIpWynvWBd
fVfVZr2RivlUK1ociMGyNuOA23o1d29VpWP8q6z5Z3bruw4j42bxbGg05RDq1F5MlK0ekQnLf8l0
lCx14wtyafFIZTo46drWcGru28wjgEs5uH6kcQrjoXdrqs6wm3QW3Zw7z45iXwaUXodo7N4V2Z1M
Oz/+7tD5ExBs1eX/cRdfwUEXPBGXBMDCT7r9NLPNgYq53psj1vnGQOIns8dLarVnNC/2P1MVm6Rw
gDkihEM3beKZ9wkL9Ew5VPbsVPuYRz2stPwIaJ8wgWFD/+vv9cl0Yv0kCj1IbBDk/iSIUTrOZGSk
pO31Pn/1InbDdTvONDkHhvDpOfgvdfvXn/lvcOL6mS4HOF6C3vpvrvXv6G6xUQEEiKjaz72VbKDI
PNYTD7ZimHuprORPvi/c5VMn2N3++qM/e6X88n09wEwHvoP2S1rI7z67yWO5ZLO7Zpx3Rpihtb2b
I/QxbBenrM7yvepNbxJu3TaXI7yvUfDc0ppg088gjPiMuFpOQ4zzI5y1vedB8s8G4CNXnqTN9u3a
+hqhwFqts3NFS10ywsat6InAgDK0J/MyuIUSTDXRnpZFVkSMq0+AX/bfeUB9EqZ/fNEVq0VQr6m0
AZ+WkF6kWKnrZrVPdLE1a/VO9Za7coED89dX9LMo/dcPWgPjSX9jKX0yEwC1cif+krXq4fcvsAOe
tdTc4LrO4A2/i1C4+bmnYb0vxvkOR9byPok5Q80lfm9H9uW1VEEgtwZQTCdM+CLfgyaIUvtidOMu
cdnurSYtgzhO7F076dNzbOnzrox1SBnpnJ4GtRNXaM1PU7eyhPTUPGLJVG7o+CCJVel7lFo2FuQQ
9rvJrXeTkr1H9fLkxsN26QWHd2Psk9naJ0mV4kjBEJg57yl3EE3qw3LnzK3h6zrv7bnKS2flc+BA
UPqbC/knO8xqj0E0I+afOgyOPz4Vi0MXaCoGkagY167lxMTOBgXA9glN2f/1TaPC/rybGbBNTe4W
nAnrs49dp8+pU5gkNmNXfjVFeoTe8Tcb5odnzKcd06GdNs31TyJQ19/hd09amrTYEMDb3NfeiCgn
nXTI/MvbutOni4FYtYuOuW7uPUW/yMhLNrhRHZUp+llk2TfXHsFSy7HzXYQfqIU4xBNEgD4BTGdN
i98XG+s0BFL5vjCQDeKWLn3AVnFTpPaGEeYXF1YUUKcbH7A1xlbbom7RNKMPQJaaLayhBEpoq++G
qUE/r6fvFnI1KOD5eUT8klsMj107o0DFGHWyUDdV6+RxVPtrXenJxjSWvwkhNv/kieVekF5JPKdK
2LT+xwuGlLdnFF5We62gURiJdAhS7EwRPeV8Z9QaPv7uGQIR91JamLREAnepRStv+4y1DKqxUexq
2MqItru3sUobEvVZZo0BUIRtTj7alwiNTzBE1iXx9Cy0OnaipoZp52Tzk6rLN0QFfuoAPhhUh2QB
MWpVpl2eqPAiuUwNzNIdHOEdBgjX2LIhrnasTxNBnS/sUUI8MLOwjApvh7r2yWu68fzXC/dPHhLO
jPUfEH66t0/XSMatU/SSkHbpViElzuTDXN15JiFJURP/zR3RPlvPrXsbYzkYQBZqGlzoPj2T68jF
0M2BsHFdVORfYJOFZ/mRWfbe07g/S82SRAUHdMgkAZcvKsC4ONuMqvyhjmzkJ14Dm25sN569kCNb
oGGoZvebyLUbCIi3hPOIIPGo9uGRGaHRiDcCMq5TMZ9KZz2MWWaxkb9Gcq1SpQ6DQj23A/ZiU60H
lKubsc/cLR4xl4/2cjEnI0wtftDr8qOtQKDMGjlicj6gVVj65DCh2vlogggQqkPZ5/WxGuRj2tNI
unk8MJug1bMW+dj1MSo+LD89Y3zUc+2uVdKjYVCtac4ADyGfw/U/lJL/A7WcBdkM41YzO7FZHyMx
WRdY3492vDYQqwWdazerDx3Vkhpl56nN3dBp+OlOsZ5RqfGI4T9y41nTW7c6Xw5c4KxIzziWkKGB
XVRgFuYzATNXNMvwV2tUhFUJjzM7LiVsYwgjtD99caQp3pURJwsqcxYmT4ct+3OhWS+JkNUx16zL
KMaQuc4crI3RhMR2B+GoPuELcSl681nv0r87jz9I/J/2Q2ody/Lg1LOiPhuJFeDPrQ5/ay+c+a0S
45UBzIX6govHnIRJSP760WrXvYcmx6PS+3jmq6TfzlJIpG+8rC0N5KNVtvFyL3THznDCoo9bAF63
2njTMO8LDdonEjeYh7GZblqEf29kdnnnpvPQMcaci/2CnXXF7x4sjnHRFfaYrJ+fRoNyS+2MJrDV
dAimGM/PwqWyjmkMOQ8TWG+whiiznWx47Ed20E7vr51LS0qQxxne0NW0CHcE7JuYBOdG2MqFAYgk
QIjQaZyeFp+QsjcCd5pt1/RXh+5gn6c28UP0T0U/PMLrvlureUIifj1f/4Ow/R3ChlklVkn/P3Hi
8kP+1/FHJ378gTqh//Ky3/A14ye2W9sBxKJd8IwVRvsNXyNjl/9DzULW/Adc9ht3AhQNv0zHwbiT
5gmDR0qA3wQ07k9YEjtYFtI+U6bST/0D7gRukZ8KGh4qlfqTdoJnjI7p00att12Fsg4BBM5yKTE1
nYGdTgxj8IRti3WaVCxtH2KUKMdaTZPhwCi7v08aZSx3OfQtdOodmb7YW3spySiD4UcoRGFPk11J
dIyZAr4JlREljUDstVmwTIq8xLmWGKE2R9HjpFfWs12Nr4U2Q0gtykcsuq0HdtflXsA5qBvQ8qJq
ctMHx0ZiT29C9BeMrDOGl9gBuJmrXYVdG37f9Oqzl2sZhZ+S/i93Z7bUtraE4VdJ7XtRGqzpYu+q
g22MARMCBMgVpRjHmmVrsCw9/fmWhwQZtpOKVHVSx3dgubXUWkMPf/+t3sZxGVxk6Sof4qxAPrTg
h6VhSkM63a+vIypdB4qkKLfPtSoNo0yyv0GBQn0hmUDW0AqTfwxClmq6HjTsjrZS8mFdZnafCAAZ
XKGooKbuVDSj5/0T25JEDSmRunRMaK+2RhbmHVQlUTGuA7/XN7WCH2Ykv9WBGi/w6o2IWuXHlV8v
5/04tOQnM8rribFY2X2wJvU5Faz1eV5m6XglFdxdgZb6NPZhSsi83O6XXkINvuAI0YkLempwCkFd
fZ76FllNdTGXvgCd0O+s3I/IfhWacpWCP5ZHJYyTD5SzUtAEV5LylFIxTMectYw0qhnWH61FKH2j
+I7Gd9oSY9Nduy9SmBGXwS4ebcaXiVExs+FnAnBCF8Mw52XEEbBm0zDj8kxOixjoBqGRxAKd4pGd
HWZWlQ/jelW4p2buqVdzSylwISkyCcorA1po9/w5VIL6nELyVDtzdXoKjTQocZJTn37JxESwtute
Ml6lPTLPub8qzmBEUZ8WBLiMMzDTlkyyq1efF+RgnmyLtuk+6Z8BdycelWUQwgGN1u+gJwkfUkkL
79xFWj0tQW1cWbFm3/v1yjpzOeCMwZJoEHUdxfySmKn76FcLDTxJpV9KC142Ji6tHoNcx7QV9KQ+
XEFDvcbaGemUyZ0Cu8hLKBrARqz9Rf2lJr0+sogdgeRQtW+loZWc+2kUJaeKVsMyOFd9LzizfTl3
r4MQhF/N0bA4g2NPxSjpaSveMKHmxPSH+TzIbp8ju5p4NeBwLQm8Aajs50lkRIAzV/PSGiniMExD
V3sICysYRdZaSk4Dg5w65TFeZI0CRc7u8qT3pOdhcRXp8iNpocrvV/SSdYmn11INsjqc0IKQ/oCZ
YhhnHiirPmSfC4CIAXwH0DiREi2sFOhKmNxkGGqfMkkzzsqqAuri9ZSLgo7UuKdLiMBgzzivTfi+
ofGsL9zeUiSk1VLrl6GufV4DFCP9BmvP6XNqsFDXZQEuPWBhqOAzgeE+B2dxvloPoTiHeAVDCIhN
mUkj0JfZpNBs/+MayPJlLJX6Ta7P1SH9SXMuNDNsXLpkUk5kSXbvKgT7XVCgIZtP4Em9yTNe0bQC
GUkKJRmnFa++XkBQFpMyAaelJCAUKl8z4r7Mb6DZsln0kp+ucdyTaHm3tOWFD/mN4g7hl9AgCwji
+vNar+Rh7S+pV9EW6UUNKudBMvRqpC5Nal61Cn4mDC8IXIZxVStk9jGfBqoL9lUrYl1hKesgdouw
lAcrw6guS2JNn9x1nT3aPL82xiVc++NFlJjZwKjn6QVt0dw+rScLPJbSCojdxpCAncpLKEZql3K6
vhnDLkJK1L03zLlcQ3aWBn01jfxLbGF8cxIZ2DG+Cp+dZiyyPu1f1iOXBkP9sooIyIMuwrxTqVJf
mtdJVUCORf0v5dYqfEg2JS+w3MVhTl9Qq05vUisILsyYgA+OUv1JNVbsShmhni+bnQUnF9qmdUTE
KmGFQv8AX/FmFS1g5rxb1+xRaYn1Y0gy2+pKTUiVmxUnTJoY8Wg9Z3texKHaYzmU6q2iixvl4PQH
VDozElI49aSUyxVR0VKy42uO7YqehwGFWUlSQztfxPUkhbN66/z835hLuwcR+cLhJin4qZil1e0s
K8I829sS4tubhLP8Pvm9i44L2qUjf2KAERPrwWvdMMA2g9qM+JiM0CHbWbzM/v6rZ570iE7ooNw3
3q+NARQm8Xz3tUT4FitMoF0xpsRne8NXSvo3NRx/wq0+j19z7Al+5GsVGvfgrbfSgmqd6JRcE9Hc
KsEmsvxaC5Z60rOwMyGk3yhBhkCTG/5JWuANESBtpYWeTK4bGxde/50aDrQgIMsWuwtY4u3nT9OC
BvUEDkQrLWjKSY8EAj1ithNezPjXc8G2TzQqdeDaoseL+GzV/gfNBbwm5m87JZgnqt4zoMii2lh8
DpSgKPYJHpgKuH23ZP60qSDyTriF7bSgnoi8HCXE708FSzsBVijYvaGsF5//1bYwTYo4F4cUPSjj
BphFuMa/ooMDCT8OCI0SBtKFJo/5/RkPloMstgxgKNvlsL3hLy2HX7jo+4nbd73wZXPWerPsvSP5
3y7YnzFvv9+dLxvQD3pqXCiO3u29tyeN+Psf5yWi/ZqHc+VN883u/+rL/Wmwuc/u57sHfHvrxr32
T7X/57k3S5106labL6rdMK+diPP6P6Hz1Ymc1++Yucm8+zGSv/9qjPPV+/+J4Cw4kCtakbSWSyFC
EjcF22KTbi84AJ7pZHtJ4jWCq2Kjaiu574QgZdK4yfSy3VVby07oY+i8JPtRilELQpj93++afN8X
8LEX2E/ieDbNvWmR74VthAMu2P/9+8IHs9ApnXS2lyQkgz7rQNn75fQh+fahn4RF9LWpdvIxHczC
I90jNzb+72vmCCdQS8nnaNzzXmtc0Sgv2//j94c8fnHcxgRUeqbSwRYyBqEWw3O9H+FmRW7t0rbL
Zhy/AOhq7iIk0bD7W0tOygOxVGi0F3v5dm8iW93BejlWjdhywl0lBRw1h2omw97B3Jg4XtzYPYio
d3G8TJy0eoPglXHW2r/CiZNlztQtslmeN+a0KtPJtQP53tT15k7TXsOw7mCFTzzOgiwRjS6260Ms
RRjJRFq77YKZeBlURhmdxBt7E5WcckfSkyI9FN3JwJM4P5jcKjzsuEptVXI9+5o6B9YTiVGjE9Er
p9n1WKX5RQfmk0jOnTvRInO95rGOfBEEaq+TY8m/ljuVGPxktvamjWOMzKKIBHUx8i9k8PaSNmtH
Iza0/8fvn7zXSZq7H/pQt3JSNhcnCc3ObjBwoJo8FC+wWG1V89H1mhrvMVs6EBuEWCRNr0alOL6D
TfZjOpsfusR6F6/yZhbH9LJZOQduggoBQAfj/ll1SssFdCfoJt+diETQRCvCtjNle4O3E1GI78Af
uUf7syybNUwKTQOV2n7o97N106vcRRXbquRz7rj70Yk9BSyR2sFZ/zCjWDJu+HxAMNUONsIHD7bT
g+kNB7Aoq2qri0eHcwcO/ObS3CU0WgufZfmHdwdvqCJI3lq+l02TOPMalhskHgKJ2lp2BTFlPN8L
2swTmmz/9EB+L9L0PUHxNv60T7+897NmcE1cMQ1nTvrPfwEAAP//</cx:binary>
              </cx:geoCache>
            </cx:geography>
          </cx:layoutPr>
        </cx:series>
      </cx:plotAreaRegion>
    </cx:plotArea>
    <cx:legend pos="r" align="min" overlay="0">
      <cx:spPr>
        <a:noFill/>
        <a:ln>
          <a:noFill/>
        </a:ln>
      </cx:spPr>
      <cx:txPr>
        <a:bodyPr spcFirstLastPara="1" vertOverflow="ellipsis" horzOverflow="overflow" wrap="square" lIns="0" tIns="0" rIns="0" bIns="0" anchor="ctr" anchorCtr="1"/>
        <a:lstStyle/>
        <a:p>
          <a:pPr algn="ctr" rtl="0">
            <a:defRPr sz="1050">
              <a:solidFill>
                <a:schemeClr val="bg1"/>
              </a:solidFill>
            </a:defRPr>
          </a:pPr>
          <a:endParaRPr lang="en-US" sz="1050" b="0"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microsoft.com/office/2014/relationships/chartEx" Target="../charts/chartEx2.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196272</xdr:colOff>
      <xdr:row>11</xdr:row>
      <xdr:rowOff>36945</xdr:rowOff>
    </xdr:from>
    <xdr:to>
      <xdr:col>7</xdr:col>
      <xdr:colOff>5772</xdr:colOff>
      <xdr:row>22</xdr:row>
      <xdr:rowOff>121227</xdr:rowOff>
    </xdr:to>
    <xdr:graphicFrame macro="">
      <xdr:nvGraphicFramePr>
        <xdr:cNvPr id="2" name="Chart 1">
          <a:extLst>
            <a:ext uri="{FF2B5EF4-FFF2-40B4-BE49-F238E27FC236}">
              <a16:creationId xmlns:a16="http://schemas.microsoft.com/office/drawing/2014/main" id="{C64115FC-AB3B-462F-B44E-C1194D1FC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345637</xdr:colOff>
      <xdr:row>12</xdr:row>
      <xdr:rowOff>57727</xdr:rowOff>
    </xdr:from>
    <xdr:to>
      <xdr:col>15</xdr:col>
      <xdr:colOff>777231</xdr:colOff>
      <xdr:row>22</xdr:row>
      <xdr:rowOff>119678</xdr:rowOff>
    </xdr:to>
    <xdr:graphicFrame macro="">
      <xdr:nvGraphicFramePr>
        <xdr:cNvPr id="3" name="Chart 2">
          <a:extLst>
            <a:ext uri="{FF2B5EF4-FFF2-40B4-BE49-F238E27FC236}">
              <a16:creationId xmlns:a16="http://schemas.microsoft.com/office/drawing/2014/main" id="{33AB59A7-8177-580A-DE9D-7B5BF8927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662901</xdr:colOff>
      <xdr:row>31</xdr:row>
      <xdr:rowOff>153802</xdr:rowOff>
    </xdr:from>
    <xdr:to>
      <xdr:col>11</xdr:col>
      <xdr:colOff>462780</xdr:colOff>
      <xdr:row>46</xdr:row>
      <xdr:rowOff>9170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95F43843-6FC5-D735-7E2B-ADFFDE0CB0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784301" y="6059302"/>
              <a:ext cx="4892579" cy="27128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413712</xdr:colOff>
      <xdr:row>55</xdr:row>
      <xdr:rowOff>9045</xdr:rowOff>
    </xdr:from>
    <xdr:to>
      <xdr:col>8</xdr:col>
      <xdr:colOff>236682</xdr:colOff>
      <xdr:row>69</xdr:row>
      <xdr:rowOff>58305</xdr:rowOff>
    </xdr:to>
    <xdr:graphicFrame macro="">
      <xdr:nvGraphicFramePr>
        <xdr:cNvPr id="5" name="Chart 4">
          <a:extLst>
            <a:ext uri="{FF2B5EF4-FFF2-40B4-BE49-F238E27FC236}">
              <a16:creationId xmlns:a16="http://schemas.microsoft.com/office/drawing/2014/main" id="{ADA032FB-0CD7-190D-EDEE-D53D87032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763924</xdr:colOff>
      <xdr:row>74</xdr:row>
      <xdr:rowOff>18665</xdr:rowOff>
    </xdr:from>
    <xdr:to>
      <xdr:col>7</xdr:col>
      <xdr:colOff>563803</xdr:colOff>
      <xdr:row>88</xdr:row>
      <xdr:rowOff>67926</xdr:rowOff>
    </xdr:to>
    <xdr:graphicFrame macro="">
      <xdr:nvGraphicFramePr>
        <xdr:cNvPr id="6" name="Chart 5">
          <a:extLst>
            <a:ext uri="{FF2B5EF4-FFF2-40B4-BE49-F238E27FC236}">
              <a16:creationId xmlns:a16="http://schemas.microsoft.com/office/drawing/2014/main" id="{6DF28E67-321A-426E-C28C-5517A30DF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504151</xdr:colOff>
      <xdr:row>95</xdr:row>
      <xdr:rowOff>9044</xdr:rowOff>
    </xdr:from>
    <xdr:to>
      <xdr:col>7</xdr:col>
      <xdr:colOff>760076</xdr:colOff>
      <xdr:row>109</xdr:row>
      <xdr:rowOff>58305</xdr:rowOff>
    </xdr:to>
    <xdr:graphicFrame macro="">
      <xdr:nvGraphicFramePr>
        <xdr:cNvPr id="7" name="Chart 6">
          <a:extLst>
            <a:ext uri="{FF2B5EF4-FFF2-40B4-BE49-F238E27FC236}">
              <a16:creationId xmlns:a16="http://schemas.microsoft.com/office/drawing/2014/main" id="{3882A7F2-66C3-51B3-99A3-B5B464AA0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475288</xdr:colOff>
      <xdr:row>113</xdr:row>
      <xdr:rowOff>28286</xdr:rowOff>
    </xdr:from>
    <xdr:to>
      <xdr:col>7</xdr:col>
      <xdr:colOff>275167</xdr:colOff>
      <xdr:row>127</xdr:row>
      <xdr:rowOff>77546</xdr:rowOff>
    </xdr:to>
    <xdr:graphicFrame macro="">
      <xdr:nvGraphicFramePr>
        <xdr:cNvPr id="8" name="Chart 7">
          <a:extLst>
            <a:ext uri="{FF2B5EF4-FFF2-40B4-BE49-F238E27FC236}">
              <a16:creationId xmlns:a16="http://schemas.microsoft.com/office/drawing/2014/main" id="{4C6442E8-69CA-C493-4F5F-618F776A0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850516</xdr:colOff>
      <xdr:row>121</xdr:row>
      <xdr:rowOff>172605</xdr:rowOff>
    </xdr:from>
    <xdr:to>
      <xdr:col>14</xdr:col>
      <xdr:colOff>736985</xdr:colOff>
      <xdr:row>136</xdr:row>
      <xdr:rowOff>29441</xdr:rowOff>
    </xdr:to>
    <xdr:graphicFrame macro="">
      <xdr:nvGraphicFramePr>
        <xdr:cNvPr id="9" name="Chart 8">
          <a:extLst>
            <a:ext uri="{FF2B5EF4-FFF2-40B4-BE49-F238E27FC236}">
              <a16:creationId xmlns:a16="http://schemas.microsoft.com/office/drawing/2014/main" id="{AB151ACC-E5D4-72CE-FD35-0ABC2A588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302106</xdr:colOff>
      <xdr:row>138</xdr:row>
      <xdr:rowOff>187038</xdr:rowOff>
    </xdr:from>
    <xdr:to>
      <xdr:col>7</xdr:col>
      <xdr:colOff>101985</xdr:colOff>
      <xdr:row>153</xdr:row>
      <xdr:rowOff>43874</xdr:rowOff>
    </xdr:to>
    <xdr:graphicFrame macro="">
      <xdr:nvGraphicFramePr>
        <xdr:cNvPr id="10" name="Chart 9">
          <a:extLst>
            <a:ext uri="{FF2B5EF4-FFF2-40B4-BE49-F238E27FC236}">
              <a16:creationId xmlns:a16="http://schemas.microsoft.com/office/drawing/2014/main" id="{1B7C9B31-72A2-E531-F82D-232E85AEF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558801</xdr:colOff>
      <xdr:row>1</xdr:row>
      <xdr:rowOff>119816</xdr:rowOff>
    </xdr:from>
    <xdr:to>
      <xdr:col>22</xdr:col>
      <xdr:colOff>256823</xdr:colOff>
      <xdr:row>6</xdr:row>
      <xdr:rowOff>38100</xdr:rowOff>
    </xdr:to>
    <xdr:sp macro="" textlink="">
      <xdr:nvSpPr>
        <xdr:cNvPr id="2" name="Rounded Rectangle 1">
          <a:extLst>
            <a:ext uri="{FF2B5EF4-FFF2-40B4-BE49-F238E27FC236}">
              <a16:creationId xmlns:a16="http://schemas.microsoft.com/office/drawing/2014/main" id="{B2A8EC4F-0D09-AA5B-1E2D-6C5615B83328}"/>
            </a:ext>
          </a:extLst>
        </xdr:cNvPr>
        <xdr:cNvSpPr/>
      </xdr:nvSpPr>
      <xdr:spPr>
        <a:xfrm>
          <a:off x="6337301" y="310316"/>
          <a:ext cx="12080522" cy="87078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latin typeface="+mj-lt"/>
            </a:rPr>
            <a:t>           SALIENT VENTURE Q4 SALES ANALYSIS</a:t>
          </a:r>
          <a:r>
            <a:rPr lang="en-US" sz="3200" b="1" baseline="0">
              <a:latin typeface="+mj-lt"/>
            </a:rPr>
            <a:t> </a:t>
          </a:r>
          <a:r>
            <a:rPr lang="en-US" sz="3200" b="1">
              <a:latin typeface="+mj-lt"/>
            </a:rPr>
            <a:t>DASHBOARD</a:t>
          </a:r>
        </a:p>
      </xdr:txBody>
    </xdr:sp>
    <xdr:clientData/>
  </xdr:twoCellAnchor>
  <xdr:twoCellAnchor>
    <xdr:from>
      <xdr:col>0</xdr:col>
      <xdr:colOff>63500</xdr:colOff>
      <xdr:row>6</xdr:row>
      <xdr:rowOff>88900</xdr:rowOff>
    </xdr:from>
    <xdr:to>
      <xdr:col>2</xdr:col>
      <xdr:colOff>127000</xdr:colOff>
      <xdr:row>13</xdr:row>
      <xdr:rowOff>103910</xdr:rowOff>
    </xdr:to>
    <xdr:sp macro="" textlink="Revenue">
      <xdr:nvSpPr>
        <xdr:cNvPr id="5" name="Rounded Rectangle 4">
          <a:extLst>
            <a:ext uri="{FF2B5EF4-FFF2-40B4-BE49-F238E27FC236}">
              <a16:creationId xmlns:a16="http://schemas.microsoft.com/office/drawing/2014/main" id="{D4537B5A-434E-3D37-B79B-9AF0E95A26ED}"/>
            </a:ext>
          </a:extLst>
        </xdr:cNvPr>
        <xdr:cNvSpPr/>
      </xdr:nvSpPr>
      <xdr:spPr>
        <a:xfrm>
          <a:off x="63500" y="1266536"/>
          <a:ext cx="1726045" cy="13889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B43DEFD8-CCC1-7147-9CD0-6958CE14157B}" type="TxLink">
            <a:rPr lang="en-US" sz="2800" b="1" i="0" u="none" strike="noStrike">
              <a:solidFill>
                <a:schemeClr val="bg1"/>
              </a:solidFill>
              <a:latin typeface="+mn-lt"/>
              <a:cs typeface="Times New Roman" panose="02020603050405020304" pitchFamily="18" charset="0"/>
            </a:rPr>
            <a:pPr algn="r"/>
            <a:t>$115M</a:t>
          </a:fld>
          <a:endParaRPr lang="en-US" sz="2800" b="1" i="0">
            <a:solidFill>
              <a:schemeClr val="bg1"/>
            </a:solidFill>
            <a:latin typeface="+mn-lt"/>
            <a:cs typeface="Times New Roman" panose="02020603050405020304" pitchFamily="18" charset="0"/>
          </a:endParaRPr>
        </a:p>
      </xdr:txBody>
    </xdr:sp>
    <xdr:clientData/>
  </xdr:twoCellAnchor>
  <xdr:twoCellAnchor>
    <xdr:from>
      <xdr:col>0</xdr:col>
      <xdr:colOff>127000</xdr:colOff>
      <xdr:row>7</xdr:row>
      <xdr:rowOff>101600</xdr:rowOff>
    </xdr:from>
    <xdr:to>
      <xdr:col>2</xdr:col>
      <xdr:colOff>165100</xdr:colOff>
      <xdr:row>9</xdr:row>
      <xdr:rowOff>0</xdr:rowOff>
    </xdr:to>
    <xdr:sp macro="" textlink="">
      <xdr:nvSpPr>
        <xdr:cNvPr id="6" name="TextBox 5">
          <a:extLst>
            <a:ext uri="{FF2B5EF4-FFF2-40B4-BE49-F238E27FC236}">
              <a16:creationId xmlns:a16="http://schemas.microsoft.com/office/drawing/2014/main" id="{9B07C4B1-BAC2-0EE9-F309-D6635B62EC94}"/>
            </a:ext>
          </a:extLst>
        </xdr:cNvPr>
        <xdr:cNvSpPr txBox="1"/>
      </xdr:nvSpPr>
      <xdr:spPr>
        <a:xfrm>
          <a:off x="127000" y="1435100"/>
          <a:ext cx="16891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 Revenue</a:t>
          </a:r>
        </a:p>
      </xdr:txBody>
    </xdr:sp>
    <xdr:clientData/>
  </xdr:twoCellAnchor>
  <xdr:twoCellAnchor>
    <xdr:from>
      <xdr:col>0</xdr:col>
      <xdr:colOff>75943</xdr:colOff>
      <xdr:row>15</xdr:row>
      <xdr:rowOff>93518</xdr:rowOff>
    </xdr:from>
    <xdr:to>
      <xdr:col>2</xdr:col>
      <xdr:colOff>114043</xdr:colOff>
      <xdr:row>23</xdr:row>
      <xdr:rowOff>42717</xdr:rowOff>
    </xdr:to>
    <xdr:sp macro="" textlink="Expenses">
      <xdr:nvSpPr>
        <xdr:cNvPr id="7" name="Rounded Rectangle 6">
          <a:extLst>
            <a:ext uri="{FF2B5EF4-FFF2-40B4-BE49-F238E27FC236}">
              <a16:creationId xmlns:a16="http://schemas.microsoft.com/office/drawing/2014/main" id="{1FF3E3F4-C12A-A441-A247-1B114F2ABBF1}"/>
            </a:ext>
          </a:extLst>
        </xdr:cNvPr>
        <xdr:cNvSpPr/>
      </xdr:nvSpPr>
      <xdr:spPr>
        <a:xfrm>
          <a:off x="75943" y="3056851"/>
          <a:ext cx="1703211" cy="15296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CCFECA05-F19E-014F-AB24-CB3567B4763F}" type="TxLink">
            <a:rPr lang="en-US" sz="2800" b="1" i="0" u="none" strike="noStrike">
              <a:solidFill>
                <a:schemeClr val="bg1"/>
              </a:solidFill>
              <a:latin typeface="+mn-lt"/>
              <a:ea typeface="+mn-ea"/>
              <a:cs typeface="Times New Roman" panose="02020603050405020304" pitchFamily="18" charset="0"/>
            </a:rPr>
            <a:pPr marL="0" indent="0" algn="r"/>
            <a:t>$97.53M</a:t>
          </a:fld>
          <a:endParaRPr lang="en-US" sz="2800" b="1" i="0" u="none" strike="noStrike">
            <a:solidFill>
              <a:schemeClr val="bg1"/>
            </a:solidFill>
            <a:latin typeface="+mn-lt"/>
            <a:ea typeface="+mn-ea"/>
            <a:cs typeface="Times New Roman" panose="02020603050405020304" pitchFamily="18" charset="0"/>
          </a:endParaRPr>
        </a:p>
      </xdr:txBody>
    </xdr:sp>
    <xdr:clientData/>
  </xdr:twoCellAnchor>
  <xdr:twoCellAnchor>
    <xdr:from>
      <xdr:col>0</xdr:col>
      <xdr:colOff>86078</xdr:colOff>
      <xdr:row>25</xdr:row>
      <xdr:rowOff>43744</xdr:rowOff>
    </xdr:from>
    <xdr:to>
      <xdr:col>2</xdr:col>
      <xdr:colOff>136878</xdr:colOff>
      <xdr:row>33</xdr:row>
      <xdr:rowOff>0</xdr:rowOff>
    </xdr:to>
    <xdr:sp macro="" textlink="Profit">
      <xdr:nvSpPr>
        <xdr:cNvPr id="8" name="Rounded Rectangle 7">
          <a:extLst>
            <a:ext uri="{FF2B5EF4-FFF2-40B4-BE49-F238E27FC236}">
              <a16:creationId xmlns:a16="http://schemas.microsoft.com/office/drawing/2014/main" id="{C185DECB-C6CC-8543-86B9-2368D4BCB99B}"/>
            </a:ext>
          </a:extLst>
        </xdr:cNvPr>
        <xdr:cNvSpPr/>
      </xdr:nvSpPr>
      <xdr:spPr>
        <a:xfrm>
          <a:off x="86078" y="4806244"/>
          <a:ext cx="1701800" cy="14802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F96A6A74-0FF4-5B4E-A270-B1CBD8D6BC5A}" type="TxLink">
            <a:rPr lang="en-US" sz="2800" b="1" i="0" u="none" strike="noStrike">
              <a:solidFill>
                <a:schemeClr val="bg1"/>
              </a:solidFill>
              <a:latin typeface="Aptos Narrow"/>
              <a:cs typeface="Times New Roman" panose="02020603050405020304" pitchFamily="18" charset="0"/>
            </a:rPr>
            <a:pPr algn="r"/>
            <a:t>$17.21M</a:t>
          </a:fld>
          <a:endParaRPr lang="en-US" sz="2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101600</xdr:colOff>
      <xdr:row>34</xdr:row>
      <xdr:rowOff>139699</xdr:rowOff>
    </xdr:from>
    <xdr:to>
      <xdr:col>2</xdr:col>
      <xdr:colOff>152400</xdr:colOff>
      <xdr:row>42</xdr:row>
      <xdr:rowOff>63500</xdr:rowOff>
    </xdr:to>
    <xdr:sp macro="" textlink="Analysis!E5">
      <xdr:nvSpPr>
        <xdr:cNvPr id="9" name="Rounded Rectangle 8">
          <a:extLst>
            <a:ext uri="{FF2B5EF4-FFF2-40B4-BE49-F238E27FC236}">
              <a16:creationId xmlns:a16="http://schemas.microsoft.com/office/drawing/2014/main" id="{22B2439C-D8AD-9C44-9542-198699AD740D}"/>
            </a:ext>
          </a:extLst>
        </xdr:cNvPr>
        <xdr:cNvSpPr/>
      </xdr:nvSpPr>
      <xdr:spPr>
        <a:xfrm>
          <a:off x="101600" y="6856588"/>
          <a:ext cx="1715911" cy="15042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E85E06A-2BB1-F542-84B8-1E5AFCA9D6A0}" type="TxLink">
            <a:rPr lang="en-US" sz="2800" b="1" i="0" u="none" strike="noStrike">
              <a:solidFill>
                <a:schemeClr val="bg1"/>
              </a:solidFill>
              <a:latin typeface="Aptos Narrow"/>
              <a:cs typeface="Times New Roman" panose="02020603050405020304" pitchFamily="18" charset="0"/>
            </a:rPr>
            <a:pPr algn="ctr"/>
            <a:t>34</a:t>
          </a:fld>
          <a:endParaRPr lang="en-US" sz="2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86078</xdr:colOff>
      <xdr:row>43</xdr:row>
      <xdr:rowOff>122767</xdr:rowOff>
    </xdr:from>
    <xdr:to>
      <xdr:col>2</xdr:col>
      <xdr:colOff>149578</xdr:colOff>
      <xdr:row>51</xdr:row>
      <xdr:rowOff>84667</xdr:rowOff>
    </xdr:to>
    <xdr:sp macro="" textlink="Analysis!D5">
      <xdr:nvSpPr>
        <xdr:cNvPr id="10" name="Rounded Rectangle 9">
          <a:extLst>
            <a:ext uri="{FF2B5EF4-FFF2-40B4-BE49-F238E27FC236}">
              <a16:creationId xmlns:a16="http://schemas.microsoft.com/office/drawing/2014/main" id="{062077B0-4D7B-B543-B73B-BD4FC8BE19CB}"/>
            </a:ext>
          </a:extLst>
        </xdr:cNvPr>
        <xdr:cNvSpPr/>
      </xdr:nvSpPr>
      <xdr:spPr>
        <a:xfrm>
          <a:off x="86078" y="8617656"/>
          <a:ext cx="1728611" cy="15423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77B1121-4C73-5441-BAB4-D07D288E9F75}" type="TxLink">
            <a:rPr lang="en-US" sz="2800" b="1" i="0" u="none" strike="noStrike">
              <a:solidFill>
                <a:schemeClr val="bg1"/>
              </a:solidFill>
              <a:latin typeface="Aptos Narrow"/>
              <a:cs typeface="Times New Roman" panose="02020603050405020304" pitchFamily="18" charset="0"/>
            </a:rPr>
            <a:pPr algn="ctr"/>
            <a:t>15%</a:t>
          </a:fld>
          <a:endParaRPr lang="en-US" sz="2800" b="1" i="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151117</xdr:colOff>
      <xdr:row>16</xdr:row>
      <xdr:rowOff>61704</xdr:rowOff>
    </xdr:from>
    <xdr:to>
      <xdr:col>2</xdr:col>
      <xdr:colOff>138417</xdr:colOff>
      <xdr:row>18</xdr:row>
      <xdr:rowOff>61704</xdr:rowOff>
    </xdr:to>
    <xdr:sp macro="" textlink="">
      <xdr:nvSpPr>
        <xdr:cNvPr id="12" name="TextBox 11">
          <a:extLst>
            <a:ext uri="{FF2B5EF4-FFF2-40B4-BE49-F238E27FC236}">
              <a16:creationId xmlns:a16="http://schemas.microsoft.com/office/drawing/2014/main" id="{3C8AB7FD-384A-1E01-D3BD-24B7672BF0EF}"/>
            </a:ext>
          </a:extLst>
        </xdr:cNvPr>
        <xdr:cNvSpPr txBox="1"/>
      </xdr:nvSpPr>
      <xdr:spPr>
        <a:xfrm>
          <a:off x="151117" y="3222593"/>
          <a:ext cx="1652411" cy="395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 Expenses</a:t>
          </a:r>
        </a:p>
      </xdr:txBody>
    </xdr:sp>
    <xdr:clientData/>
  </xdr:twoCellAnchor>
  <xdr:twoCellAnchor>
    <xdr:from>
      <xdr:col>0</xdr:col>
      <xdr:colOff>320322</xdr:colOff>
      <xdr:row>25</xdr:row>
      <xdr:rowOff>165100</xdr:rowOff>
    </xdr:from>
    <xdr:to>
      <xdr:col>2</xdr:col>
      <xdr:colOff>155222</xdr:colOff>
      <xdr:row>27</xdr:row>
      <xdr:rowOff>107244</xdr:rowOff>
    </xdr:to>
    <xdr:sp macro="" textlink="">
      <xdr:nvSpPr>
        <xdr:cNvPr id="13" name="TextBox 12">
          <a:extLst>
            <a:ext uri="{FF2B5EF4-FFF2-40B4-BE49-F238E27FC236}">
              <a16:creationId xmlns:a16="http://schemas.microsoft.com/office/drawing/2014/main" id="{7D6AFA02-AE62-94D9-2756-D490B1CD74F2}"/>
            </a:ext>
          </a:extLst>
        </xdr:cNvPr>
        <xdr:cNvSpPr txBox="1"/>
      </xdr:nvSpPr>
      <xdr:spPr>
        <a:xfrm>
          <a:off x="320322" y="5103989"/>
          <a:ext cx="1500011" cy="337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 Profit</a:t>
          </a:r>
        </a:p>
      </xdr:txBody>
    </xdr:sp>
    <xdr:clientData/>
  </xdr:twoCellAnchor>
  <xdr:twoCellAnchor>
    <xdr:from>
      <xdr:col>0</xdr:col>
      <xdr:colOff>177800</xdr:colOff>
      <xdr:row>34</xdr:row>
      <xdr:rowOff>191911</xdr:rowOff>
    </xdr:from>
    <xdr:to>
      <xdr:col>2</xdr:col>
      <xdr:colOff>266700</xdr:colOff>
      <xdr:row>37</xdr:row>
      <xdr:rowOff>179211</xdr:rowOff>
    </xdr:to>
    <xdr:sp macro="" textlink="">
      <xdr:nvSpPr>
        <xdr:cNvPr id="14" name="TextBox 13">
          <a:extLst>
            <a:ext uri="{FF2B5EF4-FFF2-40B4-BE49-F238E27FC236}">
              <a16:creationId xmlns:a16="http://schemas.microsoft.com/office/drawing/2014/main" id="{C035723C-BB2E-0384-38CC-CD32EE7767CD}"/>
            </a:ext>
          </a:extLst>
        </xdr:cNvPr>
        <xdr:cNvSpPr txBox="1"/>
      </xdr:nvSpPr>
      <xdr:spPr>
        <a:xfrm>
          <a:off x="177800" y="6908800"/>
          <a:ext cx="1754011" cy="579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 Products</a:t>
          </a:r>
        </a:p>
      </xdr:txBody>
    </xdr:sp>
    <xdr:clientData/>
  </xdr:twoCellAnchor>
  <xdr:twoCellAnchor>
    <xdr:from>
      <xdr:col>0</xdr:col>
      <xdr:colOff>345723</xdr:colOff>
      <xdr:row>44</xdr:row>
      <xdr:rowOff>5645</xdr:rowOff>
    </xdr:from>
    <xdr:to>
      <xdr:col>2</xdr:col>
      <xdr:colOff>333023</xdr:colOff>
      <xdr:row>46</xdr:row>
      <xdr:rowOff>183444</xdr:rowOff>
    </xdr:to>
    <xdr:sp macro="" textlink="">
      <xdr:nvSpPr>
        <xdr:cNvPr id="15" name="TextBox 14">
          <a:extLst>
            <a:ext uri="{FF2B5EF4-FFF2-40B4-BE49-F238E27FC236}">
              <a16:creationId xmlns:a16="http://schemas.microsoft.com/office/drawing/2014/main" id="{22E69047-71CD-C55F-704C-F0D1B0BA9899}"/>
            </a:ext>
          </a:extLst>
        </xdr:cNvPr>
        <xdr:cNvSpPr txBox="1"/>
      </xdr:nvSpPr>
      <xdr:spPr>
        <a:xfrm>
          <a:off x="345723" y="8698089"/>
          <a:ext cx="1652411" cy="572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Pofit</a:t>
          </a:r>
          <a:r>
            <a:rPr lang="en-US" sz="1800" b="1" baseline="0">
              <a:solidFill>
                <a:schemeClr val="bg1"/>
              </a:solidFill>
            </a:rPr>
            <a:t> Margin</a:t>
          </a:r>
          <a:endParaRPr lang="en-US" sz="1800" b="1">
            <a:solidFill>
              <a:schemeClr val="bg1"/>
            </a:solidFill>
          </a:endParaRPr>
        </a:p>
      </xdr:txBody>
    </xdr:sp>
    <xdr:clientData/>
  </xdr:twoCellAnchor>
  <xdr:twoCellAnchor>
    <xdr:from>
      <xdr:col>2</xdr:col>
      <xdr:colOff>397934</xdr:colOff>
      <xdr:row>7</xdr:row>
      <xdr:rowOff>42333</xdr:rowOff>
    </xdr:from>
    <xdr:to>
      <xdr:col>8</xdr:col>
      <xdr:colOff>347134</xdr:colOff>
      <xdr:row>26</xdr:row>
      <xdr:rowOff>112889</xdr:rowOff>
    </xdr:to>
    <xdr:graphicFrame macro="">
      <xdr:nvGraphicFramePr>
        <xdr:cNvPr id="17" name="Chart 16">
          <a:extLst>
            <a:ext uri="{FF2B5EF4-FFF2-40B4-BE49-F238E27FC236}">
              <a16:creationId xmlns:a16="http://schemas.microsoft.com/office/drawing/2014/main" id="{2F3A1772-702E-D74A-A372-587194015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125589</xdr:colOff>
      <xdr:row>28</xdr:row>
      <xdr:rowOff>81138</xdr:rowOff>
    </xdr:from>
    <xdr:to>
      <xdr:col>8</xdr:col>
      <xdr:colOff>649112</xdr:colOff>
      <xdr:row>51</xdr:row>
      <xdr:rowOff>159455</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1ED44293-966C-1444-A5A4-66342EA602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76589" y="5415138"/>
              <a:ext cx="5476523" cy="44598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725311</xdr:colOff>
      <xdr:row>5</xdr:row>
      <xdr:rowOff>12700</xdr:rowOff>
    </xdr:from>
    <xdr:to>
      <xdr:col>17</xdr:col>
      <xdr:colOff>536222</xdr:colOff>
      <xdr:row>7</xdr:row>
      <xdr:rowOff>121356</xdr:rowOff>
    </xdr:to>
    <xdr:sp macro="" textlink="">
      <xdr:nvSpPr>
        <xdr:cNvPr id="19" name="TextBox 18">
          <a:extLst>
            <a:ext uri="{FF2B5EF4-FFF2-40B4-BE49-F238E27FC236}">
              <a16:creationId xmlns:a16="http://schemas.microsoft.com/office/drawing/2014/main" id="{7B671928-E18C-0EB4-91A4-2CF507F6C6AD}"/>
            </a:ext>
          </a:extLst>
        </xdr:cNvPr>
        <xdr:cNvSpPr txBox="1"/>
      </xdr:nvSpPr>
      <xdr:spPr>
        <a:xfrm>
          <a:off x="8218311" y="1000478"/>
          <a:ext cx="6471355" cy="503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                                     </a:t>
          </a:r>
        </a:p>
      </xdr:txBody>
    </xdr:sp>
    <xdr:clientData/>
  </xdr:twoCellAnchor>
  <xdr:twoCellAnchor>
    <xdr:from>
      <xdr:col>8</xdr:col>
      <xdr:colOff>493890</xdr:colOff>
      <xdr:row>31</xdr:row>
      <xdr:rowOff>31045</xdr:rowOff>
    </xdr:from>
    <xdr:to>
      <xdr:col>15</xdr:col>
      <xdr:colOff>309034</xdr:colOff>
      <xdr:row>52</xdr:row>
      <xdr:rowOff>94544</xdr:rowOff>
    </xdr:to>
    <xdr:graphicFrame macro="">
      <xdr:nvGraphicFramePr>
        <xdr:cNvPr id="21" name="Chart 20">
          <a:extLst>
            <a:ext uri="{FF2B5EF4-FFF2-40B4-BE49-F238E27FC236}">
              <a16:creationId xmlns:a16="http://schemas.microsoft.com/office/drawing/2014/main" id="{77B5839B-5EB4-7B4E-A178-424E21F0E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231422</xdr:colOff>
      <xdr:row>7</xdr:row>
      <xdr:rowOff>42335</xdr:rowOff>
    </xdr:from>
    <xdr:to>
      <xdr:col>20</xdr:col>
      <xdr:colOff>252090</xdr:colOff>
      <xdr:row>28</xdr:row>
      <xdr:rowOff>56446</xdr:rowOff>
    </xdr:to>
    <xdr:graphicFrame macro="">
      <xdr:nvGraphicFramePr>
        <xdr:cNvPr id="22" name="Chart 21">
          <a:extLst>
            <a:ext uri="{FF2B5EF4-FFF2-40B4-BE49-F238E27FC236}">
              <a16:creationId xmlns:a16="http://schemas.microsoft.com/office/drawing/2014/main" id="{06C50E78-E13D-8541-A38A-90A0F16FE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155222</xdr:colOff>
      <xdr:row>2</xdr:row>
      <xdr:rowOff>183444</xdr:rowOff>
    </xdr:from>
    <xdr:to>
      <xdr:col>25</xdr:col>
      <xdr:colOff>1016000</xdr:colOff>
      <xdr:row>6</xdr:row>
      <xdr:rowOff>0</xdr:rowOff>
    </xdr:to>
    <xdr:sp macro="" textlink="">
      <xdr:nvSpPr>
        <xdr:cNvPr id="24" name="TextBox 23">
          <a:extLst>
            <a:ext uri="{FF2B5EF4-FFF2-40B4-BE49-F238E27FC236}">
              <a16:creationId xmlns:a16="http://schemas.microsoft.com/office/drawing/2014/main" id="{E544D6D4-2702-FA2F-7D84-29DA3576D875}"/>
            </a:ext>
          </a:extLst>
        </xdr:cNvPr>
        <xdr:cNvSpPr txBox="1"/>
      </xdr:nvSpPr>
      <xdr:spPr>
        <a:xfrm>
          <a:off x="17638889" y="578555"/>
          <a:ext cx="4896555" cy="606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chemeClr val="bg1"/>
            </a:solidFill>
          </a:endParaRPr>
        </a:p>
      </xdr:txBody>
    </xdr:sp>
    <xdr:clientData/>
  </xdr:twoCellAnchor>
  <xdr:twoCellAnchor>
    <xdr:from>
      <xdr:col>15</xdr:col>
      <xdr:colOff>310446</xdr:colOff>
      <xdr:row>33</xdr:row>
      <xdr:rowOff>42336</xdr:rowOff>
    </xdr:from>
    <xdr:to>
      <xdr:col>21</xdr:col>
      <xdr:colOff>804334</xdr:colOff>
      <xdr:row>53</xdr:row>
      <xdr:rowOff>56445</xdr:rowOff>
    </xdr:to>
    <xdr:graphicFrame macro="">
      <xdr:nvGraphicFramePr>
        <xdr:cNvPr id="25" name="Chart 24">
          <a:extLst>
            <a:ext uri="{FF2B5EF4-FFF2-40B4-BE49-F238E27FC236}">
              <a16:creationId xmlns:a16="http://schemas.microsoft.com/office/drawing/2014/main" id="{78103C79-09FB-BC44-B766-61BE1D335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949676</xdr:colOff>
      <xdr:row>39</xdr:row>
      <xdr:rowOff>170744</xdr:rowOff>
    </xdr:from>
    <xdr:to>
      <xdr:col>25</xdr:col>
      <xdr:colOff>1917699</xdr:colOff>
      <xdr:row>46</xdr:row>
      <xdr:rowOff>76200</xdr:rowOff>
    </xdr:to>
    <mc:AlternateContent xmlns:mc="http://schemas.openxmlformats.org/markup-compatibility/2006" xmlns:a14="http://schemas.microsoft.com/office/drawing/2010/main">
      <mc:Choice Requires="a14">
        <xdr:graphicFrame macro="">
          <xdr:nvGraphicFramePr>
            <xdr:cNvPr id="32" name="Gender">
              <a:extLst>
                <a:ext uri="{FF2B5EF4-FFF2-40B4-BE49-F238E27FC236}">
                  <a16:creationId xmlns:a16="http://schemas.microsoft.com/office/drawing/2014/main" id="{A8553FA7-D13B-CA45-0119-48854FDAC98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761676" y="7600244"/>
              <a:ext cx="2504723" cy="1238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702732</xdr:colOff>
      <xdr:row>43</xdr:row>
      <xdr:rowOff>104422</xdr:rowOff>
    </xdr:from>
    <xdr:to>
      <xdr:col>54</xdr:col>
      <xdr:colOff>694266</xdr:colOff>
      <xdr:row>52</xdr:row>
      <xdr:rowOff>189088</xdr:rowOff>
    </xdr:to>
    <mc:AlternateContent xmlns:mc="http://schemas.openxmlformats.org/markup-compatibility/2006" xmlns:a14="http://schemas.microsoft.com/office/drawing/2010/main">
      <mc:Choice Requires="a14">
        <xdr:graphicFrame macro="">
          <xdr:nvGraphicFramePr>
            <xdr:cNvPr id="33" name="ProductCategory">
              <a:extLst>
                <a:ext uri="{FF2B5EF4-FFF2-40B4-BE49-F238E27FC236}">
                  <a16:creationId xmlns:a16="http://schemas.microsoft.com/office/drawing/2014/main" id="{90C4B4FF-9946-5062-3DD5-020D55F1C59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47095832" y="8295922"/>
              <a:ext cx="3293534" cy="1799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839610</xdr:colOff>
      <xdr:row>18</xdr:row>
      <xdr:rowOff>114300</xdr:rowOff>
    </xdr:from>
    <xdr:to>
      <xdr:col>25</xdr:col>
      <xdr:colOff>2362200</xdr:colOff>
      <xdr:row>27</xdr:row>
      <xdr:rowOff>50800</xdr:rowOff>
    </xdr:to>
    <mc:AlternateContent xmlns:mc="http://schemas.openxmlformats.org/markup-compatibility/2006" xmlns:a14="http://schemas.microsoft.com/office/drawing/2010/main">
      <mc:Choice Requires="a14">
        <xdr:graphicFrame macro="">
          <xdr:nvGraphicFramePr>
            <xdr:cNvPr id="34" name="ProductCategory 1">
              <a:extLst>
                <a:ext uri="{FF2B5EF4-FFF2-40B4-BE49-F238E27FC236}">
                  <a16:creationId xmlns:a16="http://schemas.microsoft.com/office/drawing/2014/main" id="{E60A4832-3D4F-885D-D6FC-A38821F38E36}"/>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20651610" y="3543300"/>
              <a:ext cx="305929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866140</xdr:colOff>
      <xdr:row>28</xdr:row>
      <xdr:rowOff>152400</xdr:rowOff>
    </xdr:from>
    <xdr:to>
      <xdr:col>25</xdr:col>
      <xdr:colOff>2504440</xdr:colOff>
      <xdr:row>38</xdr:row>
      <xdr:rowOff>114300</xdr:rowOff>
    </xdr:to>
    <mc:AlternateContent xmlns:mc="http://schemas.openxmlformats.org/markup-compatibility/2006" xmlns:a14="http://schemas.microsoft.com/office/drawing/2010/main">
      <mc:Choice Requires="a14">
        <xdr:graphicFrame macro="">
          <xdr:nvGraphicFramePr>
            <xdr:cNvPr id="35" name="CustomerCity">
              <a:extLst>
                <a:ext uri="{FF2B5EF4-FFF2-40B4-BE49-F238E27FC236}">
                  <a16:creationId xmlns:a16="http://schemas.microsoft.com/office/drawing/2014/main" id="{185757FF-3B70-8BCB-7626-50CAA0D8FD09}"/>
                </a:ext>
              </a:extLst>
            </xdr:cNvPr>
            <xdr:cNvGraphicFramePr/>
          </xdr:nvGraphicFramePr>
          <xdr:xfrm>
            <a:off x="0" y="0"/>
            <a:ext cx="0" cy="0"/>
          </xdr:xfrm>
          <a:graphic>
            <a:graphicData uri="http://schemas.microsoft.com/office/drawing/2010/slicer">
              <sle:slicer xmlns:sle="http://schemas.microsoft.com/office/drawing/2010/slicer" name="CustomerCity"/>
            </a:graphicData>
          </a:graphic>
        </xdr:graphicFrame>
      </mc:Choice>
      <mc:Fallback xmlns="">
        <xdr:sp macro="" textlink="">
          <xdr:nvSpPr>
            <xdr:cNvPr id="0" name=""/>
            <xdr:cNvSpPr>
              <a:spLocks noTextEdit="1"/>
            </xdr:cNvSpPr>
          </xdr:nvSpPr>
          <xdr:spPr>
            <a:xfrm>
              <a:off x="20678140" y="5486400"/>
              <a:ext cx="31750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850900</xdr:colOff>
      <xdr:row>5</xdr:row>
      <xdr:rowOff>38100</xdr:rowOff>
    </xdr:from>
    <xdr:to>
      <xdr:col>25</xdr:col>
      <xdr:colOff>2044700</xdr:colOff>
      <xdr:row>17</xdr:row>
      <xdr:rowOff>12700</xdr:rowOff>
    </xdr:to>
    <mc:AlternateContent xmlns:mc="http://schemas.openxmlformats.org/markup-compatibility/2006" xmlns:a14="http://schemas.microsoft.com/office/drawing/2010/main">
      <mc:Choice Requires="a14">
        <xdr:graphicFrame macro="">
          <xdr:nvGraphicFramePr>
            <xdr:cNvPr id="36" name="CustomerName">
              <a:extLst>
                <a:ext uri="{FF2B5EF4-FFF2-40B4-BE49-F238E27FC236}">
                  <a16:creationId xmlns:a16="http://schemas.microsoft.com/office/drawing/2014/main" id="{4314EBDD-1F6F-9A2A-9C13-C4ABFF1ADC32}"/>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20662900" y="990600"/>
              <a:ext cx="2730500" cy="226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609600</xdr:colOff>
      <xdr:row>7</xdr:row>
      <xdr:rowOff>0</xdr:rowOff>
    </xdr:from>
    <xdr:to>
      <xdr:col>14</xdr:col>
      <xdr:colOff>238193</xdr:colOff>
      <xdr:row>29</xdr:row>
      <xdr:rowOff>88900</xdr:rowOff>
    </xdr:to>
    <xdr:graphicFrame macro="">
      <xdr:nvGraphicFramePr>
        <xdr:cNvPr id="3" name="Chart 2">
          <a:extLst>
            <a:ext uri="{FF2B5EF4-FFF2-40B4-BE49-F238E27FC236}">
              <a16:creationId xmlns:a16="http://schemas.microsoft.com/office/drawing/2014/main" id="{D385070E-C208-714A-9494-94F5A5AAD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139700</xdr:colOff>
      <xdr:row>9</xdr:row>
      <xdr:rowOff>38100</xdr:rowOff>
    </xdr:from>
    <xdr:to>
      <xdr:col>25</xdr:col>
      <xdr:colOff>266700</xdr:colOff>
      <xdr:row>25</xdr:row>
      <xdr:rowOff>9333</xdr:rowOff>
    </xdr:to>
    <xdr:graphicFrame macro="">
      <xdr:nvGraphicFramePr>
        <xdr:cNvPr id="4" name="Chart 3">
          <a:extLst>
            <a:ext uri="{FF2B5EF4-FFF2-40B4-BE49-F238E27FC236}">
              <a16:creationId xmlns:a16="http://schemas.microsoft.com/office/drawing/2014/main" id="{A238DC20-C842-A147-9323-58C982A0D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622301</xdr:colOff>
      <xdr:row>26</xdr:row>
      <xdr:rowOff>88900</xdr:rowOff>
    </xdr:from>
    <xdr:to>
      <xdr:col>25</xdr:col>
      <xdr:colOff>165101</xdr:colOff>
      <xdr:row>43</xdr:row>
      <xdr:rowOff>98233</xdr:rowOff>
    </xdr:to>
    <xdr:graphicFrame macro="">
      <xdr:nvGraphicFramePr>
        <xdr:cNvPr id="11" name="Chart 10">
          <a:extLst>
            <a:ext uri="{FF2B5EF4-FFF2-40B4-BE49-F238E27FC236}">
              <a16:creationId xmlns:a16="http://schemas.microsoft.com/office/drawing/2014/main" id="{97341A1A-91AD-D643-83A7-15597D2E6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smark Osei Bonsu" refreshedDate="46168.080558680558" createdVersion="8" refreshedVersion="8" minRefreshableVersion="3" recordCount="2000" xr:uid="{25D24524-E0A2-BE47-8467-0C2511158249}">
  <cacheSource type="worksheet">
    <worksheetSource name="Orders"/>
  </cacheSource>
  <cacheFields count="19">
    <cacheField name="OrderID" numFmtId="0">
      <sharedItems/>
    </cacheField>
    <cacheField name="OrderDate" numFmtId="14">
      <sharedItems containsSemiMixedTypes="0" containsNonDate="0" containsDate="1" containsString="0" minDate="2025-10-01T00:00:00" maxDate="2026-01-01T00:00:00"/>
    </cacheField>
    <cacheField name="Week" numFmtId="1">
      <sharedItems containsSemiMixedTypes="0" containsString="0" containsNumber="1" containsInteger="1" minValue="40" maxValue="53" count="14">
        <n v="48"/>
        <n v="41"/>
        <n v="53"/>
        <n v="44"/>
        <n v="51"/>
        <n v="45"/>
        <n v="47"/>
        <n v="50"/>
        <n v="52"/>
        <n v="43"/>
        <n v="49"/>
        <n v="40"/>
        <n v="46"/>
        <n v="42"/>
      </sharedItems>
    </cacheField>
    <cacheField name="CustomerID" numFmtId="0">
      <sharedItems/>
    </cacheField>
    <cacheField name="ProductID" numFmtId="0">
      <sharedItems/>
    </cacheField>
    <cacheField name="Quantity" numFmtId="0">
      <sharedItems containsSemiMixedTypes="0" containsString="0" containsNumber="1" containsInteger="1" minValue="1" maxValue="10"/>
    </cacheField>
    <cacheField name="Selling Price" numFmtId="0">
      <sharedItems containsSemiMixedTypes="0" containsString="0" containsNumber="1" minValue="529.79999999999995" maxValue="19986.400000000001"/>
    </cacheField>
    <cacheField name="Cost Price" numFmtId="0">
      <sharedItems containsSemiMixedTypes="0" containsString="0" containsNumber="1" minValue="450.33" maxValue="16988.440000000002"/>
    </cacheField>
    <cacheField name="Revenue" numFmtId="0">
      <sharedItems containsSemiMixedTypes="0" containsString="0" containsNumber="1" minValue="586.5" maxValue="199227"/>
    </cacheField>
    <cacheField name="Expenses" numFmtId="0">
      <sharedItems containsSemiMixedTypes="0" containsString="0" containsNumber="1" minValue="498.52499999999998" maxValue="169342.95"/>
    </cacheField>
    <cacheField name="SumOfProfit" numFmtId="0">
      <sharedItems containsSemiMixedTypes="0" containsString="0" containsNumber="1" minValue="87.975000000000023" maxValue="29884.049999999988"/>
    </cacheField>
    <cacheField name="Salesperson" numFmtId="0">
      <sharedItems/>
    </cacheField>
    <cacheField name="CustomerCity" numFmtId="0">
      <sharedItems count="6">
        <s v="Washington"/>
        <s v="Texas"/>
        <s v="Illinois"/>
        <s v="California"/>
        <s v="Florida"/>
        <s v="Georgia"/>
      </sharedItems>
    </cacheField>
    <cacheField name="CustomerName" numFmtId="0">
      <sharedItems count="106">
        <s v="Bi si Bello"/>
        <s v="Efe Ojo"/>
        <s v="Abiola Igwe"/>
        <s v="Bisi Adeyemi"/>
        <s v="Obi Adeyemi"/>
        <s v="Temi Bello"/>
        <s v="Okon Ojo"/>
        <s v="Amina Danladi"/>
        <s v="Okon Balogun"/>
        <s v="Jide Eze"/>
        <s v="Efe Adeyemi"/>
        <s v="Mustafa Balogun"/>
        <s v="Mustafa Danladi"/>
        <s v="Abiola Abubakar"/>
        <s v="Mustafa Obi"/>
        <s v="Funke Danladi"/>
        <s v="Folasade Ojo"/>
        <s v="Adanma Ojo"/>
        <s v="Adanma Danladi"/>
        <s v="Ronke Okonkwo"/>
        <s v="Abiola Balogun"/>
        <s v="Tunde Danladi"/>
        <s v="Chinedu Obi"/>
        <s v="Sani Ojo"/>
        <s v="Efe Igwe"/>
        <s v="Blessing Balogun"/>
        <s v="Uche Abubakar"/>
        <s v="Amina Abubakar"/>
        <s v="Chioma Adeyemi"/>
        <s v="Blessing Eze"/>
        <s v="Folasade Adeyemi"/>
        <s v="Ngozi Danladi"/>
        <s v="Uche Igwe"/>
        <s v="Uche Bello"/>
        <s v="Ibrahim Balogun"/>
        <s v="Ibrahim Eze"/>
        <s v="Ngozi Ojo"/>
        <s v="Chioma Ojo"/>
        <s v="Emeka Balogun"/>
        <s v="Tunde Igwe"/>
        <s v="Mustafa Igwe"/>
        <s v="Zainab Abubakar"/>
        <s v="Ronke Eze"/>
        <s v="Ronke Danladi"/>
        <s v="Obi Okonkwo"/>
        <s v="Ibrahim Okonkwo"/>
        <s v="Okon Adeyemi"/>
        <s v="Folasade Danladi"/>
        <s v="Zainab Obi"/>
        <s v="Okon Eze"/>
        <s v="Ibrahim Igwe"/>
        <s v="Jide Okonkwo"/>
        <s v="Abiola Okonkwo"/>
        <s v="Ngozi Obi"/>
        <s v="Adanma Adeyemi"/>
        <s v="Blessing Danladi"/>
        <s v="Sani Igwe"/>
        <s v="Okon Bello"/>
        <s v="Jide Adeyemi"/>
        <s v="Bisi Eze"/>
        <s v="Zainab Bello"/>
        <s v="Adanma Okonkwo"/>
        <s v="Temi Danladi"/>
        <s v="Obi Bello"/>
        <s v="Uche Danladi"/>
        <s v="Emmanuel Victor"/>
        <s v="Emeka Danladi"/>
        <s v="Emeka Abubakar"/>
        <s v="Sani Abubakar"/>
        <s v="Amina Obi"/>
        <s v="Ronke Adeyemi"/>
        <s v="Blessing Bello"/>
        <s v="Folasade Okonkwo"/>
        <s v="Bisi Ojo"/>
        <s v="Sani Balogun"/>
        <s v="Okon Obi"/>
        <s v="Okon Igwe"/>
        <s v="Tunde Eze"/>
        <s v="Sani Obi"/>
        <s v="Sani Bello"/>
        <s v="Adanma Bello"/>
        <s v="Temi Ojo"/>
        <s v="Bisi Bello"/>
        <s v="Temi Okonkwo"/>
        <s v="Ngozi Bello"/>
        <s v="Tunde Okonkwo"/>
        <s v="Emeka Obi"/>
        <s v="Ronke Obi"/>
        <s v="Zainab Eze"/>
        <s v="Ibrahim Bello"/>
        <s v="Uche Okonkwo"/>
        <s v="Chinedu Eze"/>
        <s v="Obi Igwe"/>
        <s v="Jane Thomas"/>
        <s v="Chinedu Igwe"/>
        <s v="Chinedu Ojo"/>
        <s v="Amina Balogun"/>
        <s v="Efe Abubakar"/>
        <s v="Abiola Bello"/>
        <s v="Obi Eze"/>
        <s v="Chioma Eze"/>
        <s v="Adanma Obi"/>
        <s v="Blessing Abubakar"/>
        <s v="Bisi Abubakar"/>
        <s v="Tunde Abubakar"/>
        <s v="Abiola Adeyemi"/>
      </sharedItems>
    </cacheField>
    <cacheField name="Gender" numFmtId="0">
      <sharedItems count="2">
        <s v="Female"/>
        <s v="Male"/>
      </sharedItems>
    </cacheField>
    <cacheField name="Age" numFmtId="0">
      <sharedItems containsSemiMixedTypes="0" containsString="0" containsNumber="1" containsInteger="1" minValue="18" maxValue="55"/>
    </cacheField>
    <cacheField name="Age Category" numFmtId="0">
      <sharedItems count="2">
        <s v="Older"/>
        <s v="young"/>
      </sharedItems>
    </cacheField>
    <cacheField name="ProductName" numFmtId="0">
      <sharedItems count="34">
        <s v="BEADED EARRINGS AND NECKLACES"/>
        <s v="BOUBOU"/>
        <s v="MONOPOLY"/>
        <s v="GYM BAG"/>
        <s v="GYM GLOVES"/>
        <s v="GOLD RINGS"/>
        <s v="SNEAKERS"/>
        <s v="KIDS GAMES"/>
        <s v="GOLD BRACELETS"/>
        <s v="IRON"/>
        <s v="TURTLE NECK"/>
        <s v="SILVER BANGLES"/>
        <s v="BADMINTON RACKET"/>
        <s v="SILVER RINGS"/>
        <s v="TENNIS BAT"/>
        <s v="MICROWAVE"/>
        <s v="YOGA MAT"/>
        <s v="BLENDER"/>
        <s v="TROUSERS"/>
        <s v="GYM WEARS"/>
        <s v="CHEST EXPANDER"/>
        <s v="REFRIGERATOR"/>
        <s v="CHESS"/>
        <s v="EARRINGS"/>
        <s v="TOPS"/>
        <s v="GOLD EARRINGS AND NECKLACES"/>
        <s v="CHECKERS"/>
        <s v="FOOTBALL"/>
        <s v="DUMB BELLS"/>
        <s v="SCRABBLE"/>
        <s v="SKIPPING ROPE"/>
        <s v="ANKARA"/>
        <s v="NOSE RINGS"/>
        <s v="SILVER EARRINGS AND NECKLACES"/>
      </sharedItems>
    </cacheField>
    <cacheField name="ProductCategory" numFmtId="0">
      <sharedItems count="6">
        <s v="Accessories"/>
        <s v="Clothing"/>
        <s v="Games"/>
        <s v="Gym"/>
        <s v="Sports"/>
        <s v="Electronics"/>
      </sharedItems>
    </cacheField>
  </cacheFields>
  <extLst>
    <ext xmlns:x14="http://schemas.microsoft.com/office/spreadsheetml/2009/9/main" uri="{725AE2AE-9491-48be-B2B4-4EB974FC3084}">
      <x14:pivotCacheDefinition pivotCacheId="1647361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0"/>
    <d v="2025-11-28T00:00:00"/>
    <x v="0"/>
    <s v="CUST-142"/>
    <s v="PROD-120"/>
    <n v="10"/>
    <n v="5816.9000000000005"/>
    <n v="4944.3650000000007"/>
    <n v="58169.000000000007"/>
    <n v="49443.650000000009"/>
    <n v="8725.3499999999985"/>
    <s v="Kayla"/>
    <x v="0"/>
    <x v="0"/>
    <x v="0"/>
    <n v="38"/>
    <x v="0"/>
    <x v="0"/>
    <x v="0"/>
  </r>
  <r>
    <s v="ORD-0001"/>
    <d v="2025-10-05T00:00:00"/>
    <x v="1"/>
    <s v="CUST-056"/>
    <s v="PROD-112"/>
    <n v="6"/>
    <n v="8180.8"/>
    <n v="6953.68"/>
    <n v="49084.800000000003"/>
    <n v="41722.080000000002"/>
    <n v="7362.7200000000012"/>
    <s v="Brenda"/>
    <x v="1"/>
    <x v="1"/>
    <x v="0"/>
    <n v="55"/>
    <x v="0"/>
    <x v="1"/>
    <x v="1"/>
  </r>
  <r>
    <s v="ORD-0002"/>
    <d v="2025-12-30T00:00:00"/>
    <x v="2"/>
    <s v="CUST-095"/>
    <s v="PROD-131"/>
    <n v="7"/>
    <n v="5648.6"/>
    <n v="4801.3100000000004"/>
    <n v="39540.200000000004"/>
    <n v="33609.170000000006"/>
    <n v="5931.0299999999988"/>
    <s v="Cheyenne"/>
    <x v="1"/>
    <x v="2"/>
    <x v="1"/>
    <n v="39"/>
    <x v="0"/>
    <x v="2"/>
    <x v="2"/>
  </r>
  <r>
    <s v="ORD-0003"/>
    <d v="2025-10-27T00:00:00"/>
    <x v="3"/>
    <s v="CUST-092"/>
    <s v="PROD-120"/>
    <n v="4"/>
    <n v="15926.800000000001"/>
    <n v="13537.78"/>
    <n v="63707.200000000004"/>
    <n v="54151.12"/>
    <n v="9556.0800000000017"/>
    <s v="Joshua"/>
    <x v="2"/>
    <x v="3"/>
    <x v="0"/>
    <n v="48"/>
    <x v="0"/>
    <x v="0"/>
    <x v="0"/>
  </r>
  <r>
    <s v="ORD-0004"/>
    <d v="2025-12-14T00:00:00"/>
    <x v="4"/>
    <s v="CUST-030"/>
    <s v="PROD-105"/>
    <n v="5"/>
    <n v="19412.5"/>
    <n v="16500.625"/>
    <n v="97062.5"/>
    <n v="82503.125"/>
    <n v="14559.375"/>
    <s v="Douglas"/>
    <x v="3"/>
    <x v="4"/>
    <x v="1"/>
    <n v="24"/>
    <x v="1"/>
    <x v="3"/>
    <x v="3"/>
  </r>
  <r>
    <s v="ORD-0005"/>
    <d v="2025-11-29T00:00:00"/>
    <x v="0"/>
    <s v="CUST-099"/>
    <s v="PROD-104"/>
    <n v="5"/>
    <n v="14778.099999999999"/>
    <n v="12561.384999999998"/>
    <n v="73890.5"/>
    <n v="62806.924999999988"/>
    <n v="11083.575000000012"/>
    <s v="Katie"/>
    <x v="1"/>
    <x v="5"/>
    <x v="0"/>
    <n v="52"/>
    <x v="0"/>
    <x v="4"/>
    <x v="3"/>
  </r>
  <r>
    <s v="ORD-0006"/>
    <d v="2025-11-07T00:00:00"/>
    <x v="5"/>
    <s v="CUST-142"/>
    <s v="PROD-124"/>
    <n v="9"/>
    <n v="14335.3"/>
    <n v="12185.004999999999"/>
    <n v="129017.7"/>
    <n v="109665.045"/>
    <n v="19352.654999999999"/>
    <s v="David"/>
    <x v="0"/>
    <x v="0"/>
    <x v="0"/>
    <n v="38"/>
    <x v="0"/>
    <x v="5"/>
    <x v="0"/>
  </r>
  <r>
    <s v="ORD-0007"/>
    <d v="2025-11-22T00:00:00"/>
    <x v="6"/>
    <s v="CUST-071"/>
    <s v="PROD-106"/>
    <n v="10"/>
    <n v="11635.1"/>
    <n v="9889.8350000000009"/>
    <n v="116351"/>
    <n v="98898.35"/>
    <n v="17452.649999999994"/>
    <s v="Jonathan"/>
    <x v="2"/>
    <x v="6"/>
    <x v="1"/>
    <n v="32"/>
    <x v="1"/>
    <x v="6"/>
    <x v="4"/>
  </r>
  <r>
    <s v="ORD-0008"/>
    <d v="2025-12-13T00:00:00"/>
    <x v="7"/>
    <s v="CUST-043"/>
    <s v="PROD-134"/>
    <n v="5"/>
    <n v="11037.4"/>
    <n v="9381.7899999999991"/>
    <n v="55187"/>
    <n v="46908.95"/>
    <n v="8278.0500000000029"/>
    <s v="Ralph"/>
    <x v="4"/>
    <x v="7"/>
    <x v="0"/>
    <n v="42"/>
    <x v="0"/>
    <x v="7"/>
    <x v="2"/>
  </r>
  <r>
    <s v="ORD-0009"/>
    <d v="2025-10-09T00:00:00"/>
    <x v="1"/>
    <s v="CUST-052"/>
    <s v="PROD-121"/>
    <n v="6"/>
    <n v="13448.4"/>
    <n v="11431.14"/>
    <n v="80690.399999999994"/>
    <n v="68586.84"/>
    <n v="12103.559999999998"/>
    <s v="Daniel"/>
    <x v="1"/>
    <x v="8"/>
    <x v="1"/>
    <n v="28"/>
    <x v="1"/>
    <x v="8"/>
    <x v="0"/>
  </r>
  <r>
    <s v="ORD-0010"/>
    <d v="2025-12-27T00:00:00"/>
    <x v="8"/>
    <s v="CUST-019"/>
    <s v="PROD-126"/>
    <n v="1"/>
    <n v="1392.7"/>
    <n v="1183.7950000000001"/>
    <n v="1392.7"/>
    <n v="1183.7950000000001"/>
    <n v="208.90499999999997"/>
    <s v="Aaron"/>
    <x v="3"/>
    <x v="9"/>
    <x v="1"/>
    <n v="21"/>
    <x v="1"/>
    <x v="9"/>
    <x v="5"/>
  </r>
  <r>
    <s v="ORD-0011"/>
    <d v="2025-12-16T00:00:00"/>
    <x v="4"/>
    <s v="CUST-111"/>
    <s v="PROD-120"/>
    <n v="1"/>
    <n v="10759.300000000001"/>
    <n v="9145.4050000000007"/>
    <n v="10759.300000000001"/>
    <n v="9145.4050000000007"/>
    <n v="1613.8950000000004"/>
    <s v="Sean"/>
    <x v="4"/>
    <x v="10"/>
    <x v="0"/>
    <n v="20"/>
    <x v="1"/>
    <x v="0"/>
    <x v="0"/>
  </r>
  <r>
    <s v="ORD-0012"/>
    <d v="2025-11-18T00:00:00"/>
    <x v="6"/>
    <s v="CUST-112"/>
    <s v="PROD-124"/>
    <n v="8"/>
    <n v="5832.3"/>
    <n v="4957.4549999999999"/>
    <n v="46658.400000000001"/>
    <n v="39659.64"/>
    <n v="6998.760000000002"/>
    <s v="Andrea"/>
    <x v="1"/>
    <x v="11"/>
    <x v="1"/>
    <n v="40"/>
    <x v="0"/>
    <x v="5"/>
    <x v="0"/>
  </r>
  <r>
    <s v="ORD-0013"/>
    <d v="2025-12-17T00:00:00"/>
    <x v="4"/>
    <s v="CUST-141"/>
    <s v="PROD-121"/>
    <n v="5"/>
    <n v="19005.5"/>
    <n v="16154.674999999999"/>
    <n v="95027.5"/>
    <n v="80773.375"/>
    <n v="14254.125"/>
    <s v="Anna"/>
    <x v="5"/>
    <x v="12"/>
    <x v="1"/>
    <n v="49"/>
    <x v="0"/>
    <x v="8"/>
    <x v="0"/>
  </r>
  <r>
    <s v="ORD-0014"/>
    <d v="2025-10-24T00:00:00"/>
    <x v="9"/>
    <s v="CUST-096"/>
    <s v="PROD-115"/>
    <n v="8"/>
    <n v="5186.5999999999995"/>
    <n v="4408.6099999999997"/>
    <n v="41492.799999999996"/>
    <n v="35268.879999999997"/>
    <n v="6223.9199999999983"/>
    <s v="Kayla"/>
    <x v="4"/>
    <x v="13"/>
    <x v="1"/>
    <n v="26"/>
    <x v="1"/>
    <x v="10"/>
    <x v="1"/>
  </r>
  <r>
    <s v="ORD-0015"/>
    <d v="2025-12-15T00:00:00"/>
    <x v="4"/>
    <s v="CUST-083"/>
    <s v="PROD-134"/>
    <n v="2"/>
    <n v="14725.4"/>
    <n v="12516.59"/>
    <n v="29450.799999999999"/>
    <n v="25033.18"/>
    <n v="4417.619999999999"/>
    <s v="Jonathan"/>
    <x v="3"/>
    <x v="14"/>
    <x v="1"/>
    <n v="23"/>
    <x v="1"/>
    <x v="7"/>
    <x v="2"/>
  </r>
  <r>
    <s v="ORD-0016"/>
    <d v="2025-11-04T00:00:00"/>
    <x v="5"/>
    <s v="CUST-051"/>
    <s v="PROD-120"/>
    <n v="7"/>
    <n v="18915.400000000001"/>
    <n v="16078.090000000002"/>
    <n v="132407.80000000002"/>
    <n v="112546.63000000002"/>
    <n v="19861.169999999998"/>
    <s v="Thomas"/>
    <x v="3"/>
    <x v="15"/>
    <x v="0"/>
    <n v="31"/>
    <x v="1"/>
    <x v="0"/>
    <x v="0"/>
  </r>
  <r>
    <s v="ORD-0017"/>
    <d v="2025-11-27T00:00:00"/>
    <x v="0"/>
    <s v="CUST-090"/>
    <s v="PROD-122"/>
    <n v="9"/>
    <n v="12059.8"/>
    <n v="10250.83"/>
    <n v="108538.2"/>
    <n v="92257.47"/>
    <n v="16280.729999999996"/>
    <s v="Sean"/>
    <x v="1"/>
    <x v="16"/>
    <x v="0"/>
    <n v="29"/>
    <x v="1"/>
    <x v="11"/>
    <x v="0"/>
  </r>
  <r>
    <s v="ORD-0018"/>
    <d v="2025-12-21T00:00:00"/>
    <x v="8"/>
    <s v="CUST-116"/>
    <s v="PROD-121"/>
    <n v="10"/>
    <n v="15705.699999999999"/>
    <n v="13349.844999999999"/>
    <n v="157057"/>
    <n v="133498.44999999998"/>
    <n v="23558.550000000017"/>
    <s v="Jasmine"/>
    <x v="3"/>
    <x v="17"/>
    <x v="0"/>
    <n v="48"/>
    <x v="0"/>
    <x v="8"/>
    <x v="0"/>
  </r>
  <r>
    <s v="ORD-0019"/>
    <d v="2025-12-20T00:00:00"/>
    <x v="4"/>
    <s v="CUST-052"/>
    <s v="PROD-107"/>
    <n v="1"/>
    <n v="12046.300000000001"/>
    <n v="10239.355000000001"/>
    <n v="12046.300000000001"/>
    <n v="10239.355000000001"/>
    <n v="1806.9449999999997"/>
    <s v="Timothy"/>
    <x v="1"/>
    <x v="8"/>
    <x v="1"/>
    <n v="28"/>
    <x v="1"/>
    <x v="12"/>
    <x v="4"/>
  </r>
  <r>
    <s v="ORD-0020"/>
    <d v="2025-11-06T00:00:00"/>
    <x v="5"/>
    <s v="CUST-063"/>
    <s v="PROD-125"/>
    <n v="10"/>
    <n v="13390"/>
    <n v="11381.5"/>
    <n v="133900"/>
    <n v="113815"/>
    <n v="20085"/>
    <s v="Linda"/>
    <x v="1"/>
    <x v="18"/>
    <x v="0"/>
    <n v="24"/>
    <x v="1"/>
    <x v="13"/>
    <x v="0"/>
  </r>
  <r>
    <s v="ORD-0021"/>
    <d v="2025-12-21T00:00:00"/>
    <x v="8"/>
    <s v="CUST-143"/>
    <s v="PROD-110"/>
    <n v="8"/>
    <n v="14329.9"/>
    <n v="12180.415000000001"/>
    <n v="114639.2"/>
    <n v="97443.32"/>
    <n v="17195.87999999999"/>
    <s v="Tara"/>
    <x v="1"/>
    <x v="19"/>
    <x v="0"/>
    <n v="36"/>
    <x v="0"/>
    <x v="14"/>
    <x v="4"/>
  </r>
  <r>
    <s v="ORD-0022"/>
    <d v="2025-10-31T00:00:00"/>
    <x v="3"/>
    <s v="CUST-142"/>
    <s v="PROD-107"/>
    <n v="2"/>
    <n v="6702.7999999999993"/>
    <n v="5697.3799999999992"/>
    <n v="13405.599999999999"/>
    <n v="11394.759999999998"/>
    <n v="2010.8400000000001"/>
    <s v="Jasmine"/>
    <x v="0"/>
    <x v="0"/>
    <x v="0"/>
    <n v="38"/>
    <x v="0"/>
    <x v="12"/>
    <x v="4"/>
  </r>
  <r>
    <s v="ORD-0023"/>
    <d v="2025-12-29T00:00:00"/>
    <x v="2"/>
    <s v="CUST-083"/>
    <s v="PROD-128"/>
    <n v="10"/>
    <n v="2367.1999999999998"/>
    <n v="2012.12"/>
    <n v="23672"/>
    <n v="20121.199999999997"/>
    <n v="3550.8000000000029"/>
    <s v="Jonathan"/>
    <x v="3"/>
    <x v="14"/>
    <x v="1"/>
    <n v="23"/>
    <x v="1"/>
    <x v="15"/>
    <x v="5"/>
  </r>
  <r>
    <s v="ORD-0024"/>
    <d v="2025-12-25T00:00:00"/>
    <x v="8"/>
    <s v="CUST-117"/>
    <s v="PROD-134"/>
    <n v="8"/>
    <n v="8122.1"/>
    <n v="6903.7849999999999"/>
    <n v="64976.800000000003"/>
    <n v="55230.28"/>
    <n v="9746.5200000000041"/>
    <s v="Joshua"/>
    <x v="1"/>
    <x v="20"/>
    <x v="1"/>
    <n v="29"/>
    <x v="1"/>
    <x v="7"/>
    <x v="2"/>
  </r>
  <r>
    <s v="ORD-0025"/>
    <d v="2025-11-22T00:00:00"/>
    <x v="6"/>
    <s v="CUST-052"/>
    <s v="PROD-101"/>
    <n v="9"/>
    <n v="13792.7"/>
    <n v="11723.795"/>
    <n v="124134.3"/>
    <n v="105514.155"/>
    <n v="18620.145000000004"/>
    <s v="Lisa"/>
    <x v="1"/>
    <x v="8"/>
    <x v="1"/>
    <n v="28"/>
    <x v="1"/>
    <x v="16"/>
    <x v="3"/>
  </r>
  <r>
    <s v="ORD-0026"/>
    <d v="2025-10-29T00:00:00"/>
    <x v="3"/>
    <s v="CUST-095"/>
    <s v="PROD-126"/>
    <n v="1"/>
    <n v="2352.5"/>
    <n v="1999.625"/>
    <n v="2352.5"/>
    <n v="1999.625"/>
    <n v="352.875"/>
    <s v="Daniel"/>
    <x v="1"/>
    <x v="2"/>
    <x v="1"/>
    <n v="39"/>
    <x v="0"/>
    <x v="9"/>
    <x v="5"/>
  </r>
  <r>
    <s v="ORD-0027"/>
    <d v="2025-11-23T00:00:00"/>
    <x v="0"/>
    <s v="CUST-041"/>
    <s v="PROD-128"/>
    <n v="8"/>
    <n v="16531.5"/>
    <n v="14051.775"/>
    <n v="132252"/>
    <n v="112414.2"/>
    <n v="19837.800000000003"/>
    <s v="Ethan"/>
    <x v="3"/>
    <x v="19"/>
    <x v="0"/>
    <n v="20"/>
    <x v="1"/>
    <x v="15"/>
    <x v="5"/>
  </r>
  <r>
    <s v="ORD-0028"/>
    <d v="2025-10-26T00:00:00"/>
    <x v="3"/>
    <s v="CUST-113"/>
    <s v="PROD-127"/>
    <n v="8"/>
    <n v="7103.0999999999995"/>
    <n v="6037.6349999999993"/>
    <n v="56824.799999999996"/>
    <n v="48301.079999999994"/>
    <n v="8523.7200000000012"/>
    <s v="David"/>
    <x v="1"/>
    <x v="21"/>
    <x v="1"/>
    <n v="47"/>
    <x v="0"/>
    <x v="17"/>
    <x v="5"/>
  </r>
  <r>
    <s v="ORD-0029"/>
    <d v="2025-12-31T00:00:00"/>
    <x v="2"/>
    <s v="CUST-098"/>
    <s v="PROD-127"/>
    <n v="6"/>
    <n v="15724.7"/>
    <n v="13365.995000000001"/>
    <n v="94348.200000000012"/>
    <n v="80195.97"/>
    <n v="14152.23000000001"/>
    <s v="Kayla"/>
    <x v="0"/>
    <x v="22"/>
    <x v="1"/>
    <n v="38"/>
    <x v="0"/>
    <x v="17"/>
    <x v="5"/>
  </r>
  <r>
    <s v="ORD-0030"/>
    <d v="2025-12-05T00:00:00"/>
    <x v="10"/>
    <s v="CUST-020"/>
    <s v="PROD-114"/>
    <n v="3"/>
    <n v="5809.8"/>
    <n v="4938.33"/>
    <n v="17429.400000000001"/>
    <n v="14814.99"/>
    <n v="2614.4100000000017"/>
    <s v="Laura"/>
    <x v="1"/>
    <x v="23"/>
    <x v="1"/>
    <n v="35"/>
    <x v="0"/>
    <x v="18"/>
    <x v="1"/>
  </r>
  <r>
    <s v="ORD-0031"/>
    <d v="2025-11-17T00:00:00"/>
    <x v="6"/>
    <s v="CUST-032"/>
    <s v="PROD-113"/>
    <n v="5"/>
    <n v="4828.3999999999996"/>
    <n v="4104.1399999999994"/>
    <n v="24142"/>
    <n v="20520.699999999997"/>
    <n v="3621.3000000000029"/>
    <s v="Laura"/>
    <x v="4"/>
    <x v="15"/>
    <x v="0"/>
    <n v="26"/>
    <x v="1"/>
    <x v="19"/>
    <x v="1"/>
  </r>
  <r>
    <s v="ORD-0032"/>
    <d v="2025-12-29T00:00:00"/>
    <x v="2"/>
    <s v="CUST-090"/>
    <s v="PROD-122"/>
    <n v="5"/>
    <n v="6809.2999999999993"/>
    <n v="5787.9049999999997"/>
    <n v="34046.5"/>
    <n v="28939.524999999998"/>
    <n v="5106.9750000000022"/>
    <s v="Sean"/>
    <x v="1"/>
    <x v="16"/>
    <x v="0"/>
    <n v="29"/>
    <x v="1"/>
    <x v="11"/>
    <x v="0"/>
  </r>
  <r>
    <s v="ORD-0033"/>
    <d v="2025-10-19T00:00:00"/>
    <x v="9"/>
    <s v="CUST-136"/>
    <s v="PROD-115"/>
    <n v="4"/>
    <n v="5403.4000000000005"/>
    <n v="4592.8900000000003"/>
    <n v="21613.600000000002"/>
    <n v="18371.560000000001"/>
    <n v="3242.0400000000009"/>
    <s v="Ethan"/>
    <x v="2"/>
    <x v="24"/>
    <x v="0"/>
    <n v="34"/>
    <x v="1"/>
    <x v="10"/>
    <x v="1"/>
  </r>
  <r>
    <s v="ORD-0034"/>
    <d v="2025-12-24T00:00:00"/>
    <x v="8"/>
    <s v="CUST-093"/>
    <s v="PROD-106"/>
    <n v="3"/>
    <n v="19582.8"/>
    <n v="16645.38"/>
    <n v="58748.399999999994"/>
    <n v="49936.14"/>
    <n v="8812.2599999999948"/>
    <s v="Victoria"/>
    <x v="0"/>
    <x v="25"/>
    <x v="0"/>
    <n v="19"/>
    <x v="1"/>
    <x v="6"/>
    <x v="4"/>
  </r>
  <r>
    <s v="ORD-0035"/>
    <d v="2025-12-28T00:00:00"/>
    <x v="2"/>
    <s v="CUST-100"/>
    <s v="PROD-102"/>
    <n v="6"/>
    <n v="4838.5"/>
    <n v="4112.7250000000004"/>
    <n v="29031"/>
    <n v="24676.350000000002"/>
    <n v="4354.6499999999978"/>
    <s v="Daniel"/>
    <x v="4"/>
    <x v="26"/>
    <x v="1"/>
    <n v="28"/>
    <x v="1"/>
    <x v="20"/>
    <x v="3"/>
  </r>
  <r>
    <s v="ORD-0036"/>
    <d v="2025-12-18T00:00:00"/>
    <x v="4"/>
    <s v="CUST-016"/>
    <s v="PROD-134"/>
    <n v="1"/>
    <n v="1604.1"/>
    <n v="1363.4849999999999"/>
    <n v="1604.1"/>
    <n v="1363.4849999999999"/>
    <n v="240.61500000000001"/>
    <s v="Thomas"/>
    <x v="1"/>
    <x v="26"/>
    <x v="1"/>
    <n v="26"/>
    <x v="1"/>
    <x v="7"/>
    <x v="2"/>
  </r>
  <r>
    <s v="ORD-0037"/>
    <d v="2025-11-06T00:00:00"/>
    <x v="5"/>
    <s v="CUST-077"/>
    <s v="PROD-131"/>
    <n v="3"/>
    <n v="9593.7999999999993"/>
    <n v="8154.73"/>
    <n v="28781.399999999998"/>
    <n v="24464.19"/>
    <n v="4317.2099999999991"/>
    <s v="Tara"/>
    <x v="1"/>
    <x v="27"/>
    <x v="0"/>
    <n v="35"/>
    <x v="0"/>
    <x v="2"/>
    <x v="2"/>
  </r>
  <r>
    <s v="ORD-0038"/>
    <d v="2025-12-27T00:00:00"/>
    <x v="8"/>
    <s v="CUST-125"/>
    <s v="PROD-112"/>
    <n v="7"/>
    <n v="2440.5"/>
    <n v="2074.4250000000002"/>
    <n v="17083.5"/>
    <n v="14520.975000000002"/>
    <n v="2562.5249999999978"/>
    <s v="Lori"/>
    <x v="2"/>
    <x v="28"/>
    <x v="0"/>
    <n v="23"/>
    <x v="1"/>
    <x v="1"/>
    <x v="1"/>
  </r>
  <r>
    <s v="ORD-0039"/>
    <d v="2025-11-22T00:00:00"/>
    <x v="6"/>
    <s v="CUST-112"/>
    <s v="PROD-131"/>
    <n v="6"/>
    <n v="11185.1"/>
    <n v="9507.3350000000009"/>
    <n v="67110.600000000006"/>
    <n v="57044.010000000009"/>
    <n v="10066.589999999997"/>
    <s v="Kayla"/>
    <x v="1"/>
    <x v="11"/>
    <x v="1"/>
    <n v="40"/>
    <x v="0"/>
    <x v="2"/>
    <x v="2"/>
  </r>
  <r>
    <s v="ORD-0040"/>
    <d v="2025-10-27T00:00:00"/>
    <x v="3"/>
    <s v="CUST-047"/>
    <s v="PROD-105"/>
    <n v="3"/>
    <n v="11411.800000000001"/>
    <n v="9700.0300000000007"/>
    <n v="34235.4"/>
    <n v="29100.090000000004"/>
    <n v="5135.3099999999977"/>
    <s v="Daniel"/>
    <x v="1"/>
    <x v="29"/>
    <x v="0"/>
    <n v="55"/>
    <x v="0"/>
    <x v="3"/>
    <x v="3"/>
  </r>
  <r>
    <s v="ORD-0041"/>
    <d v="2025-11-16T00:00:00"/>
    <x v="6"/>
    <s v="CUST-044"/>
    <s v="PROD-110"/>
    <n v="3"/>
    <n v="17165.5"/>
    <n v="14590.674999999999"/>
    <n v="51496.5"/>
    <n v="43772.024999999994"/>
    <n v="7724.4750000000058"/>
    <s v="Lori"/>
    <x v="5"/>
    <x v="28"/>
    <x v="0"/>
    <n v="31"/>
    <x v="1"/>
    <x v="14"/>
    <x v="4"/>
  </r>
  <r>
    <s v="ORD-0042"/>
    <d v="2025-12-29T00:00:00"/>
    <x v="2"/>
    <s v="CUST-108"/>
    <s v="PROD-131"/>
    <n v="6"/>
    <n v="9235.2000000000007"/>
    <n v="7849.920000000001"/>
    <n v="55411.200000000004"/>
    <n v="47099.520000000004"/>
    <n v="8311.68"/>
    <s v="Jonathan"/>
    <x v="5"/>
    <x v="30"/>
    <x v="0"/>
    <n v="42"/>
    <x v="0"/>
    <x v="2"/>
    <x v="2"/>
  </r>
  <r>
    <s v="ORD-0043"/>
    <d v="2025-10-21T00:00:00"/>
    <x v="9"/>
    <s v="CUST-007"/>
    <s v="PROD-122"/>
    <n v="10"/>
    <n v="19062"/>
    <n v="16202.7"/>
    <n v="190620"/>
    <n v="162027"/>
    <n v="28593"/>
    <s v="Ethan"/>
    <x v="1"/>
    <x v="29"/>
    <x v="0"/>
    <n v="44"/>
    <x v="0"/>
    <x v="11"/>
    <x v="0"/>
  </r>
  <r>
    <s v="ORD-0044"/>
    <d v="2025-10-31T00:00:00"/>
    <x v="3"/>
    <s v="CUST-044"/>
    <s v="PROD-107"/>
    <n v="9"/>
    <n v="11068"/>
    <n v="9407.7999999999993"/>
    <n v="99612"/>
    <n v="84670.2"/>
    <n v="14941.800000000003"/>
    <s v="Kayla"/>
    <x v="5"/>
    <x v="28"/>
    <x v="0"/>
    <n v="31"/>
    <x v="1"/>
    <x v="12"/>
    <x v="4"/>
  </r>
  <r>
    <s v="ORD-0045"/>
    <d v="2025-10-04T00:00:00"/>
    <x v="11"/>
    <s v="CUST-061"/>
    <s v="PROD-129"/>
    <n v="8"/>
    <n v="13635.5"/>
    <n v="11590.174999999999"/>
    <n v="109084"/>
    <n v="92721.4"/>
    <n v="16362.600000000006"/>
    <s v="Laura"/>
    <x v="0"/>
    <x v="31"/>
    <x v="0"/>
    <n v="28"/>
    <x v="1"/>
    <x v="21"/>
    <x v="5"/>
  </r>
  <r>
    <s v="ORD-0046"/>
    <d v="2025-11-30T00:00:00"/>
    <x v="10"/>
    <s v="CUST-124"/>
    <s v="PROD-131"/>
    <n v="4"/>
    <n v="11301.7"/>
    <n v="9606.4449999999997"/>
    <n v="45206.8"/>
    <n v="38425.78"/>
    <n v="6781.0200000000041"/>
    <s v="Brenda"/>
    <x v="1"/>
    <x v="32"/>
    <x v="1"/>
    <n v="35"/>
    <x v="0"/>
    <x v="2"/>
    <x v="2"/>
  </r>
  <r>
    <s v="ORD-0047"/>
    <d v="2025-11-11T00:00:00"/>
    <x v="12"/>
    <s v="CUST-143"/>
    <s v="PROD-104"/>
    <n v="8"/>
    <n v="4653.3999999999996"/>
    <n v="3955.39"/>
    <n v="37227.199999999997"/>
    <n v="31643.119999999999"/>
    <n v="5584.0799999999981"/>
    <s v="Kayla"/>
    <x v="1"/>
    <x v="19"/>
    <x v="0"/>
    <n v="36"/>
    <x v="0"/>
    <x v="4"/>
    <x v="3"/>
  </r>
  <r>
    <s v="ORD-0048"/>
    <d v="2025-10-08T00:00:00"/>
    <x v="1"/>
    <s v="CUST-080"/>
    <s v="PROD-105"/>
    <n v="1"/>
    <n v="9086.6"/>
    <n v="7723.6100000000006"/>
    <n v="9086.6"/>
    <n v="7723.6100000000006"/>
    <n v="1362.9899999999998"/>
    <s v="Katie"/>
    <x v="1"/>
    <x v="33"/>
    <x v="1"/>
    <n v="21"/>
    <x v="1"/>
    <x v="3"/>
    <x v="3"/>
  </r>
  <r>
    <s v="ORD-0049"/>
    <d v="2025-11-22T00:00:00"/>
    <x v="6"/>
    <s v="CUST-130"/>
    <s v="PROD-114"/>
    <n v="7"/>
    <n v="17644.3"/>
    <n v="14997.654999999999"/>
    <n v="123510.09999999999"/>
    <n v="104983.58499999999"/>
    <n v="18526.514999999999"/>
    <s v="Joshua"/>
    <x v="5"/>
    <x v="34"/>
    <x v="1"/>
    <n v="55"/>
    <x v="0"/>
    <x v="18"/>
    <x v="1"/>
  </r>
  <r>
    <s v="ORD-0050"/>
    <d v="2025-12-12T00:00:00"/>
    <x v="7"/>
    <s v="CUST-044"/>
    <s v="PROD-133"/>
    <n v="9"/>
    <n v="4622.7999999999993"/>
    <n v="3929.3799999999992"/>
    <n v="41605.199999999997"/>
    <n v="35364.419999999991"/>
    <n v="6240.7800000000061"/>
    <s v="Tara"/>
    <x v="5"/>
    <x v="28"/>
    <x v="0"/>
    <n v="31"/>
    <x v="1"/>
    <x v="22"/>
    <x v="2"/>
  </r>
  <r>
    <s v="ORD-0051"/>
    <d v="2025-11-14T00:00:00"/>
    <x v="12"/>
    <s v="CUST-110"/>
    <s v="PROD-125"/>
    <n v="1"/>
    <n v="11910.3"/>
    <n v="10123.754999999999"/>
    <n v="11910.3"/>
    <n v="10123.754999999999"/>
    <n v="1786.5450000000001"/>
    <s v="Daniel"/>
    <x v="1"/>
    <x v="35"/>
    <x v="1"/>
    <n v="52"/>
    <x v="0"/>
    <x v="13"/>
    <x v="0"/>
  </r>
  <r>
    <s v="ORD-0052"/>
    <d v="2025-11-20T00:00:00"/>
    <x v="6"/>
    <s v="CUST-045"/>
    <s v="PROD-117"/>
    <n v="2"/>
    <n v="2449.9"/>
    <n v="2082.415"/>
    <n v="4899.8"/>
    <n v="4164.83"/>
    <n v="734.97000000000025"/>
    <s v="Katie"/>
    <x v="1"/>
    <x v="36"/>
    <x v="0"/>
    <n v="22"/>
    <x v="1"/>
    <x v="23"/>
    <x v="0"/>
  </r>
  <r>
    <s v="ORD-0053"/>
    <d v="2025-11-24T00:00:00"/>
    <x v="0"/>
    <s v="CUST-041"/>
    <s v="PROD-116"/>
    <n v="5"/>
    <n v="18514.900000000001"/>
    <n v="15737.665000000001"/>
    <n v="92574.5"/>
    <n v="78688.325000000012"/>
    <n v="13886.174999999988"/>
    <s v="Tara"/>
    <x v="3"/>
    <x v="19"/>
    <x v="0"/>
    <n v="20"/>
    <x v="1"/>
    <x v="24"/>
    <x v="1"/>
  </r>
  <r>
    <s v="ORD-0054"/>
    <d v="2025-11-02T00:00:00"/>
    <x v="5"/>
    <s v="CUST-131"/>
    <s v="PROD-118"/>
    <n v="3"/>
    <n v="9261.5"/>
    <n v="7872.2749999999996"/>
    <n v="27784.5"/>
    <n v="23616.824999999997"/>
    <n v="4167.6750000000029"/>
    <s v="Jennifer"/>
    <x v="0"/>
    <x v="37"/>
    <x v="0"/>
    <n v="46"/>
    <x v="0"/>
    <x v="25"/>
    <x v="0"/>
  </r>
  <r>
    <s v="ORD-0055"/>
    <d v="2025-12-19T00:00:00"/>
    <x v="4"/>
    <s v="CUST-049"/>
    <s v="PROD-129"/>
    <n v="1"/>
    <n v="15730"/>
    <n v="13370.5"/>
    <n v="15730"/>
    <n v="13370.5"/>
    <n v="2359.5"/>
    <s v="Tracey"/>
    <x v="2"/>
    <x v="38"/>
    <x v="1"/>
    <n v="36"/>
    <x v="0"/>
    <x v="21"/>
    <x v="5"/>
  </r>
  <r>
    <s v="ORD-0056"/>
    <d v="2025-10-07T00:00:00"/>
    <x v="1"/>
    <s v="CUST-107"/>
    <s v="PROD-129"/>
    <n v="2"/>
    <n v="16144.300000000001"/>
    <n v="13722.655000000001"/>
    <n v="32288.600000000002"/>
    <n v="27445.31"/>
    <n v="4843.2900000000009"/>
    <s v="Patrick"/>
    <x v="4"/>
    <x v="36"/>
    <x v="0"/>
    <n v="18"/>
    <x v="1"/>
    <x v="21"/>
    <x v="5"/>
  </r>
  <r>
    <s v="ORD-0057"/>
    <d v="2025-10-20T00:00:00"/>
    <x v="9"/>
    <s v="CUST-138"/>
    <s v="PROD-129"/>
    <n v="4"/>
    <n v="18247.5"/>
    <n v="15510.375"/>
    <n v="72990"/>
    <n v="62041.5"/>
    <n v="10948.5"/>
    <s v="Aaron"/>
    <x v="3"/>
    <x v="22"/>
    <x v="1"/>
    <n v="27"/>
    <x v="1"/>
    <x v="21"/>
    <x v="5"/>
  </r>
  <r>
    <s v="ORD-0058"/>
    <d v="2025-12-29T00:00:00"/>
    <x v="2"/>
    <s v="CUST-109"/>
    <s v="PROD-122"/>
    <n v="8"/>
    <n v="6352.5"/>
    <n v="5399.625"/>
    <n v="50820"/>
    <n v="43197"/>
    <n v="7623"/>
    <s v="Jonathan"/>
    <x v="0"/>
    <x v="10"/>
    <x v="0"/>
    <n v="22"/>
    <x v="1"/>
    <x v="11"/>
    <x v="0"/>
  </r>
  <r>
    <s v="ORD-0059"/>
    <d v="2025-12-26T00:00:00"/>
    <x v="8"/>
    <s v="CUST-005"/>
    <s v="PROD-114"/>
    <n v="3"/>
    <n v="7276"/>
    <n v="6184.6"/>
    <n v="21828"/>
    <n v="18553.800000000003"/>
    <n v="3274.1999999999971"/>
    <s v="Brenda"/>
    <x v="0"/>
    <x v="39"/>
    <x v="1"/>
    <n v="20"/>
    <x v="1"/>
    <x v="18"/>
    <x v="1"/>
  </r>
  <r>
    <s v="ORD-0060"/>
    <d v="2025-10-03T00:00:00"/>
    <x v="11"/>
    <s v="CUST-046"/>
    <s v="PROD-121"/>
    <n v="10"/>
    <n v="7656.2"/>
    <n v="6507.77"/>
    <n v="76562"/>
    <n v="65077.700000000004"/>
    <n v="11484.299999999996"/>
    <s v="Laura"/>
    <x v="4"/>
    <x v="4"/>
    <x v="1"/>
    <n v="31"/>
    <x v="1"/>
    <x v="8"/>
    <x v="0"/>
  </r>
  <r>
    <s v="ORD-0061"/>
    <d v="2025-10-21T00:00:00"/>
    <x v="9"/>
    <s v="CUST-109"/>
    <s v="PROD-129"/>
    <n v="8"/>
    <n v="5538.5"/>
    <n v="4707.7250000000004"/>
    <n v="44308"/>
    <n v="37661.800000000003"/>
    <n v="6646.1999999999971"/>
    <s v="Aaron"/>
    <x v="0"/>
    <x v="10"/>
    <x v="0"/>
    <n v="22"/>
    <x v="1"/>
    <x v="21"/>
    <x v="5"/>
  </r>
  <r>
    <s v="ORD-0062"/>
    <d v="2025-10-22T00:00:00"/>
    <x v="9"/>
    <s v="CUST-112"/>
    <s v="PROD-107"/>
    <n v="7"/>
    <n v="16165.2"/>
    <n v="13740.42"/>
    <n v="113156.40000000001"/>
    <n v="96182.94"/>
    <n v="16973.460000000006"/>
    <s v="Anna"/>
    <x v="1"/>
    <x v="11"/>
    <x v="1"/>
    <n v="40"/>
    <x v="0"/>
    <x v="12"/>
    <x v="4"/>
  </r>
  <r>
    <s v="ORD-0063"/>
    <d v="2025-12-14T00:00:00"/>
    <x v="4"/>
    <s v="CUST-102"/>
    <s v="PROD-110"/>
    <n v="10"/>
    <n v="13556.099999999999"/>
    <n v="11522.684999999999"/>
    <n v="135561"/>
    <n v="115226.84999999999"/>
    <n v="20334.150000000009"/>
    <s v="David"/>
    <x v="1"/>
    <x v="40"/>
    <x v="1"/>
    <n v="27"/>
    <x v="1"/>
    <x v="14"/>
    <x v="4"/>
  </r>
  <r>
    <s v="ORD-0064"/>
    <d v="2025-12-17T00:00:00"/>
    <x v="4"/>
    <s v="CUST-085"/>
    <s v="PROD-131"/>
    <n v="3"/>
    <n v="13289.9"/>
    <n v="11296.414999999999"/>
    <n v="39869.699999999997"/>
    <n v="33889.244999999995"/>
    <n v="5980.4550000000017"/>
    <s v="David"/>
    <x v="4"/>
    <x v="41"/>
    <x v="0"/>
    <n v="29"/>
    <x v="1"/>
    <x v="2"/>
    <x v="2"/>
  </r>
  <r>
    <s v="ORD-0065"/>
    <d v="2025-10-30T00:00:00"/>
    <x v="3"/>
    <s v="CUST-065"/>
    <s v="PROD-132"/>
    <n v="6"/>
    <n v="1853.7"/>
    <n v="1575.645"/>
    <n v="11122.2"/>
    <n v="9453.869999999999"/>
    <n v="1668.3300000000017"/>
    <s v="Linda"/>
    <x v="5"/>
    <x v="42"/>
    <x v="0"/>
    <n v="23"/>
    <x v="1"/>
    <x v="26"/>
    <x v="2"/>
  </r>
  <r>
    <s v="ORD-0066"/>
    <d v="2025-11-06T00:00:00"/>
    <x v="5"/>
    <s v="CUST-043"/>
    <s v="PROD-107"/>
    <n v="7"/>
    <n v="10452.700000000001"/>
    <n v="8884.7950000000001"/>
    <n v="73168.900000000009"/>
    <n v="62193.565000000002"/>
    <n v="10975.335000000006"/>
    <s v="Cheyenne"/>
    <x v="4"/>
    <x v="7"/>
    <x v="0"/>
    <n v="42"/>
    <x v="0"/>
    <x v="12"/>
    <x v="4"/>
  </r>
  <r>
    <s v="ORD-0067"/>
    <d v="2025-10-25T00:00:00"/>
    <x v="9"/>
    <s v="CUST-081"/>
    <s v="PROD-104"/>
    <n v="1"/>
    <n v="10552.3"/>
    <n v="8969.4549999999999"/>
    <n v="10552.3"/>
    <n v="8969.4549999999999"/>
    <n v="1582.8449999999993"/>
    <s v="Aaron"/>
    <x v="2"/>
    <x v="43"/>
    <x v="0"/>
    <n v="46"/>
    <x v="0"/>
    <x v="4"/>
    <x v="3"/>
  </r>
  <r>
    <s v="ORD-0068"/>
    <d v="2025-10-22T00:00:00"/>
    <x v="9"/>
    <s v="CUST-036"/>
    <s v="PROD-108"/>
    <n v="1"/>
    <n v="6043"/>
    <n v="5136.55"/>
    <n v="6043"/>
    <n v="5136.55"/>
    <n v="906.44999999999982"/>
    <s v="Caroline"/>
    <x v="4"/>
    <x v="44"/>
    <x v="1"/>
    <n v="52"/>
    <x v="0"/>
    <x v="27"/>
    <x v="4"/>
  </r>
  <r>
    <s v="ORD-0069"/>
    <d v="2025-12-21T00:00:00"/>
    <x v="8"/>
    <s v="CUST-084"/>
    <s v="PROD-115"/>
    <n v="3"/>
    <n v="15121.099999999999"/>
    <n v="12852.934999999999"/>
    <n v="45363.299999999996"/>
    <n v="38558.805"/>
    <n v="6804.4949999999953"/>
    <s v="Ralph"/>
    <x v="4"/>
    <x v="45"/>
    <x v="1"/>
    <n v="49"/>
    <x v="0"/>
    <x v="10"/>
    <x v="1"/>
  </r>
  <r>
    <s v="ORD-0070"/>
    <d v="2025-11-08T00:00:00"/>
    <x v="5"/>
    <s v="CUST-022"/>
    <s v="PROD-104"/>
    <n v="6"/>
    <n v="15527.6"/>
    <n v="13198.460000000001"/>
    <n v="93165.6"/>
    <n v="79190.760000000009"/>
    <n v="13974.839999999997"/>
    <s v="Linda"/>
    <x v="5"/>
    <x v="46"/>
    <x v="1"/>
    <n v="31"/>
    <x v="1"/>
    <x v="4"/>
    <x v="3"/>
  </r>
  <r>
    <s v="ORD-0071"/>
    <d v="2025-12-04T00:00:00"/>
    <x v="10"/>
    <s v="CUST-074"/>
    <s v="PROD-127"/>
    <n v="9"/>
    <n v="19290.8"/>
    <n v="16397.18"/>
    <n v="173617.19999999998"/>
    <n v="147574.62"/>
    <n v="26042.579999999987"/>
    <s v="Laura"/>
    <x v="1"/>
    <x v="47"/>
    <x v="0"/>
    <n v="32"/>
    <x v="1"/>
    <x v="17"/>
    <x v="5"/>
  </r>
  <r>
    <s v="ORD-0072"/>
    <d v="2025-11-30T00:00:00"/>
    <x v="10"/>
    <s v="CUST-036"/>
    <s v="PROD-104"/>
    <n v="10"/>
    <n v="8101.2"/>
    <n v="6886.02"/>
    <n v="81012"/>
    <n v="68860.200000000012"/>
    <n v="12151.799999999988"/>
    <s v="Ralph"/>
    <x v="4"/>
    <x v="44"/>
    <x v="1"/>
    <n v="52"/>
    <x v="0"/>
    <x v="4"/>
    <x v="3"/>
  </r>
  <r>
    <s v="ORD-0073"/>
    <d v="2025-11-25T00:00:00"/>
    <x v="0"/>
    <s v="CUST-056"/>
    <s v="PROD-101"/>
    <n v="3"/>
    <n v="2590.1"/>
    <n v="2201.585"/>
    <n v="7770.2999999999993"/>
    <n v="6604.7550000000001"/>
    <n v="1165.5449999999992"/>
    <s v="Thomas"/>
    <x v="1"/>
    <x v="1"/>
    <x v="0"/>
    <n v="55"/>
    <x v="0"/>
    <x v="16"/>
    <x v="3"/>
  </r>
  <r>
    <s v="ORD-0074"/>
    <d v="2025-12-31T00:00:00"/>
    <x v="2"/>
    <s v="CUST-100"/>
    <s v="PROD-133"/>
    <n v="8"/>
    <n v="7337.9"/>
    <n v="6237.2150000000001"/>
    <n v="58703.199999999997"/>
    <n v="49897.72"/>
    <n v="8805.4799999999959"/>
    <s v="Caroline"/>
    <x v="4"/>
    <x v="26"/>
    <x v="1"/>
    <n v="28"/>
    <x v="1"/>
    <x v="22"/>
    <x v="2"/>
  </r>
  <r>
    <s v="ORD-0075"/>
    <d v="2025-10-04T00:00:00"/>
    <x v="11"/>
    <s v="CUST-005"/>
    <s v="PROD-103"/>
    <n v="6"/>
    <n v="15426.300000000001"/>
    <n v="13112.355000000001"/>
    <n v="92557.8"/>
    <n v="78674.13"/>
    <n v="13883.669999999998"/>
    <s v="Tara"/>
    <x v="0"/>
    <x v="39"/>
    <x v="1"/>
    <n v="20"/>
    <x v="1"/>
    <x v="28"/>
    <x v="3"/>
  </r>
  <r>
    <s v="ORD-0076"/>
    <d v="2025-11-15T00:00:00"/>
    <x v="12"/>
    <s v="CUST-111"/>
    <s v="PROD-133"/>
    <n v="6"/>
    <n v="1954.3000000000002"/>
    <n v="1661.1550000000002"/>
    <n v="11725.800000000001"/>
    <n v="9966.93"/>
    <n v="1758.8700000000008"/>
    <s v="Brenda"/>
    <x v="4"/>
    <x v="10"/>
    <x v="0"/>
    <n v="20"/>
    <x v="1"/>
    <x v="22"/>
    <x v="2"/>
  </r>
  <r>
    <s v="ORD-0077"/>
    <d v="2025-11-18T00:00:00"/>
    <x v="6"/>
    <s v="CUST-143"/>
    <s v="PROD-116"/>
    <n v="6"/>
    <n v="755.1"/>
    <n v="641.83500000000004"/>
    <n v="4530.6000000000004"/>
    <n v="3851.01"/>
    <n v="679.59000000000015"/>
    <s v="Katie"/>
    <x v="1"/>
    <x v="19"/>
    <x v="0"/>
    <n v="36"/>
    <x v="0"/>
    <x v="24"/>
    <x v="1"/>
  </r>
  <r>
    <s v="ORD-0078"/>
    <d v="2025-12-31T00:00:00"/>
    <x v="2"/>
    <s v="CUST-092"/>
    <s v="PROD-104"/>
    <n v="2"/>
    <n v="15440.699999999999"/>
    <n v="13124.594999999999"/>
    <n v="30881.399999999998"/>
    <n v="26249.19"/>
    <n v="4632.2099999999991"/>
    <s v="Ethan"/>
    <x v="2"/>
    <x v="3"/>
    <x v="0"/>
    <n v="48"/>
    <x v="0"/>
    <x v="4"/>
    <x v="3"/>
  </r>
  <r>
    <s v="ORD-0079"/>
    <d v="2025-11-28T00:00:00"/>
    <x v="0"/>
    <s v="CUST-056"/>
    <s v="PROD-120"/>
    <n v="4"/>
    <n v="3425"/>
    <n v="2911.25"/>
    <n v="13700"/>
    <n v="11645"/>
    <n v="2055"/>
    <s v="Joshua"/>
    <x v="1"/>
    <x v="1"/>
    <x v="0"/>
    <n v="55"/>
    <x v="0"/>
    <x v="0"/>
    <x v="0"/>
  </r>
  <r>
    <s v="ORD-0080"/>
    <d v="2025-12-31T00:00:00"/>
    <x v="2"/>
    <s v="CUST-127"/>
    <s v="PROD-134"/>
    <n v="3"/>
    <n v="1234.4000000000001"/>
    <n v="1049.24"/>
    <n v="3703.2000000000003"/>
    <n v="3147.7200000000003"/>
    <n v="555.48"/>
    <s v="Cheyenne"/>
    <x v="3"/>
    <x v="48"/>
    <x v="0"/>
    <n v="18"/>
    <x v="1"/>
    <x v="7"/>
    <x v="2"/>
  </r>
  <r>
    <s v="ORD-0081"/>
    <d v="2025-10-13T00:00:00"/>
    <x v="13"/>
    <s v="CUST-057"/>
    <s v="PROD-134"/>
    <n v="2"/>
    <n v="12870.8"/>
    <n v="10940.18"/>
    <n v="25741.599999999999"/>
    <n v="21880.36"/>
    <n v="3861.239999999998"/>
    <s v="Lori"/>
    <x v="4"/>
    <x v="49"/>
    <x v="1"/>
    <n v="26"/>
    <x v="1"/>
    <x v="7"/>
    <x v="2"/>
  </r>
  <r>
    <s v="ORD-0082"/>
    <d v="2025-10-07T00:00:00"/>
    <x v="1"/>
    <s v="CUST-025"/>
    <s v="PROD-131"/>
    <n v="9"/>
    <n v="10215.5"/>
    <n v="8683.1749999999993"/>
    <n v="91939.5"/>
    <n v="78148.574999999997"/>
    <n v="13790.925000000003"/>
    <s v="Laura"/>
    <x v="4"/>
    <x v="50"/>
    <x v="1"/>
    <n v="19"/>
    <x v="1"/>
    <x v="2"/>
    <x v="2"/>
  </r>
  <r>
    <s v="ORD-0083"/>
    <d v="2025-10-18T00:00:00"/>
    <x v="13"/>
    <s v="CUST-070"/>
    <s v="PROD-127"/>
    <n v="4"/>
    <n v="2625.4"/>
    <n v="2231.59"/>
    <n v="10501.6"/>
    <n v="8926.36"/>
    <n v="1575.2399999999998"/>
    <s v="Andrea"/>
    <x v="1"/>
    <x v="51"/>
    <x v="1"/>
    <n v="25"/>
    <x v="1"/>
    <x v="17"/>
    <x v="5"/>
  </r>
  <r>
    <s v="ORD-0084"/>
    <d v="2025-12-25T00:00:00"/>
    <x v="8"/>
    <s v="CUST-054"/>
    <s v="PROD-110"/>
    <n v="10"/>
    <n v="13251.5"/>
    <n v="11263.775"/>
    <n v="132515"/>
    <n v="112637.75"/>
    <n v="19877.25"/>
    <s v="Jonathan"/>
    <x v="5"/>
    <x v="52"/>
    <x v="1"/>
    <n v="39"/>
    <x v="0"/>
    <x v="14"/>
    <x v="4"/>
  </r>
  <r>
    <s v="ORD-0085"/>
    <d v="2025-12-23T00:00:00"/>
    <x v="8"/>
    <s v="CUST-034"/>
    <s v="PROD-105"/>
    <n v="10"/>
    <n v="5027"/>
    <n v="4272.95"/>
    <n v="50270"/>
    <n v="42729.5"/>
    <n v="7540.5"/>
    <s v="Patrick"/>
    <x v="0"/>
    <x v="53"/>
    <x v="0"/>
    <n v="32"/>
    <x v="1"/>
    <x v="3"/>
    <x v="3"/>
  </r>
  <r>
    <s v="ORD-0086"/>
    <d v="2025-10-14T00:00:00"/>
    <x v="13"/>
    <s v="CUST-069"/>
    <s v="PROD-126"/>
    <n v="8"/>
    <n v="10799.400000000001"/>
    <n v="9179.4900000000016"/>
    <n v="86395.200000000012"/>
    <n v="73435.920000000013"/>
    <n v="12959.279999999999"/>
    <s v="Anna"/>
    <x v="1"/>
    <x v="42"/>
    <x v="0"/>
    <n v="37"/>
    <x v="0"/>
    <x v="9"/>
    <x v="5"/>
  </r>
  <r>
    <s v="ORD-0087"/>
    <d v="2025-10-15T00:00:00"/>
    <x v="13"/>
    <s v="CUST-020"/>
    <s v="PROD-114"/>
    <n v="9"/>
    <n v="17973.800000000003"/>
    <n v="15277.730000000003"/>
    <n v="161764.20000000001"/>
    <n v="137499.57000000004"/>
    <n v="24264.629999999976"/>
    <s v="Andrea"/>
    <x v="1"/>
    <x v="23"/>
    <x v="1"/>
    <n v="35"/>
    <x v="0"/>
    <x v="18"/>
    <x v="1"/>
  </r>
  <r>
    <s v="ORD-0088"/>
    <d v="2025-12-17T00:00:00"/>
    <x v="4"/>
    <s v="CUST-130"/>
    <s v="PROD-130"/>
    <n v="5"/>
    <n v="5117"/>
    <n v="4349.45"/>
    <n v="25585"/>
    <n v="21747.25"/>
    <n v="3837.75"/>
    <s v="Sean"/>
    <x v="5"/>
    <x v="34"/>
    <x v="1"/>
    <n v="55"/>
    <x v="0"/>
    <x v="29"/>
    <x v="2"/>
  </r>
  <r>
    <s v="ORD-0089"/>
    <d v="2025-10-04T00:00:00"/>
    <x v="11"/>
    <s v="CUST-007"/>
    <s v="PROD-132"/>
    <n v="3"/>
    <n v="1247.0999999999999"/>
    <n v="1060.0349999999999"/>
    <n v="3741.2999999999997"/>
    <n v="3180.1049999999996"/>
    <n v="561.19500000000016"/>
    <s v="Laura"/>
    <x v="1"/>
    <x v="29"/>
    <x v="0"/>
    <n v="44"/>
    <x v="0"/>
    <x v="26"/>
    <x v="2"/>
  </r>
  <r>
    <s v="ORD-0090"/>
    <d v="2025-12-14T00:00:00"/>
    <x v="4"/>
    <s v="CUST-054"/>
    <s v="PROD-101"/>
    <n v="7"/>
    <n v="18898.699999999997"/>
    <n v="16063.894999999997"/>
    <n v="132290.89999999997"/>
    <n v="112447.26499999998"/>
    <n v="19843.63499999998"/>
    <s v="Cheyenne"/>
    <x v="5"/>
    <x v="52"/>
    <x v="1"/>
    <n v="39"/>
    <x v="0"/>
    <x v="16"/>
    <x v="3"/>
  </r>
  <r>
    <s v="ORD-0091"/>
    <d v="2025-12-24T00:00:00"/>
    <x v="8"/>
    <s v="CUST-110"/>
    <s v="PROD-130"/>
    <n v="4"/>
    <n v="2922.4"/>
    <n v="2484.04"/>
    <n v="11689.6"/>
    <n v="9936.16"/>
    <n v="1753.4400000000005"/>
    <s v="Lisa"/>
    <x v="1"/>
    <x v="35"/>
    <x v="1"/>
    <n v="52"/>
    <x v="0"/>
    <x v="29"/>
    <x v="2"/>
  </r>
  <r>
    <s v="ORD-0092"/>
    <d v="2025-11-16T00:00:00"/>
    <x v="6"/>
    <s v="CUST-072"/>
    <s v="PROD-134"/>
    <n v="7"/>
    <n v="15062.3"/>
    <n v="12802.955"/>
    <n v="105436.09999999999"/>
    <n v="89620.684999999998"/>
    <n v="15815.414999999994"/>
    <s v="Douglas"/>
    <x v="0"/>
    <x v="54"/>
    <x v="0"/>
    <n v="45"/>
    <x v="0"/>
    <x v="7"/>
    <x v="2"/>
  </r>
  <r>
    <s v="ORD-0093"/>
    <d v="2025-11-10T00:00:00"/>
    <x v="12"/>
    <s v="CUST-074"/>
    <s v="PROD-106"/>
    <n v="5"/>
    <n v="12379.9"/>
    <n v="10522.914999999999"/>
    <n v="61899.5"/>
    <n v="52614.574999999997"/>
    <n v="9284.9250000000029"/>
    <s v="Katie"/>
    <x v="1"/>
    <x v="47"/>
    <x v="0"/>
    <n v="32"/>
    <x v="1"/>
    <x v="6"/>
    <x v="4"/>
  </r>
  <r>
    <s v="ORD-0094"/>
    <d v="2025-12-05T00:00:00"/>
    <x v="10"/>
    <s v="CUST-065"/>
    <s v="PROD-120"/>
    <n v="5"/>
    <n v="5554.2999999999993"/>
    <n v="4721.1549999999997"/>
    <n v="27771.499999999996"/>
    <n v="23605.774999999998"/>
    <n v="4165.7249999999985"/>
    <s v="Kayla"/>
    <x v="5"/>
    <x v="42"/>
    <x v="0"/>
    <n v="23"/>
    <x v="1"/>
    <x v="0"/>
    <x v="0"/>
  </r>
  <r>
    <s v="ORD-0095"/>
    <d v="2025-12-26T00:00:00"/>
    <x v="8"/>
    <s v="CUST-027"/>
    <s v="PROD-115"/>
    <n v="9"/>
    <n v="17808.900000000001"/>
    <n v="15137.565000000002"/>
    <n v="160280.1"/>
    <n v="136238.08500000002"/>
    <n v="24042.014999999985"/>
    <s v="Kayla"/>
    <x v="1"/>
    <x v="55"/>
    <x v="0"/>
    <n v="19"/>
    <x v="1"/>
    <x v="10"/>
    <x v="1"/>
  </r>
  <r>
    <s v="ORD-0096"/>
    <d v="2025-12-20T00:00:00"/>
    <x v="4"/>
    <s v="CUST-080"/>
    <s v="PROD-110"/>
    <n v="8"/>
    <n v="9839.1999999999989"/>
    <n v="8363.32"/>
    <n v="78713.599999999991"/>
    <n v="66906.559999999998"/>
    <n v="11807.039999999994"/>
    <s v="Aaron"/>
    <x v="1"/>
    <x v="33"/>
    <x v="1"/>
    <n v="21"/>
    <x v="1"/>
    <x v="14"/>
    <x v="4"/>
  </r>
  <r>
    <s v="ORD-0097"/>
    <d v="2025-10-28T00:00:00"/>
    <x v="3"/>
    <s v="CUST-119"/>
    <s v="PROD-106"/>
    <n v="2"/>
    <n v="9086.2999999999993"/>
    <n v="7723.3549999999996"/>
    <n v="18172.599999999999"/>
    <n v="15446.71"/>
    <n v="2725.8899999999994"/>
    <s v="Victoria"/>
    <x v="5"/>
    <x v="56"/>
    <x v="1"/>
    <n v="20"/>
    <x v="1"/>
    <x v="6"/>
    <x v="4"/>
  </r>
  <r>
    <s v="ORD-0098"/>
    <d v="2025-11-29T00:00:00"/>
    <x v="0"/>
    <s v="CUST-139"/>
    <s v="PROD-115"/>
    <n v="4"/>
    <n v="9502.2000000000007"/>
    <n v="8076.8700000000008"/>
    <n v="38008.800000000003"/>
    <n v="32307.480000000003"/>
    <n v="5701.32"/>
    <s v="Thomas"/>
    <x v="1"/>
    <x v="57"/>
    <x v="1"/>
    <n v="20"/>
    <x v="1"/>
    <x v="10"/>
    <x v="1"/>
  </r>
  <r>
    <s v="ORD-0099"/>
    <d v="2025-12-03T00:00:00"/>
    <x v="10"/>
    <s v="CUST-006"/>
    <s v="PROD-115"/>
    <n v="6"/>
    <n v="14337.3"/>
    <n v="12186.705"/>
    <n v="86023.799999999988"/>
    <n v="73120.23"/>
    <n v="12903.569999999992"/>
    <s v="Kayla"/>
    <x v="0"/>
    <x v="58"/>
    <x v="1"/>
    <n v="19"/>
    <x v="1"/>
    <x v="10"/>
    <x v="1"/>
  </r>
  <r>
    <s v="ORD-0100"/>
    <d v="2025-10-12T00:00:00"/>
    <x v="13"/>
    <s v="CUST-064"/>
    <s v="PROD-109"/>
    <n v="7"/>
    <n v="18104.3"/>
    <n v="15388.654999999999"/>
    <n v="126730.09999999999"/>
    <n v="107720.58499999999"/>
    <n v="19009.514999999999"/>
    <s v="Daniel"/>
    <x v="4"/>
    <x v="59"/>
    <x v="0"/>
    <n v="37"/>
    <x v="0"/>
    <x v="30"/>
    <x v="4"/>
  </r>
  <r>
    <s v="ORD-0101"/>
    <d v="2025-12-27T00:00:00"/>
    <x v="8"/>
    <s v="CUST-017"/>
    <s v="PROD-122"/>
    <n v="8"/>
    <n v="19591.199999999997"/>
    <n v="16652.519999999997"/>
    <n v="156729.59999999998"/>
    <n v="133220.15999999997"/>
    <n v="23509.440000000002"/>
    <s v="Kayla"/>
    <x v="2"/>
    <x v="60"/>
    <x v="0"/>
    <n v="27"/>
    <x v="1"/>
    <x v="11"/>
    <x v="0"/>
  </r>
  <r>
    <s v="ORD-0102"/>
    <d v="2025-11-19T00:00:00"/>
    <x v="6"/>
    <s v="CUST-147"/>
    <s v="PROD-131"/>
    <n v="10"/>
    <n v="11178"/>
    <n v="9501.2999999999993"/>
    <n v="111780"/>
    <n v="95013"/>
    <n v="16767"/>
    <s v="Keith"/>
    <x v="2"/>
    <x v="36"/>
    <x v="0"/>
    <n v="53"/>
    <x v="0"/>
    <x v="2"/>
    <x v="2"/>
  </r>
  <r>
    <s v="ORD-0103"/>
    <d v="2025-11-16T00:00:00"/>
    <x v="6"/>
    <s v="CUST-062"/>
    <s v="PROD-126"/>
    <n v="4"/>
    <n v="17904.400000000001"/>
    <n v="15218.740000000002"/>
    <n v="71617.600000000006"/>
    <n v="60874.960000000006"/>
    <n v="10742.64"/>
    <s v="Patrick"/>
    <x v="3"/>
    <x v="61"/>
    <x v="0"/>
    <n v="20"/>
    <x v="1"/>
    <x v="9"/>
    <x v="5"/>
  </r>
  <r>
    <s v="ORD-0104"/>
    <d v="2025-12-29T00:00:00"/>
    <x v="2"/>
    <s v="CUST-149"/>
    <s v="PROD-132"/>
    <n v="4"/>
    <n v="1529.9"/>
    <n v="1300.415"/>
    <n v="6119.6"/>
    <n v="5201.66"/>
    <n v="917.94000000000051"/>
    <s v="Patrick"/>
    <x v="3"/>
    <x v="53"/>
    <x v="0"/>
    <n v="54"/>
    <x v="0"/>
    <x v="26"/>
    <x v="2"/>
  </r>
  <r>
    <s v="ORD-0105"/>
    <d v="2025-10-09T00:00:00"/>
    <x v="1"/>
    <s v="CUST-118"/>
    <s v="PROD-107"/>
    <n v="9"/>
    <n v="16956.199999999997"/>
    <n v="14412.769999999997"/>
    <n v="152605.79999999999"/>
    <n v="129714.92999999996"/>
    <n v="22890.870000000024"/>
    <s v="Jasmine"/>
    <x v="4"/>
    <x v="62"/>
    <x v="0"/>
    <n v="48"/>
    <x v="0"/>
    <x v="12"/>
    <x v="4"/>
  </r>
  <r>
    <s v="ORD-0106"/>
    <d v="2025-10-24T00:00:00"/>
    <x v="9"/>
    <s v="CUST-044"/>
    <s v="PROD-122"/>
    <n v="3"/>
    <n v="16711.400000000001"/>
    <n v="14204.690000000002"/>
    <n v="50134.200000000004"/>
    <n v="42614.070000000007"/>
    <n v="7520.1299999999974"/>
    <s v="Cheyenne"/>
    <x v="5"/>
    <x v="28"/>
    <x v="0"/>
    <n v="31"/>
    <x v="1"/>
    <x v="11"/>
    <x v="0"/>
  </r>
  <r>
    <s v="ORD-0107"/>
    <d v="2025-12-05T00:00:00"/>
    <x v="10"/>
    <s v="CUST-009"/>
    <s v="PROD-131"/>
    <n v="3"/>
    <n v="9147.1"/>
    <n v="7775.0349999999999"/>
    <n v="27441.300000000003"/>
    <n v="23325.105"/>
    <n v="4116.1950000000033"/>
    <s v="Douglas"/>
    <x v="1"/>
    <x v="63"/>
    <x v="1"/>
    <n v="18"/>
    <x v="1"/>
    <x v="2"/>
    <x v="2"/>
  </r>
  <r>
    <s v="ORD-0108"/>
    <d v="2025-12-12T00:00:00"/>
    <x v="7"/>
    <s v="CUST-066"/>
    <s v="PROD-110"/>
    <n v="8"/>
    <n v="13817.8"/>
    <n v="11745.13"/>
    <n v="110542.39999999999"/>
    <n v="93961.04"/>
    <n v="16581.36"/>
    <s v="Douglas"/>
    <x v="0"/>
    <x v="55"/>
    <x v="0"/>
    <n v="20"/>
    <x v="1"/>
    <x v="14"/>
    <x v="4"/>
  </r>
  <r>
    <s v="ORD-0109"/>
    <d v="2025-11-30T00:00:00"/>
    <x v="10"/>
    <s v="CUST-067"/>
    <s v="PROD-108"/>
    <n v="4"/>
    <n v="10327.4"/>
    <n v="8778.2899999999991"/>
    <n v="41309.599999999999"/>
    <n v="35113.159999999996"/>
    <n v="6196.4400000000023"/>
    <s v="Tara"/>
    <x v="1"/>
    <x v="64"/>
    <x v="1"/>
    <n v="45"/>
    <x v="0"/>
    <x v="27"/>
    <x v="4"/>
  </r>
  <r>
    <s v="ORD-0110"/>
    <d v="2025-10-20T00:00:00"/>
    <x v="9"/>
    <s v="CUST-023"/>
    <s v="PROD-130"/>
    <n v="1"/>
    <n v="13073.099999999999"/>
    <n v="11112.134999999998"/>
    <n v="13073.099999999999"/>
    <n v="11112.134999999998"/>
    <n v="1960.9650000000001"/>
    <s v="Victoria"/>
    <x v="0"/>
    <x v="65"/>
    <x v="1"/>
    <n v="35"/>
    <x v="0"/>
    <x v="29"/>
    <x v="2"/>
  </r>
  <r>
    <s v="ORD-0111"/>
    <d v="2025-10-29T00:00:00"/>
    <x v="3"/>
    <s v="CUST-122"/>
    <s v="PROD-102"/>
    <n v="7"/>
    <n v="8422.7000000000007"/>
    <n v="7159.295000000001"/>
    <n v="58958.900000000009"/>
    <n v="50115.06500000001"/>
    <n v="8843.8349999999991"/>
    <s v="Brenda"/>
    <x v="4"/>
    <x v="26"/>
    <x v="1"/>
    <n v="43"/>
    <x v="0"/>
    <x v="20"/>
    <x v="3"/>
  </r>
  <r>
    <s v="ORD-0112"/>
    <d v="2025-11-22T00:00:00"/>
    <x v="6"/>
    <s v="CUST-009"/>
    <s v="PROD-128"/>
    <n v="9"/>
    <n v="16603.900000000001"/>
    <n v="14113.315000000002"/>
    <n v="149435.1"/>
    <n v="127019.83500000002"/>
    <n v="22415.264999999985"/>
    <s v="Douglas"/>
    <x v="1"/>
    <x v="63"/>
    <x v="1"/>
    <n v="18"/>
    <x v="1"/>
    <x v="15"/>
    <x v="5"/>
  </r>
  <r>
    <s v="ORD-0113"/>
    <d v="2025-11-05T00:00:00"/>
    <x v="5"/>
    <s v="CUST-056"/>
    <s v="PROD-111"/>
    <n v="7"/>
    <n v="16682.900000000001"/>
    <n v="14180.465000000002"/>
    <n v="116780.30000000002"/>
    <n v="99263.255000000019"/>
    <n v="17517.044999999998"/>
    <s v="Brenda"/>
    <x v="1"/>
    <x v="1"/>
    <x v="0"/>
    <n v="55"/>
    <x v="0"/>
    <x v="31"/>
    <x v="1"/>
  </r>
  <r>
    <s v="ORD-0114"/>
    <d v="2025-10-29T00:00:00"/>
    <x v="3"/>
    <s v="CUST-058"/>
    <s v="PROD-105"/>
    <n v="5"/>
    <n v="7715.9000000000005"/>
    <n v="6558.5150000000003"/>
    <n v="38579.5"/>
    <n v="32792.575000000004"/>
    <n v="5786.9249999999956"/>
    <s v="Timothy"/>
    <x v="1"/>
    <x v="17"/>
    <x v="0"/>
    <n v="18"/>
    <x v="1"/>
    <x v="3"/>
    <x v="3"/>
  </r>
  <r>
    <s v="ORD-0115"/>
    <d v="2025-12-28T00:00:00"/>
    <x v="2"/>
    <s v="CUST-122"/>
    <s v="PROD-124"/>
    <n v="2"/>
    <n v="16985.8"/>
    <n v="14437.93"/>
    <n v="33971.599999999999"/>
    <n v="28875.86"/>
    <n v="5095.739999999998"/>
    <s v="Tracey"/>
    <x v="4"/>
    <x v="26"/>
    <x v="1"/>
    <n v="43"/>
    <x v="0"/>
    <x v="5"/>
    <x v="0"/>
  </r>
  <r>
    <s v="ORD-0116"/>
    <d v="2025-11-11T00:00:00"/>
    <x v="12"/>
    <s v="CUST-078"/>
    <s v="PROD-105"/>
    <n v="5"/>
    <n v="12898.5"/>
    <n v="10963.725"/>
    <n v="64492.5"/>
    <n v="54818.625"/>
    <n v="9673.875"/>
    <s v="Jennifer"/>
    <x v="4"/>
    <x v="43"/>
    <x v="0"/>
    <n v="25"/>
    <x v="1"/>
    <x v="3"/>
    <x v="3"/>
  </r>
  <r>
    <s v="ORD-0117"/>
    <d v="2025-10-17T00:00:00"/>
    <x v="13"/>
    <s v="CUST-144"/>
    <s v="PROD-110"/>
    <n v="8"/>
    <n v="15743.199999999999"/>
    <n v="13381.72"/>
    <n v="125945.59999999999"/>
    <n v="107053.75999999999"/>
    <n v="18891.839999999997"/>
    <s v="Brenda"/>
    <x v="4"/>
    <x v="66"/>
    <x v="1"/>
    <n v="23"/>
    <x v="1"/>
    <x v="14"/>
    <x v="4"/>
  </r>
  <r>
    <s v="ORD-0118"/>
    <d v="2025-10-17T00:00:00"/>
    <x v="13"/>
    <s v="CUST-074"/>
    <s v="PROD-125"/>
    <n v="4"/>
    <n v="9601"/>
    <n v="8160.85"/>
    <n v="38404"/>
    <n v="32643.4"/>
    <n v="5760.5999999999985"/>
    <s v="Ralph"/>
    <x v="1"/>
    <x v="47"/>
    <x v="0"/>
    <n v="32"/>
    <x v="1"/>
    <x v="13"/>
    <x v="0"/>
  </r>
  <r>
    <s v="ORD-0119"/>
    <d v="2025-12-07T00:00:00"/>
    <x v="7"/>
    <s v="CUST-052"/>
    <s v="PROD-107"/>
    <n v="9"/>
    <n v="845.69999999999993"/>
    <n v="718.84499999999991"/>
    <n v="7611.2999999999993"/>
    <n v="6469.6049999999996"/>
    <n v="1141.6949999999997"/>
    <s v="Aaron"/>
    <x v="1"/>
    <x v="8"/>
    <x v="1"/>
    <n v="28"/>
    <x v="1"/>
    <x v="12"/>
    <x v="4"/>
  </r>
  <r>
    <s v="ORD-0120"/>
    <d v="2025-12-01T00:00:00"/>
    <x v="10"/>
    <s v="CUST-051"/>
    <s v="PROD-111"/>
    <n v="2"/>
    <n v="16608.3"/>
    <n v="14117.055"/>
    <n v="33216.6"/>
    <n v="28234.11"/>
    <n v="4982.489999999998"/>
    <s v="Patrick"/>
    <x v="3"/>
    <x v="15"/>
    <x v="0"/>
    <n v="31"/>
    <x v="1"/>
    <x v="31"/>
    <x v="1"/>
  </r>
  <r>
    <s v="ORD-0121"/>
    <d v="2025-11-22T00:00:00"/>
    <x v="6"/>
    <s v="CUST-042"/>
    <s v="PROD-115"/>
    <n v="10"/>
    <n v="14140.3"/>
    <n v="12019.254999999999"/>
    <n v="141403"/>
    <n v="120192.54999999999"/>
    <n v="21210.450000000012"/>
    <s v="Tara"/>
    <x v="1"/>
    <x v="41"/>
    <x v="0"/>
    <n v="33"/>
    <x v="1"/>
    <x v="10"/>
    <x v="1"/>
  </r>
  <r>
    <s v="ORD-0122"/>
    <d v="2025-11-05T00:00:00"/>
    <x v="5"/>
    <s v="CUST-021"/>
    <s v="PROD-108"/>
    <n v="1"/>
    <n v="17300.2"/>
    <n v="14705.17"/>
    <n v="17300.2"/>
    <n v="14705.17"/>
    <n v="2595.0300000000007"/>
    <s v="Joshua"/>
    <x v="4"/>
    <x v="67"/>
    <x v="1"/>
    <n v="28"/>
    <x v="1"/>
    <x v="27"/>
    <x v="4"/>
  </r>
  <r>
    <s v="ORD-0123"/>
    <d v="2025-10-16T00:00:00"/>
    <x v="13"/>
    <s v="CUST-149"/>
    <s v="PROD-124"/>
    <n v="4"/>
    <n v="15307.1"/>
    <n v="13011.035"/>
    <n v="61228.4"/>
    <n v="52044.14"/>
    <n v="9184.260000000002"/>
    <s v="Aaron"/>
    <x v="3"/>
    <x v="53"/>
    <x v="0"/>
    <n v="54"/>
    <x v="0"/>
    <x v="5"/>
    <x v="0"/>
  </r>
  <r>
    <s v="ORD-0124"/>
    <d v="2025-10-06T00:00:00"/>
    <x v="1"/>
    <s v="CUST-043"/>
    <s v="PROD-110"/>
    <n v="5"/>
    <n v="5361.5999999999995"/>
    <n v="4557.3599999999997"/>
    <n v="26807.999999999996"/>
    <n v="22786.799999999999"/>
    <n v="4021.1999999999971"/>
    <s v="Cheyenne"/>
    <x v="4"/>
    <x v="7"/>
    <x v="0"/>
    <n v="42"/>
    <x v="0"/>
    <x v="14"/>
    <x v="4"/>
  </r>
  <r>
    <s v="ORD-0125"/>
    <d v="2025-11-12T00:00:00"/>
    <x v="12"/>
    <s v="CUST-142"/>
    <s v="PROD-115"/>
    <n v="9"/>
    <n v="11953.800000000001"/>
    <n v="10160.730000000001"/>
    <n v="107584.20000000001"/>
    <n v="91446.57"/>
    <n v="16137.630000000005"/>
    <s v="Ralph"/>
    <x v="0"/>
    <x v="0"/>
    <x v="0"/>
    <n v="38"/>
    <x v="0"/>
    <x v="10"/>
    <x v="1"/>
  </r>
  <r>
    <s v="ORD-0126"/>
    <d v="2025-11-15T00:00:00"/>
    <x v="12"/>
    <s v="CUST-117"/>
    <s v="PROD-128"/>
    <n v="5"/>
    <n v="2489.1999999999998"/>
    <n v="2115.8199999999997"/>
    <n v="12446"/>
    <n v="10579.099999999999"/>
    <n v="1866.9000000000015"/>
    <s v="Lisa"/>
    <x v="1"/>
    <x v="20"/>
    <x v="1"/>
    <n v="29"/>
    <x v="1"/>
    <x v="15"/>
    <x v="5"/>
  </r>
  <r>
    <s v="ORD-0127"/>
    <d v="2025-12-20T00:00:00"/>
    <x v="4"/>
    <s v="CUST-123"/>
    <s v="PROD-123"/>
    <n v="5"/>
    <n v="16639.900000000001"/>
    <n v="14143.915000000001"/>
    <n v="83199.5"/>
    <n v="70719.575000000012"/>
    <n v="12479.924999999988"/>
    <s v="Kayla"/>
    <x v="1"/>
    <x v="28"/>
    <x v="0"/>
    <n v="20"/>
    <x v="1"/>
    <x v="32"/>
    <x v="0"/>
  </r>
  <r>
    <s v="ORD-0128"/>
    <d v="2025-11-29T00:00:00"/>
    <x v="0"/>
    <s v="CUST-067"/>
    <s v="PROD-103"/>
    <n v="8"/>
    <n v="6649.7000000000007"/>
    <n v="5652.2450000000008"/>
    <n v="53197.600000000006"/>
    <n v="45217.960000000006"/>
    <n v="7979.6399999999994"/>
    <s v="Katie"/>
    <x v="1"/>
    <x v="64"/>
    <x v="1"/>
    <n v="45"/>
    <x v="0"/>
    <x v="28"/>
    <x v="3"/>
  </r>
  <r>
    <s v="ORD-0129"/>
    <d v="2025-10-08T00:00:00"/>
    <x v="1"/>
    <s v="CUST-097"/>
    <s v="PROD-106"/>
    <n v="6"/>
    <n v="16556.300000000003"/>
    <n v="14072.855000000003"/>
    <n v="99337.800000000017"/>
    <n v="84437.130000000019"/>
    <n v="14900.669999999998"/>
    <s v="Lisa"/>
    <x v="5"/>
    <x v="1"/>
    <x v="0"/>
    <n v="23"/>
    <x v="1"/>
    <x v="6"/>
    <x v="4"/>
  </r>
  <r>
    <s v="ORD-0130"/>
    <d v="2025-11-15T00:00:00"/>
    <x v="12"/>
    <s v="CUST-148"/>
    <s v="PROD-132"/>
    <n v="10"/>
    <n v="10361.199999999999"/>
    <n v="8807.0199999999986"/>
    <n v="103611.99999999999"/>
    <n v="88070.199999999983"/>
    <n v="15541.800000000003"/>
    <s v="Lisa"/>
    <x v="0"/>
    <x v="68"/>
    <x v="1"/>
    <n v="37"/>
    <x v="0"/>
    <x v="26"/>
    <x v="2"/>
  </r>
  <r>
    <s v="ORD-0131"/>
    <d v="2025-11-17T00:00:00"/>
    <x v="6"/>
    <s v="CUST-008"/>
    <s v="PROD-130"/>
    <n v="2"/>
    <n v="7295.1"/>
    <n v="6200.835"/>
    <n v="14590.2"/>
    <n v="12401.67"/>
    <n v="2188.5300000000007"/>
    <s v="Linda"/>
    <x v="4"/>
    <x v="69"/>
    <x v="0"/>
    <n v="29"/>
    <x v="1"/>
    <x v="29"/>
    <x v="2"/>
  </r>
  <r>
    <s v="ORD-0132"/>
    <d v="2025-12-28T00:00:00"/>
    <x v="2"/>
    <s v="CUST-093"/>
    <s v="PROD-109"/>
    <n v="9"/>
    <n v="5387.5"/>
    <n v="4579.375"/>
    <n v="48487.5"/>
    <n v="41214.375"/>
    <n v="7273.125"/>
    <s v="Lori"/>
    <x v="0"/>
    <x v="25"/>
    <x v="0"/>
    <n v="19"/>
    <x v="1"/>
    <x v="30"/>
    <x v="4"/>
  </r>
  <r>
    <s v="ORD-0133"/>
    <d v="2025-12-12T00:00:00"/>
    <x v="7"/>
    <s v="CUST-043"/>
    <s v="PROD-124"/>
    <n v="3"/>
    <n v="851.1"/>
    <n v="723.43500000000006"/>
    <n v="2553.3000000000002"/>
    <n v="2170.3050000000003"/>
    <n v="382.99499999999989"/>
    <s v="Cheyenne"/>
    <x v="4"/>
    <x v="7"/>
    <x v="0"/>
    <n v="42"/>
    <x v="0"/>
    <x v="5"/>
    <x v="0"/>
  </r>
  <r>
    <s v="ORD-0134"/>
    <d v="2025-11-17T00:00:00"/>
    <x v="6"/>
    <s v="CUST-086"/>
    <s v="PROD-130"/>
    <n v="6"/>
    <n v="7519.8"/>
    <n v="6391.83"/>
    <n v="45118.8"/>
    <n v="38350.979999999996"/>
    <n v="6767.820000000007"/>
    <s v="Tracey"/>
    <x v="5"/>
    <x v="70"/>
    <x v="0"/>
    <n v="19"/>
    <x v="1"/>
    <x v="29"/>
    <x v="2"/>
  </r>
  <r>
    <s v="ORD-0135"/>
    <d v="2025-12-04T00:00:00"/>
    <x v="10"/>
    <s v="CUST-144"/>
    <s v="PROD-103"/>
    <n v="2"/>
    <n v="4957"/>
    <n v="4213.45"/>
    <n v="9914"/>
    <n v="8426.9"/>
    <n v="1487.1000000000004"/>
    <s v="Brenda"/>
    <x v="4"/>
    <x v="66"/>
    <x v="1"/>
    <n v="23"/>
    <x v="1"/>
    <x v="28"/>
    <x v="3"/>
  </r>
  <r>
    <s v="ORD-0136"/>
    <d v="2025-12-06T00:00:00"/>
    <x v="10"/>
    <s v="CUST-023"/>
    <s v="PROD-101"/>
    <n v="4"/>
    <n v="6845.5"/>
    <n v="5818.6750000000002"/>
    <n v="27382"/>
    <n v="23274.7"/>
    <n v="4107.2999999999993"/>
    <s v="Aaron"/>
    <x v="0"/>
    <x v="65"/>
    <x v="1"/>
    <n v="35"/>
    <x v="0"/>
    <x v="16"/>
    <x v="3"/>
  </r>
  <r>
    <s v="ORD-0137"/>
    <d v="2025-11-24T00:00:00"/>
    <x v="0"/>
    <s v="CUST-083"/>
    <s v="PROD-105"/>
    <n v="7"/>
    <n v="12488.699999999999"/>
    <n v="10615.394999999999"/>
    <n v="87420.9"/>
    <n v="74307.764999999985"/>
    <n v="13113.135000000009"/>
    <s v="Caroline"/>
    <x v="3"/>
    <x v="14"/>
    <x v="1"/>
    <n v="23"/>
    <x v="1"/>
    <x v="3"/>
    <x v="3"/>
  </r>
  <r>
    <s v="ORD-0138"/>
    <d v="2025-11-22T00:00:00"/>
    <x v="6"/>
    <s v="CUST-047"/>
    <s v="PROD-134"/>
    <n v="4"/>
    <n v="1448.3000000000002"/>
    <n v="1231.0550000000001"/>
    <n v="5793.2000000000007"/>
    <n v="4924.22"/>
    <n v="868.98000000000047"/>
    <s v="Brenda"/>
    <x v="1"/>
    <x v="29"/>
    <x v="0"/>
    <n v="55"/>
    <x v="0"/>
    <x v="7"/>
    <x v="2"/>
  </r>
  <r>
    <s v="ORD-0139"/>
    <d v="2025-11-23T00:00:00"/>
    <x v="0"/>
    <s v="CUST-110"/>
    <s v="PROD-107"/>
    <n v="6"/>
    <n v="18254"/>
    <n v="15515.9"/>
    <n v="109524"/>
    <n v="93095.4"/>
    <n v="16428.600000000006"/>
    <s v="Cheyenne"/>
    <x v="1"/>
    <x v="35"/>
    <x v="1"/>
    <n v="52"/>
    <x v="0"/>
    <x v="12"/>
    <x v="4"/>
  </r>
  <r>
    <s v="ORD-0140"/>
    <d v="2025-10-16T00:00:00"/>
    <x v="13"/>
    <s v="CUST-077"/>
    <s v="PROD-130"/>
    <n v="4"/>
    <n v="18942"/>
    <n v="16100.7"/>
    <n v="75768"/>
    <n v="64402.8"/>
    <n v="11365.199999999997"/>
    <s v="Jennifer"/>
    <x v="1"/>
    <x v="27"/>
    <x v="0"/>
    <n v="35"/>
    <x v="0"/>
    <x v="29"/>
    <x v="2"/>
  </r>
  <r>
    <s v="ORD-0141"/>
    <d v="2025-12-01T00:00:00"/>
    <x v="10"/>
    <s v="CUST-129"/>
    <s v="PROD-131"/>
    <n v="5"/>
    <n v="14403.3"/>
    <n v="12242.805"/>
    <n v="72016.5"/>
    <n v="61214.025000000001"/>
    <n v="10802.474999999999"/>
    <s v="Victoria"/>
    <x v="4"/>
    <x v="71"/>
    <x v="0"/>
    <n v="38"/>
    <x v="0"/>
    <x v="2"/>
    <x v="2"/>
  </r>
  <r>
    <s v="ORD-0142"/>
    <d v="2025-12-18T00:00:00"/>
    <x v="4"/>
    <s v="CUST-052"/>
    <s v="PROD-104"/>
    <n v="3"/>
    <n v="11874.1"/>
    <n v="10092.985000000001"/>
    <n v="35622.300000000003"/>
    <n v="30278.955000000002"/>
    <n v="5343.3450000000012"/>
    <s v="Lori"/>
    <x v="1"/>
    <x v="8"/>
    <x v="1"/>
    <n v="28"/>
    <x v="1"/>
    <x v="4"/>
    <x v="3"/>
  </r>
  <r>
    <s v="ORD-0143"/>
    <d v="2025-10-16T00:00:00"/>
    <x v="13"/>
    <s v="CUST-150"/>
    <s v="PROD-124"/>
    <n v="2"/>
    <n v="10376.099999999999"/>
    <n v="8819.6849999999995"/>
    <n v="20752.199999999997"/>
    <n v="17639.37"/>
    <n v="3112.8299999999981"/>
    <s v="Anna"/>
    <x v="1"/>
    <x v="31"/>
    <x v="0"/>
    <n v="25"/>
    <x v="1"/>
    <x v="5"/>
    <x v="0"/>
  </r>
  <r>
    <s v="ORD-0144"/>
    <d v="2025-11-10T00:00:00"/>
    <x v="12"/>
    <s v="CUST-006"/>
    <s v="PROD-102"/>
    <n v="9"/>
    <n v="7100"/>
    <n v="6035"/>
    <n v="63900"/>
    <n v="54315"/>
    <n v="9585"/>
    <s v="Katie"/>
    <x v="0"/>
    <x v="58"/>
    <x v="1"/>
    <n v="19"/>
    <x v="1"/>
    <x v="20"/>
    <x v="3"/>
  </r>
  <r>
    <s v="ORD-0145"/>
    <d v="2025-11-20T00:00:00"/>
    <x v="6"/>
    <s v="CUST-064"/>
    <s v="PROD-132"/>
    <n v="5"/>
    <n v="12556.199999999999"/>
    <n v="10672.769999999999"/>
    <n v="62780.999999999993"/>
    <n v="53363.849999999991"/>
    <n v="9417.1500000000015"/>
    <s v="Jasmine"/>
    <x v="4"/>
    <x v="59"/>
    <x v="0"/>
    <n v="37"/>
    <x v="0"/>
    <x v="26"/>
    <x v="2"/>
  </r>
  <r>
    <s v="ORD-0146"/>
    <d v="2025-11-13T00:00:00"/>
    <x v="12"/>
    <s v="CUST-125"/>
    <s v="PROD-115"/>
    <n v="3"/>
    <n v="8828.2000000000007"/>
    <n v="7503.9700000000012"/>
    <n v="26484.600000000002"/>
    <n v="22511.910000000003"/>
    <n v="3972.6899999999987"/>
    <s v="Cheyenne"/>
    <x v="2"/>
    <x v="28"/>
    <x v="0"/>
    <n v="23"/>
    <x v="1"/>
    <x v="10"/>
    <x v="1"/>
  </r>
  <r>
    <s v="ORD-0147"/>
    <d v="2025-12-24T00:00:00"/>
    <x v="8"/>
    <s v="CUST-035"/>
    <s v="PROD-134"/>
    <n v="9"/>
    <n v="18070.400000000001"/>
    <n v="15359.840000000002"/>
    <n v="162633.60000000001"/>
    <n v="138238.56000000003"/>
    <n v="24395.039999999979"/>
    <s v="Cheyenne"/>
    <x v="1"/>
    <x v="72"/>
    <x v="0"/>
    <n v="21"/>
    <x v="1"/>
    <x v="7"/>
    <x v="2"/>
  </r>
  <r>
    <s v="ORD-0148"/>
    <d v="2025-10-12T00:00:00"/>
    <x v="13"/>
    <s v="CUST-037"/>
    <s v="PROD-127"/>
    <n v="4"/>
    <n v="4979.5"/>
    <n v="4232.5749999999998"/>
    <n v="19918"/>
    <n v="16930.3"/>
    <n v="2987.7000000000007"/>
    <s v="Andrea"/>
    <x v="1"/>
    <x v="73"/>
    <x v="0"/>
    <n v="26"/>
    <x v="1"/>
    <x v="17"/>
    <x v="5"/>
  </r>
  <r>
    <s v="ORD-0149"/>
    <d v="2025-12-17T00:00:00"/>
    <x v="4"/>
    <s v="CUST-144"/>
    <s v="PROD-104"/>
    <n v="6"/>
    <n v="12767.6"/>
    <n v="10852.460000000001"/>
    <n v="76605.600000000006"/>
    <n v="65114.760000000009"/>
    <n v="11490.839999999997"/>
    <s v="Kayla"/>
    <x v="4"/>
    <x v="66"/>
    <x v="1"/>
    <n v="23"/>
    <x v="1"/>
    <x v="4"/>
    <x v="3"/>
  </r>
  <r>
    <s v="ORD-0150"/>
    <d v="2025-11-15T00:00:00"/>
    <x v="12"/>
    <s v="CUST-001"/>
    <s v="PROD-101"/>
    <n v="9"/>
    <n v="15305.4"/>
    <n v="13009.59"/>
    <n v="137748.6"/>
    <n v="117086.31"/>
    <n v="20662.290000000008"/>
    <s v="Patrick"/>
    <x v="3"/>
    <x v="74"/>
    <x v="1"/>
    <n v="27"/>
    <x v="1"/>
    <x v="16"/>
    <x v="3"/>
  </r>
  <r>
    <s v="ORD-0151"/>
    <d v="2025-12-09T00:00:00"/>
    <x v="7"/>
    <s v="CUST-128"/>
    <s v="PROD-127"/>
    <n v="1"/>
    <n v="1249"/>
    <n v="1061.6500000000001"/>
    <n v="1249"/>
    <n v="1061.6500000000001"/>
    <n v="187.34999999999991"/>
    <s v="Timothy"/>
    <x v="1"/>
    <x v="75"/>
    <x v="1"/>
    <n v="55"/>
    <x v="0"/>
    <x v="17"/>
    <x v="5"/>
  </r>
  <r>
    <s v="ORD-0152"/>
    <d v="2025-10-11T00:00:00"/>
    <x v="1"/>
    <s v="CUST-112"/>
    <s v="PROD-125"/>
    <n v="5"/>
    <n v="15483"/>
    <n v="13160.55"/>
    <n v="77415"/>
    <n v="65802.75"/>
    <n v="11612.25"/>
    <s v="Thomas"/>
    <x v="1"/>
    <x v="11"/>
    <x v="1"/>
    <n v="40"/>
    <x v="0"/>
    <x v="13"/>
    <x v="0"/>
  </r>
  <r>
    <s v="ORD-0153"/>
    <d v="2025-11-07T00:00:00"/>
    <x v="5"/>
    <s v="CUST-124"/>
    <s v="PROD-102"/>
    <n v="9"/>
    <n v="13406.7"/>
    <n v="11395.695"/>
    <n v="120660.3"/>
    <n v="102561.255"/>
    <n v="18099.044999999998"/>
    <s v="Aaron"/>
    <x v="1"/>
    <x v="32"/>
    <x v="1"/>
    <n v="35"/>
    <x v="0"/>
    <x v="20"/>
    <x v="3"/>
  </r>
  <r>
    <s v="ORD-0154"/>
    <d v="2025-11-15T00:00:00"/>
    <x v="12"/>
    <s v="CUST-088"/>
    <s v="PROD-107"/>
    <n v="8"/>
    <n v="14047"/>
    <n v="11939.95"/>
    <n v="112376"/>
    <n v="95519.6"/>
    <n v="16856.399999999994"/>
    <s v="Lisa"/>
    <x v="1"/>
    <x v="76"/>
    <x v="1"/>
    <n v="33"/>
    <x v="1"/>
    <x v="12"/>
    <x v="4"/>
  </r>
  <r>
    <s v="ORD-0155"/>
    <d v="2025-10-15T00:00:00"/>
    <x v="13"/>
    <s v="CUST-140"/>
    <s v="PROD-127"/>
    <n v="10"/>
    <n v="9542.2999999999993"/>
    <n v="8110.9549999999999"/>
    <n v="95423"/>
    <n v="81109.55"/>
    <n v="14313.449999999997"/>
    <s v="Cheyenne"/>
    <x v="4"/>
    <x v="77"/>
    <x v="1"/>
    <n v="46"/>
    <x v="0"/>
    <x v="17"/>
    <x v="5"/>
  </r>
  <r>
    <s v="ORD-0156"/>
    <d v="2025-10-22T00:00:00"/>
    <x v="9"/>
    <s v="CUST-024"/>
    <s v="PROD-102"/>
    <n v="6"/>
    <n v="12706.6"/>
    <n v="10800.61"/>
    <n v="76239.600000000006"/>
    <n v="64803.66"/>
    <n v="11435.940000000002"/>
    <s v="Aaron"/>
    <x v="1"/>
    <x v="78"/>
    <x v="1"/>
    <n v="31"/>
    <x v="1"/>
    <x v="20"/>
    <x v="3"/>
  </r>
  <r>
    <s v="ORD-0157"/>
    <d v="2025-12-12T00:00:00"/>
    <x v="7"/>
    <s v="CUST-037"/>
    <s v="PROD-109"/>
    <n v="3"/>
    <n v="17094.7"/>
    <n v="14530.495000000001"/>
    <n v="51284.100000000006"/>
    <n v="43591.485000000001"/>
    <n v="7692.6150000000052"/>
    <s v="Ralph"/>
    <x v="1"/>
    <x v="73"/>
    <x v="0"/>
    <n v="26"/>
    <x v="1"/>
    <x v="30"/>
    <x v="4"/>
  </r>
  <r>
    <s v="ORD-0158"/>
    <d v="2025-11-07T00:00:00"/>
    <x v="5"/>
    <s v="CUST-053"/>
    <s v="PROD-112"/>
    <n v="6"/>
    <n v="14928.5"/>
    <n v="12689.225"/>
    <n v="89571"/>
    <n v="76135.350000000006"/>
    <n v="13435.649999999994"/>
    <s v="Keith"/>
    <x v="4"/>
    <x v="69"/>
    <x v="0"/>
    <n v="19"/>
    <x v="1"/>
    <x v="1"/>
    <x v="1"/>
  </r>
  <r>
    <s v="ORD-0159"/>
    <d v="2025-12-23T00:00:00"/>
    <x v="8"/>
    <s v="CUST-108"/>
    <s v="PROD-122"/>
    <n v="4"/>
    <n v="17026.199999999997"/>
    <n v="14472.269999999997"/>
    <n v="68104.799999999988"/>
    <n v="57889.079999999987"/>
    <n v="10215.720000000001"/>
    <s v="Victoria"/>
    <x v="5"/>
    <x v="30"/>
    <x v="0"/>
    <n v="42"/>
    <x v="0"/>
    <x v="11"/>
    <x v="0"/>
  </r>
  <r>
    <s v="ORD-0160"/>
    <d v="2025-12-26T00:00:00"/>
    <x v="8"/>
    <s v="CUST-066"/>
    <s v="PROD-123"/>
    <n v="4"/>
    <n v="4102.9000000000005"/>
    <n v="3487.4650000000006"/>
    <n v="16411.600000000002"/>
    <n v="13949.860000000002"/>
    <n v="2461.7399999999998"/>
    <s v="Lori"/>
    <x v="0"/>
    <x v="55"/>
    <x v="0"/>
    <n v="20"/>
    <x v="1"/>
    <x v="32"/>
    <x v="0"/>
  </r>
  <r>
    <s v="ORD-0161"/>
    <d v="2025-12-01T00:00:00"/>
    <x v="10"/>
    <s v="CUST-012"/>
    <s v="PROD-128"/>
    <n v="5"/>
    <n v="1207"/>
    <n v="1025.95"/>
    <n v="6035"/>
    <n v="5129.75"/>
    <n v="905.25"/>
    <s v="Victoria"/>
    <x v="0"/>
    <x v="79"/>
    <x v="1"/>
    <n v="23"/>
    <x v="1"/>
    <x v="15"/>
    <x v="5"/>
  </r>
  <r>
    <s v="ORD-0162"/>
    <d v="2025-12-29T00:00:00"/>
    <x v="2"/>
    <s v="CUST-042"/>
    <s v="PROD-107"/>
    <n v="6"/>
    <n v="6985.8"/>
    <n v="5937.93"/>
    <n v="41914.800000000003"/>
    <n v="35627.58"/>
    <n v="6287.2200000000012"/>
    <s v="Lisa"/>
    <x v="1"/>
    <x v="41"/>
    <x v="0"/>
    <n v="33"/>
    <x v="1"/>
    <x v="12"/>
    <x v="4"/>
  </r>
  <r>
    <s v="ORD-0163"/>
    <d v="2025-11-27T00:00:00"/>
    <x v="0"/>
    <s v="CUST-094"/>
    <s v="PROD-108"/>
    <n v="8"/>
    <n v="5136.7"/>
    <n v="4366.1949999999997"/>
    <n v="41093.599999999999"/>
    <n v="34929.56"/>
    <n v="6164.0400000000009"/>
    <s v="Brenda"/>
    <x v="3"/>
    <x v="21"/>
    <x v="1"/>
    <n v="40"/>
    <x v="0"/>
    <x v="27"/>
    <x v="4"/>
  </r>
  <r>
    <s v="ORD-0164"/>
    <d v="2025-12-07T00:00:00"/>
    <x v="7"/>
    <s v="CUST-039"/>
    <s v="PROD-129"/>
    <n v="3"/>
    <n v="11310.1"/>
    <n v="9613.5850000000009"/>
    <n v="33930.300000000003"/>
    <n v="28840.755000000005"/>
    <n v="5089.5449999999983"/>
    <s v="Kayla"/>
    <x v="2"/>
    <x v="80"/>
    <x v="0"/>
    <n v="51"/>
    <x v="0"/>
    <x v="21"/>
    <x v="5"/>
  </r>
  <r>
    <s v="ORD-0165"/>
    <d v="2025-10-24T00:00:00"/>
    <x v="9"/>
    <s v="CUST-137"/>
    <s v="PROD-132"/>
    <n v="7"/>
    <n v="9256.4"/>
    <n v="7867.94"/>
    <n v="64794.799999999996"/>
    <n v="55075.579999999994"/>
    <n v="9719.2200000000012"/>
    <s v="Victoria"/>
    <x v="0"/>
    <x v="81"/>
    <x v="0"/>
    <n v="36"/>
    <x v="0"/>
    <x v="26"/>
    <x v="2"/>
  </r>
  <r>
    <s v="ORD-0166"/>
    <d v="2025-11-03T00:00:00"/>
    <x v="5"/>
    <s v="CUST-075"/>
    <s v="PROD-126"/>
    <n v="8"/>
    <n v="12148.800000000001"/>
    <n v="10326.480000000001"/>
    <n v="97190.400000000009"/>
    <n v="82611.840000000011"/>
    <n v="14578.559999999998"/>
    <s v="Katie"/>
    <x v="5"/>
    <x v="82"/>
    <x v="0"/>
    <n v="31"/>
    <x v="1"/>
    <x v="9"/>
    <x v="5"/>
  </r>
  <r>
    <s v="ORD-0167"/>
    <d v="2025-10-03T00:00:00"/>
    <x v="11"/>
    <s v="CUST-096"/>
    <s v="PROD-126"/>
    <n v="9"/>
    <n v="2133.8000000000002"/>
    <n v="1813.7300000000002"/>
    <n v="19204.2"/>
    <n v="16323.570000000002"/>
    <n v="2880.6299999999992"/>
    <s v="Jennifer"/>
    <x v="4"/>
    <x v="13"/>
    <x v="1"/>
    <n v="26"/>
    <x v="1"/>
    <x v="9"/>
    <x v="5"/>
  </r>
  <r>
    <s v="ORD-0168"/>
    <d v="2025-11-22T00:00:00"/>
    <x v="6"/>
    <s v="CUST-082"/>
    <s v="PROD-125"/>
    <n v="1"/>
    <n v="14000.2"/>
    <n v="11900.17"/>
    <n v="14000.2"/>
    <n v="11900.17"/>
    <n v="2100.0300000000007"/>
    <s v="Ethan"/>
    <x v="0"/>
    <x v="73"/>
    <x v="0"/>
    <n v="18"/>
    <x v="1"/>
    <x v="13"/>
    <x v="0"/>
  </r>
  <r>
    <s v="ORD-0169"/>
    <d v="2025-12-18T00:00:00"/>
    <x v="4"/>
    <s v="CUST-071"/>
    <s v="PROD-104"/>
    <n v="2"/>
    <n v="10903.599999999999"/>
    <n v="9268.06"/>
    <n v="21807.199999999997"/>
    <n v="18536.12"/>
    <n v="3271.0799999999981"/>
    <s v="Joshua"/>
    <x v="2"/>
    <x v="6"/>
    <x v="1"/>
    <n v="32"/>
    <x v="1"/>
    <x v="4"/>
    <x v="3"/>
  </r>
  <r>
    <s v="ORD-0170"/>
    <d v="2025-10-25T00:00:00"/>
    <x v="9"/>
    <s v="CUST-031"/>
    <s v="PROD-123"/>
    <n v="5"/>
    <n v="2775.7"/>
    <n v="2359.3449999999998"/>
    <n v="13878.5"/>
    <n v="11796.724999999999"/>
    <n v="2081.7750000000015"/>
    <s v="Sean"/>
    <x v="1"/>
    <x v="47"/>
    <x v="0"/>
    <n v="28"/>
    <x v="1"/>
    <x v="32"/>
    <x v="0"/>
  </r>
  <r>
    <s v="ORD-0171"/>
    <d v="2025-10-05T00:00:00"/>
    <x v="1"/>
    <s v="CUST-027"/>
    <s v="PROD-129"/>
    <n v="8"/>
    <n v="4035.6"/>
    <n v="3430.26"/>
    <n v="32284.799999999999"/>
    <n v="27442.080000000002"/>
    <n v="4842.7199999999975"/>
    <s v="Douglas"/>
    <x v="1"/>
    <x v="55"/>
    <x v="0"/>
    <n v="19"/>
    <x v="1"/>
    <x v="21"/>
    <x v="5"/>
  </r>
  <r>
    <s v="ORD-0172"/>
    <d v="2025-10-10T00:00:00"/>
    <x v="1"/>
    <s v="CUST-145"/>
    <s v="PROD-105"/>
    <n v="1"/>
    <n v="4471.3999999999996"/>
    <n v="3800.6899999999996"/>
    <n v="4471.3999999999996"/>
    <n v="3800.6899999999996"/>
    <n v="670.71"/>
    <s v="David"/>
    <x v="1"/>
    <x v="83"/>
    <x v="0"/>
    <n v="31"/>
    <x v="1"/>
    <x v="3"/>
    <x v="3"/>
  </r>
  <r>
    <s v="ORD-0173"/>
    <d v="2025-11-11T00:00:00"/>
    <x v="12"/>
    <s v="CUST-076"/>
    <s v="PROD-134"/>
    <n v="7"/>
    <n v="2442.5"/>
    <n v="2076.125"/>
    <n v="17097.5"/>
    <n v="14532.875"/>
    <n v="2564.625"/>
    <s v="Anna"/>
    <x v="0"/>
    <x v="84"/>
    <x v="0"/>
    <n v="32"/>
    <x v="1"/>
    <x v="7"/>
    <x v="2"/>
  </r>
  <r>
    <s v="ORD-0174"/>
    <d v="2025-12-19T00:00:00"/>
    <x v="4"/>
    <s v="CUST-101"/>
    <s v="PROD-121"/>
    <n v="8"/>
    <n v="6491.7999999999993"/>
    <n v="5518.03"/>
    <n v="51934.399999999994"/>
    <n v="44144.24"/>
    <n v="7790.1599999999962"/>
    <s v="Patrick"/>
    <x v="1"/>
    <x v="85"/>
    <x v="1"/>
    <n v="25"/>
    <x v="1"/>
    <x v="8"/>
    <x v="0"/>
  </r>
  <r>
    <s v="ORD-0175"/>
    <d v="2025-11-25T00:00:00"/>
    <x v="0"/>
    <s v="CUST-051"/>
    <s v="PROD-117"/>
    <n v="5"/>
    <n v="7564.8"/>
    <n v="6430.08"/>
    <n v="37824"/>
    <n v="32150.400000000001"/>
    <n v="5673.5999999999985"/>
    <s v="Laura"/>
    <x v="3"/>
    <x v="15"/>
    <x v="0"/>
    <n v="31"/>
    <x v="1"/>
    <x v="23"/>
    <x v="0"/>
  </r>
  <r>
    <s v="ORD-0176"/>
    <d v="2025-10-29T00:00:00"/>
    <x v="3"/>
    <s v="CUST-055"/>
    <s v="PROD-112"/>
    <n v="6"/>
    <n v="3384.7000000000003"/>
    <n v="2876.9950000000003"/>
    <n v="20308.2"/>
    <n v="17261.97"/>
    <n v="3046.2299999999996"/>
    <s v="Douglas"/>
    <x v="0"/>
    <x v="16"/>
    <x v="0"/>
    <n v="24"/>
    <x v="1"/>
    <x v="1"/>
    <x v="1"/>
  </r>
  <r>
    <s v="ORD-0177"/>
    <d v="2025-12-11T00:00:00"/>
    <x v="7"/>
    <s v="CUST-140"/>
    <s v="PROD-121"/>
    <n v="4"/>
    <n v="6436.2"/>
    <n v="5470.7699999999995"/>
    <n v="25744.799999999999"/>
    <n v="21883.079999999998"/>
    <n v="3861.7200000000012"/>
    <s v="Laura"/>
    <x v="4"/>
    <x v="77"/>
    <x v="1"/>
    <n v="46"/>
    <x v="0"/>
    <x v="8"/>
    <x v="0"/>
  </r>
  <r>
    <s v="ORD-0178"/>
    <d v="2025-10-05T00:00:00"/>
    <x v="1"/>
    <s v="CUST-102"/>
    <s v="PROD-125"/>
    <n v="7"/>
    <n v="7285.1"/>
    <n v="6192.335"/>
    <n v="50995.700000000004"/>
    <n v="43346.345000000001"/>
    <n v="7649.3550000000032"/>
    <s v="Andrea"/>
    <x v="1"/>
    <x v="40"/>
    <x v="1"/>
    <n v="27"/>
    <x v="1"/>
    <x v="13"/>
    <x v="0"/>
  </r>
  <r>
    <s v="ORD-0179"/>
    <d v="2025-11-22T00:00:00"/>
    <x v="6"/>
    <s v="CUST-071"/>
    <s v="PROD-121"/>
    <n v="6"/>
    <n v="943.3"/>
    <n v="801.80499999999995"/>
    <n v="5659.7999999999993"/>
    <n v="4810.83"/>
    <n v="848.96999999999935"/>
    <s v="Jasmine"/>
    <x v="2"/>
    <x v="6"/>
    <x v="1"/>
    <n v="32"/>
    <x v="1"/>
    <x v="8"/>
    <x v="0"/>
  </r>
  <r>
    <s v="ORD-0180"/>
    <d v="2025-11-27T00:00:00"/>
    <x v="0"/>
    <s v="CUST-138"/>
    <s v="PROD-133"/>
    <n v="3"/>
    <n v="11091"/>
    <n v="9427.35"/>
    <n v="33273"/>
    <n v="28282.050000000003"/>
    <n v="4990.9499999999971"/>
    <s v="Patrick"/>
    <x v="3"/>
    <x v="22"/>
    <x v="1"/>
    <n v="27"/>
    <x v="1"/>
    <x v="22"/>
    <x v="2"/>
  </r>
  <r>
    <s v="ORD-0181"/>
    <d v="2025-11-25T00:00:00"/>
    <x v="0"/>
    <s v="CUST-029"/>
    <s v="PROD-128"/>
    <n v="10"/>
    <n v="18569.100000000002"/>
    <n v="15783.735000000002"/>
    <n v="185691.00000000003"/>
    <n v="157837.35000000003"/>
    <n v="27853.649999999994"/>
    <s v="Linda"/>
    <x v="0"/>
    <x v="86"/>
    <x v="1"/>
    <n v="44"/>
    <x v="0"/>
    <x v="15"/>
    <x v="5"/>
  </r>
  <r>
    <s v="ORD-0182"/>
    <d v="2025-11-14T00:00:00"/>
    <x v="12"/>
    <s v="CUST-129"/>
    <s v="PROD-127"/>
    <n v="7"/>
    <n v="15527.6"/>
    <n v="13198.460000000001"/>
    <n v="108693.2"/>
    <n v="92389.22"/>
    <n v="16303.979999999996"/>
    <s v="Joshua"/>
    <x v="4"/>
    <x v="71"/>
    <x v="0"/>
    <n v="38"/>
    <x v="0"/>
    <x v="17"/>
    <x v="5"/>
  </r>
  <r>
    <s v="ORD-0183"/>
    <d v="2025-11-09T00:00:00"/>
    <x v="12"/>
    <s v="CUST-054"/>
    <s v="PROD-106"/>
    <n v="2"/>
    <n v="7252.6"/>
    <n v="6164.71"/>
    <n v="14505.2"/>
    <n v="12329.42"/>
    <n v="2175.7800000000007"/>
    <s v="Anna"/>
    <x v="5"/>
    <x v="52"/>
    <x v="1"/>
    <n v="39"/>
    <x v="0"/>
    <x v="6"/>
    <x v="4"/>
  </r>
  <r>
    <s v="ORD-0184"/>
    <d v="2025-10-03T00:00:00"/>
    <x v="11"/>
    <s v="CUST-099"/>
    <s v="PROD-101"/>
    <n v="7"/>
    <n v="15153.199999999999"/>
    <n v="12880.22"/>
    <n v="106072.4"/>
    <n v="90161.54"/>
    <n v="15910.86"/>
    <s v="Jasmine"/>
    <x v="1"/>
    <x v="5"/>
    <x v="0"/>
    <n v="52"/>
    <x v="0"/>
    <x v="16"/>
    <x v="3"/>
  </r>
  <r>
    <s v="ORD-0185"/>
    <d v="2025-12-09T00:00:00"/>
    <x v="7"/>
    <s v="CUST-075"/>
    <s v="PROD-121"/>
    <n v="9"/>
    <n v="13752.3"/>
    <n v="11689.455"/>
    <n v="123770.7"/>
    <n v="105205.095"/>
    <n v="18565.604999999996"/>
    <s v="Keith"/>
    <x v="5"/>
    <x v="82"/>
    <x v="0"/>
    <n v="31"/>
    <x v="1"/>
    <x v="8"/>
    <x v="0"/>
  </r>
  <r>
    <s v="ORD-0186"/>
    <d v="2025-12-19T00:00:00"/>
    <x v="4"/>
    <s v="CUST-150"/>
    <s v="PROD-127"/>
    <n v="7"/>
    <n v="4978.3999999999996"/>
    <n v="4231.6399999999994"/>
    <n v="34848.799999999996"/>
    <n v="29621.479999999996"/>
    <n v="5227.32"/>
    <s v="Tara"/>
    <x v="1"/>
    <x v="31"/>
    <x v="0"/>
    <n v="25"/>
    <x v="1"/>
    <x v="17"/>
    <x v="5"/>
  </r>
  <r>
    <s v="ORD-0187"/>
    <d v="2025-10-16T00:00:00"/>
    <x v="13"/>
    <s v="CUST-011"/>
    <s v="PROD-101"/>
    <n v="9"/>
    <n v="10397.4"/>
    <n v="8837.7899999999991"/>
    <n v="93576.599999999991"/>
    <n v="79540.109999999986"/>
    <n v="14036.490000000005"/>
    <s v="Cheyenne"/>
    <x v="2"/>
    <x v="26"/>
    <x v="1"/>
    <n v="18"/>
    <x v="1"/>
    <x v="16"/>
    <x v="3"/>
  </r>
  <r>
    <s v="ORD-0188"/>
    <d v="2025-11-20T00:00:00"/>
    <x v="6"/>
    <s v="CUST-019"/>
    <s v="PROD-129"/>
    <n v="9"/>
    <n v="14849.2"/>
    <n v="12621.82"/>
    <n v="133642.80000000002"/>
    <n v="113596.38"/>
    <n v="20046.420000000013"/>
    <s v="Lisa"/>
    <x v="3"/>
    <x v="9"/>
    <x v="1"/>
    <n v="21"/>
    <x v="1"/>
    <x v="21"/>
    <x v="5"/>
  </r>
  <r>
    <s v="ORD-0189"/>
    <d v="2025-10-06T00:00:00"/>
    <x v="1"/>
    <s v="CUST-115"/>
    <s v="PROD-116"/>
    <n v="1"/>
    <n v="13695.3"/>
    <n v="11641.004999999999"/>
    <n v="13695.3"/>
    <n v="11641.004999999999"/>
    <n v="2054.2950000000001"/>
    <s v="Ethan"/>
    <x v="0"/>
    <x v="87"/>
    <x v="0"/>
    <n v="31"/>
    <x v="1"/>
    <x v="24"/>
    <x v="1"/>
  </r>
  <r>
    <s v="ORD-0190"/>
    <d v="2025-11-24T00:00:00"/>
    <x v="0"/>
    <s v="CUST-078"/>
    <s v="PROD-115"/>
    <n v="10"/>
    <n v="2514.1999999999998"/>
    <n v="2137.0699999999997"/>
    <n v="25142"/>
    <n v="21370.699999999997"/>
    <n v="3771.3000000000029"/>
    <s v="Brenda"/>
    <x v="4"/>
    <x v="43"/>
    <x v="0"/>
    <n v="25"/>
    <x v="1"/>
    <x v="10"/>
    <x v="1"/>
  </r>
  <r>
    <s v="ORD-0191"/>
    <d v="2025-12-19T00:00:00"/>
    <x v="4"/>
    <s v="CUST-105"/>
    <s v="PROD-111"/>
    <n v="3"/>
    <n v="10684.6"/>
    <n v="9081.91"/>
    <n v="32053.800000000003"/>
    <n v="27245.73"/>
    <n v="4808.0700000000033"/>
    <s v="Jennifer"/>
    <x v="3"/>
    <x v="31"/>
    <x v="0"/>
    <n v="30"/>
    <x v="1"/>
    <x v="31"/>
    <x v="1"/>
  </r>
  <r>
    <s v="ORD-0192"/>
    <d v="2025-11-23T00:00:00"/>
    <x v="0"/>
    <s v="CUST-085"/>
    <s v="PROD-113"/>
    <n v="5"/>
    <n v="4340.7"/>
    <n v="3689.5949999999998"/>
    <n v="21703.5"/>
    <n v="18447.974999999999"/>
    <n v="3255.5250000000015"/>
    <s v="Brenda"/>
    <x v="4"/>
    <x v="41"/>
    <x v="0"/>
    <n v="29"/>
    <x v="1"/>
    <x v="19"/>
    <x v="1"/>
  </r>
  <r>
    <s v="ORD-0193"/>
    <d v="2025-11-30T00:00:00"/>
    <x v="10"/>
    <s v="CUST-149"/>
    <s v="PROD-122"/>
    <n v="1"/>
    <n v="19083.900000000001"/>
    <n v="16221.315000000002"/>
    <n v="19083.900000000001"/>
    <n v="16221.315000000002"/>
    <n v="2862.5849999999991"/>
    <s v="Jennifer"/>
    <x v="3"/>
    <x v="53"/>
    <x v="0"/>
    <n v="54"/>
    <x v="0"/>
    <x v="11"/>
    <x v="0"/>
  </r>
  <r>
    <s v="ORD-0194"/>
    <d v="2025-12-07T00:00:00"/>
    <x v="7"/>
    <s v="CUST-148"/>
    <s v="PROD-103"/>
    <n v="8"/>
    <n v="926.59999999999991"/>
    <n v="787.6099999999999"/>
    <n v="7412.7999999999993"/>
    <n v="6300.8799999999992"/>
    <n v="1111.92"/>
    <s v="Cheyenne"/>
    <x v="0"/>
    <x v="68"/>
    <x v="1"/>
    <n v="37"/>
    <x v="0"/>
    <x v="28"/>
    <x v="3"/>
  </r>
  <r>
    <s v="ORD-0195"/>
    <d v="2025-12-22T00:00:00"/>
    <x v="8"/>
    <s v="CUST-088"/>
    <s v="PROD-114"/>
    <n v="8"/>
    <n v="10893.900000000001"/>
    <n v="9259.8150000000005"/>
    <n v="87151.200000000012"/>
    <n v="74078.52"/>
    <n v="13072.680000000008"/>
    <s v="Jonathan"/>
    <x v="1"/>
    <x v="76"/>
    <x v="1"/>
    <n v="33"/>
    <x v="1"/>
    <x v="18"/>
    <x v="1"/>
  </r>
  <r>
    <s v="ORD-0196"/>
    <d v="2025-11-14T00:00:00"/>
    <x v="12"/>
    <s v="CUST-015"/>
    <s v="PROD-119"/>
    <n v="2"/>
    <n v="7183.5"/>
    <n v="6105.9750000000004"/>
    <n v="14367"/>
    <n v="12211.95"/>
    <n v="2155.0499999999993"/>
    <s v="Tara"/>
    <x v="1"/>
    <x v="88"/>
    <x v="0"/>
    <n v="40"/>
    <x v="0"/>
    <x v="33"/>
    <x v="0"/>
  </r>
  <r>
    <s v="ORD-0197"/>
    <d v="2025-11-11T00:00:00"/>
    <x v="12"/>
    <s v="CUST-027"/>
    <s v="PROD-112"/>
    <n v="7"/>
    <n v="7657.4"/>
    <n v="6508.79"/>
    <n v="53601.799999999996"/>
    <n v="45561.53"/>
    <n v="8040.2699999999968"/>
    <s v="Ralph"/>
    <x v="1"/>
    <x v="55"/>
    <x v="0"/>
    <n v="19"/>
    <x v="1"/>
    <x v="1"/>
    <x v="1"/>
  </r>
  <r>
    <s v="ORD-0198"/>
    <d v="2025-11-10T00:00:00"/>
    <x v="12"/>
    <s v="CUST-082"/>
    <s v="PROD-127"/>
    <n v="4"/>
    <n v="7262.7"/>
    <n v="6173.2950000000001"/>
    <n v="29050.799999999999"/>
    <n v="24693.18"/>
    <n v="4357.619999999999"/>
    <s v="Andrea"/>
    <x v="0"/>
    <x v="73"/>
    <x v="0"/>
    <n v="18"/>
    <x v="1"/>
    <x v="17"/>
    <x v="5"/>
  </r>
  <r>
    <s v="ORD-0199"/>
    <d v="2025-10-30T00:00:00"/>
    <x v="3"/>
    <s v="CUST-075"/>
    <s v="PROD-107"/>
    <n v="7"/>
    <n v="10366.400000000001"/>
    <n v="8811.44"/>
    <n v="72564.800000000017"/>
    <n v="61680.08"/>
    <n v="10884.720000000016"/>
    <s v="Jennifer"/>
    <x v="5"/>
    <x v="82"/>
    <x v="0"/>
    <n v="31"/>
    <x v="1"/>
    <x v="12"/>
    <x v="4"/>
  </r>
  <r>
    <s v="ORD-0200"/>
    <d v="2025-12-19T00:00:00"/>
    <x v="4"/>
    <s v="CUST-043"/>
    <s v="PROD-120"/>
    <n v="10"/>
    <n v="3038.2999999999997"/>
    <n v="2582.5549999999998"/>
    <n v="30382.999999999996"/>
    <n v="25825.55"/>
    <n v="4557.4499999999971"/>
    <s v="Keith"/>
    <x v="4"/>
    <x v="7"/>
    <x v="0"/>
    <n v="42"/>
    <x v="0"/>
    <x v="0"/>
    <x v="0"/>
  </r>
  <r>
    <s v="ORD-0201"/>
    <d v="2025-12-18T00:00:00"/>
    <x v="4"/>
    <s v="CUST-056"/>
    <s v="PROD-106"/>
    <n v="10"/>
    <n v="936"/>
    <n v="795.6"/>
    <n v="9360"/>
    <n v="7956"/>
    <n v="1404"/>
    <s v="Linda"/>
    <x v="1"/>
    <x v="1"/>
    <x v="0"/>
    <n v="55"/>
    <x v="0"/>
    <x v="6"/>
    <x v="4"/>
  </r>
  <r>
    <s v="ORD-0202"/>
    <d v="2025-10-07T00:00:00"/>
    <x v="1"/>
    <s v="CUST-140"/>
    <s v="PROD-129"/>
    <n v="3"/>
    <n v="6432.1"/>
    <n v="5467.2849999999999"/>
    <n v="19296.300000000003"/>
    <n v="16401.855"/>
    <n v="2894.4450000000033"/>
    <s v="Aaron"/>
    <x v="4"/>
    <x v="77"/>
    <x v="1"/>
    <n v="46"/>
    <x v="0"/>
    <x v="21"/>
    <x v="5"/>
  </r>
  <r>
    <s v="ORD-0203"/>
    <d v="2025-10-13T00:00:00"/>
    <x v="13"/>
    <s v="CUST-102"/>
    <s v="PROD-121"/>
    <n v="9"/>
    <n v="6793.3"/>
    <n v="5774.3050000000003"/>
    <n v="61139.700000000004"/>
    <n v="51968.745000000003"/>
    <n v="9170.9550000000017"/>
    <s v="Anna"/>
    <x v="1"/>
    <x v="40"/>
    <x v="1"/>
    <n v="27"/>
    <x v="1"/>
    <x v="8"/>
    <x v="0"/>
  </r>
  <r>
    <s v="ORD-0204"/>
    <d v="2025-10-19T00:00:00"/>
    <x v="9"/>
    <s v="CUST-064"/>
    <s v="PROD-110"/>
    <n v="8"/>
    <n v="17404.3"/>
    <n v="14793.654999999999"/>
    <n v="139234.4"/>
    <n v="118349.23999999999"/>
    <n v="20885.160000000003"/>
    <s v="Lori"/>
    <x v="4"/>
    <x v="59"/>
    <x v="0"/>
    <n v="37"/>
    <x v="0"/>
    <x v="14"/>
    <x v="4"/>
  </r>
  <r>
    <s v="ORD-0205"/>
    <d v="2025-10-23T00:00:00"/>
    <x v="9"/>
    <s v="CUST-096"/>
    <s v="PROD-132"/>
    <n v="8"/>
    <n v="6436.1"/>
    <n v="5470.6850000000004"/>
    <n v="51488.800000000003"/>
    <n v="43765.48"/>
    <n v="7723.32"/>
    <s v="Ralph"/>
    <x v="4"/>
    <x v="13"/>
    <x v="1"/>
    <n v="26"/>
    <x v="1"/>
    <x v="26"/>
    <x v="2"/>
  </r>
  <r>
    <s v="ORD-0206"/>
    <d v="2025-11-13T00:00:00"/>
    <x v="12"/>
    <s v="CUST-008"/>
    <s v="PROD-110"/>
    <n v="7"/>
    <n v="12393.599999999999"/>
    <n v="10534.56"/>
    <n v="86755.199999999983"/>
    <n v="73741.919999999998"/>
    <n v="13013.279999999984"/>
    <s v="Douglas"/>
    <x v="4"/>
    <x v="69"/>
    <x v="0"/>
    <n v="29"/>
    <x v="1"/>
    <x v="14"/>
    <x v="4"/>
  </r>
  <r>
    <s v="ORD-0207"/>
    <d v="2025-10-29T00:00:00"/>
    <x v="3"/>
    <s v="CUST-098"/>
    <s v="PROD-107"/>
    <n v="10"/>
    <n v="4897"/>
    <n v="4162.45"/>
    <n v="48970"/>
    <n v="41624.5"/>
    <n v="7345.5"/>
    <s v="Ethan"/>
    <x v="0"/>
    <x v="22"/>
    <x v="1"/>
    <n v="38"/>
    <x v="0"/>
    <x v="12"/>
    <x v="4"/>
  </r>
  <r>
    <s v="ORD-0208"/>
    <d v="2025-12-10T00:00:00"/>
    <x v="7"/>
    <s v="CUST-111"/>
    <s v="PROD-123"/>
    <n v="7"/>
    <n v="15667.4"/>
    <n v="13317.29"/>
    <n v="109671.8"/>
    <n v="93221.03"/>
    <n v="16450.770000000004"/>
    <s v="David"/>
    <x v="4"/>
    <x v="10"/>
    <x v="0"/>
    <n v="20"/>
    <x v="1"/>
    <x v="32"/>
    <x v="0"/>
  </r>
  <r>
    <s v="ORD-0209"/>
    <d v="2025-10-03T00:00:00"/>
    <x v="11"/>
    <s v="CUST-143"/>
    <s v="PROD-109"/>
    <n v="6"/>
    <n v="13887.8"/>
    <n v="11804.63"/>
    <n v="83326.799999999988"/>
    <n v="70827.78"/>
    <n v="12499.01999999999"/>
    <s v="Jennifer"/>
    <x v="1"/>
    <x v="19"/>
    <x v="0"/>
    <n v="36"/>
    <x v="0"/>
    <x v="30"/>
    <x v="4"/>
  </r>
  <r>
    <s v="ORD-0210"/>
    <d v="2025-12-27T00:00:00"/>
    <x v="8"/>
    <s v="CUST-078"/>
    <s v="PROD-105"/>
    <n v="10"/>
    <n v="19588.399999999998"/>
    <n v="16650.14"/>
    <n v="195883.99999999997"/>
    <n v="166501.4"/>
    <n v="29382.599999999977"/>
    <s v="Sean"/>
    <x v="4"/>
    <x v="43"/>
    <x v="0"/>
    <n v="25"/>
    <x v="1"/>
    <x v="3"/>
    <x v="3"/>
  </r>
  <r>
    <s v="ORD-0211"/>
    <d v="2025-11-30T00:00:00"/>
    <x v="10"/>
    <s v="CUST-126"/>
    <s v="PROD-130"/>
    <n v="4"/>
    <n v="12419"/>
    <n v="10556.15"/>
    <n v="49676"/>
    <n v="42224.6"/>
    <n v="7451.4000000000015"/>
    <s v="Caroline"/>
    <x v="0"/>
    <x v="89"/>
    <x v="1"/>
    <n v="40"/>
    <x v="0"/>
    <x v="29"/>
    <x v="2"/>
  </r>
  <r>
    <s v="ORD-0212"/>
    <d v="2025-11-17T00:00:00"/>
    <x v="6"/>
    <s v="CUST-144"/>
    <s v="PROD-121"/>
    <n v="7"/>
    <n v="19236.7"/>
    <n v="16351.195"/>
    <n v="134656.9"/>
    <n v="114458.36499999999"/>
    <n v="20198.535000000003"/>
    <s v="Laura"/>
    <x v="4"/>
    <x v="66"/>
    <x v="1"/>
    <n v="23"/>
    <x v="1"/>
    <x v="8"/>
    <x v="0"/>
  </r>
  <r>
    <s v="ORD-0213"/>
    <d v="2025-10-12T00:00:00"/>
    <x v="13"/>
    <s v="CUST-070"/>
    <s v="PROD-129"/>
    <n v="7"/>
    <n v="19149.3"/>
    <n v="16276.904999999999"/>
    <n v="134045.1"/>
    <n v="113938.33499999999"/>
    <n v="20106.765000000014"/>
    <s v="Lori"/>
    <x v="1"/>
    <x v="51"/>
    <x v="1"/>
    <n v="25"/>
    <x v="1"/>
    <x v="21"/>
    <x v="5"/>
  </r>
  <r>
    <s v="ORD-0214"/>
    <d v="2025-10-16T00:00:00"/>
    <x v="13"/>
    <s v="CUST-081"/>
    <s v="PROD-124"/>
    <n v="4"/>
    <n v="10217"/>
    <n v="8684.4500000000007"/>
    <n v="40868"/>
    <n v="34737.800000000003"/>
    <n v="6130.1999999999971"/>
    <s v="Linda"/>
    <x v="2"/>
    <x v="43"/>
    <x v="0"/>
    <n v="46"/>
    <x v="0"/>
    <x v="5"/>
    <x v="0"/>
  </r>
  <r>
    <s v="ORD-0215"/>
    <d v="2025-10-15T00:00:00"/>
    <x v="13"/>
    <s v="CUST-132"/>
    <s v="PROD-129"/>
    <n v="10"/>
    <n v="3127.7999999999997"/>
    <n v="2658.6299999999997"/>
    <n v="31277.999999999996"/>
    <n v="26586.299999999996"/>
    <n v="4691.7000000000007"/>
    <s v="Anna"/>
    <x v="1"/>
    <x v="90"/>
    <x v="1"/>
    <n v="27"/>
    <x v="1"/>
    <x v="21"/>
    <x v="5"/>
  </r>
  <r>
    <s v="ORD-0216"/>
    <d v="2025-11-22T00:00:00"/>
    <x v="6"/>
    <s v="CUST-063"/>
    <s v="PROD-119"/>
    <n v="7"/>
    <n v="12752.2"/>
    <n v="10839.37"/>
    <n v="89265.400000000009"/>
    <n v="75875.590000000011"/>
    <n v="13389.809999999998"/>
    <s v="Linda"/>
    <x v="1"/>
    <x v="18"/>
    <x v="0"/>
    <n v="24"/>
    <x v="1"/>
    <x v="33"/>
    <x v="0"/>
  </r>
  <r>
    <s v="ORD-0217"/>
    <d v="2025-10-11T00:00:00"/>
    <x v="1"/>
    <s v="CUST-122"/>
    <s v="PROD-114"/>
    <n v="7"/>
    <n v="552.20000000000005"/>
    <n v="469.37000000000006"/>
    <n v="3865.4000000000005"/>
    <n v="3285.5900000000006"/>
    <n v="579.80999999999995"/>
    <s v="Anna"/>
    <x v="4"/>
    <x v="26"/>
    <x v="1"/>
    <n v="43"/>
    <x v="0"/>
    <x v="18"/>
    <x v="1"/>
  </r>
  <r>
    <s v="ORD-0218"/>
    <d v="2025-11-30T00:00:00"/>
    <x v="10"/>
    <s v="CUST-045"/>
    <s v="PROD-120"/>
    <n v="7"/>
    <n v="18935"/>
    <n v="16094.75"/>
    <n v="132545"/>
    <n v="112663.25"/>
    <n v="19881.75"/>
    <s v="Jasmine"/>
    <x v="1"/>
    <x v="36"/>
    <x v="0"/>
    <n v="22"/>
    <x v="1"/>
    <x v="0"/>
    <x v="0"/>
  </r>
  <r>
    <s v="ORD-0219"/>
    <d v="2025-11-07T00:00:00"/>
    <x v="5"/>
    <s v="CUST-110"/>
    <s v="PROD-101"/>
    <n v="7"/>
    <n v="13534.7"/>
    <n v="11504.495000000001"/>
    <n v="94742.900000000009"/>
    <n v="80531.465000000011"/>
    <n v="14211.434999999998"/>
    <s v="Tara"/>
    <x v="1"/>
    <x v="35"/>
    <x v="1"/>
    <n v="52"/>
    <x v="0"/>
    <x v="16"/>
    <x v="3"/>
  </r>
  <r>
    <s v="ORD-0220"/>
    <d v="2025-12-09T00:00:00"/>
    <x v="7"/>
    <s v="CUST-139"/>
    <s v="PROD-134"/>
    <n v="10"/>
    <n v="19707.8"/>
    <n v="16751.63"/>
    <n v="197078"/>
    <n v="167516.30000000002"/>
    <n v="29561.699999999983"/>
    <s v="Douglas"/>
    <x v="1"/>
    <x v="57"/>
    <x v="1"/>
    <n v="20"/>
    <x v="1"/>
    <x v="7"/>
    <x v="2"/>
  </r>
  <r>
    <s v="ORD-0221"/>
    <d v="2025-12-08T00:00:00"/>
    <x v="7"/>
    <s v="CUST-116"/>
    <s v="PROD-105"/>
    <n v="5"/>
    <n v="14827.9"/>
    <n v="12603.715"/>
    <n v="74139.5"/>
    <n v="63018.574999999997"/>
    <n v="11120.925000000003"/>
    <s v="Lisa"/>
    <x v="3"/>
    <x v="17"/>
    <x v="0"/>
    <n v="48"/>
    <x v="0"/>
    <x v="3"/>
    <x v="3"/>
  </r>
  <r>
    <s v="ORD-0222"/>
    <d v="2025-12-22T00:00:00"/>
    <x v="8"/>
    <s v="CUST-116"/>
    <s v="PROD-105"/>
    <n v="6"/>
    <n v="2194.1"/>
    <n v="1864.9849999999999"/>
    <n v="13164.599999999999"/>
    <n v="11189.91"/>
    <n v="1974.6899999999987"/>
    <s v="Timothy"/>
    <x v="3"/>
    <x v="17"/>
    <x v="0"/>
    <n v="48"/>
    <x v="0"/>
    <x v="3"/>
    <x v="3"/>
  </r>
  <r>
    <s v="ORD-0223"/>
    <d v="2025-12-25T00:00:00"/>
    <x v="8"/>
    <s v="CUST-014"/>
    <s v="PROD-125"/>
    <n v="3"/>
    <n v="838.19999999999993"/>
    <n v="712.46999999999991"/>
    <n v="2514.6"/>
    <n v="2137.41"/>
    <n v="377.19000000000005"/>
    <s v="Andrea"/>
    <x v="4"/>
    <x v="34"/>
    <x v="1"/>
    <n v="27"/>
    <x v="1"/>
    <x v="13"/>
    <x v="0"/>
  </r>
  <r>
    <s v="ORD-0224"/>
    <d v="2025-11-19T00:00:00"/>
    <x v="6"/>
    <s v="CUST-082"/>
    <s v="PROD-132"/>
    <n v="7"/>
    <n v="763.9"/>
    <n v="649.31499999999994"/>
    <n v="5347.3"/>
    <n v="4545.2049999999999"/>
    <n v="802.09500000000025"/>
    <s v="Tracey"/>
    <x v="0"/>
    <x v="73"/>
    <x v="0"/>
    <n v="18"/>
    <x v="1"/>
    <x v="26"/>
    <x v="2"/>
  </r>
  <r>
    <s v="ORD-0225"/>
    <d v="2025-11-27T00:00:00"/>
    <x v="0"/>
    <s v="CUST-104"/>
    <s v="PROD-124"/>
    <n v="7"/>
    <n v="11305.599999999999"/>
    <n v="9609.7599999999984"/>
    <n v="79139.199999999983"/>
    <n v="67268.319999999992"/>
    <n v="11870.87999999999"/>
    <s v="Laura"/>
    <x v="0"/>
    <x v="91"/>
    <x v="1"/>
    <n v="32"/>
    <x v="1"/>
    <x v="5"/>
    <x v="0"/>
  </r>
  <r>
    <s v="ORD-0226"/>
    <d v="2025-12-24T00:00:00"/>
    <x v="8"/>
    <s v="CUST-040"/>
    <s v="PROD-115"/>
    <n v="2"/>
    <n v="15500.2"/>
    <n v="13175.17"/>
    <n v="31000.400000000001"/>
    <n v="26350.34"/>
    <n v="4650.0600000000013"/>
    <s v="Jennifer"/>
    <x v="0"/>
    <x v="72"/>
    <x v="0"/>
    <n v="52"/>
    <x v="0"/>
    <x v="10"/>
    <x v="1"/>
  </r>
  <r>
    <s v="ORD-0227"/>
    <d v="2025-10-02T00:00:00"/>
    <x v="11"/>
    <s v="CUST-145"/>
    <s v="PROD-105"/>
    <n v="2"/>
    <n v="699"/>
    <n v="594.15"/>
    <n v="1398"/>
    <n v="1188.3"/>
    <n v="209.70000000000005"/>
    <s v="Patrick"/>
    <x v="1"/>
    <x v="83"/>
    <x v="0"/>
    <n v="31"/>
    <x v="1"/>
    <x v="3"/>
    <x v="3"/>
  </r>
  <r>
    <s v="ORD-0228"/>
    <d v="2025-10-16T00:00:00"/>
    <x v="13"/>
    <s v="CUST-042"/>
    <s v="PROD-111"/>
    <n v="5"/>
    <n v="871.4"/>
    <n v="740.69"/>
    <n v="4357"/>
    <n v="3703.4500000000003"/>
    <n v="653.54999999999973"/>
    <s v="Cheyenne"/>
    <x v="1"/>
    <x v="41"/>
    <x v="0"/>
    <n v="33"/>
    <x v="1"/>
    <x v="31"/>
    <x v="1"/>
  </r>
  <r>
    <s v="ORD-0229"/>
    <d v="2025-11-28T00:00:00"/>
    <x v="0"/>
    <s v="CUST-102"/>
    <s v="PROD-114"/>
    <n v="10"/>
    <n v="9329.5"/>
    <n v="7930.0749999999998"/>
    <n v="93295"/>
    <n v="79300.75"/>
    <n v="13994.25"/>
    <s v="Jonathan"/>
    <x v="1"/>
    <x v="40"/>
    <x v="1"/>
    <n v="27"/>
    <x v="1"/>
    <x v="18"/>
    <x v="1"/>
  </r>
  <r>
    <s v="ORD-0230"/>
    <d v="2025-10-15T00:00:00"/>
    <x v="13"/>
    <s v="CUST-081"/>
    <s v="PROD-118"/>
    <n v="2"/>
    <n v="11240"/>
    <n v="9554"/>
    <n v="22480"/>
    <n v="19108"/>
    <n v="3372"/>
    <s v="David"/>
    <x v="2"/>
    <x v="43"/>
    <x v="0"/>
    <n v="46"/>
    <x v="0"/>
    <x v="25"/>
    <x v="0"/>
  </r>
  <r>
    <s v="ORD-0231"/>
    <d v="2025-12-09T00:00:00"/>
    <x v="7"/>
    <s v="CUST-094"/>
    <s v="PROD-130"/>
    <n v="10"/>
    <n v="8056.5"/>
    <n v="6848.0249999999996"/>
    <n v="80565"/>
    <n v="68480.25"/>
    <n v="12084.75"/>
    <s v="David"/>
    <x v="3"/>
    <x v="21"/>
    <x v="1"/>
    <n v="40"/>
    <x v="0"/>
    <x v="29"/>
    <x v="2"/>
  </r>
  <r>
    <s v="ORD-0232"/>
    <d v="2025-12-19T00:00:00"/>
    <x v="4"/>
    <s v="CUST-011"/>
    <s v="PROD-106"/>
    <n v="8"/>
    <n v="8613.4"/>
    <n v="7321.3899999999994"/>
    <n v="68907.199999999997"/>
    <n v="58571.119999999995"/>
    <n v="10336.080000000002"/>
    <s v="Jasmine"/>
    <x v="2"/>
    <x v="26"/>
    <x v="1"/>
    <n v="18"/>
    <x v="1"/>
    <x v="6"/>
    <x v="4"/>
  </r>
  <r>
    <s v="ORD-0233"/>
    <d v="2025-12-02T00:00:00"/>
    <x v="10"/>
    <s v="CUST-027"/>
    <s v="PROD-116"/>
    <n v="10"/>
    <n v="9284.7999999999993"/>
    <n v="7892.08"/>
    <n v="92848"/>
    <n v="78920.800000000003"/>
    <n v="13927.199999999997"/>
    <s v="Lori"/>
    <x v="1"/>
    <x v="55"/>
    <x v="0"/>
    <n v="19"/>
    <x v="1"/>
    <x v="24"/>
    <x v="1"/>
  </r>
  <r>
    <s v="ORD-0234"/>
    <d v="2025-10-24T00:00:00"/>
    <x v="9"/>
    <s v="CUST-108"/>
    <s v="PROD-132"/>
    <n v="8"/>
    <n v="11140.1"/>
    <n v="9469.0850000000009"/>
    <n v="89120.8"/>
    <n v="75752.680000000008"/>
    <n v="13368.119999999995"/>
    <s v="Daniel"/>
    <x v="5"/>
    <x v="30"/>
    <x v="0"/>
    <n v="42"/>
    <x v="0"/>
    <x v="26"/>
    <x v="2"/>
  </r>
  <r>
    <s v="ORD-0235"/>
    <d v="2025-10-11T00:00:00"/>
    <x v="1"/>
    <s v="CUST-116"/>
    <s v="PROD-120"/>
    <n v="9"/>
    <n v="7904.7000000000007"/>
    <n v="6718.9950000000008"/>
    <n v="71142.3"/>
    <n v="60470.955000000009"/>
    <n v="10671.344999999994"/>
    <s v="Anna"/>
    <x v="3"/>
    <x v="17"/>
    <x v="0"/>
    <n v="48"/>
    <x v="0"/>
    <x v="0"/>
    <x v="0"/>
  </r>
  <r>
    <s v="ORD-0236"/>
    <d v="2025-12-10T00:00:00"/>
    <x v="7"/>
    <s v="CUST-007"/>
    <s v="PROD-120"/>
    <n v="4"/>
    <n v="10932.8"/>
    <n v="9292.8799999999992"/>
    <n v="43731.199999999997"/>
    <n v="37171.519999999997"/>
    <n v="6559.68"/>
    <s v="Daniel"/>
    <x v="1"/>
    <x v="29"/>
    <x v="0"/>
    <n v="44"/>
    <x v="0"/>
    <x v="0"/>
    <x v="0"/>
  </r>
  <r>
    <s v="ORD-0237"/>
    <d v="2025-10-04T00:00:00"/>
    <x v="11"/>
    <s v="CUST-089"/>
    <s v="PROD-129"/>
    <n v="7"/>
    <n v="16840.899999999998"/>
    <n v="14314.764999999998"/>
    <n v="117886.29999999999"/>
    <n v="100203.35499999998"/>
    <n v="17682.945000000007"/>
    <s v="Brenda"/>
    <x v="4"/>
    <x v="92"/>
    <x v="1"/>
    <n v="35"/>
    <x v="0"/>
    <x v="21"/>
    <x v="5"/>
  </r>
  <r>
    <s v="ORD-0238"/>
    <d v="2025-12-09T00:00:00"/>
    <x v="7"/>
    <s v="CUST-145"/>
    <s v="PROD-106"/>
    <n v="4"/>
    <n v="7703"/>
    <n v="6547.55"/>
    <n v="30812"/>
    <n v="26190.2"/>
    <n v="4621.7999999999993"/>
    <s v="David"/>
    <x v="1"/>
    <x v="83"/>
    <x v="0"/>
    <n v="31"/>
    <x v="1"/>
    <x v="6"/>
    <x v="4"/>
  </r>
  <r>
    <s v="ORD-0239"/>
    <d v="2025-10-23T00:00:00"/>
    <x v="9"/>
    <s v="CUST-039"/>
    <s v="PROD-127"/>
    <n v="5"/>
    <n v="8319.6"/>
    <n v="7071.66"/>
    <n v="41598"/>
    <n v="35358.300000000003"/>
    <n v="6239.6999999999971"/>
    <s v="Timothy"/>
    <x v="2"/>
    <x v="80"/>
    <x v="0"/>
    <n v="51"/>
    <x v="0"/>
    <x v="17"/>
    <x v="5"/>
  </r>
  <r>
    <s v="ORD-0240"/>
    <d v="2025-12-06T00:00:00"/>
    <x v="10"/>
    <s v="CUST-069"/>
    <s v="PROD-121"/>
    <n v="6"/>
    <n v="1914.5"/>
    <n v="1627.325"/>
    <n v="11487"/>
    <n v="9763.9500000000007"/>
    <n v="1723.0499999999993"/>
    <s v="Brenda"/>
    <x v="1"/>
    <x v="42"/>
    <x v="0"/>
    <n v="37"/>
    <x v="0"/>
    <x v="8"/>
    <x v="0"/>
  </r>
  <r>
    <s v="ORD-0241"/>
    <d v="2025-10-03T00:00:00"/>
    <x v="11"/>
    <s v="CUST-027"/>
    <s v="PROD-123"/>
    <n v="4"/>
    <n v="2987.7999999999997"/>
    <n v="2539.6299999999997"/>
    <n v="11951.199999999999"/>
    <n v="10158.519999999999"/>
    <n v="1792.6800000000003"/>
    <s v="Lisa"/>
    <x v="1"/>
    <x v="55"/>
    <x v="0"/>
    <n v="19"/>
    <x v="1"/>
    <x v="32"/>
    <x v="0"/>
  </r>
  <r>
    <s v="ORD-0242"/>
    <d v="2025-11-22T00:00:00"/>
    <x v="6"/>
    <s v="CUST-008"/>
    <s v="PROD-134"/>
    <n v="2"/>
    <n v="2436.3999999999996"/>
    <n v="2070.9399999999996"/>
    <n v="4872.7999999999993"/>
    <n v="4141.8799999999992"/>
    <n v="730.92000000000007"/>
    <s v="Jonathan"/>
    <x v="4"/>
    <x v="69"/>
    <x v="0"/>
    <n v="29"/>
    <x v="1"/>
    <x v="7"/>
    <x v="2"/>
  </r>
  <r>
    <s v="ORD-0243"/>
    <d v="2025-11-08T00:00:00"/>
    <x v="5"/>
    <s v="CUST-084"/>
    <s v="PROD-110"/>
    <n v="9"/>
    <n v="7042.4"/>
    <n v="5986.04"/>
    <n v="63381.599999999999"/>
    <n v="53874.36"/>
    <n v="9507.239999999998"/>
    <s v="Jennifer"/>
    <x v="4"/>
    <x v="45"/>
    <x v="1"/>
    <n v="49"/>
    <x v="0"/>
    <x v="14"/>
    <x v="4"/>
  </r>
  <r>
    <s v="ORD-0244"/>
    <d v="2025-12-16T00:00:00"/>
    <x v="4"/>
    <s v="CUST-150"/>
    <s v="PROD-132"/>
    <n v="4"/>
    <n v="14190.599999999999"/>
    <n v="12062.009999999998"/>
    <n v="56762.399999999994"/>
    <n v="48248.039999999994"/>
    <n v="8514.36"/>
    <s v="Cheyenne"/>
    <x v="1"/>
    <x v="31"/>
    <x v="0"/>
    <n v="25"/>
    <x v="1"/>
    <x v="26"/>
    <x v="2"/>
  </r>
  <r>
    <s v="ORD-0245"/>
    <d v="2025-10-22T00:00:00"/>
    <x v="9"/>
    <s v="CUST-138"/>
    <s v="PROD-114"/>
    <n v="2"/>
    <n v="12676.5"/>
    <n v="10775.025"/>
    <n v="25353"/>
    <n v="21550.05"/>
    <n v="3802.9500000000007"/>
    <s v="Patrick"/>
    <x v="3"/>
    <x v="22"/>
    <x v="1"/>
    <n v="27"/>
    <x v="1"/>
    <x v="18"/>
    <x v="1"/>
  </r>
  <r>
    <s v="ORD-0246"/>
    <d v="2025-12-25T00:00:00"/>
    <x v="8"/>
    <s v="CUST-010"/>
    <s v="PROD-126"/>
    <n v="5"/>
    <n v="17069.8"/>
    <n v="14509.33"/>
    <n v="85349"/>
    <n v="72546.649999999994"/>
    <n v="12802.350000000006"/>
    <s v="Cheyenne"/>
    <x v="1"/>
    <x v="93"/>
    <x v="1"/>
    <n v="21"/>
    <x v="1"/>
    <x v="9"/>
    <x v="5"/>
  </r>
  <r>
    <s v="ORD-0247"/>
    <d v="2025-10-27T00:00:00"/>
    <x v="3"/>
    <s v="CUST-024"/>
    <s v="PROD-127"/>
    <n v="5"/>
    <n v="19317.900000000001"/>
    <n v="16420.215"/>
    <n v="96589.5"/>
    <n v="82101.074999999997"/>
    <n v="14488.425000000003"/>
    <s v="Lisa"/>
    <x v="1"/>
    <x v="78"/>
    <x v="1"/>
    <n v="31"/>
    <x v="1"/>
    <x v="17"/>
    <x v="5"/>
  </r>
  <r>
    <s v="ORD-0248"/>
    <d v="2025-11-14T00:00:00"/>
    <x v="12"/>
    <s v="CUST-094"/>
    <s v="PROD-133"/>
    <n v="10"/>
    <n v="18670.899999999998"/>
    <n v="15870.264999999998"/>
    <n v="186708.99999999997"/>
    <n v="158702.64999999997"/>
    <n v="28006.350000000006"/>
    <s v="Daniel"/>
    <x v="3"/>
    <x v="21"/>
    <x v="1"/>
    <n v="40"/>
    <x v="0"/>
    <x v="22"/>
    <x v="2"/>
  </r>
  <r>
    <s v="ORD-0249"/>
    <d v="2025-11-19T00:00:00"/>
    <x v="6"/>
    <s v="CUST-109"/>
    <s v="PROD-110"/>
    <n v="3"/>
    <n v="11629.9"/>
    <n v="9885.4149999999991"/>
    <n v="34889.699999999997"/>
    <n v="29656.244999999995"/>
    <n v="5233.4550000000017"/>
    <s v="Katie"/>
    <x v="0"/>
    <x v="10"/>
    <x v="0"/>
    <n v="22"/>
    <x v="1"/>
    <x v="14"/>
    <x v="4"/>
  </r>
  <r>
    <s v="ORD-0250"/>
    <d v="2025-12-06T00:00:00"/>
    <x v="10"/>
    <s v="CUST-012"/>
    <s v="PROD-101"/>
    <n v="3"/>
    <n v="11321.199999999999"/>
    <n v="9623.0199999999986"/>
    <n v="33963.599999999999"/>
    <n v="28869.059999999998"/>
    <n v="5094.5400000000009"/>
    <s v="Patrick"/>
    <x v="0"/>
    <x v="79"/>
    <x v="1"/>
    <n v="23"/>
    <x v="1"/>
    <x v="16"/>
    <x v="3"/>
  </r>
  <r>
    <s v="ORD-0251"/>
    <d v="2025-12-23T00:00:00"/>
    <x v="8"/>
    <s v="CUST-013"/>
    <s v="PROD-101"/>
    <n v="8"/>
    <n v="19687"/>
    <n v="16733.95"/>
    <n v="157496"/>
    <n v="133871.6"/>
    <n v="23624.399999999994"/>
    <s v="Lisa"/>
    <x v="1"/>
    <x v="94"/>
    <x v="1"/>
    <n v="26"/>
    <x v="1"/>
    <x v="16"/>
    <x v="3"/>
  </r>
  <r>
    <s v="ORD-0252"/>
    <d v="2025-12-18T00:00:00"/>
    <x v="4"/>
    <s v="CUST-060"/>
    <s v="PROD-131"/>
    <n v="1"/>
    <n v="5083.5"/>
    <n v="4320.9750000000004"/>
    <n v="5083.5"/>
    <n v="4320.9750000000004"/>
    <n v="762.52499999999964"/>
    <s v="Lisa"/>
    <x v="2"/>
    <x v="7"/>
    <x v="0"/>
    <n v="20"/>
    <x v="1"/>
    <x v="2"/>
    <x v="2"/>
  </r>
  <r>
    <s v="ORD-0253"/>
    <d v="2025-10-12T00:00:00"/>
    <x v="13"/>
    <s v="CUST-076"/>
    <s v="PROD-115"/>
    <n v="6"/>
    <n v="3567.3"/>
    <n v="3032.2049999999999"/>
    <n v="21403.800000000003"/>
    <n v="18193.23"/>
    <n v="3210.5700000000033"/>
    <s v="Lori"/>
    <x v="0"/>
    <x v="84"/>
    <x v="0"/>
    <n v="32"/>
    <x v="1"/>
    <x v="10"/>
    <x v="1"/>
  </r>
  <r>
    <s v="ORD-0254"/>
    <d v="2025-10-10T00:00:00"/>
    <x v="1"/>
    <s v="CUST-090"/>
    <s v="PROD-124"/>
    <n v="6"/>
    <n v="9695.2000000000007"/>
    <n v="8240.92"/>
    <n v="58171.200000000004"/>
    <n v="49445.520000000004"/>
    <n v="8725.68"/>
    <s v="Kayla"/>
    <x v="1"/>
    <x v="16"/>
    <x v="0"/>
    <n v="29"/>
    <x v="1"/>
    <x v="5"/>
    <x v="0"/>
  </r>
  <r>
    <s v="ORD-0255"/>
    <d v="2025-12-06T00:00:00"/>
    <x v="10"/>
    <s v="CUST-095"/>
    <s v="PROD-102"/>
    <n v="3"/>
    <n v="8799.9"/>
    <n v="7479.915"/>
    <n v="26399.699999999997"/>
    <n v="22439.744999999999"/>
    <n v="3959.9549999999981"/>
    <s v="Anna"/>
    <x v="1"/>
    <x v="2"/>
    <x v="1"/>
    <n v="39"/>
    <x v="0"/>
    <x v="20"/>
    <x v="3"/>
  </r>
  <r>
    <s v="ORD-0256"/>
    <d v="2025-11-12T00:00:00"/>
    <x v="12"/>
    <s v="CUST-080"/>
    <s v="PROD-101"/>
    <n v="9"/>
    <n v="12416"/>
    <n v="10553.6"/>
    <n v="111744"/>
    <n v="94982.400000000009"/>
    <n v="16761.599999999991"/>
    <s v="Ralph"/>
    <x v="1"/>
    <x v="33"/>
    <x v="1"/>
    <n v="21"/>
    <x v="1"/>
    <x v="16"/>
    <x v="3"/>
  </r>
  <r>
    <s v="ORD-0257"/>
    <d v="2025-11-08T00:00:00"/>
    <x v="5"/>
    <s v="CUST-129"/>
    <s v="PROD-132"/>
    <n v="4"/>
    <n v="15823"/>
    <n v="13449.55"/>
    <n v="63292"/>
    <n v="53798.2"/>
    <n v="9493.8000000000029"/>
    <s v="Laura"/>
    <x v="4"/>
    <x v="71"/>
    <x v="0"/>
    <n v="38"/>
    <x v="0"/>
    <x v="26"/>
    <x v="2"/>
  </r>
  <r>
    <s v="ORD-0258"/>
    <d v="2025-12-02T00:00:00"/>
    <x v="10"/>
    <s v="CUST-143"/>
    <s v="PROD-123"/>
    <n v="8"/>
    <n v="8019.6"/>
    <n v="6816.66"/>
    <n v="64156.800000000003"/>
    <n v="54533.279999999999"/>
    <n v="9623.5200000000041"/>
    <s v="Daniel"/>
    <x v="1"/>
    <x v="19"/>
    <x v="0"/>
    <n v="36"/>
    <x v="0"/>
    <x v="32"/>
    <x v="0"/>
  </r>
  <r>
    <s v="ORD-0259"/>
    <d v="2025-11-07T00:00:00"/>
    <x v="5"/>
    <s v="CUST-120"/>
    <s v="PROD-105"/>
    <n v="1"/>
    <n v="784"/>
    <n v="666.4"/>
    <n v="784"/>
    <n v="666.4"/>
    <n v="117.60000000000002"/>
    <s v="Victoria"/>
    <x v="0"/>
    <x v="95"/>
    <x v="1"/>
    <n v="18"/>
    <x v="1"/>
    <x v="3"/>
    <x v="3"/>
  </r>
  <r>
    <s v="ORD-0260"/>
    <d v="2025-12-31T00:00:00"/>
    <x v="2"/>
    <s v="CUST-036"/>
    <s v="PROD-110"/>
    <n v="7"/>
    <n v="17253.699999999997"/>
    <n v="14665.644999999997"/>
    <n v="120775.89999999998"/>
    <n v="102659.51499999998"/>
    <n v="18116.384999999995"/>
    <s v="Anna"/>
    <x v="4"/>
    <x v="44"/>
    <x v="1"/>
    <n v="52"/>
    <x v="0"/>
    <x v="14"/>
    <x v="4"/>
  </r>
  <r>
    <s v="ORD-0261"/>
    <d v="2025-12-19T00:00:00"/>
    <x v="4"/>
    <s v="CUST-039"/>
    <s v="PROD-110"/>
    <n v="5"/>
    <n v="13807.9"/>
    <n v="11736.715"/>
    <n v="69039.5"/>
    <n v="58683.574999999997"/>
    <n v="10355.925000000003"/>
    <s v="Victoria"/>
    <x v="2"/>
    <x v="80"/>
    <x v="0"/>
    <n v="51"/>
    <x v="0"/>
    <x v="14"/>
    <x v="4"/>
  </r>
  <r>
    <s v="ORD-0262"/>
    <d v="2025-11-08T00:00:00"/>
    <x v="5"/>
    <s v="CUST-047"/>
    <s v="PROD-132"/>
    <n v="10"/>
    <n v="8816.2000000000007"/>
    <n v="7493.77"/>
    <n v="88162"/>
    <n v="74937.700000000012"/>
    <n v="13224.299999999988"/>
    <s v="Jennifer"/>
    <x v="1"/>
    <x v="29"/>
    <x v="0"/>
    <n v="55"/>
    <x v="0"/>
    <x v="26"/>
    <x v="2"/>
  </r>
  <r>
    <s v="ORD-0263"/>
    <d v="2025-12-16T00:00:00"/>
    <x v="4"/>
    <s v="CUST-061"/>
    <s v="PROD-110"/>
    <n v="4"/>
    <n v="15723.5"/>
    <n v="13364.975"/>
    <n v="62894"/>
    <n v="53459.9"/>
    <n v="9434.0999999999985"/>
    <s v="Timothy"/>
    <x v="0"/>
    <x v="31"/>
    <x v="0"/>
    <n v="28"/>
    <x v="1"/>
    <x v="14"/>
    <x v="4"/>
  </r>
  <r>
    <s v="ORD-0264"/>
    <d v="2025-10-06T00:00:00"/>
    <x v="1"/>
    <s v="CUST-100"/>
    <s v="PROD-115"/>
    <n v="10"/>
    <n v="5337.7999999999993"/>
    <n v="4537.1299999999992"/>
    <n v="53377.999999999993"/>
    <n v="45371.299999999988"/>
    <n v="8006.7000000000044"/>
    <s v="Tara"/>
    <x v="4"/>
    <x v="26"/>
    <x v="1"/>
    <n v="28"/>
    <x v="1"/>
    <x v="10"/>
    <x v="1"/>
  </r>
  <r>
    <s v="ORD-0265"/>
    <d v="2025-12-06T00:00:00"/>
    <x v="10"/>
    <s v="CUST-066"/>
    <s v="PROD-131"/>
    <n v="5"/>
    <n v="19464.3"/>
    <n v="16544.654999999999"/>
    <n v="97321.5"/>
    <n v="82723.274999999994"/>
    <n v="14598.225000000006"/>
    <s v="Lisa"/>
    <x v="0"/>
    <x v="55"/>
    <x v="0"/>
    <n v="20"/>
    <x v="1"/>
    <x v="2"/>
    <x v="2"/>
  </r>
  <r>
    <s v="ORD-0266"/>
    <d v="2025-11-11T00:00:00"/>
    <x v="12"/>
    <s v="CUST-006"/>
    <s v="PROD-103"/>
    <n v="9"/>
    <n v="14512.9"/>
    <n v="12335.965"/>
    <n v="130616.09999999999"/>
    <n v="111023.685"/>
    <n v="19592.414999999994"/>
    <s v="Ralph"/>
    <x v="0"/>
    <x v="58"/>
    <x v="1"/>
    <n v="19"/>
    <x v="1"/>
    <x v="28"/>
    <x v="3"/>
  </r>
  <r>
    <s v="ORD-0267"/>
    <d v="2025-12-31T00:00:00"/>
    <x v="2"/>
    <s v="CUST-106"/>
    <s v="PROD-115"/>
    <n v="3"/>
    <n v="8759.5"/>
    <n v="7445.5749999999998"/>
    <n v="26278.5"/>
    <n v="22336.724999999999"/>
    <n v="3941.7750000000015"/>
    <s v="Jonathan"/>
    <x v="1"/>
    <x v="96"/>
    <x v="0"/>
    <n v="32"/>
    <x v="1"/>
    <x v="10"/>
    <x v="1"/>
  </r>
  <r>
    <s v="ORD-0268"/>
    <d v="2025-12-25T00:00:00"/>
    <x v="8"/>
    <s v="CUST-037"/>
    <s v="PROD-120"/>
    <n v="10"/>
    <n v="11927.5"/>
    <n v="10138.375"/>
    <n v="119275"/>
    <n v="101383.75"/>
    <n v="17891.25"/>
    <s v="Lori"/>
    <x v="1"/>
    <x v="73"/>
    <x v="0"/>
    <n v="26"/>
    <x v="1"/>
    <x v="0"/>
    <x v="0"/>
  </r>
  <r>
    <s v="ORD-0269"/>
    <d v="2025-12-11T00:00:00"/>
    <x v="7"/>
    <s v="CUST-035"/>
    <s v="PROD-105"/>
    <n v="4"/>
    <n v="10215.1"/>
    <n v="8682.8350000000009"/>
    <n v="40860.400000000001"/>
    <n v="34731.340000000004"/>
    <n v="6129.0599999999977"/>
    <s v="Douglas"/>
    <x v="1"/>
    <x v="72"/>
    <x v="0"/>
    <n v="21"/>
    <x v="1"/>
    <x v="3"/>
    <x v="3"/>
  </r>
  <r>
    <s v="ORD-0270"/>
    <d v="2025-10-08T00:00:00"/>
    <x v="1"/>
    <s v="CUST-079"/>
    <s v="PROD-124"/>
    <n v="6"/>
    <n v="7566.5"/>
    <n v="6431.5249999999996"/>
    <n v="45399"/>
    <n v="38589.149999999994"/>
    <n v="6809.8500000000058"/>
    <s v="Victoria"/>
    <x v="1"/>
    <x v="97"/>
    <x v="0"/>
    <n v="50"/>
    <x v="0"/>
    <x v="5"/>
    <x v="0"/>
  </r>
  <r>
    <s v="ORD-0271"/>
    <d v="2025-12-16T00:00:00"/>
    <x v="4"/>
    <s v="CUST-131"/>
    <s v="PROD-127"/>
    <n v="5"/>
    <n v="14684.6"/>
    <n v="12481.91"/>
    <n v="73423"/>
    <n v="62409.55"/>
    <n v="11013.449999999997"/>
    <s v="Tara"/>
    <x v="0"/>
    <x v="37"/>
    <x v="0"/>
    <n v="46"/>
    <x v="0"/>
    <x v="17"/>
    <x v="5"/>
  </r>
  <r>
    <s v="ORD-0272"/>
    <d v="2025-11-28T00:00:00"/>
    <x v="0"/>
    <s v="CUST-090"/>
    <s v="PROD-127"/>
    <n v="7"/>
    <n v="1452.3"/>
    <n v="1234.4549999999999"/>
    <n v="10166.1"/>
    <n v="8641.1849999999995"/>
    <n v="1524.9150000000009"/>
    <s v="Tracey"/>
    <x v="1"/>
    <x v="16"/>
    <x v="0"/>
    <n v="29"/>
    <x v="1"/>
    <x v="17"/>
    <x v="5"/>
  </r>
  <r>
    <s v="ORD-0273"/>
    <d v="2025-11-13T00:00:00"/>
    <x v="12"/>
    <s v="CUST-107"/>
    <s v="PROD-133"/>
    <n v="7"/>
    <n v="4514.7000000000007"/>
    <n v="3837.4950000000008"/>
    <n v="31602.900000000005"/>
    <n v="26862.465000000004"/>
    <n v="4740.4350000000013"/>
    <s v="Aaron"/>
    <x v="4"/>
    <x v="36"/>
    <x v="0"/>
    <n v="18"/>
    <x v="1"/>
    <x v="22"/>
    <x v="2"/>
  </r>
  <r>
    <s v="ORD-0274"/>
    <d v="2025-12-29T00:00:00"/>
    <x v="2"/>
    <s v="CUST-146"/>
    <s v="PROD-107"/>
    <n v="9"/>
    <n v="1528.3000000000002"/>
    <n v="1299.0550000000001"/>
    <n v="13754.7"/>
    <n v="11691.495000000001"/>
    <n v="2063.2049999999999"/>
    <s v="Jonathan"/>
    <x v="1"/>
    <x v="29"/>
    <x v="0"/>
    <n v="24"/>
    <x v="1"/>
    <x v="12"/>
    <x v="4"/>
  </r>
  <r>
    <s v="ORD-0275"/>
    <d v="2025-12-16T00:00:00"/>
    <x v="4"/>
    <s v="CUST-012"/>
    <s v="PROD-102"/>
    <n v="6"/>
    <n v="16171.5"/>
    <n v="13745.775"/>
    <n v="97029"/>
    <n v="82474.649999999994"/>
    <n v="14554.350000000006"/>
    <s v="Tracey"/>
    <x v="0"/>
    <x v="79"/>
    <x v="1"/>
    <n v="23"/>
    <x v="1"/>
    <x v="20"/>
    <x v="3"/>
  </r>
  <r>
    <s v="ORD-0276"/>
    <d v="2025-11-26T00:00:00"/>
    <x v="0"/>
    <s v="CUST-137"/>
    <s v="PROD-112"/>
    <n v="6"/>
    <n v="9909.1"/>
    <n v="8422.7350000000006"/>
    <n v="59454.600000000006"/>
    <n v="50536.41"/>
    <n v="8918.1900000000023"/>
    <s v="Lisa"/>
    <x v="0"/>
    <x v="81"/>
    <x v="0"/>
    <n v="36"/>
    <x v="0"/>
    <x v="1"/>
    <x v="1"/>
  </r>
  <r>
    <s v="ORD-0277"/>
    <d v="2025-11-21T00:00:00"/>
    <x v="6"/>
    <s v="CUST-052"/>
    <s v="PROD-108"/>
    <n v="7"/>
    <n v="16159"/>
    <n v="13735.15"/>
    <n v="113113"/>
    <n v="96146.05"/>
    <n v="16966.949999999997"/>
    <s v="Douglas"/>
    <x v="1"/>
    <x v="8"/>
    <x v="1"/>
    <n v="28"/>
    <x v="1"/>
    <x v="27"/>
    <x v="4"/>
  </r>
  <r>
    <s v="ORD-0278"/>
    <d v="2025-12-01T00:00:00"/>
    <x v="10"/>
    <s v="CUST-044"/>
    <s v="PROD-113"/>
    <n v="1"/>
    <n v="16725.599999999999"/>
    <n v="14216.759999999998"/>
    <n v="16725.599999999999"/>
    <n v="14216.759999999998"/>
    <n v="2508.84"/>
    <s v="Joshua"/>
    <x v="5"/>
    <x v="28"/>
    <x v="0"/>
    <n v="31"/>
    <x v="1"/>
    <x v="19"/>
    <x v="1"/>
  </r>
  <r>
    <s v="ORD-0279"/>
    <d v="2025-10-07T00:00:00"/>
    <x v="1"/>
    <s v="CUST-092"/>
    <s v="PROD-120"/>
    <n v="1"/>
    <n v="1550.2"/>
    <n v="1317.67"/>
    <n v="1550.2"/>
    <n v="1317.67"/>
    <n v="232.52999999999997"/>
    <s v="Caroline"/>
    <x v="2"/>
    <x v="3"/>
    <x v="0"/>
    <n v="48"/>
    <x v="0"/>
    <x v="0"/>
    <x v="0"/>
  </r>
  <r>
    <s v="ORD-0280"/>
    <d v="2025-10-29T00:00:00"/>
    <x v="3"/>
    <s v="CUST-147"/>
    <s v="PROD-119"/>
    <n v="8"/>
    <n v="2892.3"/>
    <n v="2458.4549999999999"/>
    <n v="23138.400000000001"/>
    <n v="19667.64"/>
    <n v="3470.760000000002"/>
    <s v="Ethan"/>
    <x v="2"/>
    <x v="36"/>
    <x v="0"/>
    <n v="53"/>
    <x v="0"/>
    <x v="33"/>
    <x v="0"/>
  </r>
  <r>
    <s v="ORD-0281"/>
    <d v="2025-12-16T00:00:00"/>
    <x v="4"/>
    <s v="CUST-117"/>
    <s v="PROD-124"/>
    <n v="8"/>
    <n v="18358.399999999998"/>
    <n v="15604.639999999998"/>
    <n v="146867.19999999998"/>
    <n v="124837.11999999998"/>
    <n v="22030.080000000002"/>
    <s v="Aaron"/>
    <x v="1"/>
    <x v="20"/>
    <x v="1"/>
    <n v="29"/>
    <x v="1"/>
    <x v="5"/>
    <x v="0"/>
  </r>
  <r>
    <s v="ORD-0282"/>
    <d v="2025-12-02T00:00:00"/>
    <x v="10"/>
    <s v="CUST-032"/>
    <s v="PROD-110"/>
    <n v="2"/>
    <n v="6973.2000000000007"/>
    <n v="5927.2200000000012"/>
    <n v="13946.400000000001"/>
    <n v="11854.440000000002"/>
    <n v="2091.9599999999991"/>
    <s v="Brenda"/>
    <x v="4"/>
    <x v="15"/>
    <x v="0"/>
    <n v="26"/>
    <x v="1"/>
    <x v="14"/>
    <x v="4"/>
  </r>
  <r>
    <s v="ORD-0283"/>
    <d v="2025-11-08T00:00:00"/>
    <x v="5"/>
    <s v="CUST-007"/>
    <s v="PROD-125"/>
    <n v="1"/>
    <n v="17396.900000000001"/>
    <n v="14787.365000000002"/>
    <n v="17396.900000000001"/>
    <n v="14787.365000000002"/>
    <n v="2609.5349999999999"/>
    <s v="Katie"/>
    <x v="1"/>
    <x v="29"/>
    <x v="0"/>
    <n v="44"/>
    <x v="0"/>
    <x v="13"/>
    <x v="0"/>
  </r>
  <r>
    <s v="ORD-0284"/>
    <d v="2025-10-28T00:00:00"/>
    <x v="3"/>
    <s v="CUST-140"/>
    <s v="PROD-128"/>
    <n v="9"/>
    <n v="5285"/>
    <n v="4492.25"/>
    <n v="47565"/>
    <n v="40430.25"/>
    <n v="7134.75"/>
    <s v="Keith"/>
    <x v="4"/>
    <x v="77"/>
    <x v="1"/>
    <n v="46"/>
    <x v="0"/>
    <x v="15"/>
    <x v="5"/>
  </r>
  <r>
    <s v="ORD-0285"/>
    <d v="2025-11-15T00:00:00"/>
    <x v="12"/>
    <s v="CUST-006"/>
    <s v="PROD-128"/>
    <n v="10"/>
    <n v="15277.6"/>
    <n v="12985.960000000001"/>
    <n v="152776"/>
    <n v="129859.6"/>
    <n v="22916.399999999994"/>
    <s v="Sean"/>
    <x v="0"/>
    <x v="58"/>
    <x v="1"/>
    <n v="19"/>
    <x v="1"/>
    <x v="15"/>
    <x v="5"/>
  </r>
  <r>
    <s v="ORD-0286"/>
    <d v="2025-12-17T00:00:00"/>
    <x v="4"/>
    <s v="CUST-103"/>
    <s v="PROD-101"/>
    <n v="8"/>
    <n v="19904.100000000002"/>
    <n v="16918.485000000001"/>
    <n v="159232.80000000002"/>
    <n v="135347.88"/>
    <n v="23884.920000000013"/>
    <s v="Anna"/>
    <x v="2"/>
    <x v="85"/>
    <x v="1"/>
    <n v="23"/>
    <x v="1"/>
    <x v="16"/>
    <x v="3"/>
  </r>
  <r>
    <s v="ORD-0287"/>
    <d v="2025-12-04T00:00:00"/>
    <x v="10"/>
    <s v="CUST-081"/>
    <s v="PROD-120"/>
    <n v="8"/>
    <n v="13223"/>
    <n v="11239.55"/>
    <n v="105784"/>
    <n v="89916.4"/>
    <n v="15867.600000000006"/>
    <s v="Andrea"/>
    <x v="2"/>
    <x v="43"/>
    <x v="0"/>
    <n v="46"/>
    <x v="0"/>
    <x v="0"/>
    <x v="0"/>
  </r>
  <r>
    <s v="ORD-0288"/>
    <d v="2025-12-22T00:00:00"/>
    <x v="8"/>
    <s v="CUST-105"/>
    <s v="PROD-118"/>
    <n v="1"/>
    <n v="3901.7000000000003"/>
    <n v="3316.4450000000002"/>
    <n v="3901.7000000000003"/>
    <n v="3316.4450000000002"/>
    <n v="585.25500000000011"/>
    <s v="Patrick"/>
    <x v="3"/>
    <x v="31"/>
    <x v="0"/>
    <n v="30"/>
    <x v="1"/>
    <x v="25"/>
    <x v="0"/>
  </r>
  <r>
    <s v="ORD-0289"/>
    <d v="2025-11-11T00:00:00"/>
    <x v="12"/>
    <s v="CUST-105"/>
    <s v="PROD-133"/>
    <n v="7"/>
    <n v="11145.5"/>
    <n v="9473.6749999999993"/>
    <n v="78018.5"/>
    <n v="66315.724999999991"/>
    <n v="11702.775000000009"/>
    <s v="Laura"/>
    <x v="3"/>
    <x v="31"/>
    <x v="0"/>
    <n v="30"/>
    <x v="1"/>
    <x v="22"/>
    <x v="2"/>
  </r>
  <r>
    <s v="ORD-0290"/>
    <d v="2025-12-31T00:00:00"/>
    <x v="2"/>
    <s v="CUST-001"/>
    <s v="PROD-105"/>
    <n v="2"/>
    <n v="17815.3"/>
    <n v="15143.004999999999"/>
    <n v="35630.6"/>
    <n v="30286.01"/>
    <n v="5344.59"/>
    <s v="Sean"/>
    <x v="3"/>
    <x v="74"/>
    <x v="1"/>
    <n v="27"/>
    <x v="1"/>
    <x v="3"/>
    <x v="3"/>
  </r>
  <r>
    <s v="ORD-0291"/>
    <d v="2025-10-09T00:00:00"/>
    <x v="1"/>
    <s v="CUST-060"/>
    <s v="PROD-126"/>
    <n v="6"/>
    <n v="18288.5"/>
    <n v="15545.225"/>
    <n v="109731"/>
    <n v="93271.35"/>
    <n v="16459.649999999994"/>
    <s v="Kayla"/>
    <x v="2"/>
    <x v="7"/>
    <x v="0"/>
    <n v="20"/>
    <x v="1"/>
    <x v="9"/>
    <x v="5"/>
  </r>
  <r>
    <s v="ORD-0292"/>
    <d v="2025-11-16T00:00:00"/>
    <x v="6"/>
    <s v="CUST-071"/>
    <s v="PROD-130"/>
    <n v="4"/>
    <n v="17729.2"/>
    <n v="15069.82"/>
    <n v="70916.800000000003"/>
    <n v="60279.28"/>
    <n v="10637.520000000004"/>
    <s v="Brenda"/>
    <x v="2"/>
    <x v="6"/>
    <x v="1"/>
    <n v="32"/>
    <x v="1"/>
    <x v="29"/>
    <x v="2"/>
  </r>
  <r>
    <s v="ORD-0293"/>
    <d v="2025-11-21T00:00:00"/>
    <x v="6"/>
    <s v="CUST-034"/>
    <s v="PROD-106"/>
    <n v="3"/>
    <n v="15441.5"/>
    <n v="13125.275"/>
    <n v="46324.5"/>
    <n v="39375.824999999997"/>
    <n v="6948.6750000000029"/>
    <s v="Caroline"/>
    <x v="0"/>
    <x v="53"/>
    <x v="0"/>
    <n v="32"/>
    <x v="1"/>
    <x v="6"/>
    <x v="4"/>
  </r>
  <r>
    <s v="ORD-0294"/>
    <d v="2025-11-28T00:00:00"/>
    <x v="0"/>
    <s v="CUST-005"/>
    <s v="PROD-110"/>
    <n v="1"/>
    <n v="8896.1"/>
    <n v="7561.6850000000004"/>
    <n v="8896.1"/>
    <n v="7561.6850000000004"/>
    <n v="1334.415"/>
    <s v="Linda"/>
    <x v="0"/>
    <x v="39"/>
    <x v="1"/>
    <n v="20"/>
    <x v="1"/>
    <x v="14"/>
    <x v="4"/>
  </r>
  <r>
    <s v="ORD-0295"/>
    <d v="2025-12-27T00:00:00"/>
    <x v="8"/>
    <s v="CUST-116"/>
    <s v="PROD-127"/>
    <n v="2"/>
    <n v="607.6"/>
    <n v="516.46"/>
    <n v="1215.2"/>
    <n v="1032.92"/>
    <n v="182.27999999999997"/>
    <s v="Laura"/>
    <x v="3"/>
    <x v="17"/>
    <x v="0"/>
    <n v="48"/>
    <x v="0"/>
    <x v="17"/>
    <x v="5"/>
  </r>
  <r>
    <s v="ORD-0296"/>
    <d v="2025-10-02T00:00:00"/>
    <x v="11"/>
    <s v="CUST-073"/>
    <s v="PROD-101"/>
    <n v="10"/>
    <n v="11703.199999999999"/>
    <n v="9947.7199999999993"/>
    <n v="117031.99999999999"/>
    <n v="99477.2"/>
    <n v="17554.799999999988"/>
    <s v="Victoria"/>
    <x v="3"/>
    <x v="28"/>
    <x v="0"/>
    <n v="23"/>
    <x v="1"/>
    <x v="16"/>
    <x v="3"/>
  </r>
  <r>
    <s v="ORD-0297"/>
    <d v="2025-10-19T00:00:00"/>
    <x v="9"/>
    <s v="CUST-010"/>
    <s v="PROD-134"/>
    <n v="6"/>
    <n v="6579.6"/>
    <n v="5592.66"/>
    <n v="39477.600000000006"/>
    <n v="33555.96"/>
    <n v="5921.6400000000067"/>
    <s v="Andrea"/>
    <x v="1"/>
    <x v="93"/>
    <x v="1"/>
    <n v="21"/>
    <x v="1"/>
    <x v="7"/>
    <x v="2"/>
  </r>
  <r>
    <s v="ORD-0298"/>
    <d v="2025-11-01T00:00:00"/>
    <x v="3"/>
    <s v="CUST-080"/>
    <s v="PROD-115"/>
    <n v="4"/>
    <n v="16464.900000000001"/>
    <n v="13995.165000000001"/>
    <n v="65859.600000000006"/>
    <n v="55980.66"/>
    <n v="9878.9400000000023"/>
    <s v="Kayla"/>
    <x v="1"/>
    <x v="33"/>
    <x v="1"/>
    <n v="21"/>
    <x v="1"/>
    <x v="10"/>
    <x v="1"/>
  </r>
  <r>
    <s v="ORD-0299"/>
    <d v="2025-12-16T00:00:00"/>
    <x v="4"/>
    <s v="CUST-012"/>
    <s v="PROD-104"/>
    <n v="10"/>
    <n v="17568.399999999998"/>
    <n v="14933.139999999998"/>
    <n v="175683.99999999997"/>
    <n v="149331.39999999997"/>
    <n v="26352.600000000006"/>
    <s v="Timothy"/>
    <x v="0"/>
    <x v="79"/>
    <x v="1"/>
    <n v="23"/>
    <x v="1"/>
    <x v="4"/>
    <x v="3"/>
  </r>
  <r>
    <s v="ORD-0300"/>
    <d v="2025-10-20T00:00:00"/>
    <x v="9"/>
    <s v="CUST-031"/>
    <s v="PROD-119"/>
    <n v="10"/>
    <n v="18357"/>
    <n v="15603.45"/>
    <n v="183570"/>
    <n v="156034.5"/>
    <n v="27535.5"/>
    <s v="Caroline"/>
    <x v="1"/>
    <x v="47"/>
    <x v="0"/>
    <n v="28"/>
    <x v="1"/>
    <x v="33"/>
    <x v="0"/>
  </r>
  <r>
    <s v="ORD-0301"/>
    <d v="2025-11-29T00:00:00"/>
    <x v="0"/>
    <s v="CUST-053"/>
    <s v="PROD-106"/>
    <n v="2"/>
    <n v="11478.900000000001"/>
    <n v="9757.0650000000005"/>
    <n v="22957.800000000003"/>
    <n v="19514.13"/>
    <n v="3443.6700000000019"/>
    <s v="Douglas"/>
    <x v="4"/>
    <x v="69"/>
    <x v="0"/>
    <n v="19"/>
    <x v="1"/>
    <x v="6"/>
    <x v="4"/>
  </r>
  <r>
    <s v="ORD-0302"/>
    <d v="2025-12-06T00:00:00"/>
    <x v="10"/>
    <s v="CUST-088"/>
    <s v="PROD-127"/>
    <n v="10"/>
    <n v="7096"/>
    <n v="6031.6"/>
    <n v="70960"/>
    <n v="60316"/>
    <n v="10644"/>
    <s v="Jonathan"/>
    <x v="1"/>
    <x v="76"/>
    <x v="1"/>
    <n v="33"/>
    <x v="1"/>
    <x v="17"/>
    <x v="5"/>
  </r>
  <r>
    <s v="ORD-0303"/>
    <d v="2025-12-13T00:00:00"/>
    <x v="7"/>
    <s v="CUST-045"/>
    <s v="PROD-125"/>
    <n v="1"/>
    <n v="16799"/>
    <n v="14279.15"/>
    <n v="16799"/>
    <n v="14279.15"/>
    <n v="2519.8500000000004"/>
    <s v="Linda"/>
    <x v="1"/>
    <x v="36"/>
    <x v="0"/>
    <n v="22"/>
    <x v="1"/>
    <x v="13"/>
    <x v="0"/>
  </r>
  <r>
    <s v="ORD-0304"/>
    <d v="2025-12-08T00:00:00"/>
    <x v="7"/>
    <s v="CUST-010"/>
    <s v="PROD-110"/>
    <n v="7"/>
    <n v="8511.5"/>
    <n v="7234.7749999999996"/>
    <n v="59580.5"/>
    <n v="50643.424999999996"/>
    <n v="8937.0750000000044"/>
    <s v="Katie"/>
    <x v="1"/>
    <x v="93"/>
    <x v="1"/>
    <n v="21"/>
    <x v="1"/>
    <x v="14"/>
    <x v="4"/>
  </r>
  <r>
    <s v="ORD-0305"/>
    <d v="2025-12-14T00:00:00"/>
    <x v="4"/>
    <s v="CUST-071"/>
    <s v="PROD-114"/>
    <n v="3"/>
    <n v="6933.0999999999995"/>
    <n v="5893.1349999999993"/>
    <n v="20799.3"/>
    <n v="17679.404999999999"/>
    <n v="3119.8950000000004"/>
    <s v="Caroline"/>
    <x v="2"/>
    <x v="6"/>
    <x v="1"/>
    <n v="32"/>
    <x v="1"/>
    <x v="18"/>
    <x v="1"/>
  </r>
  <r>
    <s v="ORD-0306"/>
    <d v="2025-12-27T00:00:00"/>
    <x v="8"/>
    <s v="CUST-051"/>
    <s v="PROD-112"/>
    <n v="2"/>
    <n v="14571.199999999999"/>
    <n v="12385.519999999999"/>
    <n v="29142.399999999998"/>
    <n v="24771.039999999997"/>
    <n v="4371.3600000000006"/>
    <s v="Kayla"/>
    <x v="3"/>
    <x v="15"/>
    <x v="0"/>
    <n v="31"/>
    <x v="1"/>
    <x v="1"/>
    <x v="1"/>
  </r>
  <r>
    <s v="ORD-0307"/>
    <d v="2025-12-20T00:00:00"/>
    <x v="4"/>
    <s v="CUST-101"/>
    <s v="PROD-121"/>
    <n v="2"/>
    <n v="7117.7"/>
    <n v="6050.0450000000001"/>
    <n v="14235.4"/>
    <n v="12100.09"/>
    <n v="2135.3099999999995"/>
    <s v="Ralph"/>
    <x v="1"/>
    <x v="85"/>
    <x v="1"/>
    <n v="25"/>
    <x v="1"/>
    <x v="8"/>
    <x v="0"/>
  </r>
  <r>
    <s v="ORD-0308"/>
    <d v="2025-11-20T00:00:00"/>
    <x v="6"/>
    <s v="CUST-028"/>
    <s v="PROD-110"/>
    <n v="7"/>
    <n v="12970"/>
    <n v="11024.5"/>
    <n v="90790"/>
    <n v="77171.5"/>
    <n v="13618.5"/>
    <s v="Tracey"/>
    <x v="2"/>
    <x v="98"/>
    <x v="1"/>
    <n v="33"/>
    <x v="1"/>
    <x v="14"/>
    <x v="4"/>
  </r>
  <r>
    <s v="ORD-0309"/>
    <d v="2025-11-01T00:00:00"/>
    <x v="3"/>
    <s v="CUST-132"/>
    <s v="PROD-127"/>
    <n v="1"/>
    <n v="10203.4"/>
    <n v="8672.89"/>
    <n v="10203.4"/>
    <n v="8672.89"/>
    <n v="1530.5100000000002"/>
    <s v="Laura"/>
    <x v="1"/>
    <x v="90"/>
    <x v="1"/>
    <n v="27"/>
    <x v="1"/>
    <x v="17"/>
    <x v="5"/>
  </r>
  <r>
    <s v="ORD-0310"/>
    <d v="2025-10-18T00:00:00"/>
    <x v="13"/>
    <s v="CUST-022"/>
    <s v="PROD-115"/>
    <n v="2"/>
    <n v="5244.6"/>
    <n v="4457.91"/>
    <n v="10489.2"/>
    <n v="8915.82"/>
    <n v="1573.380000000001"/>
    <s v="Tracey"/>
    <x v="5"/>
    <x v="46"/>
    <x v="1"/>
    <n v="31"/>
    <x v="1"/>
    <x v="10"/>
    <x v="1"/>
  </r>
  <r>
    <s v="ORD-0311"/>
    <d v="2025-12-05T00:00:00"/>
    <x v="10"/>
    <s v="CUST-100"/>
    <s v="PROD-106"/>
    <n v="9"/>
    <n v="4984.2"/>
    <n v="4236.57"/>
    <n v="44857.799999999996"/>
    <n v="38129.129999999997"/>
    <n v="6728.6699999999983"/>
    <s v="Joshua"/>
    <x v="4"/>
    <x v="26"/>
    <x v="1"/>
    <n v="28"/>
    <x v="1"/>
    <x v="6"/>
    <x v="4"/>
  </r>
  <r>
    <s v="ORD-0312"/>
    <d v="2025-10-16T00:00:00"/>
    <x v="13"/>
    <s v="CUST-125"/>
    <s v="PROD-116"/>
    <n v="2"/>
    <n v="6178.5"/>
    <n v="5251.7250000000004"/>
    <n v="12357"/>
    <n v="10503.45"/>
    <n v="1853.5499999999993"/>
    <s v="Ralph"/>
    <x v="2"/>
    <x v="28"/>
    <x v="0"/>
    <n v="23"/>
    <x v="1"/>
    <x v="24"/>
    <x v="1"/>
  </r>
  <r>
    <s v="ORD-0313"/>
    <d v="2025-12-29T00:00:00"/>
    <x v="2"/>
    <s v="CUST-131"/>
    <s v="PROD-101"/>
    <n v="10"/>
    <n v="13191.900000000001"/>
    <n v="11213.115000000002"/>
    <n v="131919"/>
    <n v="112131.15000000002"/>
    <n v="19787.849999999977"/>
    <s v="Katie"/>
    <x v="0"/>
    <x v="37"/>
    <x v="0"/>
    <n v="46"/>
    <x v="0"/>
    <x v="16"/>
    <x v="3"/>
  </r>
  <r>
    <s v="ORD-0314"/>
    <d v="2025-11-21T00:00:00"/>
    <x v="6"/>
    <s v="CUST-148"/>
    <s v="PROD-101"/>
    <n v="3"/>
    <n v="18406.7"/>
    <n v="15645.695"/>
    <n v="55220.100000000006"/>
    <n v="46937.084999999999"/>
    <n v="8283.0150000000067"/>
    <s v="Jonathan"/>
    <x v="0"/>
    <x v="68"/>
    <x v="1"/>
    <n v="37"/>
    <x v="0"/>
    <x v="16"/>
    <x v="3"/>
  </r>
  <r>
    <s v="ORD-0315"/>
    <d v="2025-12-05T00:00:00"/>
    <x v="10"/>
    <s v="CUST-128"/>
    <s v="PROD-129"/>
    <n v="9"/>
    <n v="3505.2999999999997"/>
    <n v="2979.5049999999997"/>
    <n v="31547.699999999997"/>
    <n v="26815.544999999998"/>
    <n v="4732.1549999999988"/>
    <s v="Cheyenne"/>
    <x v="1"/>
    <x v="75"/>
    <x v="1"/>
    <n v="55"/>
    <x v="0"/>
    <x v="21"/>
    <x v="5"/>
  </r>
  <r>
    <s v="ORD-0316"/>
    <d v="2025-10-19T00:00:00"/>
    <x v="9"/>
    <s v="CUST-095"/>
    <s v="PROD-125"/>
    <n v="4"/>
    <n v="856"/>
    <n v="727.6"/>
    <n v="3424"/>
    <n v="2910.4"/>
    <n v="513.59999999999991"/>
    <s v="Anna"/>
    <x v="1"/>
    <x v="2"/>
    <x v="1"/>
    <n v="39"/>
    <x v="0"/>
    <x v="13"/>
    <x v="0"/>
  </r>
  <r>
    <s v="ORD-0317"/>
    <d v="2025-10-27T00:00:00"/>
    <x v="3"/>
    <s v="CUST-084"/>
    <s v="PROD-132"/>
    <n v="2"/>
    <n v="14661.5"/>
    <n v="12462.275"/>
    <n v="29323"/>
    <n v="24924.55"/>
    <n v="4398.4500000000007"/>
    <s v="Laura"/>
    <x v="4"/>
    <x v="45"/>
    <x v="1"/>
    <n v="49"/>
    <x v="0"/>
    <x v="26"/>
    <x v="2"/>
  </r>
  <r>
    <s v="ORD-0318"/>
    <d v="2025-11-10T00:00:00"/>
    <x v="12"/>
    <s v="CUST-080"/>
    <s v="PROD-101"/>
    <n v="8"/>
    <n v="12217.4"/>
    <n v="10384.789999999999"/>
    <n v="97739.199999999997"/>
    <n v="83078.319999999992"/>
    <n v="14660.880000000005"/>
    <s v="Laura"/>
    <x v="1"/>
    <x v="33"/>
    <x v="1"/>
    <n v="21"/>
    <x v="1"/>
    <x v="16"/>
    <x v="3"/>
  </r>
  <r>
    <s v="ORD-0319"/>
    <d v="2025-12-02T00:00:00"/>
    <x v="10"/>
    <s v="CUST-061"/>
    <s v="PROD-127"/>
    <n v="6"/>
    <n v="9925.8000000000011"/>
    <n v="8436.93"/>
    <n v="59554.8"/>
    <n v="50621.58"/>
    <n v="8933.2200000000012"/>
    <s v="Aaron"/>
    <x v="0"/>
    <x v="31"/>
    <x v="0"/>
    <n v="28"/>
    <x v="1"/>
    <x v="17"/>
    <x v="5"/>
  </r>
  <r>
    <s v="ORD-0320"/>
    <d v="2025-11-15T00:00:00"/>
    <x v="12"/>
    <s v="CUST-029"/>
    <s v="PROD-107"/>
    <n v="9"/>
    <n v="17542.599999999999"/>
    <n v="14911.21"/>
    <n v="157883.4"/>
    <n v="134200.88999999998"/>
    <n v="23682.510000000009"/>
    <s v="Lori"/>
    <x v="0"/>
    <x v="86"/>
    <x v="1"/>
    <n v="44"/>
    <x v="0"/>
    <x v="12"/>
    <x v="4"/>
  </r>
  <r>
    <s v="ORD-0321"/>
    <d v="2025-12-02T00:00:00"/>
    <x v="10"/>
    <s v="CUST-065"/>
    <s v="PROD-128"/>
    <n v="6"/>
    <n v="16511.199999999997"/>
    <n v="14034.519999999997"/>
    <n v="99067.199999999983"/>
    <n v="84207.119999999981"/>
    <n v="14860.080000000002"/>
    <s v="Jennifer"/>
    <x v="5"/>
    <x v="42"/>
    <x v="0"/>
    <n v="23"/>
    <x v="1"/>
    <x v="15"/>
    <x v="5"/>
  </r>
  <r>
    <s v="ORD-0322"/>
    <d v="2025-11-27T00:00:00"/>
    <x v="0"/>
    <s v="CUST-052"/>
    <s v="PROD-129"/>
    <n v="4"/>
    <n v="19350.5"/>
    <n v="16447.924999999999"/>
    <n v="77402"/>
    <n v="65791.7"/>
    <n v="11610.300000000003"/>
    <s v="Joshua"/>
    <x v="1"/>
    <x v="8"/>
    <x v="1"/>
    <n v="28"/>
    <x v="1"/>
    <x v="21"/>
    <x v="5"/>
  </r>
  <r>
    <s v="ORD-0323"/>
    <d v="2025-12-06T00:00:00"/>
    <x v="10"/>
    <s v="CUST-066"/>
    <s v="PROD-133"/>
    <n v="8"/>
    <n v="19228.5"/>
    <n v="16344.225"/>
    <n v="153828"/>
    <n v="130753.8"/>
    <n v="23074.199999999997"/>
    <s v="Anna"/>
    <x v="0"/>
    <x v="55"/>
    <x v="0"/>
    <n v="20"/>
    <x v="1"/>
    <x v="22"/>
    <x v="2"/>
  </r>
  <r>
    <s v="ORD-0324"/>
    <d v="2025-11-03T00:00:00"/>
    <x v="5"/>
    <s v="CUST-110"/>
    <s v="PROD-114"/>
    <n v="6"/>
    <n v="10647.8"/>
    <n v="9050.6299999999992"/>
    <n v="63886.799999999996"/>
    <n v="54303.78"/>
    <n v="9583.0199999999968"/>
    <s v="Timothy"/>
    <x v="1"/>
    <x v="35"/>
    <x v="1"/>
    <n v="52"/>
    <x v="0"/>
    <x v="18"/>
    <x v="1"/>
  </r>
  <r>
    <s v="ORD-0325"/>
    <d v="2025-11-11T00:00:00"/>
    <x v="12"/>
    <s v="CUST-099"/>
    <s v="PROD-111"/>
    <n v="6"/>
    <n v="13558.099999999999"/>
    <n v="11524.384999999998"/>
    <n v="81348.599999999991"/>
    <n v="69146.31"/>
    <n v="12202.289999999994"/>
    <s v="Kayla"/>
    <x v="1"/>
    <x v="5"/>
    <x v="0"/>
    <n v="52"/>
    <x v="0"/>
    <x v="31"/>
    <x v="1"/>
  </r>
  <r>
    <s v="ORD-0326"/>
    <d v="2025-10-05T00:00:00"/>
    <x v="1"/>
    <s v="CUST-065"/>
    <s v="PROD-134"/>
    <n v="9"/>
    <n v="3820.8999999999996"/>
    <n v="3247.7649999999999"/>
    <n v="34388.1"/>
    <n v="29229.884999999998"/>
    <n v="5158.2150000000001"/>
    <s v="Thomas"/>
    <x v="5"/>
    <x v="42"/>
    <x v="0"/>
    <n v="23"/>
    <x v="1"/>
    <x v="7"/>
    <x v="2"/>
  </r>
  <r>
    <s v="ORD-0327"/>
    <d v="2025-11-16T00:00:00"/>
    <x v="6"/>
    <s v="CUST-136"/>
    <s v="PROD-117"/>
    <n v="2"/>
    <n v="9755.1"/>
    <n v="8291.8350000000009"/>
    <n v="19510.2"/>
    <n v="16583.670000000002"/>
    <n v="2926.5299999999988"/>
    <s v="Jasmine"/>
    <x v="2"/>
    <x v="24"/>
    <x v="0"/>
    <n v="34"/>
    <x v="1"/>
    <x v="23"/>
    <x v="0"/>
  </r>
  <r>
    <s v="ORD-0328"/>
    <d v="2025-10-17T00:00:00"/>
    <x v="13"/>
    <s v="CUST-121"/>
    <s v="PROD-108"/>
    <n v="2"/>
    <n v="19051.7"/>
    <n v="16193.945"/>
    <n v="38103.4"/>
    <n v="32387.89"/>
    <n v="5715.510000000002"/>
    <s v="Kayla"/>
    <x v="1"/>
    <x v="99"/>
    <x v="1"/>
    <n v="24"/>
    <x v="1"/>
    <x v="27"/>
    <x v="4"/>
  </r>
  <r>
    <s v="ORD-0329"/>
    <d v="2025-11-06T00:00:00"/>
    <x v="5"/>
    <s v="CUST-112"/>
    <s v="PROD-102"/>
    <n v="2"/>
    <n v="4432.2000000000007"/>
    <n v="3767.3700000000008"/>
    <n v="8864.4000000000015"/>
    <n v="7534.7400000000016"/>
    <n v="1329.6599999999999"/>
    <s v="Katie"/>
    <x v="1"/>
    <x v="11"/>
    <x v="1"/>
    <n v="40"/>
    <x v="0"/>
    <x v="20"/>
    <x v="3"/>
  </r>
  <r>
    <s v="ORD-0330"/>
    <d v="2025-11-30T00:00:00"/>
    <x v="10"/>
    <s v="CUST-029"/>
    <s v="PROD-127"/>
    <n v="4"/>
    <n v="9413.7999999999993"/>
    <n v="8001.73"/>
    <n v="37655.199999999997"/>
    <n v="32006.92"/>
    <n v="5648.2799999999988"/>
    <s v="Tracey"/>
    <x v="0"/>
    <x v="86"/>
    <x v="1"/>
    <n v="44"/>
    <x v="0"/>
    <x v="17"/>
    <x v="5"/>
  </r>
  <r>
    <s v="ORD-0331"/>
    <d v="2025-11-14T00:00:00"/>
    <x v="12"/>
    <s v="CUST-118"/>
    <s v="PROD-105"/>
    <n v="2"/>
    <n v="4159.5"/>
    <n v="3535.5749999999998"/>
    <n v="8319"/>
    <n v="7071.15"/>
    <n v="1247.8500000000004"/>
    <s v="Jennifer"/>
    <x v="4"/>
    <x v="62"/>
    <x v="0"/>
    <n v="48"/>
    <x v="0"/>
    <x v="3"/>
    <x v="3"/>
  </r>
  <r>
    <s v="ORD-0332"/>
    <d v="2025-12-05T00:00:00"/>
    <x v="10"/>
    <s v="CUST-050"/>
    <s v="PROD-116"/>
    <n v="4"/>
    <n v="13305.8"/>
    <n v="11309.93"/>
    <n v="53223.199999999997"/>
    <n v="45239.72"/>
    <n v="7983.4799999999959"/>
    <s v="Lori"/>
    <x v="0"/>
    <x v="83"/>
    <x v="0"/>
    <n v="35"/>
    <x v="0"/>
    <x v="24"/>
    <x v="1"/>
  </r>
  <r>
    <s v="ORD-0333"/>
    <d v="2025-12-07T00:00:00"/>
    <x v="7"/>
    <s v="CUST-148"/>
    <s v="PROD-121"/>
    <n v="5"/>
    <n v="18995.099999999999"/>
    <n v="16145.834999999999"/>
    <n v="94975.5"/>
    <n v="80729.174999999988"/>
    <n v="14246.325000000012"/>
    <s v="Laura"/>
    <x v="0"/>
    <x v="68"/>
    <x v="1"/>
    <n v="37"/>
    <x v="0"/>
    <x v="8"/>
    <x v="0"/>
  </r>
  <r>
    <s v="ORD-0334"/>
    <d v="2025-10-05T00:00:00"/>
    <x v="1"/>
    <s v="CUST-008"/>
    <s v="PROD-127"/>
    <n v="3"/>
    <n v="5188.7"/>
    <n v="4410.3949999999995"/>
    <n v="15566.099999999999"/>
    <n v="13231.184999999998"/>
    <n v="2334.9150000000009"/>
    <s v="Keith"/>
    <x v="4"/>
    <x v="69"/>
    <x v="0"/>
    <n v="29"/>
    <x v="1"/>
    <x v="17"/>
    <x v="5"/>
  </r>
  <r>
    <s v="ORD-0335"/>
    <d v="2025-10-05T00:00:00"/>
    <x v="1"/>
    <s v="CUST-119"/>
    <s v="PROD-132"/>
    <n v="2"/>
    <n v="13582.8"/>
    <n v="11545.38"/>
    <n v="27165.599999999999"/>
    <n v="23090.76"/>
    <n v="4074.84"/>
    <s v="Brenda"/>
    <x v="5"/>
    <x v="56"/>
    <x v="1"/>
    <n v="20"/>
    <x v="1"/>
    <x v="26"/>
    <x v="2"/>
  </r>
  <r>
    <s v="ORD-0336"/>
    <d v="2025-12-25T00:00:00"/>
    <x v="8"/>
    <s v="CUST-062"/>
    <s v="PROD-104"/>
    <n v="5"/>
    <n v="19680.7"/>
    <n v="16728.595000000001"/>
    <n v="98403.5"/>
    <n v="83642.975000000006"/>
    <n v="14760.524999999994"/>
    <s v="Keith"/>
    <x v="3"/>
    <x v="61"/>
    <x v="0"/>
    <n v="20"/>
    <x v="1"/>
    <x v="4"/>
    <x v="3"/>
  </r>
  <r>
    <s v="ORD-0337"/>
    <d v="2025-12-31T00:00:00"/>
    <x v="2"/>
    <s v="CUST-121"/>
    <s v="PROD-115"/>
    <n v="10"/>
    <n v="9883.7999999999993"/>
    <n v="8401.23"/>
    <n v="98838"/>
    <n v="84012.299999999988"/>
    <n v="14825.700000000012"/>
    <s v="Aaron"/>
    <x v="1"/>
    <x v="99"/>
    <x v="1"/>
    <n v="24"/>
    <x v="1"/>
    <x v="10"/>
    <x v="1"/>
  </r>
  <r>
    <s v="ORD-0338"/>
    <d v="2025-12-12T00:00:00"/>
    <x v="7"/>
    <s v="CUST-068"/>
    <s v="PROD-133"/>
    <n v="8"/>
    <n v="11664.5"/>
    <n v="9914.8250000000007"/>
    <n v="93316"/>
    <n v="79318.600000000006"/>
    <n v="13997.399999999994"/>
    <s v="Tara"/>
    <x v="4"/>
    <x v="45"/>
    <x v="1"/>
    <n v="28"/>
    <x v="1"/>
    <x v="22"/>
    <x v="2"/>
  </r>
  <r>
    <s v="ORD-0339"/>
    <d v="2025-11-23T00:00:00"/>
    <x v="0"/>
    <s v="CUST-019"/>
    <s v="PROD-124"/>
    <n v="2"/>
    <n v="3356"/>
    <n v="2852.6"/>
    <n v="6712"/>
    <n v="5705.2"/>
    <n v="1006.8000000000002"/>
    <s v="Anna"/>
    <x v="3"/>
    <x v="9"/>
    <x v="1"/>
    <n v="21"/>
    <x v="1"/>
    <x v="5"/>
    <x v="0"/>
  </r>
  <r>
    <s v="ORD-0340"/>
    <d v="2025-10-15T00:00:00"/>
    <x v="13"/>
    <s v="CUST-003"/>
    <s v="PROD-130"/>
    <n v="2"/>
    <n v="15376"/>
    <n v="13069.6"/>
    <n v="30752"/>
    <n v="26139.200000000001"/>
    <n v="4612.7999999999993"/>
    <s v="Brenda"/>
    <x v="4"/>
    <x v="10"/>
    <x v="0"/>
    <n v="25"/>
    <x v="1"/>
    <x v="29"/>
    <x v="2"/>
  </r>
  <r>
    <s v="ORD-0341"/>
    <d v="2025-11-13T00:00:00"/>
    <x v="12"/>
    <s v="CUST-003"/>
    <s v="PROD-118"/>
    <n v="5"/>
    <n v="11644.6"/>
    <n v="9897.91"/>
    <n v="58223"/>
    <n v="49489.55"/>
    <n v="8733.4499999999971"/>
    <s v="Timothy"/>
    <x v="4"/>
    <x v="10"/>
    <x v="0"/>
    <n v="25"/>
    <x v="1"/>
    <x v="25"/>
    <x v="0"/>
  </r>
  <r>
    <s v="ORD-0342"/>
    <d v="2025-12-23T00:00:00"/>
    <x v="8"/>
    <s v="CUST-139"/>
    <s v="PROD-124"/>
    <n v="1"/>
    <n v="6400.5999999999995"/>
    <n v="5440.5099999999993"/>
    <n v="6400.5999999999995"/>
    <n v="5440.5099999999993"/>
    <n v="960.09000000000015"/>
    <s v="Anna"/>
    <x v="1"/>
    <x v="57"/>
    <x v="1"/>
    <n v="20"/>
    <x v="1"/>
    <x v="5"/>
    <x v="0"/>
  </r>
  <r>
    <s v="ORD-0343"/>
    <d v="2025-10-06T00:00:00"/>
    <x v="1"/>
    <s v="CUST-114"/>
    <s v="PROD-119"/>
    <n v="5"/>
    <n v="8343.9"/>
    <n v="7092.3149999999996"/>
    <n v="41719.5"/>
    <n v="35461.574999999997"/>
    <n v="6257.9250000000029"/>
    <s v="Andrea"/>
    <x v="2"/>
    <x v="42"/>
    <x v="0"/>
    <n v="25"/>
    <x v="1"/>
    <x v="33"/>
    <x v="0"/>
  </r>
  <r>
    <s v="ORD-0344"/>
    <d v="2025-11-29T00:00:00"/>
    <x v="0"/>
    <s v="CUST-015"/>
    <s v="PROD-115"/>
    <n v="10"/>
    <n v="12025.2"/>
    <n v="10221.42"/>
    <n v="120252"/>
    <n v="102214.2"/>
    <n v="18037.800000000003"/>
    <s v="Ralph"/>
    <x v="1"/>
    <x v="88"/>
    <x v="0"/>
    <n v="40"/>
    <x v="0"/>
    <x v="10"/>
    <x v="1"/>
  </r>
  <r>
    <s v="ORD-0345"/>
    <d v="2025-10-11T00:00:00"/>
    <x v="1"/>
    <s v="CUST-133"/>
    <s v="PROD-102"/>
    <n v="2"/>
    <n v="19895"/>
    <n v="16910.75"/>
    <n v="39790"/>
    <n v="33821.5"/>
    <n v="5968.5"/>
    <s v="Aaron"/>
    <x v="4"/>
    <x v="94"/>
    <x v="1"/>
    <n v="21"/>
    <x v="1"/>
    <x v="20"/>
    <x v="3"/>
  </r>
  <r>
    <s v="ORD-0346"/>
    <d v="2025-12-07T00:00:00"/>
    <x v="7"/>
    <s v="CUST-071"/>
    <s v="PROD-105"/>
    <n v="1"/>
    <n v="10388"/>
    <n v="8829.7999999999993"/>
    <n v="10388"/>
    <n v="8829.7999999999993"/>
    <n v="1558.2000000000007"/>
    <s v="Thomas"/>
    <x v="2"/>
    <x v="6"/>
    <x v="1"/>
    <n v="32"/>
    <x v="1"/>
    <x v="3"/>
    <x v="3"/>
  </r>
  <r>
    <s v="ORD-0347"/>
    <d v="2025-11-29T00:00:00"/>
    <x v="0"/>
    <s v="CUST-064"/>
    <s v="PROD-110"/>
    <n v="10"/>
    <n v="2121.1999999999998"/>
    <n v="1803.02"/>
    <n v="21212"/>
    <n v="18030.2"/>
    <n v="3181.7999999999993"/>
    <s v="Laura"/>
    <x v="4"/>
    <x v="59"/>
    <x v="0"/>
    <n v="37"/>
    <x v="0"/>
    <x v="14"/>
    <x v="4"/>
  </r>
  <r>
    <s v="ORD-0348"/>
    <d v="2025-10-12T00:00:00"/>
    <x v="13"/>
    <s v="CUST-030"/>
    <s v="PROD-105"/>
    <n v="3"/>
    <n v="10062.700000000001"/>
    <n v="8553.2950000000001"/>
    <n v="30188.100000000002"/>
    <n v="25659.885000000002"/>
    <n v="4528.2150000000001"/>
    <s v="Aaron"/>
    <x v="3"/>
    <x v="4"/>
    <x v="1"/>
    <n v="24"/>
    <x v="1"/>
    <x v="3"/>
    <x v="3"/>
  </r>
  <r>
    <s v="ORD-0349"/>
    <d v="2025-12-28T00:00:00"/>
    <x v="2"/>
    <s v="CUST-111"/>
    <s v="PROD-131"/>
    <n v="2"/>
    <n v="6522"/>
    <n v="5543.7"/>
    <n v="13044"/>
    <n v="11087.4"/>
    <n v="1956.6000000000004"/>
    <s v="Joshua"/>
    <x v="4"/>
    <x v="10"/>
    <x v="0"/>
    <n v="20"/>
    <x v="1"/>
    <x v="2"/>
    <x v="2"/>
  </r>
  <r>
    <s v="ORD-0350"/>
    <d v="2025-10-12T00:00:00"/>
    <x v="13"/>
    <s v="CUST-141"/>
    <s v="PROD-105"/>
    <n v="9"/>
    <n v="1737"/>
    <n v="1476.45"/>
    <n v="15633"/>
    <n v="13288.050000000001"/>
    <n v="2344.9499999999989"/>
    <s v="David"/>
    <x v="5"/>
    <x v="12"/>
    <x v="1"/>
    <n v="49"/>
    <x v="0"/>
    <x v="3"/>
    <x v="3"/>
  </r>
  <r>
    <s v="ORD-0351"/>
    <d v="2025-10-23T00:00:00"/>
    <x v="9"/>
    <s v="CUST-074"/>
    <s v="PROD-113"/>
    <n v="1"/>
    <n v="17114.2"/>
    <n v="14547.07"/>
    <n v="17114.2"/>
    <n v="14547.07"/>
    <n v="2567.130000000001"/>
    <s v="Kayla"/>
    <x v="1"/>
    <x v="47"/>
    <x v="0"/>
    <n v="32"/>
    <x v="1"/>
    <x v="19"/>
    <x v="1"/>
  </r>
  <r>
    <s v="ORD-0352"/>
    <d v="2025-11-11T00:00:00"/>
    <x v="12"/>
    <s v="CUST-085"/>
    <s v="PROD-132"/>
    <n v="8"/>
    <n v="9352.4"/>
    <n v="7949.54"/>
    <n v="74819.199999999997"/>
    <n v="63596.32"/>
    <n v="11222.879999999997"/>
    <s v="Sean"/>
    <x v="4"/>
    <x v="41"/>
    <x v="0"/>
    <n v="29"/>
    <x v="1"/>
    <x v="26"/>
    <x v="2"/>
  </r>
  <r>
    <s v="ORD-0353"/>
    <d v="2025-12-12T00:00:00"/>
    <x v="7"/>
    <s v="CUST-019"/>
    <s v="PROD-121"/>
    <n v="3"/>
    <n v="1457.1000000000001"/>
    <n v="1238.5350000000001"/>
    <n v="4371.3"/>
    <n v="3715.6050000000005"/>
    <n v="655.69499999999971"/>
    <s v="Daniel"/>
    <x v="3"/>
    <x v="9"/>
    <x v="1"/>
    <n v="21"/>
    <x v="1"/>
    <x v="8"/>
    <x v="0"/>
  </r>
  <r>
    <s v="ORD-0354"/>
    <d v="2025-10-01T00:00:00"/>
    <x v="11"/>
    <s v="CUST-008"/>
    <s v="PROD-119"/>
    <n v="5"/>
    <n v="13454.2"/>
    <n v="11436.07"/>
    <n v="67271"/>
    <n v="57180.35"/>
    <n v="10090.650000000001"/>
    <s v="Patrick"/>
    <x v="4"/>
    <x v="69"/>
    <x v="0"/>
    <n v="29"/>
    <x v="1"/>
    <x v="33"/>
    <x v="0"/>
  </r>
  <r>
    <s v="ORD-0355"/>
    <d v="2025-10-23T00:00:00"/>
    <x v="9"/>
    <s v="CUST-140"/>
    <s v="PROD-124"/>
    <n v="7"/>
    <n v="5655.9000000000005"/>
    <n v="4807.5150000000003"/>
    <n v="39591.300000000003"/>
    <n v="33652.605000000003"/>
    <n v="5938.6949999999997"/>
    <s v="Lori"/>
    <x v="4"/>
    <x v="77"/>
    <x v="1"/>
    <n v="46"/>
    <x v="0"/>
    <x v="5"/>
    <x v="0"/>
  </r>
  <r>
    <s v="ORD-0356"/>
    <d v="2025-11-11T00:00:00"/>
    <x v="12"/>
    <s v="CUST-041"/>
    <s v="PROD-107"/>
    <n v="7"/>
    <n v="3884.5"/>
    <n v="3301.8249999999998"/>
    <n v="27191.5"/>
    <n v="23112.774999999998"/>
    <n v="4078.7250000000022"/>
    <s v="Lori"/>
    <x v="3"/>
    <x v="19"/>
    <x v="0"/>
    <n v="20"/>
    <x v="1"/>
    <x v="12"/>
    <x v="4"/>
  </r>
  <r>
    <s v="ORD-0357"/>
    <d v="2025-12-13T00:00:00"/>
    <x v="7"/>
    <s v="CUST-029"/>
    <s v="PROD-121"/>
    <n v="1"/>
    <n v="8208.2000000000007"/>
    <n v="6976.9700000000012"/>
    <n v="8208.2000000000007"/>
    <n v="6976.9700000000012"/>
    <n v="1231.2299999999996"/>
    <s v="Lisa"/>
    <x v="0"/>
    <x v="86"/>
    <x v="1"/>
    <n v="44"/>
    <x v="0"/>
    <x v="8"/>
    <x v="0"/>
  </r>
  <r>
    <s v="ORD-0358"/>
    <d v="2025-11-21T00:00:00"/>
    <x v="6"/>
    <s v="CUST-088"/>
    <s v="PROD-110"/>
    <n v="2"/>
    <n v="9545"/>
    <n v="8113.25"/>
    <n v="19090"/>
    <n v="16226.5"/>
    <n v="2863.5"/>
    <s v="Douglas"/>
    <x v="1"/>
    <x v="76"/>
    <x v="1"/>
    <n v="33"/>
    <x v="1"/>
    <x v="14"/>
    <x v="4"/>
  </r>
  <r>
    <s v="ORD-0359"/>
    <d v="2025-11-04T00:00:00"/>
    <x v="5"/>
    <s v="CUST-102"/>
    <s v="PROD-127"/>
    <n v="7"/>
    <n v="11999.2"/>
    <n v="10199.32"/>
    <n v="83994.400000000009"/>
    <n v="71395.239999999991"/>
    <n v="12599.160000000018"/>
    <s v="Katie"/>
    <x v="1"/>
    <x v="40"/>
    <x v="1"/>
    <n v="27"/>
    <x v="1"/>
    <x v="17"/>
    <x v="5"/>
  </r>
  <r>
    <s v="ORD-0360"/>
    <d v="2025-12-20T00:00:00"/>
    <x v="4"/>
    <s v="CUST-045"/>
    <s v="PROD-113"/>
    <n v="9"/>
    <n v="12647"/>
    <n v="10749.95"/>
    <n v="113823"/>
    <n v="96749.55"/>
    <n v="17073.449999999997"/>
    <s v="Douglas"/>
    <x v="1"/>
    <x v="36"/>
    <x v="0"/>
    <n v="22"/>
    <x v="1"/>
    <x v="19"/>
    <x v="1"/>
  </r>
  <r>
    <s v="ORD-0361"/>
    <d v="2025-12-16T00:00:00"/>
    <x v="4"/>
    <s v="CUST-047"/>
    <s v="PROD-105"/>
    <n v="1"/>
    <n v="9515.5"/>
    <n v="8088.1750000000002"/>
    <n v="9515.5"/>
    <n v="8088.1750000000002"/>
    <n v="1427.3249999999998"/>
    <s v="Laura"/>
    <x v="1"/>
    <x v="29"/>
    <x v="0"/>
    <n v="55"/>
    <x v="0"/>
    <x v="3"/>
    <x v="3"/>
  </r>
  <r>
    <s v="ORD-0362"/>
    <d v="2025-12-02T00:00:00"/>
    <x v="10"/>
    <s v="CUST-067"/>
    <s v="PROD-102"/>
    <n v="3"/>
    <n v="529.79999999999995"/>
    <n v="450.33"/>
    <n v="1589.3999999999999"/>
    <n v="1350.99"/>
    <n v="238.40999999999985"/>
    <s v="Kayla"/>
    <x v="1"/>
    <x v="64"/>
    <x v="1"/>
    <n v="45"/>
    <x v="0"/>
    <x v="20"/>
    <x v="3"/>
  </r>
  <r>
    <s v="ORD-0363"/>
    <d v="2025-12-15T00:00:00"/>
    <x v="4"/>
    <s v="CUST-147"/>
    <s v="PROD-121"/>
    <n v="5"/>
    <n v="1988.6000000000001"/>
    <n v="1690.3100000000002"/>
    <n v="9943"/>
    <n v="8451.5500000000011"/>
    <n v="1491.4499999999989"/>
    <s v="Caroline"/>
    <x v="2"/>
    <x v="36"/>
    <x v="0"/>
    <n v="53"/>
    <x v="0"/>
    <x v="8"/>
    <x v="0"/>
  </r>
  <r>
    <s v="ORD-0364"/>
    <d v="2025-10-30T00:00:00"/>
    <x v="3"/>
    <s v="CUST-070"/>
    <s v="PROD-105"/>
    <n v="7"/>
    <n v="9582"/>
    <n v="8144.7"/>
    <n v="67074"/>
    <n v="57012.9"/>
    <n v="10061.099999999999"/>
    <s v="Ralph"/>
    <x v="1"/>
    <x v="51"/>
    <x v="1"/>
    <n v="25"/>
    <x v="1"/>
    <x v="3"/>
    <x v="3"/>
  </r>
  <r>
    <s v="ORD-0365"/>
    <d v="2025-10-11T00:00:00"/>
    <x v="1"/>
    <s v="CUST-145"/>
    <s v="PROD-122"/>
    <n v="6"/>
    <n v="18035.400000000001"/>
    <n v="15330.090000000002"/>
    <n v="108212.40000000001"/>
    <n v="91980.540000000008"/>
    <n v="16231.86"/>
    <s v="Tara"/>
    <x v="1"/>
    <x v="83"/>
    <x v="0"/>
    <n v="31"/>
    <x v="1"/>
    <x v="11"/>
    <x v="0"/>
  </r>
  <r>
    <s v="ORD-0366"/>
    <d v="2025-10-01T00:00:00"/>
    <x v="11"/>
    <s v="CUST-038"/>
    <s v="PROD-126"/>
    <n v="4"/>
    <n v="19682.400000000001"/>
    <n v="16730.04"/>
    <n v="78729.600000000006"/>
    <n v="66920.160000000003"/>
    <n v="11809.440000000002"/>
    <s v="Laura"/>
    <x v="1"/>
    <x v="59"/>
    <x v="0"/>
    <n v="32"/>
    <x v="1"/>
    <x v="9"/>
    <x v="5"/>
  </r>
  <r>
    <s v="ORD-0367"/>
    <d v="2025-10-21T00:00:00"/>
    <x v="9"/>
    <s v="CUST-123"/>
    <s v="PROD-124"/>
    <n v="4"/>
    <n v="12511.7"/>
    <n v="10634.945"/>
    <n v="50046.8"/>
    <n v="42539.78"/>
    <n v="7507.0200000000041"/>
    <s v="Laura"/>
    <x v="1"/>
    <x v="28"/>
    <x v="0"/>
    <n v="20"/>
    <x v="1"/>
    <x v="5"/>
    <x v="0"/>
  </r>
  <r>
    <s v="ORD-0368"/>
    <d v="2025-11-22T00:00:00"/>
    <x v="6"/>
    <s v="CUST-013"/>
    <s v="PROD-108"/>
    <n v="4"/>
    <n v="10494.300000000001"/>
    <n v="8920.1550000000007"/>
    <n v="41977.200000000004"/>
    <n v="35680.620000000003"/>
    <n v="6296.5800000000017"/>
    <s v="Linda"/>
    <x v="1"/>
    <x v="94"/>
    <x v="1"/>
    <n v="26"/>
    <x v="1"/>
    <x v="27"/>
    <x v="4"/>
  </r>
  <r>
    <s v="ORD-0369"/>
    <d v="2025-10-24T00:00:00"/>
    <x v="9"/>
    <s v="CUST-017"/>
    <s v="PROD-120"/>
    <n v="10"/>
    <n v="11808.900000000001"/>
    <n v="10037.565000000001"/>
    <n v="118089.00000000001"/>
    <n v="100375.65000000001"/>
    <n v="17713.350000000006"/>
    <s v="Cheyenne"/>
    <x v="2"/>
    <x v="60"/>
    <x v="0"/>
    <n v="27"/>
    <x v="1"/>
    <x v="0"/>
    <x v="0"/>
  </r>
  <r>
    <s v="ORD-0370"/>
    <d v="2025-10-01T00:00:00"/>
    <x v="11"/>
    <s v="CUST-131"/>
    <s v="PROD-132"/>
    <n v="2"/>
    <n v="1978.6000000000001"/>
    <n v="1681.8100000000002"/>
    <n v="3957.2000000000003"/>
    <n v="3363.6200000000003"/>
    <n v="593.57999999999993"/>
    <s v="Tara"/>
    <x v="0"/>
    <x v="37"/>
    <x v="0"/>
    <n v="46"/>
    <x v="0"/>
    <x v="26"/>
    <x v="2"/>
  </r>
  <r>
    <s v="ORD-0371"/>
    <d v="2025-12-13T00:00:00"/>
    <x v="7"/>
    <s v="CUST-004"/>
    <s v="PROD-122"/>
    <n v="9"/>
    <n v="6018.2000000000007"/>
    <n v="5115.47"/>
    <n v="54163.8"/>
    <n v="46039.23"/>
    <n v="8124.57"/>
    <s v="Tracey"/>
    <x v="5"/>
    <x v="100"/>
    <x v="0"/>
    <n v="40"/>
    <x v="0"/>
    <x v="11"/>
    <x v="0"/>
  </r>
  <r>
    <s v="ORD-0372"/>
    <d v="2025-10-14T00:00:00"/>
    <x v="13"/>
    <s v="CUST-020"/>
    <s v="PROD-121"/>
    <n v="2"/>
    <n v="13315.8"/>
    <n v="11318.43"/>
    <n v="26631.599999999999"/>
    <n v="22636.86"/>
    <n v="3994.739999999998"/>
    <s v="Lisa"/>
    <x v="1"/>
    <x v="23"/>
    <x v="1"/>
    <n v="35"/>
    <x v="0"/>
    <x v="8"/>
    <x v="0"/>
  </r>
  <r>
    <s v="ORD-0373"/>
    <d v="2025-12-12T00:00:00"/>
    <x v="7"/>
    <s v="CUST-136"/>
    <s v="PROD-107"/>
    <n v="6"/>
    <n v="4822.7"/>
    <n v="4099.2950000000001"/>
    <n v="28936.199999999997"/>
    <n v="24595.77"/>
    <n v="4340.4299999999967"/>
    <s v="Andrea"/>
    <x v="2"/>
    <x v="24"/>
    <x v="0"/>
    <n v="34"/>
    <x v="1"/>
    <x v="12"/>
    <x v="4"/>
  </r>
  <r>
    <s v="ORD-0374"/>
    <d v="2025-12-27T00:00:00"/>
    <x v="8"/>
    <s v="CUST-092"/>
    <s v="PROD-113"/>
    <n v="2"/>
    <n v="13934.5"/>
    <n v="11844.325000000001"/>
    <n v="27869"/>
    <n v="23688.65"/>
    <n v="4180.3499999999985"/>
    <s v="Jennifer"/>
    <x v="2"/>
    <x v="3"/>
    <x v="0"/>
    <n v="48"/>
    <x v="0"/>
    <x v="19"/>
    <x v="1"/>
  </r>
  <r>
    <s v="ORD-0375"/>
    <d v="2025-10-12T00:00:00"/>
    <x v="13"/>
    <s v="CUST-137"/>
    <s v="PROD-113"/>
    <n v="5"/>
    <n v="9378"/>
    <n v="7971.3"/>
    <n v="46890"/>
    <n v="39856.5"/>
    <n v="7033.5"/>
    <s v="Anna"/>
    <x v="0"/>
    <x v="81"/>
    <x v="0"/>
    <n v="36"/>
    <x v="0"/>
    <x v="19"/>
    <x v="1"/>
  </r>
  <r>
    <s v="ORD-0376"/>
    <d v="2025-12-22T00:00:00"/>
    <x v="8"/>
    <s v="CUST-129"/>
    <s v="PROD-120"/>
    <n v="4"/>
    <n v="6823.4000000000005"/>
    <n v="5799.89"/>
    <n v="27293.600000000002"/>
    <n v="23199.56"/>
    <n v="4094.0400000000009"/>
    <s v="Laura"/>
    <x v="4"/>
    <x v="71"/>
    <x v="0"/>
    <n v="38"/>
    <x v="0"/>
    <x v="0"/>
    <x v="0"/>
  </r>
  <r>
    <s v="ORD-0377"/>
    <d v="2025-12-02T00:00:00"/>
    <x v="10"/>
    <s v="CUST-127"/>
    <s v="PROD-111"/>
    <n v="6"/>
    <n v="7493.2000000000007"/>
    <n v="6369.2200000000012"/>
    <n v="44959.200000000004"/>
    <n v="38215.320000000007"/>
    <n v="6743.8799999999974"/>
    <s v="Jonathan"/>
    <x v="3"/>
    <x v="48"/>
    <x v="0"/>
    <n v="18"/>
    <x v="1"/>
    <x v="31"/>
    <x v="1"/>
  </r>
  <r>
    <s v="ORD-0378"/>
    <d v="2025-12-04T00:00:00"/>
    <x v="10"/>
    <s v="CUST-081"/>
    <s v="PROD-119"/>
    <n v="7"/>
    <n v="4282.5"/>
    <n v="3640.125"/>
    <n v="29977.5"/>
    <n v="25480.875"/>
    <n v="4496.625"/>
    <s v="Tracey"/>
    <x v="2"/>
    <x v="43"/>
    <x v="0"/>
    <n v="46"/>
    <x v="0"/>
    <x v="33"/>
    <x v="0"/>
  </r>
  <r>
    <s v="ORD-0379"/>
    <d v="2025-11-23T00:00:00"/>
    <x v="0"/>
    <s v="CUST-144"/>
    <s v="PROD-104"/>
    <n v="8"/>
    <n v="16905.099999999999"/>
    <n v="14369.334999999999"/>
    <n v="135240.79999999999"/>
    <n v="114954.68"/>
    <n v="20286.119999999995"/>
    <s v="Patrick"/>
    <x v="4"/>
    <x v="66"/>
    <x v="1"/>
    <n v="23"/>
    <x v="1"/>
    <x v="4"/>
    <x v="3"/>
  </r>
  <r>
    <s v="ORD-0380"/>
    <d v="2025-11-27T00:00:00"/>
    <x v="0"/>
    <s v="CUST-127"/>
    <s v="PROD-113"/>
    <n v="1"/>
    <n v="12632.6"/>
    <n v="10737.710000000001"/>
    <n v="12632.6"/>
    <n v="10737.710000000001"/>
    <n v="1894.8899999999994"/>
    <s v="Lori"/>
    <x v="3"/>
    <x v="48"/>
    <x v="0"/>
    <n v="18"/>
    <x v="1"/>
    <x v="19"/>
    <x v="1"/>
  </r>
  <r>
    <s v="ORD-0381"/>
    <d v="2025-12-23T00:00:00"/>
    <x v="8"/>
    <s v="CUST-024"/>
    <s v="PROD-128"/>
    <n v="7"/>
    <n v="3655.8999999999996"/>
    <n v="3107.5149999999999"/>
    <n v="25591.299999999996"/>
    <n v="21752.605"/>
    <n v="3838.6949999999961"/>
    <s v="Katie"/>
    <x v="1"/>
    <x v="78"/>
    <x v="1"/>
    <n v="31"/>
    <x v="1"/>
    <x v="15"/>
    <x v="5"/>
  </r>
  <r>
    <s v="ORD-0382"/>
    <d v="2025-10-13T00:00:00"/>
    <x v="13"/>
    <s v="CUST-033"/>
    <s v="PROD-104"/>
    <n v="8"/>
    <n v="11452.1"/>
    <n v="9734.2849999999999"/>
    <n v="91616.8"/>
    <n v="77874.28"/>
    <n v="13742.520000000004"/>
    <s v="Andrea"/>
    <x v="5"/>
    <x v="29"/>
    <x v="0"/>
    <n v="19"/>
    <x v="1"/>
    <x v="4"/>
    <x v="3"/>
  </r>
  <r>
    <s v="ORD-0383"/>
    <d v="2025-11-15T00:00:00"/>
    <x v="12"/>
    <s v="CUST-010"/>
    <s v="PROD-113"/>
    <n v="5"/>
    <n v="18578"/>
    <n v="15791.3"/>
    <n v="92890"/>
    <n v="78956.5"/>
    <n v="13933.5"/>
    <s v="Keith"/>
    <x v="1"/>
    <x v="93"/>
    <x v="1"/>
    <n v="21"/>
    <x v="1"/>
    <x v="19"/>
    <x v="1"/>
  </r>
  <r>
    <s v="ORD-0384"/>
    <d v="2025-12-19T00:00:00"/>
    <x v="4"/>
    <s v="CUST-105"/>
    <s v="PROD-104"/>
    <n v="10"/>
    <n v="19204.400000000001"/>
    <n v="16323.740000000002"/>
    <n v="192044"/>
    <n v="163237.40000000002"/>
    <n v="28806.599999999977"/>
    <s v="Aaron"/>
    <x v="3"/>
    <x v="31"/>
    <x v="0"/>
    <n v="30"/>
    <x v="1"/>
    <x v="4"/>
    <x v="3"/>
  </r>
  <r>
    <s v="ORD-0385"/>
    <d v="2025-12-07T00:00:00"/>
    <x v="7"/>
    <s v="CUST-143"/>
    <s v="PROD-117"/>
    <n v="10"/>
    <n v="7874.9"/>
    <n v="6693.665"/>
    <n v="78749"/>
    <n v="66936.649999999994"/>
    <n v="11812.350000000006"/>
    <s v="Aaron"/>
    <x v="1"/>
    <x v="19"/>
    <x v="0"/>
    <n v="36"/>
    <x v="0"/>
    <x v="23"/>
    <x v="0"/>
  </r>
  <r>
    <s v="ORD-0386"/>
    <d v="2025-10-01T00:00:00"/>
    <x v="11"/>
    <s v="CUST-132"/>
    <s v="PROD-105"/>
    <n v="5"/>
    <n v="16275.5"/>
    <n v="13834.174999999999"/>
    <n v="81377.5"/>
    <n v="69170.875"/>
    <n v="12206.625"/>
    <s v="Lori"/>
    <x v="1"/>
    <x v="90"/>
    <x v="1"/>
    <n v="27"/>
    <x v="1"/>
    <x v="3"/>
    <x v="3"/>
  </r>
  <r>
    <s v="ORD-0387"/>
    <d v="2025-11-26T00:00:00"/>
    <x v="0"/>
    <s v="CUST-028"/>
    <s v="PROD-129"/>
    <n v="3"/>
    <n v="16806.5"/>
    <n v="14285.525"/>
    <n v="50419.5"/>
    <n v="42856.574999999997"/>
    <n v="7562.9250000000029"/>
    <s v="Aaron"/>
    <x v="2"/>
    <x v="98"/>
    <x v="1"/>
    <n v="33"/>
    <x v="1"/>
    <x v="21"/>
    <x v="5"/>
  </r>
  <r>
    <s v="ORD-0388"/>
    <d v="2025-10-28T00:00:00"/>
    <x v="3"/>
    <s v="CUST-057"/>
    <s v="PROD-125"/>
    <n v="6"/>
    <n v="7853.0999999999995"/>
    <n v="6675.1349999999993"/>
    <n v="47118.6"/>
    <n v="40050.81"/>
    <n v="7067.7900000000009"/>
    <s v="Brenda"/>
    <x v="4"/>
    <x v="49"/>
    <x v="1"/>
    <n v="26"/>
    <x v="1"/>
    <x v="13"/>
    <x v="0"/>
  </r>
  <r>
    <s v="ORD-0389"/>
    <d v="2025-10-19T00:00:00"/>
    <x v="9"/>
    <s v="CUST-047"/>
    <s v="PROD-125"/>
    <n v="7"/>
    <n v="6264.4000000000005"/>
    <n v="5324.7400000000007"/>
    <n v="43850.8"/>
    <n v="37273.180000000008"/>
    <n v="6577.6199999999953"/>
    <s v="Daniel"/>
    <x v="1"/>
    <x v="29"/>
    <x v="0"/>
    <n v="55"/>
    <x v="0"/>
    <x v="13"/>
    <x v="0"/>
  </r>
  <r>
    <s v="ORD-0390"/>
    <d v="2025-12-02T00:00:00"/>
    <x v="10"/>
    <s v="CUST-079"/>
    <s v="PROD-110"/>
    <n v="9"/>
    <n v="14612.9"/>
    <n v="12420.965"/>
    <n v="131516.1"/>
    <n v="111788.685"/>
    <n v="19727.415000000008"/>
    <s v="Anna"/>
    <x v="1"/>
    <x v="97"/>
    <x v="0"/>
    <n v="50"/>
    <x v="0"/>
    <x v="14"/>
    <x v="4"/>
  </r>
  <r>
    <s v="ORD-0391"/>
    <d v="2025-11-22T00:00:00"/>
    <x v="6"/>
    <s v="CUST-135"/>
    <s v="PROD-133"/>
    <n v="6"/>
    <n v="7322.3"/>
    <n v="6223.9549999999999"/>
    <n v="43933.8"/>
    <n v="37343.729999999996"/>
    <n v="6590.070000000007"/>
    <s v="Timothy"/>
    <x v="1"/>
    <x v="101"/>
    <x v="0"/>
    <n v="23"/>
    <x v="1"/>
    <x v="22"/>
    <x v="2"/>
  </r>
  <r>
    <s v="ORD-0392"/>
    <d v="2025-12-20T00:00:00"/>
    <x v="4"/>
    <s v="CUST-144"/>
    <s v="PROD-128"/>
    <n v="8"/>
    <n v="10475.699999999999"/>
    <n v="8904.3449999999993"/>
    <n v="83805.599999999991"/>
    <n v="71234.759999999995"/>
    <n v="12570.839999999997"/>
    <s v="Linda"/>
    <x v="4"/>
    <x v="66"/>
    <x v="1"/>
    <n v="23"/>
    <x v="1"/>
    <x v="15"/>
    <x v="5"/>
  </r>
  <r>
    <s v="ORD-0393"/>
    <d v="2025-11-13T00:00:00"/>
    <x v="12"/>
    <s v="CUST-074"/>
    <s v="PROD-131"/>
    <n v="4"/>
    <n v="3368.3999999999996"/>
    <n v="2863.14"/>
    <n v="13473.599999999999"/>
    <n v="11452.56"/>
    <n v="2021.0399999999991"/>
    <s v="Tara"/>
    <x v="1"/>
    <x v="47"/>
    <x v="0"/>
    <n v="32"/>
    <x v="1"/>
    <x v="2"/>
    <x v="2"/>
  </r>
  <r>
    <s v="ORD-0394"/>
    <d v="2025-10-20T00:00:00"/>
    <x v="9"/>
    <s v="CUST-129"/>
    <s v="PROD-123"/>
    <n v="7"/>
    <n v="1276.7"/>
    <n v="1085.1950000000002"/>
    <n v="8936.9"/>
    <n v="7596.3650000000016"/>
    <n v="1340.534999999998"/>
    <s v="Lori"/>
    <x v="4"/>
    <x v="71"/>
    <x v="0"/>
    <n v="38"/>
    <x v="0"/>
    <x v="32"/>
    <x v="0"/>
  </r>
  <r>
    <s v="ORD-0395"/>
    <d v="2025-11-14T00:00:00"/>
    <x v="12"/>
    <s v="CUST-145"/>
    <s v="PROD-134"/>
    <n v="1"/>
    <n v="9077.9"/>
    <n v="7716.2150000000001"/>
    <n v="9077.9"/>
    <n v="7716.2150000000001"/>
    <n v="1361.6849999999995"/>
    <s v="Caroline"/>
    <x v="1"/>
    <x v="83"/>
    <x v="0"/>
    <n v="31"/>
    <x v="1"/>
    <x v="7"/>
    <x v="2"/>
  </r>
  <r>
    <s v="ORD-0396"/>
    <d v="2025-12-29T00:00:00"/>
    <x v="2"/>
    <s v="CUST-050"/>
    <s v="PROD-112"/>
    <n v="4"/>
    <n v="2489.9"/>
    <n v="2116.415"/>
    <n v="9959.6"/>
    <n v="8465.66"/>
    <n v="1493.9400000000005"/>
    <s v="Lori"/>
    <x v="0"/>
    <x v="83"/>
    <x v="0"/>
    <n v="35"/>
    <x v="0"/>
    <x v="1"/>
    <x v="1"/>
  </r>
  <r>
    <s v="ORD-0397"/>
    <d v="2025-11-15T00:00:00"/>
    <x v="12"/>
    <s v="CUST-127"/>
    <s v="PROD-105"/>
    <n v="6"/>
    <n v="1638.8"/>
    <n v="1392.98"/>
    <n v="9832.7999999999993"/>
    <n v="8357.880000000001"/>
    <n v="1474.9199999999983"/>
    <s v="Jasmine"/>
    <x v="3"/>
    <x v="48"/>
    <x v="0"/>
    <n v="18"/>
    <x v="1"/>
    <x v="3"/>
    <x v="3"/>
  </r>
  <r>
    <s v="ORD-0398"/>
    <d v="2025-11-13T00:00:00"/>
    <x v="12"/>
    <s v="CUST-129"/>
    <s v="PROD-130"/>
    <n v="4"/>
    <n v="8398.7000000000007"/>
    <n v="7138.8950000000004"/>
    <n v="33594.800000000003"/>
    <n v="28555.58"/>
    <n v="5039.2200000000012"/>
    <s v="Jonathan"/>
    <x v="4"/>
    <x v="71"/>
    <x v="0"/>
    <n v="38"/>
    <x v="0"/>
    <x v="29"/>
    <x v="2"/>
  </r>
  <r>
    <s v="ORD-0399"/>
    <d v="2025-10-25T00:00:00"/>
    <x v="9"/>
    <s v="CUST-004"/>
    <s v="PROD-127"/>
    <n v="1"/>
    <n v="9706.9000000000015"/>
    <n v="8250.8650000000016"/>
    <n v="9706.9000000000015"/>
    <n v="8250.8650000000016"/>
    <n v="1456.0349999999999"/>
    <s v="Patrick"/>
    <x v="5"/>
    <x v="100"/>
    <x v="0"/>
    <n v="40"/>
    <x v="0"/>
    <x v="17"/>
    <x v="5"/>
  </r>
  <r>
    <s v="ORD-0400"/>
    <d v="2025-11-10T00:00:00"/>
    <x v="12"/>
    <s v="CUST-023"/>
    <s v="PROD-105"/>
    <n v="3"/>
    <n v="7571.5"/>
    <n v="6435.7749999999996"/>
    <n v="22714.5"/>
    <n v="19307.324999999997"/>
    <n v="3407.1750000000029"/>
    <s v="Linda"/>
    <x v="0"/>
    <x v="65"/>
    <x v="1"/>
    <n v="35"/>
    <x v="0"/>
    <x v="3"/>
    <x v="3"/>
  </r>
  <r>
    <s v="ORD-0401"/>
    <d v="2025-10-11T00:00:00"/>
    <x v="1"/>
    <s v="CUST-054"/>
    <s v="PROD-107"/>
    <n v="2"/>
    <n v="10586.900000000001"/>
    <n v="8998.8650000000016"/>
    <n v="21173.800000000003"/>
    <n v="17997.730000000003"/>
    <n v="3176.0699999999997"/>
    <s v="Ralph"/>
    <x v="5"/>
    <x v="52"/>
    <x v="1"/>
    <n v="39"/>
    <x v="0"/>
    <x v="12"/>
    <x v="4"/>
  </r>
  <r>
    <s v="ORD-0402"/>
    <d v="2025-12-06T00:00:00"/>
    <x v="10"/>
    <s v="CUST-046"/>
    <s v="PROD-121"/>
    <n v="3"/>
    <n v="16309.2"/>
    <n v="13862.82"/>
    <n v="48927.600000000006"/>
    <n v="41588.46"/>
    <n v="7339.1400000000067"/>
    <s v="Jasmine"/>
    <x v="4"/>
    <x v="4"/>
    <x v="1"/>
    <n v="31"/>
    <x v="1"/>
    <x v="8"/>
    <x v="0"/>
  </r>
  <r>
    <s v="ORD-0403"/>
    <d v="2025-11-24T00:00:00"/>
    <x v="0"/>
    <s v="CUST-079"/>
    <s v="PROD-126"/>
    <n v="2"/>
    <n v="2764.4"/>
    <n v="2349.7400000000002"/>
    <n v="5528.8"/>
    <n v="4699.4800000000005"/>
    <n v="829.31999999999971"/>
    <s v="Jonathan"/>
    <x v="1"/>
    <x v="97"/>
    <x v="0"/>
    <n v="50"/>
    <x v="0"/>
    <x v="9"/>
    <x v="5"/>
  </r>
  <r>
    <s v="ORD-0404"/>
    <d v="2025-11-13T00:00:00"/>
    <x v="12"/>
    <s v="CUST-144"/>
    <s v="PROD-108"/>
    <n v="10"/>
    <n v="4769.3"/>
    <n v="4053.9050000000002"/>
    <n v="47693"/>
    <n v="40539.050000000003"/>
    <n v="7153.9499999999971"/>
    <s v="Joshua"/>
    <x v="4"/>
    <x v="66"/>
    <x v="1"/>
    <n v="23"/>
    <x v="1"/>
    <x v="27"/>
    <x v="4"/>
  </r>
  <r>
    <s v="ORD-0405"/>
    <d v="2025-10-10T00:00:00"/>
    <x v="1"/>
    <s v="CUST-083"/>
    <s v="PROD-105"/>
    <n v="2"/>
    <n v="18424.7"/>
    <n v="15660.995000000001"/>
    <n v="36849.4"/>
    <n v="31321.99"/>
    <n v="5527.41"/>
    <s v="Thomas"/>
    <x v="3"/>
    <x v="14"/>
    <x v="1"/>
    <n v="23"/>
    <x v="1"/>
    <x v="3"/>
    <x v="3"/>
  </r>
  <r>
    <s v="ORD-0406"/>
    <d v="2025-10-14T00:00:00"/>
    <x v="13"/>
    <s v="CUST-123"/>
    <s v="PROD-107"/>
    <n v="2"/>
    <n v="1218.1999999999998"/>
    <n v="1035.4699999999998"/>
    <n v="2436.3999999999996"/>
    <n v="2070.9399999999996"/>
    <n v="365.46000000000004"/>
    <s v="Tara"/>
    <x v="1"/>
    <x v="28"/>
    <x v="0"/>
    <n v="20"/>
    <x v="1"/>
    <x v="12"/>
    <x v="4"/>
  </r>
  <r>
    <s v="ORD-0407"/>
    <d v="2025-11-26T00:00:00"/>
    <x v="0"/>
    <s v="CUST-138"/>
    <s v="PROD-134"/>
    <n v="4"/>
    <n v="17804.2"/>
    <n v="15133.57"/>
    <n v="71216.800000000003"/>
    <n v="60534.28"/>
    <n v="10682.520000000004"/>
    <s v="Laura"/>
    <x v="3"/>
    <x v="22"/>
    <x v="1"/>
    <n v="27"/>
    <x v="1"/>
    <x v="7"/>
    <x v="2"/>
  </r>
  <r>
    <s v="ORD-0408"/>
    <d v="2025-12-27T00:00:00"/>
    <x v="8"/>
    <s v="CUST-107"/>
    <s v="PROD-131"/>
    <n v="4"/>
    <n v="16794.5"/>
    <n v="14275.325000000001"/>
    <n v="67178"/>
    <n v="57101.3"/>
    <n v="10076.699999999997"/>
    <s v="Patrick"/>
    <x v="4"/>
    <x v="36"/>
    <x v="0"/>
    <n v="18"/>
    <x v="1"/>
    <x v="2"/>
    <x v="2"/>
  </r>
  <r>
    <s v="ORD-0409"/>
    <d v="2025-12-27T00:00:00"/>
    <x v="8"/>
    <s v="CUST-019"/>
    <s v="PROD-113"/>
    <n v="3"/>
    <n v="11233.099999999999"/>
    <n v="9548.1349999999984"/>
    <n v="33699.299999999996"/>
    <n v="28644.404999999995"/>
    <n v="5054.8950000000004"/>
    <s v="Cheyenne"/>
    <x v="3"/>
    <x v="9"/>
    <x v="1"/>
    <n v="21"/>
    <x v="1"/>
    <x v="19"/>
    <x v="1"/>
  </r>
  <r>
    <s v="ORD-0410"/>
    <d v="2025-12-29T00:00:00"/>
    <x v="2"/>
    <s v="CUST-003"/>
    <s v="PROD-118"/>
    <n v="1"/>
    <n v="4653.2"/>
    <n v="3955.22"/>
    <n v="4653.2"/>
    <n v="3955.22"/>
    <n v="697.98"/>
    <s v="Keith"/>
    <x v="4"/>
    <x v="10"/>
    <x v="0"/>
    <n v="25"/>
    <x v="1"/>
    <x v="25"/>
    <x v="0"/>
  </r>
  <r>
    <s v="ORD-0411"/>
    <d v="2025-11-01T00:00:00"/>
    <x v="3"/>
    <s v="CUST-075"/>
    <s v="PROD-111"/>
    <n v="5"/>
    <n v="11829.400000000001"/>
    <n v="10054.990000000002"/>
    <n v="59147.000000000007"/>
    <n v="50274.950000000012"/>
    <n v="8872.0499999999956"/>
    <s v="Ethan"/>
    <x v="5"/>
    <x v="82"/>
    <x v="0"/>
    <n v="31"/>
    <x v="1"/>
    <x v="31"/>
    <x v="1"/>
  </r>
  <r>
    <s v="ORD-0412"/>
    <d v="2025-12-11T00:00:00"/>
    <x v="7"/>
    <s v="CUST-134"/>
    <s v="PROD-133"/>
    <n v="2"/>
    <n v="8222.1"/>
    <n v="6988.7849999999999"/>
    <n v="16444.2"/>
    <n v="13977.57"/>
    <n v="2466.630000000001"/>
    <s v="Douglas"/>
    <x v="1"/>
    <x v="25"/>
    <x v="0"/>
    <n v="26"/>
    <x v="1"/>
    <x v="22"/>
    <x v="2"/>
  </r>
  <r>
    <s v="ORD-0413"/>
    <d v="2025-11-21T00:00:00"/>
    <x v="6"/>
    <s v="CUST-045"/>
    <s v="PROD-107"/>
    <n v="9"/>
    <n v="12733.699999999999"/>
    <n v="10823.644999999999"/>
    <n v="114603.29999999999"/>
    <n v="97412.804999999993"/>
    <n v="17190.494999999995"/>
    <s v="Jonathan"/>
    <x v="1"/>
    <x v="36"/>
    <x v="0"/>
    <n v="22"/>
    <x v="1"/>
    <x v="12"/>
    <x v="4"/>
  </r>
  <r>
    <s v="ORD-0414"/>
    <d v="2025-10-16T00:00:00"/>
    <x v="13"/>
    <s v="CUST-135"/>
    <s v="PROD-106"/>
    <n v="9"/>
    <n v="17170.3"/>
    <n v="14594.754999999999"/>
    <n v="154532.69999999998"/>
    <n v="131352.79499999998"/>
    <n v="23179.904999999999"/>
    <s v="Timothy"/>
    <x v="1"/>
    <x v="101"/>
    <x v="0"/>
    <n v="23"/>
    <x v="1"/>
    <x v="6"/>
    <x v="4"/>
  </r>
  <r>
    <s v="ORD-0415"/>
    <d v="2025-11-29T00:00:00"/>
    <x v="0"/>
    <s v="CUST-009"/>
    <s v="PROD-133"/>
    <n v="10"/>
    <n v="1733.1999999999998"/>
    <n v="1473.2199999999998"/>
    <n v="17332"/>
    <n v="14732.199999999997"/>
    <n v="2599.8000000000029"/>
    <s v="Ethan"/>
    <x v="1"/>
    <x v="63"/>
    <x v="1"/>
    <n v="18"/>
    <x v="1"/>
    <x v="22"/>
    <x v="2"/>
  </r>
  <r>
    <s v="ORD-0416"/>
    <d v="2025-10-24T00:00:00"/>
    <x v="9"/>
    <s v="CUST-094"/>
    <s v="PROD-125"/>
    <n v="9"/>
    <n v="15387.3"/>
    <n v="13079.205"/>
    <n v="138485.69999999998"/>
    <n v="117712.845"/>
    <n v="20772.854999999981"/>
    <s v="Keith"/>
    <x v="3"/>
    <x v="21"/>
    <x v="1"/>
    <n v="40"/>
    <x v="0"/>
    <x v="13"/>
    <x v="0"/>
  </r>
  <r>
    <s v="ORD-0417"/>
    <d v="2025-12-24T00:00:00"/>
    <x v="8"/>
    <s v="CUST-102"/>
    <s v="PROD-108"/>
    <n v="3"/>
    <n v="19428.900000000001"/>
    <n v="16514.565000000002"/>
    <n v="58286.700000000004"/>
    <n v="49543.695000000007"/>
    <n v="8743.0049999999974"/>
    <s v="Cheyenne"/>
    <x v="1"/>
    <x v="40"/>
    <x v="1"/>
    <n v="27"/>
    <x v="1"/>
    <x v="27"/>
    <x v="4"/>
  </r>
  <r>
    <s v="ORD-0418"/>
    <d v="2025-10-28T00:00:00"/>
    <x v="3"/>
    <s v="CUST-043"/>
    <s v="PROD-126"/>
    <n v="5"/>
    <n v="3198.1"/>
    <n v="2718.3849999999998"/>
    <n v="15990.5"/>
    <n v="13591.924999999999"/>
    <n v="2398.5750000000007"/>
    <s v="Victoria"/>
    <x v="4"/>
    <x v="7"/>
    <x v="0"/>
    <n v="42"/>
    <x v="0"/>
    <x v="9"/>
    <x v="5"/>
  </r>
  <r>
    <s v="ORD-0419"/>
    <d v="2025-12-16T00:00:00"/>
    <x v="4"/>
    <s v="CUST-028"/>
    <s v="PROD-133"/>
    <n v="2"/>
    <n v="2665.7999999999997"/>
    <n v="2265.9299999999998"/>
    <n v="5331.5999999999995"/>
    <n v="4531.8599999999997"/>
    <n v="799.73999999999978"/>
    <s v="Ralph"/>
    <x v="2"/>
    <x v="98"/>
    <x v="1"/>
    <n v="33"/>
    <x v="1"/>
    <x v="22"/>
    <x v="2"/>
  </r>
  <r>
    <s v="ORD-0420"/>
    <d v="2025-11-22T00:00:00"/>
    <x v="6"/>
    <s v="CUST-091"/>
    <s v="PROD-123"/>
    <n v="5"/>
    <n v="9905.1"/>
    <n v="8419.3350000000009"/>
    <n v="49525.5"/>
    <n v="42096.675000000003"/>
    <n v="7428.8249999999971"/>
    <s v="Lisa"/>
    <x v="1"/>
    <x v="102"/>
    <x v="0"/>
    <n v="44"/>
    <x v="0"/>
    <x v="32"/>
    <x v="0"/>
  </r>
  <r>
    <s v="ORD-0421"/>
    <d v="2025-12-20T00:00:00"/>
    <x v="4"/>
    <s v="CUST-048"/>
    <s v="PROD-101"/>
    <n v="1"/>
    <n v="18652.8"/>
    <n v="15854.88"/>
    <n v="18652.8"/>
    <n v="15854.88"/>
    <n v="2797.92"/>
    <s v="Jonathan"/>
    <x v="1"/>
    <x v="16"/>
    <x v="0"/>
    <n v="19"/>
    <x v="1"/>
    <x v="16"/>
    <x v="3"/>
  </r>
  <r>
    <s v="ORD-0422"/>
    <d v="2025-11-04T00:00:00"/>
    <x v="5"/>
    <s v="CUST-116"/>
    <s v="PROD-115"/>
    <n v="6"/>
    <n v="10950.3"/>
    <n v="9307.7549999999992"/>
    <n v="65701.799999999988"/>
    <n v="55846.53"/>
    <n v="9855.2699999999895"/>
    <s v="Jonathan"/>
    <x v="3"/>
    <x v="17"/>
    <x v="0"/>
    <n v="48"/>
    <x v="0"/>
    <x v="10"/>
    <x v="1"/>
  </r>
  <r>
    <s v="ORD-0423"/>
    <d v="2025-10-11T00:00:00"/>
    <x v="1"/>
    <s v="CUST-094"/>
    <s v="PROD-124"/>
    <n v="10"/>
    <n v="1367.8999999999999"/>
    <n v="1162.7149999999999"/>
    <n v="13678.999999999998"/>
    <n v="11627.15"/>
    <n v="2051.8499999999985"/>
    <s v="Caroline"/>
    <x v="3"/>
    <x v="21"/>
    <x v="1"/>
    <n v="40"/>
    <x v="0"/>
    <x v="5"/>
    <x v="0"/>
  </r>
  <r>
    <s v="ORD-0424"/>
    <d v="2025-11-25T00:00:00"/>
    <x v="0"/>
    <s v="CUST-097"/>
    <s v="PROD-112"/>
    <n v="3"/>
    <n v="14676.099999999999"/>
    <n v="12474.684999999999"/>
    <n v="44028.299999999996"/>
    <n v="37424.055"/>
    <n v="6604.2449999999953"/>
    <s v="Ralph"/>
    <x v="5"/>
    <x v="1"/>
    <x v="0"/>
    <n v="23"/>
    <x v="1"/>
    <x v="1"/>
    <x v="1"/>
  </r>
  <r>
    <s v="ORD-0425"/>
    <d v="2025-11-05T00:00:00"/>
    <x v="5"/>
    <s v="CUST-077"/>
    <s v="PROD-118"/>
    <n v="4"/>
    <n v="8072.3"/>
    <n v="6861.4549999999999"/>
    <n v="32289.200000000001"/>
    <n v="27445.82"/>
    <n v="4843.380000000001"/>
    <s v="Tara"/>
    <x v="1"/>
    <x v="27"/>
    <x v="0"/>
    <n v="35"/>
    <x v="0"/>
    <x v="25"/>
    <x v="0"/>
  </r>
  <r>
    <s v="ORD-0426"/>
    <d v="2025-10-14T00:00:00"/>
    <x v="13"/>
    <s v="CUST-105"/>
    <s v="PROD-106"/>
    <n v="8"/>
    <n v="4478.6000000000004"/>
    <n v="3806.8100000000004"/>
    <n v="35828.800000000003"/>
    <n v="30454.480000000003"/>
    <n v="5374.32"/>
    <s v="David"/>
    <x v="3"/>
    <x v="31"/>
    <x v="0"/>
    <n v="30"/>
    <x v="1"/>
    <x v="6"/>
    <x v="4"/>
  </r>
  <r>
    <s v="ORD-0427"/>
    <d v="2025-10-29T00:00:00"/>
    <x v="3"/>
    <s v="CUST-137"/>
    <s v="PROD-119"/>
    <n v="3"/>
    <n v="8388.9"/>
    <n v="7130.5649999999996"/>
    <n v="25166.699999999997"/>
    <n v="21391.695"/>
    <n v="3775.0049999999974"/>
    <s v="Thomas"/>
    <x v="0"/>
    <x v="81"/>
    <x v="0"/>
    <n v="36"/>
    <x v="0"/>
    <x v="33"/>
    <x v="0"/>
  </r>
  <r>
    <s v="ORD-0428"/>
    <d v="2025-11-25T00:00:00"/>
    <x v="0"/>
    <s v="CUST-069"/>
    <s v="PROD-105"/>
    <n v="2"/>
    <n v="5559.9"/>
    <n v="4725.915"/>
    <n v="11119.8"/>
    <n v="9451.83"/>
    <n v="1667.9699999999993"/>
    <s v="Cheyenne"/>
    <x v="1"/>
    <x v="42"/>
    <x v="0"/>
    <n v="37"/>
    <x v="0"/>
    <x v="3"/>
    <x v="3"/>
  </r>
  <r>
    <s v="ORD-0429"/>
    <d v="2025-10-15T00:00:00"/>
    <x v="13"/>
    <s v="CUST-028"/>
    <s v="PROD-131"/>
    <n v="3"/>
    <n v="7234.5"/>
    <n v="6149.3249999999998"/>
    <n v="21703.5"/>
    <n v="18447.974999999999"/>
    <n v="3255.5250000000015"/>
    <s v="David"/>
    <x v="2"/>
    <x v="98"/>
    <x v="1"/>
    <n v="33"/>
    <x v="1"/>
    <x v="2"/>
    <x v="2"/>
  </r>
  <r>
    <s v="ORD-0430"/>
    <d v="2025-11-06T00:00:00"/>
    <x v="5"/>
    <s v="CUST-102"/>
    <s v="PROD-124"/>
    <n v="4"/>
    <n v="1504.1999999999998"/>
    <n v="1278.57"/>
    <n v="6016.7999999999993"/>
    <n v="5114.28"/>
    <n v="902.51999999999953"/>
    <s v="Ralph"/>
    <x v="1"/>
    <x v="40"/>
    <x v="1"/>
    <n v="27"/>
    <x v="1"/>
    <x v="5"/>
    <x v="0"/>
  </r>
  <r>
    <s v="ORD-0431"/>
    <d v="2025-11-12T00:00:00"/>
    <x v="12"/>
    <s v="CUST-129"/>
    <s v="PROD-109"/>
    <n v="10"/>
    <n v="11698.599999999999"/>
    <n v="9943.81"/>
    <n v="116985.99999999999"/>
    <n v="99438.099999999991"/>
    <n v="17547.899999999994"/>
    <s v="Linda"/>
    <x v="4"/>
    <x v="71"/>
    <x v="0"/>
    <n v="38"/>
    <x v="0"/>
    <x v="30"/>
    <x v="4"/>
  </r>
  <r>
    <s v="ORD-0432"/>
    <d v="2025-12-05T00:00:00"/>
    <x v="10"/>
    <s v="CUST-114"/>
    <s v="PROD-106"/>
    <n v="8"/>
    <n v="12155.599999999999"/>
    <n v="10332.259999999998"/>
    <n v="97244.799999999988"/>
    <n v="82658.079999999987"/>
    <n v="14586.720000000001"/>
    <s v="Brenda"/>
    <x v="2"/>
    <x v="42"/>
    <x v="0"/>
    <n v="25"/>
    <x v="1"/>
    <x v="6"/>
    <x v="4"/>
  </r>
  <r>
    <s v="ORD-0433"/>
    <d v="2025-11-28T00:00:00"/>
    <x v="0"/>
    <s v="CUST-081"/>
    <s v="PROD-131"/>
    <n v="1"/>
    <n v="19017.900000000001"/>
    <n v="16165.215000000002"/>
    <n v="19017.900000000001"/>
    <n v="16165.215000000002"/>
    <n v="2852.6849999999995"/>
    <s v="Joshua"/>
    <x v="2"/>
    <x v="43"/>
    <x v="0"/>
    <n v="46"/>
    <x v="0"/>
    <x v="2"/>
    <x v="2"/>
  </r>
  <r>
    <s v="ORD-0434"/>
    <d v="2025-12-23T00:00:00"/>
    <x v="8"/>
    <s v="CUST-010"/>
    <s v="PROD-105"/>
    <n v="10"/>
    <n v="5046.5"/>
    <n v="4289.5249999999996"/>
    <n v="50465"/>
    <n v="42895.25"/>
    <n v="7569.75"/>
    <s v="David"/>
    <x v="1"/>
    <x v="93"/>
    <x v="1"/>
    <n v="21"/>
    <x v="1"/>
    <x v="3"/>
    <x v="3"/>
  </r>
  <r>
    <s v="ORD-0435"/>
    <d v="2025-10-05T00:00:00"/>
    <x v="1"/>
    <s v="CUST-113"/>
    <s v="PROD-104"/>
    <n v="8"/>
    <n v="4013.8999999999996"/>
    <n v="3411.8149999999996"/>
    <n v="32111.199999999997"/>
    <n v="27294.519999999997"/>
    <n v="4816.68"/>
    <s v="Tracey"/>
    <x v="1"/>
    <x v="21"/>
    <x v="1"/>
    <n v="47"/>
    <x v="0"/>
    <x v="4"/>
    <x v="3"/>
  </r>
  <r>
    <s v="ORD-0436"/>
    <d v="2025-10-12T00:00:00"/>
    <x v="13"/>
    <s v="CUST-096"/>
    <s v="PROD-110"/>
    <n v="5"/>
    <n v="3450.6"/>
    <n v="2933.01"/>
    <n v="17253"/>
    <n v="14665.050000000001"/>
    <n v="2587.9499999999989"/>
    <s v="Tara"/>
    <x v="4"/>
    <x v="13"/>
    <x v="1"/>
    <n v="26"/>
    <x v="1"/>
    <x v="14"/>
    <x v="4"/>
  </r>
  <r>
    <s v="ORD-0437"/>
    <d v="2025-12-21T00:00:00"/>
    <x v="8"/>
    <s v="CUST-109"/>
    <s v="PROD-121"/>
    <n v="3"/>
    <n v="7480.5999999999995"/>
    <n v="6358.5099999999993"/>
    <n v="22441.8"/>
    <n v="19075.53"/>
    <n v="3366.2700000000004"/>
    <s v="Lisa"/>
    <x v="0"/>
    <x v="10"/>
    <x v="0"/>
    <n v="22"/>
    <x v="1"/>
    <x v="8"/>
    <x v="0"/>
  </r>
  <r>
    <s v="ORD-0438"/>
    <d v="2025-12-06T00:00:00"/>
    <x v="10"/>
    <s v="CUST-108"/>
    <s v="PROD-133"/>
    <n v="2"/>
    <n v="17540.599999999999"/>
    <n v="14909.509999999998"/>
    <n v="35081.199999999997"/>
    <n v="29819.019999999997"/>
    <n v="5262.18"/>
    <s v="Ethan"/>
    <x v="5"/>
    <x v="30"/>
    <x v="0"/>
    <n v="42"/>
    <x v="0"/>
    <x v="22"/>
    <x v="2"/>
  </r>
  <r>
    <s v="ORD-0439"/>
    <d v="2025-12-18T00:00:00"/>
    <x v="4"/>
    <s v="CUST-130"/>
    <s v="PROD-108"/>
    <n v="2"/>
    <n v="7126.7999999999993"/>
    <n v="6057.78"/>
    <n v="14253.599999999999"/>
    <n v="12115.56"/>
    <n v="2138.0399999999991"/>
    <s v="Tracey"/>
    <x v="5"/>
    <x v="34"/>
    <x v="1"/>
    <n v="55"/>
    <x v="0"/>
    <x v="27"/>
    <x v="4"/>
  </r>
  <r>
    <s v="ORD-0440"/>
    <d v="2025-11-24T00:00:00"/>
    <x v="0"/>
    <s v="CUST-017"/>
    <s v="PROD-116"/>
    <n v="1"/>
    <n v="12393.099999999999"/>
    <n v="10534.134999999998"/>
    <n v="12393.099999999999"/>
    <n v="10534.134999999998"/>
    <n v="1858.9650000000001"/>
    <s v="Daniel"/>
    <x v="2"/>
    <x v="60"/>
    <x v="0"/>
    <n v="27"/>
    <x v="1"/>
    <x v="24"/>
    <x v="1"/>
  </r>
  <r>
    <s v="ORD-0441"/>
    <d v="2025-10-26T00:00:00"/>
    <x v="3"/>
    <s v="CUST-136"/>
    <s v="PROD-124"/>
    <n v="3"/>
    <n v="10079.799999999999"/>
    <n v="8567.83"/>
    <n v="30239.399999999998"/>
    <n v="25703.489999999998"/>
    <n v="4535.91"/>
    <s v="Jennifer"/>
    <x v="2"/>
    <x v="24"/>
    <x v="0"/>
    <n v="34"/>
    <x v="1"/>
    <x v="5"/>
    <x v="0"/>
  </r>
  <r>
    <s v="ORD-0442"/>
    <d v="2025-10-06T00:00:00"/>
    <x v="1"/>
    <s v="CUST-141"/>
    <s v="PROD-131"/>
    <n v="9"/>
    <n v="1121.5"/>
    <n v="953.27499999999998"/>
    <n v="10093.5"/>
    <n v="8579.4750000000004"/>
    <n v="1514.0249999999996"/>
    <s v="Thomas"/>
    <x v="5"/>
    <x v="12"/>
    <x v="1"/>
    <n v="49"/>
    <x v="0"/>
    <x v="2"/>
    <x v="2"/>
  </r>
  <r>
    <s v="ORD-0443"/>
    <d v="2025-11-28T00:00:00"/>
    <x v="0"/>
    <s v="CUST-138"/>
    <s v="PROD-134"/>
    <n v="1"/>
    <n v="16126.900000000001"/>
    <n v="13707.865000000002"/>
    <n v="16126.900000000001"/>
    <n v="13707.865000000002"/>
    <n v="2419.0349999999999"/>
    <s v="Joshua"/>
    <x v="3"/>
    <x v="22"/>
    <x v="1"/>
    <n v="27"/>
    <x v="1"/>
    <x v="7"/>
    <x v="2"/>
  </r>
  <r>
    <s v="ORD-0444"/>
    <d v="2025-11-24T00:00:00"/>
    <x v="0"/>
    <s v="CUST-035"/>
    <s v="PROD-125"/>
    <n v="10"/>
    <n v="2161"/>
    <n v="1836.85"/>
    <n v="21610"/>
    <n v="18368.5"/>
    <n v="3241.5"/>
    <s v="Laura"/>
    <x v="1"/>
    <x v="72"/>
    <x v="0"/>
    <n v="21"/>
    <x v="1"/>
    <x v="13"/>
    <x v="0"/>
  </r>
  <r>
    <s v="ORD-0445"/>
    <d v="2025-11-26T00:00:00"/>
    <x v="0"/>
    <s v="CUST-148"/>
    <s v="PROD-114"/>
    <n v="10"/>
    <n v="16315.2"/>
    <n v="13867.92"/>
    <n v="163152"/>
    <n v="138679.20000000001"/>
    <n v="24472.799999999988"/>
    <s v="Joshua"/>
    <x v="0"/>
    <x v="68"/>
    <x v="1"/>
    <n v="37"/>
    <x v="0"/>
    <x v="18"/>
    <x v="1"/>
  </r>
  <r>
    <s v="ORD-0446"/>
    <d v="2025-12-21T00:00:00"/>
    <x v="8"/>
    <s v="CUST-094"/>
    <s v="PROD-132"/>
    <n v="6"/>
    <n v="7214.2"/>
    <n v="6132.07"/>
    <n v="43285.2"/>
    <n v="36792.42"/>
    <n v="6492.7799999999988"/>
    <s v="Sean"/>
    <x v="3"/>
    <x v="21"/>
    <x v="1"/>
    <n v="40"/>
    <x v="0"/>
    <x v="26"/>
    <x v="2"/>
  </r>
  <r>
    <s v="ORD-0447"/>
    <d v="2025-11-22T00:00:00"/>
    <x v="6"/>
    <s v="CUST-089"/>
    <s v="PROD-113"/>
    <n v="6"/>
    <n v="15212.4"/>
    <n v="12930.54"/>
    <n v="91274.4"/>
    <n v="77583.240000000005"/>
    <n v="13691.159999999989"/>
    <s v="Jonathan"/>
    <x v="4"/>
    <x v="92"/>
    <x v="1"/>
    <n v="35"/>
    <x v="0"/>
    <x v="19"/>
    <x v="1"/>
  </r>
  <r>
    <s v="ORD-0448"/>
    <d v="2025-12-16T00:00:00"/>
    <x v="4"/>
    <s v="CUST-103"/>
    <s v="PROD-131"/>
    <n v="1"/>
    <n v="6849.4000000000005"/>
    <n v="5821.9900000000007"/>
    <n v="6849.4000000000005"/>
    <n v="5821.9900000000007"/>
    <n v="1027.4099999999999"/>
    <s v="Joshua"/>
    <x v="2"/>
    <x v="85"/>
    <x v="1"/>
    <n v="23"/>
    <x v="1"/>
    <x v="2"/>
    <x v="2"/>
  </r>
  <r>
    <s v="ORD-0449"/>
    <d v="2025-12-20T00:00:00"/>
    <x v="4"/>
    <s v="CUST-030"/>
    <s v="PROD-133"/>
    <n v="6"/>
    <n v="18346"/>
    <n v="15594.1"/>
    <n v="110076"/>
    <n v="93564.6"/>
    <n v="16511.399999999994"/>
    <s v="Cheyenne"/>
    <x v="3"/>
    <x v="4"/>
    <x v="1"/>
    <n v="24"/>
    <x v="1"/>
    <x v="22"/>
    <x v="2"/>
  </r>
  <r>
    <s v="ORD-0450"/>
    <d v="2025-10-06T00:00:00"/>
    <x v="1"/>
    <s v="CUST-060"/>
    <s v="PROD-131"/>
    <n v="10"/>
    <n v="16772.099999999999"/>
    <n v="14256.285"/>
    <n v="167721"/>
    <n v="142562.85"/>
    <n v="25158.149999999994"/>
    <s v="Lisa"/>
    <x v="2"/>
    <x v="7"/>
    <x v="0"/>
    <n v="20"/>
    <x v="1"/>
    <x v="2"/>
    <x v="2"/>
  </r>
  <r>
    <s v="ORD-0451"/>
    <d v="2025-10-28T00:00:00"/>
    <x v="3"/>
    <s v="CUST-115"/>
    <s v="PROD-117"/>
    <n v="1"/>
    <n v="11904.1"/>
    <n v="10118.485000000001"/>
    <n v="11904.1"/>
    <n v="10118.485000000001"/>
    <n v="1785.6149999999998"/>
    <s v="Patrick"/>
    <x v="0"/>
    <x v="87"/>
    <x v="0"/>
    <n v="31"/>
    <x v="1"/>
    <x v="23"/>
    <x v="0"/>
  </r>
  <r>
    <s v="ORD-0452"/>
    <d v="2025-10-18T00:00:00"/>
    <x v="13"/>
    <s v="CUST-037"/>
    <s v="PROD-118"/>
    <n v="7"/>
    <n v="10433.5"/>
    <n v="8868.4750000000004"/>
    <n v="73034.5"/>
    <n v="62079.325000000004"/>
    <n v="10955.174999999996"/>
    <s v="Brenda"/>
    <x v="1"/>
    <x v="73"/>
    <x v="0"/>
    <n v="26"/>
    <x v="1"/>
    <x v="25"/>
    <x v="0"/>
  </r>
  <r>
    <s v="ORD-0453"/>
    <d v="2025-12-15T00:00:00"/>
    <x v="4"/>
    <s v="CUST-048"/>
    <s v="PROD-116"/>
    <n v="5"/>
    <n v="3164.5"/>
    <n v="2689.8249999999998"/>
    <n v="15822.5"/>
    <n v="13449.125"/>
    <n v="2373.375"/>
    <s v="Daniel"/>
    <x v="1"/>
    <x v="16"/>
    <x v="0"/>
    <n v="19"/>
    <x v="1"/>
    <x v="24"/>
    <x v="1"/>
  </r>
  <r>
    <s v="ORD-0454"/>
    <d v="2025-11-16T00:00:00"/>
    <x v="6"/>
    <s v="CUST-108"/>
    <s v="PROD-109"/>
    <n v="3"/>
    <n v="6902.2000000000007"/>
    <n v="5866.8700000000008"/>
    <n v="20706.600000000002"/>
    <n v="17600.61"/>
    <n v="3105.9900000000016"/>
    <s v="Cheyenne"/>
    <x v="5"/>
    <x v="30"/>
    <x v="0"/>
    <n v="42"/>
    <x v="0"/>
    <x v="30"/>
    <x v="4"/>
  </r>
  <r>
    <s v="ORD-0455"/>
    <d v="2025-11-24T00:00:00"/>
    <x v="0"/>
    <s v="CUST-014"/>
    <s v="PROD-124"/>
    <n v="9"/>
    <n v="15250.2"/>
    <n v="12962.67"/>
    <n v="137251.80000000002"/>
    <n v="116664.03"/>
    <n v="20587.770000000019"/>
    <s v="Kayla"/>
    <x v="4"/>
    <x v="34"/>
    <x v="1"/>
    <n v="27"/>
    <x v="1"/>
    <x v="5"/>
    <x v="0"/>
  </r>
  <r>
    <s v="ORD-0456"/>
    <d v="2025-11-03T00:00:00"/>
    <x v="5"/>
    <s v="CUST-019"/>
    <s v="PROD-124"/>
    <n v="3"/>
    <n v="15496.300000000001"/>
    <n v="13171.855000000001"/>
    <n v="46488.9"/>
    <n v="39515.565000000002"/>
    <n v="6973.3349999999991"/>
    <s v="Ralph"/>
    <x v="3"/>
    <x v="9"/>
    <x v="1"/>
    <n v="21"/>
    <x v="1"/>
    <x v="5"/>
    <x v="0"/>
  </r>
  <r>
    <s v="ORD-0457"/>
    <d v="2025-12-12T00:00:00"/>
    <x v="7"/>
    <s v="CUST-014"/>
    <s v="PROD-127"/>
    <n v="2"/>
    <n v="19571.300000000003"/>
    <n v="16635.605000000003"/>
    <n v="39142.600000000006"/>
    <n v="33271.210000000006"/>
    <n v="5871.3899999999994"/>
    <s v="Joshua"/>
    <x v="4"/>
    <x v="34"/>
    <x v="1"/>
    <n v="27"/>
    <x v="1"/>
    <x v="17"/>
    <x v="5"/>
  </r>
  <r>
    <s v="ORD-0458"/>
    <d v="2025-12-21T00:00:00"/>
    <x v="8"/>
    <s v="CUST-108"/>
    <s v="PROD-126"/>
    <n v="4"/>
    <n v="8584.7000000000007"/>
    <n v="7296.9950000000008"/>
    <n v="34338.800000000003"/>
    <n v="29187.980000000003"/>
    <n v="5150.82"/>
    <s v="Anna"/>
    <x v="5"/>
    <x v="30"/>
    <x v="0"/>
    <n v="42"/>
    <x v="0"/>
    <x v="9"/>
    <x v="5"/>
  </r>
  <r>
    <s v="ORD-0459"/>
    <d v="2025-11-12T00:00:00"/>
    <x v="12"/>
    <s v="CUST-114"/>
    <s v="PROD-101"/>
    <n v="9"/>
    <n v="18988"/>
    <n v="16139.8"/>
    <n v="170892"/>
    <n v="145258.19999999998"/>
    <n v="25633.800000000017"/>
    <s v="Katie"/>
    <x v="2"/>
    <x v="42"/>
    <x v="0"/>
    <n v="25"/>
    <x v="1"/>
    <x v="16"/>
    <x v="3"/>
  </r>
  <r>
    <s v="ORD-0460"/>
    <d v="2025-10-23T00:00:00"/>
    <x v="9"/>
    <s v="CUST-113"/>
    <s v="PROD-101"/>
    <n v="8"/>
    <n v="7816.5999999999995"/>
    <n v="6644.11"/>
    <n v="62532.799999999996"/>
    <n v="53152.88"/>
    <n v="9379.9199999999983"/>
    <s v="Timothy"/>
    <x v="1"/>
    <x v="21"/>
    <x v="1"/>
    <n v="47"/>
    <x v="0"/>
    <x v="16"/>
    <x v="3"/>
  </r>
  <r>
    <s v="ORD-0461"/>
    <d v="2025-12-05T00:00:00"/>
    <x v="10"/>
    <s v="CUST-147"/>
    <s v="PROD-106"/>
    <n v="7"/>
    <n v="4849.7000000000007"/>
    <n v="4122.2450000000008"/>
    <n v="33947.900000000009"/>
    <n v="28855.715000000004"/>
    <n v="5092.1850000000049"/>
    <s v="David"/>
    <x v="2"/>
    <x v="36"/>
    <x v="0"/>
    <n v="53"/>
    <x v="0"/>
    <x v="6"/>
    <x v="4"/>
  </r>
  <r>
    <s v="ORD-0462"/>
    <d v="2025-10-27T00:00:00"/>
    <x v="3"/>
    <s v="CUST-018"/>
    <s v="PROD-122"/>
    <n v="8"/>
    <n v="1976.8000000000002"/>
    <n v="1680.2800000000002"/>
    <n v="15814.400000000001"/>
    <n v="13442.240000000002"/>
    <n v="2372.16"/>
    <s v="Jasmine"/>
    <x v="0"/>
    <x v="103"/>
    <x v="0"/>
    <n v="35"/>
    <x v="0"/>
    <x v="11"/>
    <x v="0"/>
  </r>
  <r>
    <s v="ORD-0463"/>
    <d v="2025-12-20T00:00:00"/>
    <x v="4"/>
    <s v="CUST-072"/>
    <s v="PROD-105"/>
    <n v="9"/>
    <n v="6140.1"/>
    <n v="5219.085"/>
    <n v="55260.9"/>
    <n v="46971.764999999999"/>
    <n v="8289.135000000002"/>
    <s v="Cheyenne"/>
    <x v="0"/>
    <x v="54"/>
    <x v="0"/>
    <n v="45"/>
    <x v="0"/>
    <x v="3"/>
    <x v="3"/>
  </r>
  <r>
    <s v="ORD-0464"/>
    <d v="2025-10-31T00:00:00"/>
    <x v="3"/>
    <s v="CUST-119"/>
    <s v="PROD-121"/>
    <n v="8"/>
    <n v="3242"/>
    <n v="2755.7"/>
    <n v="25936"/>
    <n v="22045.599999999999"/>
    <n v="3890.4000000000015"/>
    <s v="Patrick"/>
    <x v="5"/>
    <x v="56"/>
    <x v="1"/>
    <n v="20"/>
    <x v="1"/>
    <x v="8"/>
    <x v="0"/>
  </r>
  <r>
    <s v="ORD-0465"/>
    <d v="2025-12-22T00:00:00"/>
    <x v="8"/>
    <s v="CUST-019"/>
    <s v="PROD-108"/>
    <n v="4"/>
    <n v="18080.3"/>
    <n v="15368.254999999999"/>
    <n v="72321.2"/>
    <n v="61473.02"/>
    <n v="10848.18"/>
    <s v="David"/>
    <x v="3"/>
    <x v="9"/>
    <x v="1"/>
    <n v="21"/>
    <x v="1"/>
    <x v="27"/>
    <x v="4"/>
  </r>
  <r>
    <s v="ORD-0466"/>
    <d v="2025-11-25T00:00:00"/>
    <x v="0"/>
    <s v="CUST-040"/>
    <s v="PROD-113"/>
    <n v="3"/>
    <n v="3355.8999999999996"/>
    <n v="2852.5149999999999"/>
    <n v="10067.699999999999"/>
    <n v="8557.5450000000001"/>
    <n v="1510.1549999999988"/>
    <s v="Aaron"/>
    <x v="0"/>
    <x v="72"/>
    <x v="0"/>
    <n v="52"/>
    <x v="0"/>
    <x v="19"/>
    <x v="1"/>
  </r>
  <r>
    <s v="ORD-0467"/>
    <d v="2025-12-30T00:00:00"/>
    <x v="2"/>
    <s v="CUST-129"/>
    <s v="PROD-127"/>
    <n v="2"/>
    <n v="18499.2"/>
    <n v="15724.32"/>
    <n v="36998.400000000001"/>
    <n v="31448.639999999999"/>
    <n v="5549.760000000002"/>
    <s v="Katie"/>
    <x v="4"/>
    <x v="71"/>
    <x v="0"/>
    <n v="38"/>
    <x v="0"/>
    <x v="17"/>
    <x v="5"/>
  </r>
  <r>
    <s v="ORD-0468"/>
    <d v="2025-11-20T00:00:00"/>
    <x v="6"/>
    <s v="CUST-021"/>
    <s v="PROD-104"/>
    <n v="7"/>
    <n v="12466.300000000001"/>
    <n v="10596.355000000001"/>
    <n v="87264.1"/>
    <n v="74174.485000000015"/>
    <n v="13089.614999999991"/>
    <s v="Joshua"/>
    <x v="4"/>
    <x v="67"/>
    <x v="1"/>
    <n v="28"/>
    <x v="1"/>
    <x v="4"/>
    <x v="3"/>
  </r>
  <r>
    <s v="ORD-0469"/>
    <d v="2025-11-10T00:00:00"/>
    <x v="12"/>
    <s v="CUST-101"/>
    <s v="PROD-126"/>
    <n v="3"/>
    <n v="17394.2"/>
    <n v="14785.07"/>
    <n v="52182.600000000006"/>
    <n v="44355.21"/>
    <n v="7827.3900000000067"/>
    <s v="Lori"/>
    <x v="1"/>
    <x v="85"/>
    <x v="1"/>
    <n v="25"/>
    <x v="1"/>
    <x v="9"/>
    <x v="5"/>
  </r>
  <r>
    <s v="ORD-0470"/>
    <d v="2025-11-28T00:00:00"/>
    <x v="0"/>
    <s v="CUST-070"/>
    <s v="PROD-124"/>
    <n v="8"/>
    <n v="13944"/>
    <n v="11852.4"/>
    <n v="111552"/>
    <n v="94819.199999999997"/>
    <n v="16732.800000000003"/>
    <s v="Brenda"/>
    <x v="1"/>
    <x v="51"/>
    <x v="1"/>
    <n v="25"/>
    <x v="1"/>
    <x v="5"/>
    <x v="0"/>
  </r>
  <r>
    <s v="ORD-0471"/>
    <d v="2025-10-30T00:00:00"/>
    <x v="3"/>
    <s v="CUST-082"/>
    <s v="PROD-133"/>
    <n v="10"/>
    <n v="13082.8"/>
    <n v="11120.38"/>
    <n v="130828"/>
    <n v="111203.79999999999"/>
    <n v="19624.200000000012"/>
    <s v="Andrea"/>
    <x v="0"/>
    <x v="73"/>
    <x v="0"/>
    <n v="18"/>
    <x v="1"/>
    <x v="22"/>
    <x v="2"/>
  </r>
  <r>
    <s v="ORD-0472"/>
    <d v="2025-12-09T00:00:00"/>
    <x v="7"/>
    <s v="CUST-097"/>
    <s v="PROD-134"/>
    <n v="1"/>
    <n v="17504.100000000002"/>
    <n v="14878.485000000002"/>
    <n v="17504.100000000002"/>
    <n v="14878.485000000002"/>
    <n v="2625.6149999999998"/>
    <s v="Keith"/>
    <x v="5"/>
    <x v="1"/>
    <x v="0"/>
    <n v="23"/>
    <x v="1"/>
    <x v="7"/>
    <x v="2"/>
  </r>
  <r>
    <s v="ORD-0473"/>
    <d v="2025-12-25T00:00:00"/>
    <x v="8"/>
    <s v="CUST-073"/>
    <s v="PROD-109"/>
    <n v="5"/>
    <n v="5355.5999999999995"/>
    <n v="4552.2599999999993"/>
    <n v="26777.999999999996"/>
    <n v="22761.299999999996"/>
    <n v="4016.7000000000007"/>
    <s v="Thomas"/>
    <x v="3"/>
    <x v="28"/>
    <x v="0"/>
    <n v="23"/>
    <x v="1"/>
    <x v="30"/>
    <x v="4"/>
  </r>
  <r>
    <s v="ORD-0474"/>
    <d v="2025-10-03T00:00:00"/>
    <x v="11"/>
    <s v="CUST-032"/>
    <s v="PROD-124"/>
    <n v="7"/>
    <n v="12575"/>
    <n v="10688.75"/>
    <n v="88025"/>
    <n v="74821.25"/>
    <n v="13203.75"/>
    <s v="Aaron"/>
    <x v="4"/>
    <x v="15"/>
    <x v="0"/>
    <n v="26"/>
    <x v="1"/>
    <x v="5"/>
    <x v="0"/>
  </r>
  <r>
    <s v="ORD-0475"/>
    <d v="2025-12-21T00:00:00"/>
    <x v="8"/>
    <s v="CUST-053"/>
    <s v="PROD-126"/>
    <n v="9"/>
    <n v="4796.8"/>
    <n v="4077.28"/>
    <n v="43171.200000000004"/>
    <n v="36695.520000000004"/>
    <n v="6475.68"/>
    <s v="Joshua"/>
    <x v="4"/>
    <x v="69"/>
    <x v="0"/>
    <n v="19"/>
    <x v="1"/>
    <x v="9"/>
    <x v="5"/>
  </r>
  <r>
    <s v="ORD-0476"/>
    <d v="2025-10-06T00:00:00"/>
    <x v="1"/>
    <s v="CUST-065"/>
    <s v="PROD-120"/>
    <n v="3"/>
    <n v="10607"/>
    <n v="9015.9500000000007"/>
    <n v="31821"/>
    <n v="27047.850000000002"/>
    <n v="4773.1499999999978"/>
    <s v="Tara"/>
    <x v="5"/>
    <x v="42"/>
    <x v="0"/>
    <n v="23"/>
    <x v="1"/>
    <x v="0"/>
    <x v="0"/>
  </r>
  <r>
    <s v="ORD-0477"/>
    <d v="2025-11-23T00:00:00"/>
    <x v="0"/>
    <s v="CUST-066"/>
    <s v="PROD-126"/>
    <n v="7"/>
    <n v="7226.2"/>
    <n v="6142.27"/>
    <n v="50583.4"/>
    <n v="42995.89"/>
    <n v="7587.510000000002"/>
    <s v="Brenda"/>
    <x v="0"/>
    <x v="55"/>
    <x v="0"/>
    <n v="20"/>
    <x v="1"/>
    <x v="9"/>
    <x v="5"/>
  </r>
  <r>
    <s v="ORD-0478"/>
    <d v="2025-11-01T00:00:00"/>
    <x v="3"/>
    <s v="CUST-145"/>
    <s v="PROD-127"/>
    <n v="10"/>
    <n v="5711.3"/>
    <n v="4854.6050000000005"/>
    <n v="57113"/>
    <n v="48546.05"/>
    <n v="8566.9499999999971"/>
    <s v="Cheyenne"/>
    <x v="1"/>
    <x v="83"/>
    <x v="0"/>
    <n v="31"/>
    <x v="1"/>
    <x v="17"/>
    <x v="5"/>
  </r>
  <r>
    <s v="ORD-0479"/>
    <d v="2025-10-10T00:00:00"/>
    <x v="1"/>
    <s v="CUST-058"/>
    <s v="PROD-121"/>
    <n v="6"/>
    <n v="19362.7"/>
    <n v="16458.295000000002"/>
    <n v="116176.20000000001"/>
    <n v="98749.770000000019"/>
    <n v="17426.429999999993"/>
    <s v="Victoria"/>
    <x v="1"/>
    <x v="17"/>
    <x v="0"/>
    <n v="18"/>
    <x v="1"/>
    <x v="8"/>
    <x v="0"/>
  </r>
  <r>
    <s v="ORD-0480"/>
    <d v="2025-12-08T00:00:00"/>
    <x v="7"/>
    <s v="CUST-093"/>
    <s v="PROD-116"/>
    <n v="4"/>
    <n v="2339.1999999999998"/>
    <n v="1988.32"/>
    <n v="9356.7999999999993"/>
    <n v="7953.28"/>
    <n v="1403.5199999999995"/>
    <s v="Anna"/>
    <x v="0"/>
    <x v="25"/>
    <x v="0"/>
    <n v="19"/>
    <x v="1"/>
    <x v="24"/>
    <x v="1"/>
  </r>
  <r>
    <s v="ORD-0481"/>
    <d v="2025-11-04T00:00:00"/>
    <x v="5"/>
    <s v="CUST-033"/>
    <s v="PROD-125"/>
    <n v="4"/>
    <n v="10470.699999999999"/>
    <n v="8900.0949999999993"/>
    <n v="41882.799999999996"/>
    <n v="35600.379999999997"/>
    <n v="6282.4199999999983"/>
    <s v="Patrick"/>
    <x v="5"/>
    <x v="29"/>
    <x v="0"/>
    <n v="19"/>
    <x v="1"/>
    <x v="13"/>
    <x v="0"/>
  </r>
  <r>
    <s v="ORD-0482"/>
    <d v="2025-12-27T00:00:00"/>
    <x v="8"/>
    <s v="CUST-099"/>
    <s v="PROD-116"/>
    <n v="7"/>
    <n v="19131.8"/>
    <n v="16262.029999999999"/>
    <n v="133922.6"/>
    <n v="113834.20999999999"/>
    <n v="20088.390000000014"/>
    <s v="Lisa"/>
    <x v="1"/>
    <x v="5"/>
    <x v="0"/>
    <n v="52"/>
    <x v="0"/>
    <x v="24"/>
    <x v="1"/>
  </r>
  <r>
    <s v="ORD-0483"/>
    <d v="2025-11-19T00:00:00"/>
    <x v="6"/>
    <s v="CUST-026"/>
    <s v="PROD-129"/>
    <n v="10"/>
    <n v="1351.3"/>
    <n v="1148.605"/>
    <n v="13513"/>
    <n v="11486.05"/>
    <n v="2026.9500000000007"/>
    <s v="Aaron"/>
    <x v="1"/>
    <x v="104"/>
    <x v="1"/>
    <n v="26"/>
    <x v="1"/>
    <x v="21"/>
    <x v="5"/>
  </r>
  <r>
    <s v="ORD-0484"/>
    <d v="2025-11-15T00:00:00"/>
    <x v="12"/>
    <s v="CUST-144"/>
    <s v="PROD-129"/>
    <n v="2"/>
    <n v="17703.5"/>
    <n v="15047.975"/>
    <n v="35407"/>
    <n v="30095.95"/>
    <n v="5311.0499999999993"/>
    <s v="Patrick"/>
    <x v="4"/>
    <x v="66"/>
    <x v="1"/>
    <n v="23"/>
    <x v="1"/>
    <x v="21"/>
    <x v="5"/>
  </r>
  <r>
    <s v="ORD-0485"/>
    <d v="2025-11-18T00:00:00"/>
    <x v="6"/>
    <s v="CUST-084"/>
    <s v="PROD-110"/>
    <n v="3"/>
    <n v="16309.6"/>
    <n v="13863.16"/>
    <n v="48928.800000000003"/>
    <n v="41589.479999999996"/>
    <n v="7339.320000000007"/>
    <s v="Sean"/>
    <x v="4"/>
    <x v="45"/>
    <x v="1"/>
    <n v="49"/>
    <x v="0"/>
    <x v="14"/>
    <x v="4"/>
  </r>
  <r>
    <s v="ORD-0486"/>
    <d v="2025-11-25T00:00:00"/>
    <x v="0"/>
    <s v="CUST-125"/>
    <s v="PROD-133"/>
    <n v="2"/>
    <n v="4222.9000000000005"/>
    <n v="3589.4650000000006"/>
    <n v="8445.8000000000011"/>
    <n v="7178.9300000000012"/>
    <n v="1266.8699999999999"/>
    <s v="Thomas"/>
    <x v="2"/>
    <x v="28"/>
    <x v="0"/>
    <n v="23"/>
    <x v="1"/>
    <x v="22"/>
    <x v="2"/>
  </r>
  <r>
    <s v="ORD-0487"/>
    <d v="2025-10-18T00:00:00"/>
    <x v="13"/>
    <s v="CUST-005"/>
    <s v="PROD-133"/>
    <n v="6"/>
    <n v="650.19999999999993"/>
    <n v="552.66999999999996"/>
    <n v="3901.2"/>
    <n v="3316.0199999999995"/>
    <n v="585.18000000000029"/>
    <s v="Ralph"/>
    <x v="0"/>
    <x v="39"/>
    <x v="1"/>
    <n v="20"/>
    <x v="1"/>
    <x v="22"/>
    <x v="2"/>
  </r>
  <r>
    <s v="ORD-0488"/>
    <d v="2025-11-27T00:00:00"/>
    <x v="0"/>
    <s v="CUST-001"/>
    <s v="PROD-105"/>
    <n v="10"/>
    <n v="11883"/>
    <n v="10100.549999999999"/>
    <n v="118830"/>
    <n v="101005.5"/>
    <n v="17824.5"/>
    <s v="Jasmine"/>
    <x v="3"/>
    <x v="74"/>
    <x v="1"/>
    <n v="27"/>
    <x v="1"/>
    <x v="3"/>
    <x v="3"/>
  </r>
  <r>
    <s v="ORD-0489"/>
    <d v="2025-12-23T00:00:00"/>
    <x v="8"/>
    <s v="CUST-017"/>
    <s v="PROD-128"/>
    <n v="9"/>
    <n v="11208.900000000001"/>
    <n v="9527.5650000000005"/>
    <n v="100880.1"/>
    <n v="85748.085000000006"/>
    <n v="15132.014999999999"/>
    <s v="Timothy"/>
    <x v="2"/>
    <x v="60"/>
    <x v="0"/>
    <n v="27"/>
    <x v="1"/>
    <x v="15"/>
    <x v="5"/>
  </r>
  <r>
    <s v="ORD-0490"/>
    <d v="2025-10-19T00:00:00"/>
    <x v="9"/>
    <s v="CUST-055"/>
    <s v="PROD-116"/>
    <n v="2"/>
    <n v="5072.5"/>
    <n v="4311.625"/>
    <n v="10145"/>
    <n v="8623.25"/>
    <n v="1521.75"/>
    <s v="Caroline"/>
    <x v="0"/>
    <x v="16"/>
    <x v="0"/>
    <n v="24"/>
    <x v="1"/>
    <x v="24"/>
    <x v="1"/>
  </r>
  <r>
    <s v="ORD-0491"/>
    <d v="2025-12-07T00:00:00"/>
    <x v="7"/>
    <s v="CUST-129"/>
    <s v="PROD-120"/>
    <n v="4"/>
    <n v="1615.5"/>
    <n v="1373.175"/>
    <n v="6462"/>
    <n v="5492.7"/>
    <n v="969.30000000000018"/>
    <s v="Ethan"/>
    <x v="4"/>
    <x v="71"/>
    <x v="0"/>
    <n v="38"/>
    <x v="0"/>
    <x v="0"/>
    <x v="0"/>
  </r>
  <r>
    <s v="ORD-0492"/>
    <d v="2025-11-04T00:00:00"/>
    <x v="5"/>
    <s v="CUST-133"/>
    <s v="PROD-104"/>
    <n v="10"/>
    <n v="18928"/>
    <n v="16088.8"/>
    <n v="189280"/>
    <n v="160888"/>
    <n v="28392"/>
    <s v="Victoria"/>
    <x v="4"/>
    <x v="94"/>
    <x v="1"/>
    <n v="21"/>
    <x v="1"/>
    <x v="4"/>
    <x v="3"/>
  </r>
  <r>
    <s v="ORD-0493"/>
    <d v="2025-10-30T00:00:00"/>
    <x v="3"/>
    <s v="CUST-008"/>
    <s v="PROD-132"/>
    <n v="5"/>
    <n v="7133.0999999999995"/>
    <n v="6063.1349999999993"/>
    <n v="35665.5"/>
    <n v="30315.674999999996"/>
    <n v="5349.8250000000044"/>
    <s v="Jasmine"/>
    <x v="4"/>
    <x v="69"/>
    <x v="0"/>
    <n v="29"/>
    <x v="1"/>
    <x v="26"/>
    <x v="2"/>
  </r>
  <r>
    <s v="ORD-0494"/>
    <d v="2025-12-14T00:00:00"/>
    <x v="4"/>
    <s v="CUST-118"/>
    <s v="PROD-107"/>
    <n v="9"/>
    <n v="811.7"/>
    <n v="689.94500000000005"/>
    <n v="7305.3"/>
    <n v="6209.5050000000001"/>
    <n v="1095.7950000000001"/>
    <s v="Timothy"/>
    <x v="4"/>
    <x v="62"/>
    <x v="0"/>
    <n v="48"/>
    <x v="0"/>
    <x v="12"/>
    <x v="4"/>
  </r>
  <r>
    <s v="ORD-0495"/>
    <d v="2025-12-03T00:00:00"/>
    <x v="10"/>
    <s v="CUST-123"/>
    <s v="PROD-101"/>
    <n v="2"/>
    <n v="19489.3"/>
    <n v="16565.904999999999"/>
    <n v="38978.6"/>
    <n v="33131.81"/>
    <n v="5846.7900000000009"/>
    <s v="Douglas"/>
    <x v="1"/>
    <x v="28"/>
    <x v="0"/>
    <n v="20"/>
    <x v="1"/>
    <x v="16"/>
    <x v="3"/>
  </r>
  <r>
    <s v="ORD-0496"/>
    <d v="2025-10-02T00:00:00"/>
    <x v="11"/>
    <s v="CUST-144"/>
    <s v="PROD-115"/>
    <n v="6"/>
    <n v="7295.4"/>
    <n v="6201.09"/>
    <n v="43772.399999999994"/>
    <n v="37206.54"/>
    <n v="6565.8599999999933"/>
    <s v="Tara"/>
    <x v="4"/>
    <x v="66"/>
    <x v="1"/>
    <n v="23"/>
    <x v="1"/>
    <x v="10"/>
    <x v="1"/>
  </r>
  <r>
    <s v="ORD-0497"/>
    <d v="2025-10-23T00:00:00"/>
    <x v="9"/>
    <s v="CUST-064"/>
    <s v="PROD-104"/>
    <n v="3"/>
    <n v="9075.7000000000007"/>
    <n v="7714.3450000000012"/>
    <n v="27227.100000000002"/>
    <n v="23143.035000000003"/>
    <n v="4084.0649999999987"/>
    <s v="Lisa"/>
    <x v="4"/>
    <x v="59"/>
    <x v="0"/>
    <n v="37"/>
    <x v="0"/>
    <x v="4"/>
    <x v="3"/>
  </r>
  <r>
    <s v="ORD-0498"/>
    <d v="2025-12-24T00:00:00"/>
    <x v="8"/>
    <s v="CUST-024"/>
    <s v="PROD-113"/>
    <n v="2"/>
    <n v="2298.4"/>
    <n v="1953.64"/>
    <n v="4596.8"/>
    <n v="3907.28"/>
    <n v="689.52"/>
    <s v="Lori"/>
    <x v="1"/>
    <x v="78"/>
    <x v="1"/>
    <n v="31"/>
    <x v="1"/>
    <x v="19"/>
    <x v="1"/>
  </r>
  <r>
    <s v="ORD-0499"/>
    <d v="2025-12-10T00:00:00"/>
    <x v="7"/>
    <s v="CUST-103"/>
    <s v="PROD-129"/>
    <n v="7"/>
    <n v="6097.6"/>
    <n v="5182.96"/>
    <n v="42683.200000000004"/>
    <n v="36280.720000000001"/>
    <n v="6402.4800000000032"/>
    <s v="Patrick"/>
    <x v="2"/>
    <x v="85"/>
    <x v="1"/>
    <n v="23"/>
    <x v="1"/>
    <x v="21"/>
    <x v="5"/>
  </r>
  <r>
    <s v="ORD-0500"/>
    <d v="2025-10-04T00:00:00"/>
    <x v="11"/>
    <s v="CUST-019"/>
    <s v="PROD-102"/>
    <n v="7"/>
    <n v="16059.7"/>
    <n v="13650.745000000001"/>
    <n v="112417.90000000001"/>
    <n v="95555.215000000011"/>
    <n v="16862.684999999998"/>
    <s v="Laura"/>
    <x v="3"/>
    <x v="9"/>
    <x v="1"/>
    <n v="21"/>
    <x v="1"/>
    <x v="20"/>
    <x v="3"/>
  </r>
  <r>
    <s v="ORD-0501"/>
    <d v="2025-11-08T00:00:00"/>
    <x v="5"/>
    <s v="CUST-001"/>
    <s v="PROD-102"/>
    <n v="2"/>
    <n v="17513"/>
    <n v="14886.05"/>
    <n v="35026"/>
    <n v="29772.1"/>
    <n v="5253.9000000000015"/>
    <s v="Jonathan"/>
    <x v="3"/>
    <x v="74"/>
    <x v="1"/>
    <n v="27"/>
    <x v="1"/>
    <x v="20"/>
    <x v="3"/>
  </r>
  <r>
    <s v="ORD-0502"/>
    <d v="2025-10-09T00:00:00"/>
    <x v="1"/>
    <s v="CUST-050"/>
    <s v="PROD-126"/>
    <n v="9"/>
    <n v="4580.7"/>
    <n v="3893.5949999999998"/>
    <n v="41226.299999999996"/>
    <n v="35042.354999999996"/>
    <n v="6183.9449999999997"/>
    <s v="Victoria"/>
    <x v="0"/>
    <x v="83"/>
    <x v="0"/>
    <n v="35"/>
    <x v="0"/>
    <x v="9"/>
    <x v="5"/>
  </r>
  <r>
    <s v="ORD-0503"/>
    <d v="2025-11-17T00:00:00"/>
    <x v="6"/>
    <s v="CUST-127"/>
    <s v="PROD-116"/>
    <n v="6"/>
    <n v="11309.9"/>
    <n v="9613.4149999999991"/>
    <n v="67859.399999999994"/>
    <n v="57680.489999999991"/>
    <n v="10178.910000000003"/>
    <s v="Sean"/>
    <x v="3"/>
    <x v="48"/>
    <x v="0"/>
    <n v="18"/>
    <x v="1"/>
    <x v="24"/>
    <x v="1"/>
  </r>
  <r>
    <s v="ORD-0504"/>
    <d v="2025-10-27T00:00:00"/>
    <x v="3"/>
    <s v="CUST-093"/>
    <s v="PROD-126"/>
    <n v="6"/>
    <n v="5468.5"/>
    <n v="4648.2250000000004"/>
    <n v="32811"/>
    <n v="27889.350000000002"/>
    <n v="4921.6499999999978"/>
    <s v="Ethan"/>
    <x v="0"/>
    <x v="25"/>
    <x v="0"/>
    <n v="19"/>
    <x v="1"/>
    <x v="9"/>
    <x v="5"/>
  </r>
  <r>
    <s v="ORD-0505"/>
    <d v="2025-10-25T00:00:00"/>
    <x v="9"/>
    <s v="CUST-023"/>
    <s v="PROD-128"/>
    <n v="6"/>
    <n v="16400.7"/>
    <n v="13940.595000000001"/>
    <n v="98404.200000000012"/>
    <n v="83643.570000000007"/>
    <n v="14760.630000000005"/>
    <s v="Jonathan"/>
    <x v="0"/>
    <x v="65"/>
    <x v="1"/>
    <n v="35"/>
    <x v="0"/>
    <x v="15"/>
    <x v="5"/>
  </r>
  <r>
    <s v="ORD-0506"/>
    <d v="2025-12-09T00:00:00"/>
    <x v="7"/>
    <s v="CUST-107"/>
    <s v="PROD-127"/>
    <n v="4"/>
    <n v="16167.2"/>
    <n v="13742.12"/>
    <n v="64668.800000000003"/>
    <n v="54968.480000000003"/>
    <n v="9700.32"/>
    <s v="Ralph"/>
    <x v="4"/>
    <x v="36"/>
    <x v="0"/>
    <n v="18"/>
    <x v="1"/>
    <x v="17"/>
    <x v="5"/>
  </r>
  <r>
    <s v="ORD-0507"/>
    <d v="2025-10-14T00:00:00"/>
    <x v="13"/>
    <s v="CUST-070"/>
    <s v="PROD-133"/>
    <n v="8"/>
    <n v="3478.5"/>
    <n v="2956.7249999999999"/>
    <n v="27828"/>
    <n v="23653.8"/>
    <n v="4174.2000000000007"/>
    <s v="Ralph"/>
    <x v="1"/>
    <x v="51"/>
    <x v="1"/>
    <n v="25"/>
    <x v="1"/>
    <x v="22"/>
    <x v="2"/>
  </r>
  <r>
    <s v="ORD-0508"/>
    <d v="2025-10-04T00:00:00"/>
    <x v="11"/>
    <s v="CUST-100"/>
    <s v="PROD-103"/>
    <n v="9"/>
    <n v="3367.6"/>
    <n v="2862.46"/>
    <n v="30308.399999999998"/>
    <n v="25762.14"/>
    <n v="4546.2599999999984"/>
    <s v="Daniel"/>
    <x v="4"/>
    <x v="26"/>
    <x v="1"/>
    <n v="28"/>
    <x v="1"/>
    <x v="28"/>
    <x v="3"/>
  </r>
  <r>
    <s v="ORD-0509"/>
    <d v="2025-12-24T00:00:00"/>
    <x v="8"/>
    <s v="CUST-112"/>
    <s v="PROD-108"/>
    <n v="7"/>
    <n v="8022.7999999999993"/>
    <n v="6819.3799999999992"/>
    <n v="56159.599999999991"/>
    <n v="47735.659999999996"/>
    <n v="8423.9399999999951"/>
    <s v="Keith"/>
    <x v="1"/>
    <x v="11"/>
    <x v="1"/>
    <n v="40"/>
    <x v="0"/>
    <x v="27"/>
    <x v="4"/>
  </r>
  <r>
    <s v="ORD-0510"/>
    <d v="2025-12-02T00:00:00"/>
    <x v="10"/>
    <s v="CUST-130"/>
    <s v="PROD-114"/>
    <n v="2"/>
    <n v="7693.5"/>
    <n v="6539.4750000000004"/>
    <n v="15387"/>
    <n v="13078.95"/>
    <n v="2308.0499999999993"/>
    <s v="Lisa"/>
    <x v="5"/>
    <x v="34"/>
    <x v="1"/>
    <n v="55"/>
    <x v="0"/>
    <x v="18"/>
    <x v="1"/>
  </r>
  <r>
    <s v="ORD-0511"/>
    <d v="2025-12-18T00:00:00"/>
    <x v="4"/>
    <s v="CUST-043"/>
    <s v="PROD-127"/>
    <n v="6"/>
    <n v="2596.7000000000003"/>
    <n v="2207.1950000000002"/>
    <n v="15580.2"/>
    <n v="13243.170000000002"/>
    <n v="2337.0299999999988"/>
    <s v="Tara"/>
    <x v="4"/>
    <x v="7"/>
    <x v="0"/>
    <n v="42"/>
    <x v="0"/>
    <x v="17"/>
    <x v="5"/>
  </r>
  <r>
    <s v="ORD-0512"/>
    <d v="2025-10-14T00:00:00"/>
    <x v="13"/>
    <s v="CUST-106"/>
    <s v="PROD-105"/>
    <n v="1"/>
    <n v="9428"/>
    <n v="8013.8"/>
    <n v="9428"/>
    <n v="8013.8"/>
    <n v="1414.1999999999998"/>
    <s v="Kayla"/>
    <x v="1"/>
    <x v="96"/>
    <x v="0"/>
    <n v="32"/>
    <x v="1"/>
    <x v="3"/>
    <x v="3"/>
  </r>
  <r>
    <s v="ORD-0513"/>
    <d v="2025-10-25T00:00:00"/>
    <x v="9"/>
    <s v="CUST-096"/>
    <s v="PROD-106"/>
    <n v="3"/>
    <n v="849.80000000000007"/>
    <n v="722.33"/>
    <n v="2549.4"/>
    <n v="2166.9900000000002"/>
    <n v="382.40999999999985"/>
    <s v="Daniel"/>
    <x v="4"/>
    <x v="13"/>
    <x v="1"/>
    <n v="26"/>
    <x v="1"/>
    <x v="6"/>
    <x v="4"/>
  </r>
  <r>
    <s v="ORD-0514"/>
    <d v="2025-10-25T00:00:00"/>
    <x v="9"/>
    <s v="CUST-097"/>
    <s v="PROD-119"/>
    <n v="8"/>
    <n v="6910"/>
    <n v="5873.5"/>
    <n v="55280"/>
    <n v="46988"/>
    <n v="8292"/>
    <s v="Sean"/>
    <x v="5"/>
    <x v="1"/>
    <x v="0"/>
    <n v="23"/>
    <x v="1"/>
    <x v="33"/>
    <x v="0"/>
  </r>
  <r>
    <s v="ORD-0515"/>
    <d v="2025-10-05T00:00:00"/>
    <x v="1"/>
    <s v="CUST-094"/>
    <s v="PROD-115"/>
    <n v="6"/>
    <n v="1243.0999999999999"/>
    <n v="1056.635"/>
    <n v="7458.5999999999995"/>
    <n v="6339.8099999999995"/>
    <n v="1118.79"/>
    <s v="Tara"/>
    <x v="3"/>
    <x v="21"/>
    <x v="1"/>
    <n v="40"/>
    <x v="0"/>
    <x v="10"/>
    <x v="1"/>
  </r>
  <r>
    <s v="ORD-0516"/>
    <d v="2025-10-03T00:00:00"/>
    <x v="11"/>
    <s v="CUST-019"/>
    <s v="PROD-107"/>
    <n v="3"/>
    <n v="18448.2"/>
    <n v="15680.970000000001"/>
    <n v="55344.600000000006"/>
    <n v="47042.91"/>
    <n v="8301.6900000000023"/>
    <s v="Thomas"/>
    <x v="3"/>
    <x v="9"/>
    <x v="1"/>
    <n v="21"/>
    <x v="1"/>
    <x v="12"/>
    <x v="4"/>
  </r>
  <r>
    <s v="ORD-0517"/>
    <d v="2025-12-31T00:00:00"/>
    <x v="2"/>
    <s v="CUST-001"/>
    <s v="PROD-129"/>
    <n v="10"/>
    <n v="5516.2"/>
    <n v="4688.7699999999995"/>
    <n v="55162"/>
    <n v="46887.7"/>
    <n v="8274.3000000000029"/>
    <s v="Linda"/>
    <x v="3"/>
    <x v="74"/>
    <x v="1"/>
    <n v="27"/>
    <x v="1"/>
    <x v="21"/>
    <x v="5"/>
  </r>
  <r>
    <s v="ORD-0518"/>
    <d v="2025-12-16T00:00:00"/>
    <x v="4"/>
    <s v="CUST-106"/>
    <s v="PROD-129"/>
    <n v="3"/>
    <n v="3574.1000000000004"/>
    <n v="3037.9850000000006"/>
    <n v="10722.300000000001"/>
    <n v="9113.9550000000017"/>
    <n v="1608.3449999999993"/>
    <s v="Patrick"/>
    <x v="1"/>
    <x v="96"/>
    <x v="0"/>
    <n v="32"/>
    <x v="1"/>
    <x v="21"/>
    <x v="5"/>
  </r>
  <r>
    <s v="ORD-0519"/>
    <d v="2025-12-25T00:00:00"/>
    <x v="8"/>
    <s v="CUST-131"/>
    <s v="PROD-107"/>
    <n v="6"/>
    <n v="11472.7"/>
    <n v="9751.7950000000001"/>
    <n v="68836.200000000012"/>
    <n v="58510.770000000004"/>
    <n v="10325.430000000008"/>
    <s v="Andrea"/>
    <x v="0"/>
    <x v="37"/>
    <x v="0"/>
    <n v="46"/>
    <x v="0"/>
    <x v="12"/>
    <x v="4"/>
  </r>
  <r>
    <s v="ORD-0520"/>
    <d v="2025-11-27T00:00:00"/>
    <x v="0"/>
    <s v="CUST-041"/>
    <s v="PROD-107"/>
    <n v="5"/>
    <n v="17506.300000000003"/>
    <n v="14880.355000000003"/>
    <n v="87531.500000000015"/>
    <n v="74401.775000000023"/>
    <n v="13129.724999999991"/>
    <s v="Aaron"/>
    <x v="3"/>
    <x v="19"/>
    <x v="0"/>
    <n v="20"/>
    <x v="1"/>
    <x v="12"/>
    <x v="4"/>
  </r>
  <r>
    <s v="ORD-0521"/>
    <d v="2025-12-08T00:00:00"/>
    <x v="7"/>
    <s v="CUST-095"/>
    <s v="PROD-114"/>
    <n v="8"/>
    <n v="13688.099999999999"/>
    <n v="11634.884999999998"/>
    <n v="109504.79999999999"/>
    <n v="93079.079999999987"/>
    <n v="16425.72"/>
    <s v="Ethan"/>
    <x v="1"/>
    <x v="2"/>
    <x v="1"/>
    <n v="39"/>
    <x v="0"/>
    <x v="18"/>
    <x v="1"/>
  </r>
  <r>
    <s v="ORD-0522"/>
    <d v="2025-12-19T00:00:00"/>
    <x v="4"/>
    <s v="CUST-077"/>
    <s v="PROD-110"/>
    <n v="8"/>
    <n v="15270.3"/>
    <n v="12979.754999999999"/>
    <n v="122162.4"/>
    <n v="103838.04"/>
    <n v="18324.36"/>
    <s v="Jonathan"/>
    <x v="1"/>
    <x v="27"/>
    <x v="0"/>
    <n v="35"/>
    <x v="0"/>
    <x v="14"/>
    <x v="4"/>
  </r>
  <r>
    <s v="ORD-0523"/>
    <d v="2025-10-20T00:00:00"/>
    <x v="9"/>
    <s v="CUST-017"/>
    <s v="PROD-130"/>
    <n v="2"/>
    <n v="8930.2000000000007"/>
    <n v="7590.670000000001"/>
    <n v="17860.400000000001"/>
    <n v="15181.340000000002"/>
    <n v="2679.0599999999995"/>
    <s v="Anna"/>
    <x v="2"/>
    <x v="60"/>
    <x v="0"/>
    <n v="27"/>
    <x v="1"/>
    <x v="29"/>
    <x v="2"/>
  </r>
  <r>
    <s v="ORD-0524"/>
    <d v="2025-12-28T00:00:00"/>
    <x v="2"/>
    <s v="CUST-004"/>
    <s v="PROD-125"/>
    <n v="9"/>
    <n v="14968.5"/>
    <n v="12723.225"/>
    <n v="134716.5"/>
    <n v="114509.02500000001"/>
    <n v="20207.474999999991"/>
    <s v="Andrea"/>
    <x v="5"/>
    <x v="100"/>
    <x v="0"/>
    <n v="40"/>
    <x v="0"/>
    <x v="13"/>
    <x v="0"/>
  </r>
  <r>
    <s v="ORD-0525"/>
    <d v="2025-10-28T00:00:00"/>
    <x v="3"/>
    <s v="CUST-005"/>
    <s v="PROD-114"/>
    <n v="5"/>
    <n v="3043"/>
    <n v="2586.5500000000002"/>
    <n v="15215"/>
    <n v="12932.75"/>
    <n v="2282.25"/>
    <s v="Thomas"/>
    <x v="0"/>
    <x v="39"/>
    <x v="1"/>
    <n v="20"/>
    <x v="1"/>
    <x v="18"/>
    <x v="1"/>
  </r>
  <r>
    <s v="ORD-0526"/>
    <d v="2025-11-28T00:00:00"/>
    <x v="0"/>
    <s v="CUST-141"/>
    <s v="PROD-127"/>
    <n v="2"/>
    <n v="16924.100000000002"/>
    <n v="14385.485000000002"/>
    <n v="33848.200000000004"/>
    <n v="28770.970000000005"/>
    <n v="5077.2299999999996"/>
    <s v="Kayla"/>
    <x v="5"/>
    <x v="12"/>
    <x v="1"/>
    <n v="49"/>
    <x v="0"/>
    <x v="17"/>
    <x v="5"/>
  </r>
  <r>
    <s v="ORD-0527"/>
    <d v="2025-11-26T00:00:00"/>
    <x v="0"/>
    <s v="CUST-112"/>
    <s v="PROD-131"/>
    <n v="9"/>
    <n v="13159.2"/>
    <n v="11185.32"/>
    <n v="118432.8"/>
    <n v="100667.88"/>
    <n v="17764.919999999998"/>
    <s v="Ethan"/>
    <x v="1"/>
    <x v="11"/>
    <x v="1"/>
    <n v="40"/>
    <x v="0"/>
    <x v="2"/>
    <x v="2"/>
  </r>
  <r>
    <s v="ORD-0528"/>
    <d v="2025-12-23T00:00:00"/>
    <x v="8"/>
    <s v="CUST-113"/>
    <s v="PROD-102"/>
    <n v="10"/>
    <n v="15050.599999999999"/>
    <n v="12793.009999999998"/>
    <n v="150506"/>
    <n v="127930.09999999998"/>
    <n v="22575.900000000023"/>
    <s v="Linda"/>
    <x v="1"/>
    <x v="21"/>
    <x v="1"/>
    <n v="47"/>
    <x v="0"/>
    <x v="20"/>
    <x v="3"/>
  </r>
  <r>
    <s v="ORD-0529"/>
    <d v="2025-10-19T00:00:00"/>
    <x v="9"/>
    <s v="CUST-012"/>
    <s v="PROD-121"/>
    <n v="3"/>
    <n v="16137"/>
    <n v="13716.45"/>
    <n v="48411"/>
    <n v="41149.350000000006"/>
    <n v="7261.6499999999942"/>
    <s v="Tracey"/>
    <x v="0"/>
    <x v="79"/>
    <x v="1"/>
    <n v="23"/>
    <x v="1"/>
    <x v="8"/>
    <x v="0"/>
  </r>
  <r>
    <s v="ORD-0530"/>
    <d v="2025-11-15T00:00:00"/>
    <x v="12"/>
    <s v="CUST-148"/>
    <s v="PROD-110"/>
    <n v="9"/>
    <n v="19794.900000000001"/>
    <n v="16825.665000000001"/>
    <n v="178154.1"/>
    <n v="151430.98500000002"/>
    <n v="26723.114999999991"/>
    <s v="Andrea"/>
    <x v="0"/>
    <x v="68"/>
    <x v="1"/>
    <n v="37"/>
    <x v="0"/>
    <x v="14"/>
    <x v="4"/>
  </r>
  <r>
    <s v="ORD-0531"/>
    <d v="2025-11-19T00:00:00"/>
    <x v="6"/>
    <s v="CUST-115"/>
    <s v="PROD-134"/>
    <n v="1"/>
    <n v="9986.6"/>
    <n v="8488.61"/>
    <n v="9986.6"/>
    <n v="8488.61"/>
    <n v="1497.9899999999998"/>
    <s v="Laura"/>
    <x v="0"/>
    <x v="87"/>
    <x v="0"/>
    <n v="31"/>
    <x v="1"/>
    <x v="7"/>
    <x v="2"/>
  </r>
  <r>
    <s v="ORD-0532"/>
    <d v="2025-12-03T00:00:00"/>
    <x v="10"/>
    <s v="CUST-123"/>
    <s v="PROD-129"/>
    <n v="5"/>
    <n v="19649.5"/>
    <n v="16702.075000000001"/>
    <n v="98247.5"/>
    <n v="83510.375"/>
    <n v="14737.125"/>
    <s v="Jonathan"/>
    <x v="1"/>
    <x v="28"/>
    <x v="0"/>
    <n v="20"/>
    <x v="1"/>
    <x v="21"/>
    <x v="5"/>
  </r>
  <r>
    <s v="ORD-0533"/>
    <d v="2025-11-19T00:00:00"/>
    <x v="6"/>
    <s v="CUST-005"/>
    <s v="PROD-131"/>
    <n v="7"/>
    <n v="1621.1000000000001"/>
    <n v="1377.9350000000002"/>
    <n v="11347.7"/>
    <n v="9645.5450000000019"/>
    <n v="1702.1549999999988"/>
    <s v="David"/>
    <x v="0"/>
    <x v="39"/>
    <x v="1"/>
    <n v="20"/>
    <x v="1"/>
    <x v="2"/>
    <x v="2"/>
  </r>
  <r>
    <s v="ORD-0534"/>
    <d v="2025-11-13T00:00:00"/>
    <x v="12"/>
    <s v="CUST-064"/>
    <s v="PROD-129"/>
    <n v="10"/>
    <n v="590.29999999999995"/>
    <n v="501.755"/>
    <n v="5903"/>
    <n v="5017.55"/>
    <n v="885.44999999999982"/>
    <s v="Keith"/>
    <x v="4"/>
    <x v="59"/>
    <x v="0"/>
    <n v="37"/>
    <x v="0"/>
    <x v="21"/>
    <x v="5"/>
  </r>
  <r>
    <s v="ORD-0535"/>
    <d v="2025-10-22T00:00:00"/>
    <x v="9"/>
    <s v="CUST-045"/>
    <s v="PROD-105"/>
    <n v="4"/>
    <n v="12479.6"/>
    <n v="10607.66"/>
    <n v="49918.400000000001"/>
    <n v="42430.64"/>
    <n v="7487.760000000002"/>
    <s v="Tara"/>
    <x v="1"/>
    <x v="36"/>
    <x v="0"/>
    <n v="22"/>
    <x v="1"/>
    <x v="3"/>
    <x v="3"/>
  </r>
  <r>
    <s v="ORD-0536"/>
    <d v="2025-11-02T00:00:00"/>
    <x v="5"/>
    <s v="CUST-085"/>
    <s v="PROD-127"/>
    <n v="6"/>
    <n v="2837.3"/>
    <n v="2411.7049999999999"/>
    <n v="17023.800000000003"/>
    <n v="14470.23"/>
    <n v="2553.5700000000033"/>
    <s v="Laura"/>
    <x v="4"/>
    <x v="41"/>
    <x v="0"/>
    <n v="29"/>
    <x v="1"/>
    <x v="17"/>
    <x v="5"/>
  </r>
  <r>
    <s v="ORD-0537"/>
    <d v="2025-10-04T00:00:00"/>
    <x v="11"/>
    <s v="CUST-016"/>
    <s v="PROD-134"/>
    <n v="10"/>
    <n v="10203.4"/>
    <n v="8672.89"/>
    <n v="102034"/>
    <n v="86728.9"/>
    <n v="15305.100000000006"/>
    <s v="Linda"/>
    <x v="1"/>
    <x v="26"/>
    <x v="1"/>
    <n v="26"/>
    <x v="1"/>
    <x v="7"/>
    <x v="2"/>
  </r>
  <r>
    <s v="ORD-0538"/>
    <d v="2025-12-10T00:00:00"/>
    <x v="7"/>
    <s v="CUST-023"/>
    <s v="PROD-108"/>
    <n v="9"/>
    <n v="8851.5"/>
    <n v="7523.7749999999996"/>
    <n v="79663.5"/>
    <n v="67713.974999999991"/>
    <n v="11949.525000000009"/>
    <s v="Jonathan"/>
    <x v="0"/>
    <x v="65"/>
    <x v="1"/>
    <n v="35"/>
    <x v="0"/>
    <x v="27"/>
    <x v="4"/>
  </r>
  <r>
    <s v="ORD-0539"/>
    <d v="2025-10-24T00:00:00"/>
    <x v="9"/>
    <s v="CUST-053"/>
    <s v="PROD-112"/>
    <n v="9"/>
    <n v="7183.8"/>
    <n v="6106.2300000000005"/>
    <n v="64654.200000000004"/>
    <n v="54956.070000000007"/>
    <n v="9698.1299999999974"/>
    <s v="Jennifer"/>
    <x v="4"/>
    <x v="69"/>
    <x v="0"/>
    <n v="19"/>
    <x v="1"/>
    <x v="1"/>
    <x v="1"/>
  </r>
  <r>
    <s v="ORD-0540"/>
    <d v="2025-12-04T00:00:00"/>
    <x v="10"/>
    <s v="CUST-132"/>
    <s v="PROD-132"/>
    <n v="7"/>
    <n v="1240.4000000000001"/>
    <n v="1054.3400000000001"/>
    <n v="8682.8000000000011"/>
    <n v="7380.380000000001"/>
    <n v="1302.42"/>
    <s v="Brenda"/>
    <x v="1"/>
    <x v="90"/>
    <x v="1"/>
    <n v="27"/>
    <x v="1"/>
    <x v="26"/>
    <x v="2"/>
  </r>
  <r>
    <s v="ORD-0541"/>
    <d v="2025-12-19T00:00:00"/>
    <x v="4"/>
    <s v="CUST-026"/>
    <s v="PROD-101"/>
    <n v="2"/>
    <n v="13330.599999999999"/>
    <n v="11331.009999999998"/>
    <n v="26661.199999999997"/>
    <n v="22662.019999999997"/>
    <n v="3999.1800000000003"/>
    <s v="David"/>
    <x v="1"/>
    <x v="104"/>
    <x v="1"/>
    <n v="26"/>
    <x v="1"/>
    <x v="16"/>
    <x v="3"/>
  </r>
  <r>
    <s v="ORD-0542"/>
    <d v="2025-12-22T00:00:00"/>
    <x v="8"/>
    <s v="CUST-106"/>
    <s v="PROD-101"/>
    <n v="10"/>
    <n v="9566.2999999999993"/>
    <n v="8131.3549999999996"/>
    <n v="95663"/>
    <n v="81313.549999999988"/>
    <n v="14349.450000000012"/>
    <s v="Thomas"/>
    <x v="1"/>
    <x v="96"/>
    <x v="0"/>
    <n v="32"/>
    <x v="1"/>
    <x v="16"/>
    <x v="3"/>
  </r>
  <r>
    <s v="ORD-0543"/>
    <d v="2025-11-20T00:00:00"/>
    <x v="6"/>
    <s v="CUST-083"/>
    <s v="PROD-106"/>
    <n v="6"/>
    <n v="11084.2"/>
    <n v="9421.57"/>
    <n v="66505.200000000012"/>
    <n v="56529.42"/>
    <n v="9975.7800000000134"/>
    <s v="Cheyenne"/>
    <x v="3"/>
    <x v="14"/>
    <x v="1"/>
    <n v="23"/>
    <x v="1"/>
    <x v="6"/>
    <x v="4"/>
  </r>
  <r>
    <s v="ORD-0544"/>
    <d v="2025-10-28T00:00:00"/>
    <x v="3"/>
    <s v="CUST-121"/>
    <s v="PROD-125"/>
    <n v="8"/>
    <n v="14128.599999999999"/>
    <n v="12009.31"/>
    <n v="113028.79999999999"/>
    <n v="96074.48"/>
    <n v="16954.319999999992"/>
    <s v="Daniel"/>
    <x v="1"/>
    <x v="99"/>
    <x v="1"/>
    <n v="24"/>
    <x v="1"/>
    <x v="13"/>
    <x v="0"/>
  </r>
  <r>
    <s v="ORD-0545"/>
    <d v="2025-11-28T00:00:00"/>
    <x v="0"/>
    <s v="CUST-140"/>
    <s v="PROD-107"/>
    <n v="5"/>
    <n v="2571.1999999999998"/>
    <n v="2185.52"/>
    <n v="12856"/>
    <n v="10927.6"/>
    <n v="1928.3999999999996"/>
    <s v="Joshua"/>
    <x v="4"/>
    <x v="77"/>
    <x v="1"/>
    <n v="46"/>
    <x v="0"/>
    <x v="12"/>
    <x v="4"/>
  </r>
  <r>
    <s v="ORD-0546"/>
    <d v="2025-10-07T00:00:00"/>
    <x v="1"/>
    <s v="CUST-103"/>
    <s v="PROD-108"/>
    <n v="9"/>
    <n v="16363.900000000001"/>
    <n v="13909.315000000002"/>
    <n v="147275.1"/>
    <n v="125183.83500000002"/>
    <n v="22091.264999999985"/>
    <s v="Tara"/>
    <x v="2"/>
    <x v="85"/>
    <x v="1"/>
    <n v="23"/>
    <x v="1"/>
    <x v="27"/>
    <x v="4"/>
  </r>
  <r>
    <s v="ORD-0547"/>
    <d v="2025-12-28T00:00:00"/>
    <x v="2"/>
    <s v="CUST-094"/>
    <s v="PROD-128"/>
    <n v="9"/>
    <n v="19359.5"/>
    <n v="16455.575000000001"/>
    <n v="174235.5"/>
    <n v="148100.17500000002"/>
    <n v="26135.324999999983"/>
    <s v="Tara"/>
    <x v="3"/>
    <x v="21"/>
    <x v="1"/>
    <n v="40"/>
    <x v="0"/>
    <x v="15"/>
    <x v="5"/>
  </r>
  <r>
    <s v="ORD-0548"/>
    <d v="2025-10-17T00:00:00"/>
    <x v="13"/>
    <s v="CUST-061"/>
    <s v="PROD-109"/>
    <n v="10"/>
    <n v="3644.9"/>
    <n v="3098.165"/>
    <n v="36449"/>
    <n v="30981.65"/>
    <n v="5467.3499999999985"/>
    <s v="Katie"/>
    <x v="0"/>
    <x v="31"/>
    <x v="0"/>
    <n v="28"/>
    <x v="1"/>
    <x v="30"/>
    <x v="4"/>
  </r>
  <r>
    <s v="ORD-0549"/>
    <d v="2025-11-13T00:00:00"/>
    <x v="12"/>
    <s v="CUST-042"/>
    <s v="PROD-133"/>
    <n v="5"/>
    <n v="15784"/>
    <n v="13416.4"/>
    <n v="78920"/>
    <n v="67082"/>
    <n v="11838"/>
    <s v="Lisa"/>
    <x v="1"/>
    <x v="41"/>
    <x v="0"/>
    <n v="33"/>
    <x v="1"/>
    <x v="22"/>
    <x v="2"/>
  </r>
  <r>
    <s v="ORD-0550"/>
    <d v="2025-10-09T00:00:00"/>
    <x v="1"/>
    <s v="CUST-030"/>
    <s v="PROD-132"/>
    <n v="7"/>
    <n v="18399.3"/>
    <n v="15639.404999999999"/>
    <n v="128795.09999999999"/>
    <n v="109475.83499999999"/>
    <n v="19319.264999999999"/>
    <s v="Linda"/>
    <x v="3"/>
    <x v="4"/>
    <x v="1"/>
    <n v="24"/>
    <x v="1"/>
    <x v="26"/>
    <x v="2"/>
  </r>
  <r>
    <s v="ORD-0551"/>
    <d v="2025-11-18T00:00:00"/>
    <x v="6"/>
    <s v="CUST-075"/>
    <s v="PROD-124"/>
    <n v="6"/>
    <n v="16332.3"/>
    <n v="13882.455"/>
    <n v="97993.799999999988"/>
    <n v="83294.73"/>
    <n v="14699.069999999992"/>
    <s v="Victoria"/>
    <x v="5"/>
    <x v="82"/>
    <x v="0"/>
    <n v="31"/>
    <x v="1"/>
    <x v="5"/>
    <x v="0"/>
  </r>
  <r>
    <s v="ORD-0552"/>
    <d v="2025-12-20T00:00:00"/>
    <x v="4"/>
    <s v="CUST-070"/>
    <s v="PROD-132"/>
    <n v="6"/>
    <n v="17278.399999999998"/>
    <n v="14686.639999999998"/>
    <n v="103670.39999999999"/>
    <n v="88119.839999999982"/>
    <n v="15550.560000000012"/>
    <s v="Aaron"/>
    <x v="1"/>
    <x v="51"/>
    <x v="1"/>
    <n v="25"/>
    <x v="1"/>
    <x v="26"/>
    <x v="2"/>
  </r>
  <r>
    <s v="ORD-0553"/>
    <d v="2025-10-05T00:00:00"/>
    <x v="1"/>
    <s v="CUST-016"/>
    <s v="PROD-125"/>
    <n v="4"/>
    <n v="19196.199999999997"/>
    <n v="16316.769999999997"/>
    <n v="76784.799999999988"/>
    <n v="65267.079999999987"/>
    <n v="11517.720000000001"/>
    <s v="Victoria"/>
    <x v="1"/>
    <x v="26"/>
    <x v="1"/>
    <n v="26"/>
    <x v="1"/>
    <x v="13"/>
    <x v="0"/>
  </r>
  <r>
    <s v="ORD-0554"/>
    <d v="2025-11-28T00:00:00"/>
    <x v="0"/>
    <s v="CUST-121"/>
    <s v="PROD-106"/>
    <n v="1"/>
    <n v="15156.199999999999"/>
    <n v="12882.769999999999"/>
    <n v="15156.199999999999"/>
    <n v="12882.769999999999"/>
    <n v="2273.4300000000003"/>
    <s v="David"/>
    <x v="1"/>
    <x v="99"/>
    <x v="1"/>
    <n v="24"/>
    <x v="1"/>
    <x v="6"/>
    <x v="4"/>
  </r>
  <r>
    <s v="ORD-0555"/>
    <d v="2025-10-19T00:00:00"/>
    <x v="9"/>
    <s v="CUST-046"/>
    <s v="PROD-129"/>
    <n v="6"/>
    <n v="11232.4"/>
    <n v="9547.5399999999991"/>
    <n v="67394.399999999994"/>
    <n v="57285.239999999991"/>
    <n v="10109.160000000003"/>
    <s v="Tara"/>
    <x v="4"/>
    <x v="4"/>
    <x v="1"/>
    <n v="31"/>
    <x v="1"/>
    <x v="21"/>
    <x v="5"/>
  </r>
  <r>
    <s v="ORD-0556"/>
    <d v="2025-12-06T00:00:00"/>
    <x v="10"/>
    <s v="CUST-029"/>
    <s v="PROD-110"/>
    <n v="2"/>
    <n v="3267.5"/>
    <n v="2777.375"/>
    <n v="6535"/>
    <n v="5554.75"/>
    <n v="980.25"/>
    <s v="Aaron"/>
    <x v="0"/>
    <x v="86"/>
    <x v="1"/>
    <n v="44"/>
    <x v="0"/>
    <x v="14"/>
    <x v="4"/>
  </r>
  <r>
    <s v="ORD-0557"/>
    <d v="2025-12-17T00:00:00"/>
    <x v="4"/>
    <s v="CUST-042"/>
    <s v="PROD-126"/>
    <n v="9"/>
    <n v="704.7"/>
    <n v="598.995"/>
    <n v="6342.3"/>
    <n v="5390.9549999999999"/>
    <n v="951.34500000000025"/>
    <s v="Laura"/>
    <x v="1"/>
    <x v="41"/>
    <x v="0"/>
    <n v="33"/>
    <x v="1"/>
    <x v="9"/>
    <x v="5"/>
  </r>
  <r>
    <s v="ORD-0558"/>
    <d v="2025-12-18T00:00:00"/>
    <x v="4"/>
    <s v="CUST-079"/>
    <s v="PROD-111"/>
    <n v="3"/>
    <n v="9155.2999999999993"/>
    <n v="7782.0049999999992"/>
    <n v="27465.899999999998"/>
    <n v="23346.014999999999"/>
    <n v="4119.8849999999984"/>
    <s v="Victoria"/>
    <x v="1"/>
    <x v="97"/>
    <x v="0"/>
    <n v="50"/>
    <x v="0"/>
    <x v="31"/>
    <x v="1"/>
  </r>
  <r>
    <s v="ORD-0559"/>
    <d v="2025-11-23T00:00:00"/>
    <x v="0"/>
    <s v="CUST-072"/>
    <s v="PROD-130"/>
    <n v="4"/>
    <n v="4458"/>
    <n v="3789.3"/>
    <n v="17832"/>
    <n v="15157.2"/>
    <n v="2674.7999999999993"/>
    <s v="Douglas"/>
    <x v="0"/>
    <x v="54"/>
    <x v="0"/>
    <n v="45"/>
    <x v="0"/>
    <x v="29"/>
    <x v="2"/>
  </r>
  <r>
    <s v="ORD-0560"/>
    <d v="2025-10-07T00:00:00"/>
    <x v="1"/>
    <s v="CUST-052"/>
    <s v="PROD-125"/>
    <n v="9"/>
    <n v="10029.6"/>
    <n v="8525.16"/>
    <n v="90266.400000000009"/>
    <n v="76726.44"/>
    <n v="13539.960000000006"/>
    <s v="Patrick"/>
    <x v="1"/>
    <x v="8"/>
    <x v="1"/>
    <n v="28"/>
    <x v="1"/>
    <x v="13"/>
    <x v="0"/>
  </r>
  <r>
    <s v="ORD-0561"/>
    <d v="2025-12-07T00:00:00"/>
    <x v="7"/>
    <s v="CUST-082"/>
    <s v="PROD-107"/>
    <n v="7"/>
    <n v="5517.7999999999993"/>
    <n v="4690.1299999999992"/>
    <n v="38624.599999999991"/>
    <n v="32830.909999999996"/>
    <n v="5793.6899999999951"/>
    <s v="Victoria"/>
    <x v="0"/>
    <x v="73"/>
    <x v="0"/>
    <n v="18"/>
    <x v="1"/>
    <x v="12"/>
    <x v="4"/>
  </r>
  <r>
    <s v="ORD-0562"/>
    <d v="2025-10-15T00:00:00"/>
    <x v="13"/>
    <s v="CUST-111"/>
    <s v="PROD-125"/>
    <n v="9"/>
    <n v="16934.7"/>
    <n v="14394.495000000001"/>
    <n v="152412.30000000002"/>
    <n v="129550.455"/>
    <n v="22861.845000000016"/>
    <s v="Patrick"/>
    <x v="4"/>
    <x v="10"/>
    <x v="0"/>
    <n v="20"/>
    <x v="1"/>
    <x v="13"/>
    <x v="0"/>
  </r>
  <r>
    <s v="ORD-0563"/>
    <d v="2025-10-26T00:00:00"/>
    <x v="3"/>
    <s v="CUST-120"/>
    <s v="PROD-130"/>
    <n v="7"/>
    <n v="925.1"/>
    <n v="786.33500000000004"/>
    <n v="6475.7"/>
    <n v="5504.3450000000003"/>
    <n v="971.35499999999956"/>
    <s v="Cheyenne"/>
    <x v="0"/>
    <x v="95"/>
    <x v="1"/>
    <n v="18"/>
    <x v="1"/>
    <x v="29"/>
    <x v="2"/>
  </r>
  <r>
    <s v="ORD-0564"/>
    <d v="2025-11-05T00:00:00"/>
    <x v="5"/>
    <s v="CUST-051"/>
    <s v="PROD-115"/>
    <n v="9"/>
    <n v="5214.5"/>
    <n v="4432.3249999999998"/>
    <n v="46930.5"/>
    <n v="39890.924999999996"/>
    <n v="7039.5750000000044"/>
    <s v="Caroline"/>
    <x v="3"/>
    <x v="15"/>
    <x v="0"/>
    <n v="31"/>
    <x v="1"/>
    <x v="10"/>
    <x v="1"/>
  </r>
  <r>
    <s v="ORD-0565"/>
    <d v="2025-12-31T00:00:00"/>
    <x v="2"/>
    <s v="CUST-126"/>
    <s v="PROD-134"/>
    <n v="5"/>
    <n v="13229.400000000001"/>
    <n v="11244.990000000002"/>
    <n v="66147"/>
    <n v="56224.950000000012"/>
    <n v="9922.0499999999884"/>
    <s v="Timothy"/>
    <x v="0"/>
    <x v="89"/>
    <x v="1"/>
    <n v="40"/>
    <x v="0"/>
    <x v="7"/>
    <x v="2"/>
  </r>
  <r>
    <s v="ORD-0566"/>
    <d v="2025-11-19T00:00:00"/>
    <x v="6"/>
    <s v="CUST-003"/>
    <s v="PROD-118"/>
    <n v="5"/>
    <n v="12467.4"/>
    <n v="10597.289999999999"/>
    <n v="62337"/>
    <n v="52986.45"/>
    <n v="9350.5500000000029"/>
    <s v="Brenda"/>
    <x v="4"/>
    <x v="10"/>
    <x v="0"/>
    <n v="25"/>
    <x v="1"/>
    <x v="25"/>
    <x v="0"/>
  </r>
  <r>
    <s v="ORD-0567"/>
    <d v="2025-10-11T00:00:00"/>
    <x v="1"/>
    <s v="CUST-071"/>
    <s v="PROD-110"/>
    <n v="4"/>
    <n v="546.30000000000007"/>
    <n v="464.35500000000008"/>
    <n v="2185.2000000000003"/>
    <n v="1857.4200000000003"/>
    <n v="327.78"/>
    <s v="Andrea"/>
    <x v="2"/>
    <x v="6"/>
    <x v="1"/>
    <n v="32"/>
    <x v="1"/>
    <x v="14"/>
    <x v="4"/>
  </r>
  <r>
    <s v="ORD-0568"/>
    <d v="2025-11-24T00:00:00"/>
    <x v="0"/>
    <s v="CUST-002"/>
    <s v="PROD-106"/>
    <n v="4"/>
    <n v="13397.9"/>
    <n v="11388.215"/>
    <n v="53591.6"/>
    <n v="45552.86"/>
    <n v="8038.739999999998"/>
    <s v="Ethan"/>
    <x v="1"/>
    <x v="8"/>
    <x v="1"/>
    <n v="20"/>
    <x v="1"/>
    <x v="6"/>
    <x v="4"/>
  </r>
  <r>
    <s v="ORD-0569"/>
    <d v="2025-12-06T00:00:00"/>
    <x v="10"/>
    <s v="CUST-007"/>
    <s v="PROD-132"/>
    <n v="1"/>
    <n v="17052.5"/>
    <n v="14494.625"/>
    <n v="17052.5"/>
    <n v="14494.625"/>
    <n v="2557.875"/>
    <s v="Joshua"/>
    <x v="1"/>
    <x v="29"/>
    <x v="0"/>
    <n v="44"/>
    <x v="0"/>
    <x v="26"/>
    <x v="2"/>
  </r>
  <r>
    <s v="ORD-0570"/>
    <d v="2025-10-04T00:00:00"/>
    <x v="11"/>
    <s v="CUST-038"/>
    <s v="PROD-132"/>
    <n v="5"/>
    <n v="9161.6999999999989"/>
    <n v="7787.4449999999988"/>
    <n v="45808.499999999993"/>
    <n v="38937.224999999991"/>
    <n v="6871.2750000000015"/>
    <s v="Katie"/>
    <x v="1"/>
    <x v="59"/>
    <x v="0"/>
    <n v="32"/>
    <x v="1"/>
    <x v="26"/>
    <x v="2"/>
  </r>
  <r>
    <s v="ORD-0571"/>
    <d v="2025-10-18T00:00:00"/>
    <x v="13"/>
    <s v="CUST-054"/>
    <s v="PROD-101"/>
    <n v="1"/>
    <n v="11126.900000000001"/>
    <n v="9457.8650000000016"/>
    <n v="11126.900000000001"/>
    <n v="9457.8650000000016"/>
    <n v="1669.0349999999999"/>
    <s v="Timothy"/>
    <x v="5"/>
    <x v="52"/>
    <x v="1"/>
    <n v="39"/>
    <x v="0"/>
    <x v="16"/>
    <x v="3"/>
  </r>
  <r>
    <s v="ORD-0572"/>
    <d v="2025-11-14T00:00:00"/>
    <x v="12"/>
    <s v="CUST-031"/>
    <s v="PROD-111"/>
    <n v="5"/>
    <n v="7036.7"/>
    <n v="5981.1949999999997"/>
    <n v="35183.5"/>
    <n v="29905.974999999999"/>
    <n v="5277.5250000000015"/>
    <s v="Ralph"/>
    <x v="1"/>
    <x v="47"/>
    <x v="0"/>
    <n v="28"/>
    <x v="1"/>
    <x v="31"/>
    <x v="1"/>
  </r>
  <r>
    <s v="ORD-0573"/>
    <d v="2025-11-19T00:00:00"/>
    <x v="6"/>
    <s v="CUST-046"/>
    <s v="PROD-103"/>
    <n v="1"/>
    <n v="15609.8"/>
    <n v="13268.33"/>
    <n v="15609.8"/>
    <n v="13268.33"/>
    <n v="2341.4699999999993"/>
    <s v="Jonathan"/>
    <x v="4"/>
    <x v="4"/>
    <x v="1"/>
    <n v="31"/>
    <x v="1"/>
    <x v="28"/>
    <x v="3"/>
  </r>
  <r>
    <s v="ORD-0574"/>
    <d v="2025-12-01T00:00:00"/>
    <x v="10"/>
    <s v="CUST-099"/>
    <s v="PROD-111"/>
    <n v="4"/>
    <n v="14832.1"/>
    <n v="12607.285"/>
    <n v="59328.4"/>
    <n v="50429.14"/>
    <n v="8899.260000000002"/>
    <s v="David"/>
    <x v="1"/>
    <x v="5"/>
    <x v="0"/>
    <n v="52"/>
    <x v="0"/>
    <x v="31"/>
    <x v="1"/>
  </r>
  <r>
    <s v="ORD-0575"/>
    <d v="2025-10-11T00:00:00"/>
    <x v="1"/>
    <s v="CUST-150"/>
    <s v="PROD-123"/>
    <n v="8"/>
    <n v="9023.2000000000007"/>
    <n v="7669.7200000000012"/>
    <n v="72185.600000000006"/>
    <n v="61357.760000000009"/>
    <n v="10827.839999999997"/>
    <s v="Daniel"/>
    <x v="1"/>
    <x v="31"/>
    <x v="0"/>
    <n v="25"/>
    <x v="1"/>
    <x v="32"/>
    <x v="0"/>
  </r>
  <r>
    <s v="ORD-0576"/>
    <d v="2025-12-11T00:00:00"/>
    <x v="7"/>
    <s v="CUST-064"/>
    <s v="PROD-126"/>
    <n v="2"/>
    <n v="8362.2999999999993"/>
    <n v="7107.9549999999999"/>
    <n v="16724.599999999999"/>
    <n v="14215.91"/>
    <n v="2508.6899999999987"/>
    <s v="Sean"/>
    <x v="4"/>
    <x v="59"/>
    <x v="0"/>
    <n v="37"/>
    <x v="0"/>
    <x v="9"/>
    <x v="5"/>
  </r>
  <r>
    <s v="ORD-0577"/>
    <d v="2025-12-18T00:00:00"/>
    <x v="4"/>
    <s v="CUST-118"/>
    <s v="PROD-123"/>
    <n v="4"/>
    <n v="5310.7000000000007"/>
    <n v="4514.0950000000003"/>
    <n v="21242.800000000003"/>
    <n v="18056.38"/>
    <n v="3186.4200000000019"/>
    <s v="Jennifer"/>
    <x v="4"/>
    <x v="62"/>
    <x v="0"/>
    <n v="48"/>
    <x v="0"/>
    <x v="32"/>
    <x v="0"/>
  </r>
  <r>
    <s v="ORD-0578"/>
    <d v="2025-11-30T00:00:00"/>
    <x v="10"/>
    <s v="CUST-025"/>
    <s v="PROD-107"/>
    <n v="6"/>
    <n v="9995.5999999999985"/>
    <n v="8496.2599999999984"/>
    <n v="59973.599999999991"/>
    <n v="50977.55999999999"/>
    <n v="8996.0400000000009"/>
    <s v="Lori"/>
    <x v="4"/>
    <x v="50"/>
    <x v="1"/>
    <n v="19"/>
    <x v="1"/>
    <x v="12"/>
    <x v="4"/>
  </r>
  <r>
    <s v="ORD-0579"/>
    <d v="2025-12-19T00:00:00"/>
    <x v="4"/>
    <s v="CUST-036"/>
    <s v="PROD-124"/>
    <n v="6"/>
    <n v="12762"/>
    <n v="10847.7"/>
    <n v="76572"/>
    <n v="65086.200000000004"/>
    <n v="11485.799999999996"/>
    <s v="Ethan"/>
    <x v="4"/>
    <x v="44"/>
    <x v="1"/>
    <n v="52"/>
    <x v="0"/>
    <x v="5"/>
    <x v="0"/>
  </r>
  <r>
    <s v="ORD-0580"/>
    <d v="2025-10-14T00:00:00"/>
    <x v="13"/>
    <s v="CUST-016"/>
    <s v="PROD-115"/>
    <n v="10"/>
    <n v="19285.8"/>
    <n v="16392.93"/>
    <n v="192858"/>
    <n v="163929.29999999999"/>
    <n v="28928.700000000012"/>
    <s v="Jennifer"/>
    <x v="1"/>
    <x v="26"/>
    <x v="1"/>
    <n v="26"/>
    <x v="1"/>
    <x v="10"/>
    <x v="1"/>
  </r>
  <r>
    <s v="ORD-0581"/>
    <d v="2025-10-02T00:00:00"/>
    <x v="11"/>
    <s v="CUST-088"/>
    <s v="PROD-134"/>
    <n v="1"/>
    <n v="6294"/>
    <n v="5349.9"/>
    <n v="6294"/>
    <n v="5349.9"/>
    <n v="944.10000000000036"/>
    <s v="Ralph"/>
    <x v="1"/>
    <x v="76"/>
    <x v="1"/>
    <n v="33"/>
    <x v="1"/>
    <x v="7"/>
    <x v="2"/>
  </r>
  <r>
    <s v="ORD-0582"/>
    <d v="2025-12-17T00:00:00"/>
    <x v="4"/>
    <s v="CUST-142"/>
    <s v="PROD-113"/>
    <n v="8"/>
    <n v="18705.400000000001"/>
    <n v="15899.590000000002"/>
    <n v="149643.20000000001"/>
    <n v="127196.72000000002"/>
    <n v="22446.479999999996"/>
    <s v="Linda"/>
    <x v="0"/>
    <x v="0"/>
    <x v="0"/>
    <n v="38"/>
    <x v="0"/>
    <x v="19"/>
    <x v="1"/>
  </r>
  <r>
    <s v="ORD-0583"/>
    <d v="2025-10-01T00:00:00"/>
    <x v="11"/>
    <s v="CUST-100"/>
    <s v="PROD-129"/>
    <n v="2"/>
    <n v="10549.5"/>
    <n v="8967.0750000000007"/>
    <n v="21099"/>
    <n v="17934.150000000001"/>
    <n v="3164.8499999999985"/>
    <s v="Brenda"/>
    <x v="4"/>
    <x v="26"/>
    <x v="1"/>
    <n v="28"/>
    <x v="1"/>
    <x v="21"/>
    <x v="5"/>
  </r>
  <r>
    <s v="ORD-0584"/>
    <d v="2025-10-15T00:00:00"/>
    <x v="13"/>
    <s v="CUST-111"/>
    <s v="PROD-119"/>
    <n v="8"/>
    <n v="6656.7999999999993"/>
    <n v="5658.28"/>
    <n v="53254.399999999994"/>
    <n v="45266.239999999998"/>
    <n v="7988.1599999999962"/>
    <s v="Lisa"/>
    <x v="4"/>
    <x v="10"/>
    <x v="0"/>
    <n v="20"/>
    <x v="1"/>
    <x v="33"/>
    <x v="0"/>
  </r>
  <r>
    <s v="ORD-0585"/>
    <d v="2025-12-25T00:00:00"/>
    <x v="8"/>
    <s v="CUST-093"/>
    <s v="PROD-126"/>
    <n v="9"/>
    <n v="835.6"/>
    <n v="710.26"/>
    <n v="7520.4000000000005"/>
    <n v="6392.34"/>
    <n v="1128.0600000000004"/>
    <s v="Jasmine"/>
    <x v="0"/>
    <x v="25"/>
    <x v="0"/>
    <n v="19"/>
    <x v="1"/>
    <x v="9"/>
    <x v="5"/>
  </r>
  <r>
    <s v="ORD-0586"/>
    <d v="2025-11-18T00:00:00"/>
    <x v="6"/>
    <s v="CUST-021"/>
    <s v="PROD-103"/>
    <n v="5"/>
    <n v="11366.6"/>
    <n v="9661.61"/>
    <n v="56833"/>
    <n v="48308.05"/>
    <n v="8524.9499999999971"/>
    <s v="Daniel"/>
    <x v="4"/>
    <x v="67"/>
    <x v="1"/>
    <n v="28"/>
    <x v="1"/>
    <x v="28"/>
    <x v="3"/>
  </r>
  <r>
    <s v="ORD-0587"/>
    <d v="2025-12-01T00:00:00"/>
    <x v="10"/>
    <s v="CUST-077"/>
    <s v="PROD-101"/>
    <n v="7"/>
    <n v="9482.1"/>
    <n v="8059.7849999999999"/>
    <n v="66374.7"/>
    <n v="56418.494999999995"/>
    <n v="9956.2050000000017"/>
    <s v="Joshua"/>
    <x v="1"/>
    <x v="27"/>
    <x v="0"/>
    <n v="35"/>
    <x v="0"/>
    <x v="16"/>
    <x v="3"/>
  </r>
  <r>
    <s v="ORD-0588"/>
    <d v="2025-12-30T00:00:00"/>
    <x v="2"/>
    <s v="CUST-080"/>
    <s v="PROD-106"/>
    <n v="2"/>
    <n v="10819.400000000001"/>
    <n v="9196.4900000000016"/>
    <n v="21638.800000000003"/>
    <n v="18392.980000000003"/>
    <n v="3245.8199999999997"/>
    <s v="Jonathan"/>
    <x v="1"/>
    <x v="33"/>
    <x v="1"/>
    <n v="21"/>
    <x v="1"/>
    <x v="6"/>
    <x v="4"/>
  </r>
  <r>
    <s v="ORD-0589"/>
    <d v="2025-10-25T00:00:00"/>
    <x v="9"/>
    <s v="CUST-021"/>
    <s v="PROD-131"/>
    <n v="2"/>
    <n v="15467"/>
    <n v="13146.95"/>
    <n v="30934"/>
    <n v="26293.9"/>
    <n v="4640.0999999999985"/>
    <s v="Anna"/>
    <x v="4"/>
    <x v="67"/>
    <x v="1"/>
    <n v="28"/>
    <x v="1"/>
    <x v="2"/>
    <x v="2"/>
  </r>
  <r>
    <s v="ORD-0590"/>
    <d v="2025-11-17T00:00:00"/>
    <x v="6"/>
    <s v="CUST-100"/>
    <s v="PROD-127"/>
    <n v="3"/>
    <n v="19986.400000000001"/>
    <n v="16988.440000000002"/>
    <n v="59959.200000000004"/>
    <n v="50965.320000000007"/>
    <n v="8993.8799999999974"/>
    <s v="Timothy"/>
    <x v="4"/>
    <x v="26"/>
    <x v="1"/>
    <n v="28"/>
    <x v="1"/>
    <x v="17"/>
    <x v="5"/>
  </r>
  <r>
    <s v="ORD-0591"/>
    <d v="2025-10-02T00:00:00"/>
    <x v="11"/>
    <s v="CUST-102"/>
    <s v="PROD-107"/>
    <n v="3"/>
    <n v="12295.599999999999"/>
    <n v="10451.259999999998"/>
    <n v="36886.799999999996"/>
    <n v="31353.779999999995"/>
    <n v="5533.02"/>
    <s v="Laura"/>
    <x v="1"/>
    <x v="40"/>
    <x v="1"/>
    <n v="27"/>
    <x v="1"/>
    <x v="12"/>
    <x v="4"/>
  </r>
  <r>
    <s v="ORD-0592"/>
    <d v="2025-10-12T00:00:00"/>
    <x v="13"/>
    <s v="CUST-097"/>
    <s v="PROD-132"/>
    <n v="8"/>
    <n v="9629.4000000000015"/>
    <n v="8184.9900000000016"/>
    <n v="77035.200000000012"/>
    <n v="65479.920000000013"/>
    <n v="11555.279999999999"/>
    <s v="Patrick"/>
    <x v="5"/>
    <x v="1"/>
    <x v="0"/>
    <n v="23"/>
    <x v="1"/>
    <x v="26"/>
    <x v="2"/>
  </r>
  <r>
    <s v="ORD-0593"/>
    <d v="2025-11-22T00:00:00"/>
    <x v="6"/>
    <s v="CUST-033"/>
    <s v="PROD-105"/>
    <n v="9"/>
    <n v="9776.4"/>
    <n v="8309.94"/>
    <n v="87987.599999999991"/>
    <n v="74789.460000000006"/>
    <n v="13198.139999999985"/>
    <s v="Thomas"/>
    <x v="5"/>
    <x v="29"/>
    <x v="0"/>
    <n v="19"/>
    <x v="1"/>
    <x v="3"/>
    <x v="3"/>
  </r>
  <r>
    <s v="ORD-0594"/>
    <d v="2025-10-12T00:00:00"/>
    <x v="13"/>
    <s v="CUST-074"/>
    <s v="PROD-133"/>
    <n v="7"/>
    <n v="8863.5"/>
    <n v="7533.9750000000004"/>
    <n v="62044.5"/>
    <n v="52737.825000000004"/>
    <n v="9306.6749999999956"/>
    <s v="Katie"/>
    <x v="1"/>
    <x v="47"/>
    <x v="0"/>
    <n v="32"/>
    <x v="1"/>
    <x v="22"/>
    <x v="2"/>
  </r>
  <r>
    <s v="ORD-0595"/>
    <d v="2025-11-16T00:00:00"/>
    <x v="6"/>
    <s v="CUST-149"/>
    <s v="PROD-116"/>
    <n v="3"/>
    <n v="7753.8"/>
    <n v="6590.7300000000005"/>
    <n v="23261.4"/>
    <n v="19772.190000000002"/>
    <n v="3489.2099999999991"/>
    <s v="Linda"/>
    <x v="3"/>
    <x v="53"/>
    <x v="0"/>
    <n v="54"/>
    <x v="0"/>
    <x v="24"/>
    <x v="1"/>
  </r>
  <r>
    <s v="ORD-0596"/>
    <d v="2025-11-30T00:00:00"/>
    <x v="10"/>
    <s v="CUST-134"/>
    <s v="PROD-132"/>
    <n v="7"/>
    <n v="3151.3999999999996"/>
    <n v="2678.6899999999996"/>
    <n v="22059.799999999996"/>
    <n v="18750.829999999998"/>
    <n v="3308.9699999999975"/>
    <s v="Cheyenne"/>
    <x v="1"/>
    <x v="25"/>
    <x v="0"/>
    <n v="26"/>
    <x v="1"/>
    <x v="26"/>
    <x v="2"/>
  </r>
  <r>
    <s v="ORD-0597"/>
    <d v="2025-10-14T00:00:00"/>
    <x v="13"/>
    <s v="CUST-010"/>
    <s v="PROD-115"/>
    <n v="3"/>
    <n v="19811"/>
    <n v="16839.349999999999"/>
    <n v="59433"/>
    <n v="50518.049999999996"/>
    <n v="8914.9500000000044"/>
    <s v="Daniel"/>
    <x v="1"/>
    <x v="93"/>
    <x v="1"/>
    <n v="21"/>
    <x v="1"/>
    <x v="10"/>
    <x v="1"/>
  </r>
  <r>
    <s v="ORD-0598"/>
    <d v="2025-10-09T00:00:00"/>
    <x v="1"/>
    <s v="CUST-079"/>
    <s v="PROD-118"/>
    <n v="3"/>
    <n v="2222.6"/>
    <n v="1889.21"/>
    <n v="6667.7999999999993"/>
    <n v="5667.63"/>
    <n v="1000.1699999999992"/>
    <s v="Katie"/>
    <x v="1"/>
    <x v="97"/>
    <x v="0"/>
    <n v="50"/>
    <x v="0"/>
    <x v="25"/>
    <x v="0"/>
  </r>
  <r>
    <s v="ORD-0599"/>
    <d v="2025-12-22T00:00:00"/>
    <x v="8"/>
    <s v="CUST-063"/>
    <s v="PROD-113"/>
    <n v="10"/>
    <n v="5465.8"/>
    <n v="4645.93"/>
    <n v="54658"/>
    <n v="46459.3"/>
    <n v="8198.6999999999971"/>
    <s v="Jonathan"/>
    <x v="1"/>
    <x v="18"/>
    <x v="0"/>
    <n v="24"/>
    <x v="1"/>
    <x v="19"/>
    <x v="1"/>
  </r>
  <r>
    <s v="ORD-0600"/>
    <d v="2025-10-09T00:00:00"/>
    <x v="1"/>
    <s v="CUST-135"/>
    <s v="PROD-105"/>
    <n v="10"/>
    <n v="17210.5"/>
    <n v="14628.924999999999"/>
    <n v="172105"/>
    <n v="146289.25"/>
    <n v="25815.75"/>
    <s v="Ethan"/>
    <x v="1"/>
    <x v="101"/>
    <x v="0"/>
    <n v="23"/>
    <x v="1"/>
    <x v="3"/>
    <x v="3"/>
  </r>
  <r>
    <s v="ORD-0601"/>
    <d v="2025-11-18T00:00:00"/>
    <x v="6"/>
    <s v="CUST-075"/>
    <s v="PROD-118"/>
    <n v="10"/>
    <n v="10934.9"/>
    <n v="9294.6649999999991"/>
    <n v="109349"/>
    <n v="92946.65"/>
    <n v="16402.350000000006"/>
    <s v="Brenda"/>
    <x v="5"/>
    <x v="82"/>
    <x v="0"/>
    <n v="31"/>
    <x v="1"/>
    <x v="25"/>
    <x v="0"/>
  </r>
  <r>
    <s v="ORD-0602"/>
    <d v="2025-11-29T00:00:00"/>
    <x v="0"/>
    <s v="CUST-127"/>
    <s v="PROD-113"/>
    <n v="1"/>
    <n v="6576.5999999999995"/>
    <n v="5590.11"/>
    <n v="6576.5999999999995"/>
    <n v="5590.11"/>
    <n v="986.48999999999978"/>
    <s v="Victoria"/>
    <x v="3"/>
    <x v="48"/>
    <x v="0"/>
    <n v="18"/>
    <x v="1"/>
    <x v="19"/>
    <x v="1"/>
  </r>
  <r>
    <s v="ORD-0603"/>
    <d v="2025-10-10T00:00:00"/>
    <x v="1"/>
    <s v="CUST-134"/>
    <s v="PROD-126"/>
    <n v="2"/>
    <n v="6004.8"/>
    <n v="5104.08"/>
    <n v="12009.6"/>
    <n v="10208.16"/>
    <n v="1801.4400000000005"/>
    <s v="Douglas"/>
    <x v="1"/>
    <x v="25"/>
    <x v="0"/>
    <n v="26"/>
    <x v="1"/>
    <x v="9"/>
    <x v="5"/>
  </r>
  <r>
    <s v="ORD-0604"/>
    <d v="2025-10-13T00:00:00"/>
    <x v="13"/>
    <s v="CUST-068"/>
    <s v="PROD-131"/>
    <n v="1"/>
    <n v="17349.100000000002"/>
    <n v="14746.735000000002"/>
    <n v="17349.100000000002"/>
    <n v="14746.735000000002"/>
    <n v="2602.3649999999998"/>
    <s v="Jonathan"/>
    <x v="4"/>
    <x v="45"/>
    <x v="1"/>
    <n v="28"/>
    <x v="1"/>
    <x v="2"/>
    <x v="2"/>
  </r>
  <r>
    <s v="ORD-0605"/>
    <d v="2025-10-16T00:00:00"/>
    <x v="13"/>
    <s v="CUST-023"/>
    <s v="PROD-114"/>
    <n v="6"/>
    <n v="3999.5"/>
    <n v="3399.5749999999998"/>
    <n v="23997"/>
    <n v="20397.449999999997"/>
    <n v="3599.5500000000029"/>
    <s v="Victoria"/>
    <x v="0"/>
    <x v="65"/>
    <x v="1"/>
    <n v="35"/>
    <x v="0"/>
    <x v="18"/>
    <x v="1"/>
  </r>
  <r>
    <s v="ORD-0606"/>
    <d v="2025-11-22T00:00:00"/>
    <x v="6"/>
    <s v="CUST-057"/>
    <s v="PROD-126"/>
    <n v="2"/>
    <n v="19837.5"/>
    <n v="16861.875"/>
    <n v="39675"/>
    <n v="33723.75"/>
    <n v="5951.25"/>
    <s v="David"/>
    <x v="4"/>
    <x v="49"/>
    <x v="1"/>
    <n v="26"/>
    <x v="1"/>
    <x v="9"/>
    <x v="5"/>
  </r>
  <r>
    <s v="ORD-0607"/>
    <d v="2025-11-01T00:00:00"/>
    <x v="3"/>
    <s v="CUST-107"/>
    <s v="PROD-101"/>
    <n v="2"/>
    <n v="17204.5"/>
    <n v="14623.825000000001"/>
    <n v="34409"/>
    <n v="29247.65"/>
    <n v="5161.3499999999985"/>
    <s v="Timothy"/>
    <x v="4"/>
    <x v="36"/>
    <x v="0"/>
    <n v="18"/>
    <x v="1"/>
    <x v="16"/>
    <x v="3"/>
  </r>
  <r>
    <s v="ORD-0608"/>
    <d v="2025-10-07T00:00:00"/>
    <x v="1"/>
    <s v="CUST-071"/>
    <s v="PROD-132"/>
    <n v="10"/>
    <n v="2893.6000000000004"/>
    <n v="2459.5600000000004"/>
    <n v="28936.000000000004"/>
    <n v="24595.600000000006"/>
    <n v="4340.3999999999978"/>
    <s v="Ralph"/>
    <x v="2"/>
    <x v="6"/>
    <x v="1"/>
    <n v="32"/>
    <x v="1"/>
    <x v="26"/>
    <x v="2"/>
  </r>
  <r>
    <s v="ORD-0609"/>
    <d v="2025-10-11T00:00:00"/>
    <x v="1"/>
    <s v="CUST-137"/>
    <s v="PROD-127"/>
    <n v="7"/>
    <n v="19530.099999999999"/>
    <n v="16600.584999999999"/>
    <n v="136710.69999999998"/>
    <n v="116204.095"/>
    <n v="20506.604999999981"/>
    <s v="Tracey"/>
    <x v="0"/>
    <x v="81"/>
    <x v="0"/>
    <n v="36"/>
    <x v="0"/>
    <x v="17"/>
    <x v="5"/>
  </r>
  <r>
    <s v="ORD-0610"/>
    <d v="2025-12-21T00:00:00"/>
    <x v="8"/>
    <s v="CUST-058"/>
    <s v="PROD-124"/>
    <n v="5"/>
    <n v="18498.3"/>
    <n v="15723.555"/>
    <n v="92491.5"/>
    <n v="78617.774999999994"/>
    <n v="13873.725000000006"/>
    <s v="Ethan"/>
    <x v="1"/>
    <x v="17"/>
    <x v="0"/>
    <n v="18"/>
    <x v="1"/>
    <x v="5"/>
    <x v="0"/>
  </r>
  <r>
    <s v="ORD-0611"/>
    <d v="2025-10-04T00:00:00"/>
    <x v="11"/>
    <s v="CUST-011"/>
    <s v="PROD-110"/>
    <n v="6"/>
    <n v="12794.9"/>
    <n v="10875.664999999999"/>
    <n v="76769.399999999994"/>
    <n v="65253.989999999991"/>
    <n v="11515.410000000003"/>
    <s v="Andrea"/>
    <x v="2"/>
    <x v="26"/>
    <x v="1"/>
    <n v="18"/>
    <x v="1"/>
    <x v="14"/>
    <x v="4"/>
  </r>
  <r>
    <s v="ORD-0612"/>
    <d v="2025-12-27T00:00:00"/>
    <x v="8"/>
    <s v="CUST-131"/>
    <s v="PROD-119"/>
    <n v="1"/>
    <n v="17791.7"/>
    <n v="15122.945"/>
    <n v="17791.7"/>
    <n v="15122.945"/>
    <n v="2668.755000000001"/>
    <s v="Joshua"/>
    <x v="0"/>
    <x v="37"/>
    <x v="0"/>
    <n v="46"/>
    <x v="0"/>
    <x v="33"/>
    <x v="0"/>
  </r>
  <r>
    <s v="ORD-0613"/>
    <d v="2025-12-22T00:00:00"/>
    <x v="8"/>
    <s v="CUST-086"/>
    <s v="PROD-115"/>
    <n v="6"/>
    <n v="16419.2"/>
    <n v="13956.32"/>
    <n v="98515.200000000012"/>
    <n v="83737.919999999998"/>
    <n v="14777.280000000013"/>
    <s v="Lisa"/>
    <x v="5"/>
    <x v="70"/>
    <x v="0"/>
    <n v="19"/>
    <x v="1"/>
    <x v="10"/>
    <x v="1"/>
  </r>
  <r>
    <s v="ORD-0614"/>
    <d v="2025-12-19T00:00:00"/>
    <x v="4"/>
    <s v="CUST-028"/>
    <s v="PROD-102"/>
    <n v="10"/>
    <n v="2424.1999999999998"/>
    <n v="2060.5699999999997"/>
    <n v="24242"/>
    <n v="20605.699999999997"/>
    <n v="3636.3000000000029"/>
    <s v="Aaron"/>
    <x v="2"/>
    <x v="98"/>
    <x v="1"/>
    <n v="33"/>
    <x v="1"/>
    <x v="20"/>
    <x v="3"/>
  </r>
  <r>
    <s v="ORD-0615"/>
    <d v="2025-10-08T00:00:00"/>
    <x v="1"/>
    <s v="CUST-096"/>
    <s v="PROD-106"/>
    <n v="8"/>
    <n v="15707.1"/>
    <n v="13351.035"/>
    <n v="125656.8"/>
    <n v="106808.28"/>
    <n v="18848.520000000004"/>
    <s v="Aaron"/>
    <x v="4"/>
    <x v="13"/>
    <x v="1"/>
    <n v="26"/>
    <x v="1"/>
    <x v="6"/>
    <x v="4"/>
  </r>
  <r>
    <s v="ORD-0616"/>
    <d v="2025-11-09T00:00:00"/>
    <x v="12"/>
    <s v="CUST-062"/>
    <s v="PROD-125"/>
    <n v="2"/>
    <n v="6209"/>
    <n v="5277.65"/>
    <n v="12418"/>
    <n v="10555.3"/>
    <n v="1862.7000000000007"/>
    <s v="Sean"/>
    <x v="3"/>
    <x v="61"/>
    <x v="0"/>
    <n v="20"/>
    <x v="1"/>
    <x v="13"/>
    <x v="0"/>
  </r>
  <r>
    <s v="ORD-0617"/>
    <d v="2025-10-20T00:00:00"/>
    <x v="9"/>
    <s v="CUST-112"/>
    <s v="PROD-114"/>
    <n v="5"/>
    <n v="4664.8"/>
    <n v="3965.08"/>
    <n v="23324"/>
    <n v="19825.400000000001"/>
    <n v="3498.5999999999985"/>
    <s v="Victoria"/>
    <x v="1"/>
    <x v="11"/>
    <x v="1"/>
    <n v="40"/>
    <x v="0"/>
    <x v="18"/>
    <x v="1"/>
  </r>
  <r>
    <s v="ORD-0618"/>
    <d v="2025-12-14T00:00:00"/>
    <x v="4"/>
    <s v="CUST-036"/>
    <s v="PROD-133"/>
    <n v="3"/>
    <n v="4923.6000000000004"/>
    <n v="4185.0600000000004"/>
    <n v="14770.800000000001"/>
    <n v="12555.18"/>
    <n v="2215.6200000000008"/>
    <s v="Linda"/>
    <x v="4"/>
    <x v="44"/>
    <x v="1"/>
    <n v="52"/>
    <x v="0"/>
    <x v="22"/>
    <x v="2"/>
  </r>
  <r>
    <s v="ORD-0619"/>
    <d v="2025-10-19T00:00:00"/>
    <x v="9"/>
    <s v="CUST-037"/>
    <s v="PROD-111"/>
    <n v="10"/>
    <n v="15542.7"/>
    <n v="13211.295"/>
    <n v="155427"/>
    <n v="132112.95000000001"/>
    <n v="23314.049999999988"/>
    <s v="Joshua"/>
    <x v="1"/>
    <x v="73"/>
    <x v="0"/>
    <n v="26"/>
    <x v="1"/>
    <x v="31"/>
    <x v="1"/>
  </r>
  <r>
    <s v="ORD-0620"/>
    <d v="2025-11-22T00:00:00"/>
    <x v="6"/>
    <s v="CUST-149"/>
    <s v="PROD-126"/>
    <n v="8"/>
    <n v="5259.5"/>
    <n v="4470.5749999999998"/>
    <n v="42076"/>
    <n v="35764.6"/>
    <n v="6311.4000000000015"/>
    <s v="Brenda"/>
    <x v="3"/>
    <x v="53"/>
    <x v="0"/>
    <n v="54"/>
    <x v="0"/>
    <x v="9"/>
    <x v="5"/>
  </r>
  <r>
    <s v="ORD-0621"/>
    <d v="2025-12-31T00:00:00"/>
    <x v="2"/>
    <s v="CUST-008"/>
    <s v="PROD-134"/>
    <n v="5"/>
    <n v="15321.800000000001"/>
    <n v="13023.53"/>
    <n v="76609"/>
    <n v="65117.65"/>
    <n v="11491.349999999999"/>
    <s v="Anna"/>
    <x v="4"/>
    <x v="69"/>
    <x v="0"/>
    <n v="29"/>
    <x v="1"/>
    <x v="7"/>
    <x v="2"/>
  </r>
  <r>
    <s v="ORD-0622"/>
    <d v="2025-11-21T00:00:00"/>
    <x v="6"/>
    <s v="CUST-136"/>
    <s v="PROD-105"/>
    <n v="3"/>
    <n v="14415"/>
    <n v="12252.75"/>
    <n v="43245"/>
    <n v="36758.25"/>
    <n v="6486.75"/>
    <s v="Jasmine"/>
    <x v="2"/>
    <x v="24"/>
    <x v="0"/>
    <n v="34"/>
    <x v="1"/>
    <x v="3"/>
    <x v="3"/>
  </r>
  <r>
    <s v="ORD-0623"/>
    <d v="2025-10-11T00:00:00"/>
    <x v="1"/>
    <s v="CUST-106"/>
    <s v="PROD-116"/>
    <n v="2"/>
    <n v="14226.900000000001"/>
    <n v="12092.865000000002"/>
    <n v="28453.800000000003"/>
    <n v="24185.730000000003"/>
    <n v="4268.07"/>
    <s v="Kayla"/>
    <x v="1"/>
    <x v="96"/>
    <x v="0"/>
    <n v="32"/>
    <x v="1"/>
    <x v="24"/>
    <x v="1"/>
  </r>
  <r>
    <s v="ORD-0624"/>
    <d v="2025-11-12T00:00:00"/>
    <x v="12"/>
    <s v="CUST-043"/>
    <s v="PROD-111"/>
    <n v="9"/>
    <n v="19548"/>
    <n v="16615.8"/>
    <n v="175932"/>
    <n v="149542.19999999998"/>
    <n v="26389.800000000017"/>
    <s v="Keith"/>
    <x v="4"/>
    <x v="7"/>
    <x v="0"/>
    <n v="42"/>
    <x v="0"/>
    <x v="31"/>
    <x v="1"/>
  </r>
  <r>
    <s v="ORD-0625"/>
    <d v="2025-10-06T00:00:00"/>
    <x v="1"/>
    <s v="CUST-044"/>
    <s v="PROD-131"/>
    <n v="4"/>
    <n v="7370"/>
    <n v="6264.5"/>
    <n v="29480"/>
    <n v="25058"/>
    <n v="4422"/>
    <s v="Victoria"/>
    <x v="5"/>
    <x v="28"/>
    <x v="0"/>
    <n v="31"/>
    <x v="1"/>
    <x v="2"/>
    <x v="2"/>
  </r>
  <r>
    <s v="ORD-0626"/>
    <d v="2025-10-28T00:00:00"/>
    <x v="3"/>
    <s v="CUST-096"/>
    <s v="PROD-134"/>
    <n v="4"/>
    <n v="14159.6"/>
    <n v="12035.66"/>
    <n v="56638.400000000001"/>
    <n v="48142.64"/>
    <n v="8495.760000000002"/>
    <s v="Thomas"/>
    <x v="4"/>
    <x v="13"/>
    <x v="1"/>
    <n v="26"/>
    <x v="1"/>
    <x v="7"/>
    <x v="2"/>
  </r>
  <r>
    <s v="ORD-0627"/>
    <d v="2025-12-21T00:00:00"/>
    <x v="8"/>
    <s v="CUST-094"/>
    <s v="PROD-133"/>
    <n v="4"/>
    <n v="15436.6"/>
    <n v="13121.11"/>
    <n v="61746.400000000001"/>
    <n v="52484.44"/>
    <n v="9261.9599999999991"/>
    <s v="Jennifer"/>
    <x v="3"/>
    <x v="21"/>
    <x v="1"/>
    <n v="40"/>
    <x v="0"/>
    <x v="22"/>
    <x v="2"/>
  </r>
  <r>
    <s v="ORD-0628"/>
    <d v="2025-12-16T00:00:00"/>
    <x v="4"/>
    <s v="CUST-047"/>
    <s v="PROD-113"/>
    <n v="3"/>
    <n v="7198"/>
    <n v="6118.3"/>
    <n v="21594"/>
    <n v="18354.900000000001"/>
    <n v="3239.0999999999985"/>
    <s v="Laura"/>
    <x v="1"/>
    <x v="29"/>
    <x v="0"/>
    <n v="55"/>
    <x v="0"/>
    <x v="19"/>
    <x v="1"/>
  </r>
  <r>
    <s v="ORD-0629"/>
    <d v="2025-10-20T00:00:00"/>
    <x v="9"/>
    <s v="CUST-034"/>
    <s v="PROD-106"/>
    <n v="8"/>
    <n v="2430.6"/>
    <n v="2066.0099999999998"/>
    <n v="19444.8"/>
    <n v="16528.079999999998"/>
    <n v="2916.7200000000012"/>
    <s v="Aaron"/>
    <x v="0"/>
    <x v="53"/>
    <x v="0"/>
    <n v="32"/>
    <x v="1"/>
    <x v="6"/>
    <x v="4"/>
  </r>
  <r>
    <s v="ORD-0630"/>
    <d v="2025-12-22T00:00:00"/>
    <x v="8"/>
    <s v="CUST-145"/>
    <s v="PROD-106"/>
    <n v="3"/>
    <n v="10751"/>
    <n v="9138.35"/>
    <n v="32253"/>
    <n v="27415.050000000003"/>
    <n v="4837.9499999999971"/>
    <s v="Joshua"/>
    <x v="1"/>
    <x v="83"/>
    <x v="0"/>
    <n v="31"/>
    <x v="1"/>
    <x v="6"/>
    <x v="4"/>
  </r>
  <r>
    <s v="ORD-0631"/>
    <d v="2025-11-28T00:00:00"/>
    <x v="0"/>
    <s v="CUST-124"/>
    <s v="PROD-110"/>
    <n v="2"/>
    <n v="17552.599999999999"/>
    <n v="14919.71"/>
    <n v="35105.199999999997"/>
    <n v="29839.42"/>
    <n v="5265.7799999999988"/>
    <s v="Victoria"/>
    <x v="1"/>
    <x v="32"/>
    <x v="1"/>
    <n v="35"/>
    <x v="0"/>
    <x v="14"/>
    <x v="4"/>
  </r>
  <r>
    <s v="ORD-0632"/>
    <d v="2025-12-17T00:00:00"/>
    <x v="4"/>
    <s v="CUST-102"/>
    <s v="PROD-105"/>
    <n v="6"/>
    <n v="5239.4000000000005"/>
    <n v="4453.4900000000007"/>
    <n v="31436.400000000001"/>
    <n v="26720.940000000002"/>
    <n v="4715.4599999999991"/>
    <s v="Linda"/>
    <x v="1"/>
    <x v="40"/>
    <x v="1"/>
    <n v="27"/>
    <x v="1"/>
    <x v="3"/>
    <x v="3"/>
  </r>
  <r>
    <s v="ORD-0633"/>
    <d v="2025-11-17T00:00:00"/>
    <x v="6"/>
    <s v="CUST-114"/>
    <s v="PROD-106"/>
    <n v="6"/>
    <n v="19322"/>
    <n v="16423.7"/>
    <n v="115932"/>
    <n v="98542.200000000012"/>
    <n v="17389.799999999988"/>
    <s v="Daniel"/>
    <x v="2"/>
    <x v="42"/>
    <x v="0"/>
    <n v="25"/>
    <x v="1"/>
    <x v="6"/>
    <x v="4"/>
  </r>
  <r>
    <s v="ORD-0634"/>
    <d v="2025-12-06T00:00:00"/>
    <x v="10"/>
    <s v="CUST-092"/>
    <s v="PROD-121"/>
    <n v="6"/>
    <n v="17910.400000000001"/>
    <n v="15223.840000000002"/>
    <n v="107462.40000000001"/>
    <n v="91343.040000000008"/>
    <n v="16119.36"/>
    <s v="Laura"/>
    <x v="2"/>
    <x v="3"/>
    <x v="0"/>
    <n v="48"/>
    <x v="0"/>
    <x v="8"/>
    <x v="0"/>
  </r>
  <r>
    <s v="ORD-0635"/>
    <d v="2025-12-10T00:00:00"/>
    <x v="7"/>
    <s v="CUST-017"/>
    <s v="PROD-116"/>
    <n v="5"/>
    <n v="18209.100000000002"/>
    <n v="15477.735000000002"/>
    <n v="91045.500000000015"/>
    <n v="77388.675000000017"/>
    <n v="13656.824999999997"/>
    <s v="Andrea"/>
    <x v="2"/>
    <x v="60"/>
    <x v="0"/>
    <n v="27"/>
    <x v="1"/>
    <x v="24"/>
    <x v="1"/>
  </r>
  <r>
    <s v="ORD-0636"/>
    <d v="2025-11-10T00:00:00"/>
    <x v="12"/>
    <s v="CUST-102"/>
    <s v="PROD-104"/>
    <n v="1"/>
    <n v="8403.6"/>
    <n v="7143.06"/>
    <n v="8403.6"/>
    <n v="7143.06"/>
    <n v="1260.54"/>
    <s v="Aaron"/>
    <x v="1"/>
    <x v="40"/>
    <x v="1"/>
    <n v="27"/>
    <x v="1"/>
    <x v="4"/>
    <x v="3"/>
  </r>
  <r>
    <s v="ORD-0637"/>
    <d v="2025-11-06T00:00:00"/>
    <x v="5"/>
    <s v="CUST-039"/>
    <s v="PROD-133"/>
    <n v="2"/>
    <n v="19378"/>
    <n v="16471.3"/>
    <n v="38756"/>
    <n v="32942.6"/>
    <n v="5813.4000000000015"/>
    <s v="Kayla"/>
    <x v="2"/>
    <x v="80"/>
    <x v="0"/>
    <n v="51"/>
    <x v="0"/>
    <x v="22"/>
    <x v="2"/>
  </r>
  <r>
    <s v="ORD-0638"/>
    <d v="2025-12-16T00:00:00"/>
    <x v="4"/>
    <s v="CUST-104"/>
    <s v="PROD-115"/>
    <n v="7"/>
    <n v="1378.8999999999999"/>
    <n v="1172.0649999999998"/>
    <n v="9652.2999999999993"/>
    <n v="8204.4549999999981"/>
    <n v="1447.8450000000012"/>
    <s v="Brenda"/>
    <x v="0"/>
    <x v="91"/>
    <x v="1"/>
    <n v="32"/>
    <x v="1"/>
    <x v="10"/>
    <x v="1"/>
  </r>
  <r>
    <s v="ORD-0639"/>
    <d v="2025-11-01T00:00:00"/>
    <x v="3"/>
    <s v="CUST-022"/>
    <s v="PROD-103"/>
    <n v="9"/>
    <n v="11660"/>
    <n v="9911"/>
    <n v="104940"/>
    <n v="89199"/>
    <n v="15741"/>
    <s v="Joshua"/>
    <x v="5"/>
    <x v="46"/>
    <x v="1"/>
    <n v="31"/>
    <x v="1"/>
    <x v="28"/>
    <x v="3"/>
  </r>
  <r>
    <s v="ORD-0640"/>
    <d v="2025-12-13T00:00:00"/>
    <x v="7"/>
    <s v="CUST-132"/>
    <s v="PROD-113"/>
    <n v="2"/>
    <n v="1350.6"/>
    <n v="1148.01"/>
    <n v="2701.2"/>
    <n v="2296.02"/>
    <n v="405.17999999999984"/>
    <s v="Brenda"/>
    <x v="1"/>
    <x v="90"/>
    <x v="1"/>
    <n v="27"/>
    <x v="1"/>
    <x v="19"/>
    <x v="1"/>
  </r>
  <r>
    <s v="ORD-0641"/>
    <d v="2025-10-08T00:00:00"/>
    <x v="1"/>
    <s v="CUST-068"/>
    <s v="PROD-127"/>
    <n v="8"/>
    <n v="18209.599999999999"/>
    <n v="15478.16"/>
    <n v="145676.79999999999"/>
    <n v="123825.28"/>
    <n v="21851.51999999999"/>
    <s v="Keith"/>
    <x v="4"/>
    <x v="45"/>
    <x v="1"/>
    <n v="28"/>
    <x v="1"/>
    <x v="17"/>
    <x v="5"/>
  </r>
  <r>
    <s v="ORD-0642"/>
    <d v="2025-11-12T00:00:00"/>
    <x v="12"/>
    <s v="CUST-057"/>
    <s v="PROD-121"/>
    <n v="4"/>
    <n v="7502.7999999999993"/>
    <n v="6377.3799999999992"/>
    <n v="30011.199999999997"/>
    <n v="25509.519999999997"/>
    <n v="4501.68"/>
    <s v="Timothy"/>
    <x v="4"/>
    <x v="49"/>
    <x v="1"/>
    <n v="26"/>
    <x v="1"/>
    <x v="8"/>
    <x v="0"/>
  </r>
  <r>
    <s v="ORD-0643"/>
    <d v="2025-11-01T00:00:00"/>
    <x v="3"/>
    <s v="CUST-087"/>
    <s v="PROD-114"/>
    <n v="2"/>
    <n v="15249"/>
    <n v="12961.65"/>
    <n v="30498"/>
    <n v="25923.3"/>
    <n v="4574.7000000000007"/>
    <s v="Douglas"/>
    <x v="0"/>
    <x v="105"/>
    <x v="1"/>
    <n v="53"/>
    <x v="0"/>
    <x v="18"/>
    <x v="1"/>
  </r>
  <r>
    <s v="ORD-0644"/>
    <d v="2025-10-09T00:00:00"/>
    <x v="1"/>
    <s v="CUST-080"/>
    <s v="PROD-104"/>
    <n v="6"/>
    <n v="17607.099999999999"/>
    <n v="14966.035"/>
    <n v="105642.59999999999"/>
    <n v="89796.209999999992"/>
    <n v="15846.39"/>
    <s v="Sean"/>
    <x v="1"/>
    <x v="33"/>
    <x v="1"/>
    <n v="21"/>
    <x v="1"/>
    <x v="4"/>
    <x v="3"/>
  </r>
  <r>
    <s v="ORD-0645"/>
    <d v="2025-10-07T00:00:00"/>
    <x v="1"/>
    <s v="CUST-020"/>
    <s v="PROD-131"/>
    <n v="8"/>
    <n v="15002.3"/>
    <n v="12751.955"/>
    <n v="120018.4"/>
    <n v="102015.64"/>
    <n v="18002.759999999995"/>
    <s v="Jonathan"/>
    <x v="1"/>
    <x v="23"/>
    <x v="1"/>
    <n v="35"/>
    <x v="0"/>
    <x v="2"/>
    <x v="2"/>
  </r>
  <r>
    <s v="ORD-0646"/>
    <d v="2025-10-23T00:00:00"/>
    <x v="9"/>
    <s v="CUST-068"/>
    <s v="PROD-113"/>
    <n v="10"/>
    <n v="16921"/>
    <n v="14382.85"/>
    <n v="169210"/>
    <n v="143828.5"/>
    <n v="25381.5"/>
    <s v="Caroline"/>
    <x v="4"/>
    <x v="45"/>
    <x v="1"/>
    <n v="28"/>
    <x v="1"/>
    <x v="19"/>
    <x v="1"/>
  </r>
  <r>
    <s v="ORD-0647"/>
    <d v="2025-10-03T00:00:00"/>
    <x v="11"/>
    <s v="CUST-027"/>
    <s v="PROD-134"/>
    <n v="10"/>
    <n v="16861.400000000001"/>
    <n v="14332.190000000002"/>
    <n v="168614"/>
    <n v="143321.90000000002"/>
    <n v="25292.099999999977"/>
    <s v="Lisa"/>
    <x v="1"/>
    <x v="55"/>
    <x v="0"/>
    <n v="19"/>
    <x v="1"/>
    <x v="7"/>
    <x v="2"/>
  </r>
  <r>
    <s v="ORD-0648"/>
    <d v="2025-11-23T00:00:00"/>
    <x v="0"/>
    <s v="CUST-040"/>
    <s v="PROD-129"/>
    <n v="4"/>
    <n v="12416.800000000001"/>
    <n v="10554.28"/>
    <n v="49667.200000000004"/>
    <n v="42217.120000000003"/>
    <n v="7450.0800000000017"/>
    <s v="Thomas"/>
    <x v="0"/>
    <x v="72"/>
    <x v="0"/>
    <n v="52"/>
    <x v="0"/>
    <x v="21"/>
    <x v="5"/>
  </r>
  <r>
    <s v="ORD-0649"/>
    <d v="2025-12-19T00:00:00"/>
    <x v="4"/>
    <s v="CUST-062"/>
    <s v="PROD-111"/>
    <n v="8"/>
    <n v="9369"/>
    <n v="7963.65"/>
    <n v="74952"/>
    <n v="63709.2"/>
    <n v="11242.800000000003"/>
    <s v="Tracey"/>
    <x v="3"/>
    <x v="61"/>
    <x v="0"/>
    <n v="20"/>
    <x v="1"/>
    <x v="31"/>
    <x v="1"/>
  </r>
  <r>
    <s v="ORD-0650"/>
    <d v="2025-11-03T00:00:00"/>
    <x v="5"/>
    <s v="CUST-004"/>
    <s v="PROD-115"/>
    <n v="10"/>
    <n v="8678.7000000000007"/>
    <n v="7376.8950000000004"/>
    <n v="86787"/>
    <n v="73768.950000000012"/>
    <n v="13018.049999999988"/>
    <s v="Joshua"/>
    <x v="5"/>
    <x v="100"/>
    <x v="0"/>
    <n v="40"/>
    <x v="0"/>
    <x v="10"/>
    <x v="1"/>
  </r>
  <r>
    <s v="ORD-0651"/>
    <d v="2025-10-28T00:00:00"/>
    <x v="3"/>
    <s v="CUST-051"/>
    <s v="PROD-123"/>
    <n v="7"/>
    <n v="16886.8"/>
    <n v="14353.779999999999"/>
    <n v="118207.59999999999"/>
    <n v="100476.45999999999"/>
    <n v="17731.14"/>
    <s v="Tracey"/>
    <x v="3"/>
    <x v="15"/>
    <x v="0"/>
    <n v="31"/>
    <x v="1"/>
    <x v="32"/>
    <x v="0"/>
  </r>
  <r>
    <s v="ORD-0652"/>
    <d v="2025-11-29T00:00:00"/>
    <x v="0"/>
    <s v="CUST-140"/>
    <s v="PROD-107"/>
    <n v="5"/>
    <n v="8675.4"/>
    <n v="7374.09"/>
    <n v="43377"/>
    <n v="36870.449999999997"/>
    <n v="6506.5500000000029"/>
    <s v="Kayla"/>
    <x v="4"/>
    <x v="77"/>
    <x v="1"/>
    <n v="46"/>
    <x v="0"/>
    <x v="12"/>
    <x v="4"/>
  </r>
  <r>
    <s v="ORD-0653"/>
    <d v="2025-11-30T00:00:00"/>
    <x v="10"/>
    <s v="CUST-119"/>
    <s v="PROD-103"/>
    <n v="8"/>
    <n v="15951.800000000001"/>
    <n v="13559.03"/>
    <n v="127614.40000000001"/>
    <n v="108472.24"/>
    <n v="19142.160000000003"/>
    <s v="Patrick"/>
    <x v="5"/>
    <x v="56"/>
    <x v="1"/>
    <n v="20"/>
    <x v="1"/>
    <x v="28"/>
    <x v="3"/>
  </r>
  <r>
    <s v="ORD-0654"/>
    <d v="2025-12-11T00:00:00"/>
    <x v="7"/>
    <s v="CUST-031"/>
    <s v="PROD-120"/>
    <n v="5"/>
    <n v="8252.9"/>
    <n v="7014.9650000000001"/>
    <n v="41264.5"/>
    <n v="35074.824999999997"/>
    <n v="6189.6750000000029"/>
    <s v="Joshua"/>
    <x v="1"/>
    <x v="47"/>
    <x v="0"/>
    <n v="28"/>
    <x v="1"/>
    <x v="0"/>
    <x v="0"/>
  </r>
  <r>
    <s v="ORD-0655"/>
    <d v="2025-12-30T00:00:00"/>
    <x v="2"/>
    <s v="CUST-013"/>
    <s v="PROD-121"/>
    <n v="4"/>
    <n v="12371.400000000001"/>
    <n v="10515.690000000002"/>
    <n v="49485.600000000006"/>
    <n v="42062.760000000009"/>
    <n v="7422.8399999999965"/>
    <s v="Andrea"/>
    <x v="1"/>
    <x v="94"/>
    <x v="1"/>
    <n v="26"/>
    <x v="1"/>
    <x v="8"/>
    <x v="0"/>
  </r>
  <r>
    <s v="ORD-0656"/>
    <d v="2025-12-21T00:00:00"/>
    <x v="8"/>
    <s v="CUST-076"/>
    <s v="PROD-133"/>
    <n v="6"/>
    <n v="17298.099999999999"/>
    <n v="14703.384999999998"/>
    <n v="103788.59999999999"/>
    <n v="88220.31"/>
    <n v="15568.289999999994"/>
    <s v="Tracey"/>
    <x v="0"/>
    <x v="84"/>
    <x v="0"/>
    <n v="32"/>
    <x v="1"/>
    <x v="22"/>
    <x v="2"/>
  </r>
  <r>
    <s v="ORD-0657"/>
    <d v="2025-12-16T00:00:00"/>
    <x v="4"/>
    <s v="CUST-120"/>
    <s v="PROD-126"/>
    <n v="4"/>
    <n v="591.4"/>
    <n v="502.69"/>
    <n v="2365.6"/>
    <n v="2010.76"/>
    <n v="354.83999999999992"/>
    <s v="Cheyenne"/>
    <x v="0"/>
    <x v="95"/>
    <x v="1"/>
    <n v="18"/>
    <x v="1"/>
    <x v="9"/>
    <x v="5"/>
  </r>
  <r>
    <s v="ORD-0658"/>
    <d v="2025-11-27T00:00:00"/>
    <x v="0"/>
    <s v="CUST-086"/>
    <s v="PROD-106"/>
    <n v="9"/>
    <n v="19831.900000000001"/>
    <n v="16857.115000000002"/>
    <n v="178487.1"/>
    <n v="151714.035"/>
    <n v="26773.065000000002"/>
    <s v="Andrea"/>
    <x v="5"/>
    <x v="70"/>
    <x v="0"/>
    <n v="19"/>
    <x v="1"/>
    <x v="6"/>
    <x v="4"/>
  </r>
  <r>
    <s v="ORD-0659"/>
    <d v="2025-12-29T00:00:00"/>
    <x v="2"/>
    <s v="CUST-098"/>
    <s v="PROD-126"/>
    <n v="4"/>
    <n v="11840.2"/>
    <n v="10064.17"/>
    <n v="47360.800000000003"/>
    <n v="40256.68"/>
    <n v="7104.1200000000026"/>
    <s v="Ethan"/>
    <x v="0"/>
    <x v="22"/>
    <x v="1"/>
    <n v="38"/>
    <x v="0"/>
    <x v="9"/>
    <x v="5"/>
  </r>
  <r>
    <s v="ORD-0660"/>
    <d v="2025-11-22T00:00:00"/>
    <x v="6"/>
    <s v="CUST-038"/>
    <s v="PROD-124"/>
    <n v="1"/>
    <n v="19481.7"/>
    <n v="16559.445"/>
    <n v="19481.7"/>
    <n v="16559.445"/>
    <n v="2922.255000000001"/>
    <s v="Aaron"/>
    <x v="1"/>
    <x v="59"/>
    <x v="0"/>
    <n v="32"/>
    <x v="1"/>
    <x v="5"/>
    <x v="0"/>
  </r>
  <r>
    <s v="ORD-0661"/>
    <d v="2025-11-11T00:00:00"/>
    <x v="12"/>
    <s v="CUST-053"/>
    <s v="PROD-124"/>
    <n v="10"/>
    <n v="3917.1"/>
    <n v="3329.5349999999999"/>
    <n v="39171"/>
    <n v="33295.35"/>
    <n v="5875.6500000000015"/>
    <s v="Jonathan"/>
    <x v="4"/>
    <x v="69"/>
    <x v="0"/>
    <n v="19"/>
    <x v="1"/>
    <x v="5"/>
    <x v="0"/>
  </r>
  <r>
    <s v="ORD-0662"/>
    <d v="2025-12-23T00:00:00"/>
    <x v="8"/>
    <s v="CUST-011"/>
    <s v="PROD-102"/>
    <n v="6"/>
    <n v="6163.7"/>
    <n v="5239.1449999999995"/>
    <n v="36982.199999999997"/>
    <n v="31434.869999999995"/>
    <n v="5547.3300000000017"/>
    <s v="Lori"/>
    <x v="2"/>
    <x v="26"/>
    <x v="1"/>
    <n v="18"/>
    <x v="1"/>
    <x v="20"/>
    <x v="3"/>
  </r>
  <r>
    <s v="ORD-0663"/>
    <d v="2025-10-02T00:00:00"/>
    <x v="11"/>
    <s v="CUST-121"/>
    <s v="PROD-129"/>
    <n v="1"/>
    <n v="17743"/>
    <n v="15081.55"/>
    <n v="17743"/>
    <n v="15081.55"/>
    <n v="2661.4500000000007"/>
    <s v="Douglas"/>
    <x v="1"/>
    <x v="99"/>
    <x v="1"/>
    <n v="24"/>
    <x v="1"/>
    <x v="21"/>
    <x v="5"/>
  </r>
  <r>
    <s v="ORD-0664"/>
    <d v="2025-10-06T00:00:00"/>
    <x v="1"/>
    <s v="CUST-057"/>
    <s v="PROD-102"/>
    <n v="4"/>
    <n v="10721.300000000001"/>
    <n v="9113.1050000000014"/>
    <n v="42885.200000000004"/>
    <n v="36452.420000000006"/>
    <n v="6432.7799999999988"/>
    <s v="Laura"/>
    <x v="4"/>
    <x v="49"/>
    <x v="1"/>
    <n v="26"/>
    <x v="1"/>
    <x v="20"/>
    <x v="3"/>
  </r>
  <r>
    <s v="ORD-0665"/>
    <d v="2025-10-20T00:00:00"/>
    <x v="9"/>
    <s v="CUST-063"/>
    <s v="PROD-109"/>
    <n v="2"/>
    <n v="16148.5"/>
    <n v="13726.225"/>
    <n v="32297"/>
    <n v="27452.45"/>
    <n v="4844.5499999999993"/>
    <s v="Linda"/>
    <x v="1"/>
    <x v="18"/>
    <x v="0"/>
    <n v="24"/>
    <x v="1"/>
    <x v="30"/>
    <x v="4"/>
  </r>
  <r>
    <s v="ORD-0666"/>
    <d v="2025-11-17T00:00:00"/>
    <x v="6"/>
    <s v="CUST-054"/>
    <s v="PROD-121"/>
    <n v="6"/>
    <n v="11803.099999999999"/>
    <n v="10032.634999999998"/>
    <n v="70818.599999999991"/>
    <n v="60195.80999999999"/>
    <n v="10622.79"/>
    <s v="Lisa"/>
    <x v="5"/>
    <x v="52"/>
    <x v="1"/>
    <n v="39"/>
    <x v="0"/>
    <x v="8"/>
    <x v="0"/>
  </r>
  <r>
    <s v="ORD-0667"/>
    <d v="2025-12-12T00:00:00"/>
    <x v="7"/>
    <s v="CUST-044"/>
    <s v="PROD-115"/>
    <n v="7"/>
    <n v="3453.8"/>
    <n v="2935.73"/>
    <n v="24176.600000000002"/>
    <n v="20550.11"/>
    <n v="3626.4900000000016"/>
    <s v="Andrea"/>
    <x v="5"/>
    <x v="28"/>
    <x v="0"/>
    <n v="31"/>
    <x v="1"/>
    <x v="10"/>
    <x v="1"/>
  </r>
  <r>
    <s v="ORD-0668"/>
    <d v="2025-12-18T00:00:00"/>
    <x v="4"/>
    <s v="CUST-138"/>
    <s v="PROD-101"/>
    <n v="5"/>
    <n v="4514.8999999999996"/>
    <n v="3837.665"/>
    <n v="22574.5"/>
    <n v="19188.325000000001"/>
    <n v="3386.1749999999993"/>
    <s v="Ralph"/>
    <x v="3"/>
    <x v="22"/>
    <x v="1"/>
    <n v="27"/>
    <x v="1"/>
    <x v="16"/>
    <x v="3"/>
  </r>
  <r>
    <s v="ORD-0669"/>
    <d v="2025-12-25T00:00:00"/>
    <x v="8"/>
    <s v="CUST-083"/>
    <s v="PROD-107"/>
    <n v="4"/>
    <n v="12378.900000000001"/>
    <n v="10522.065000000002"/>
    <n v="49515.600000000006"/>
    <n v="42088.260000000009"/>
    <n v="7427.3399999999965"/>
    <s v="Lori"/>
    <x v="3"/>
    <x v="14"/>
    <x v="1"/>
    <n v="23"/>
    <x v="1"/>
    <x v="12"/>
    <x v="4"/>
  </r>
  <r>
    <s v="ORD-0670"/>
    <d v="2025-12-19T00:00:00"/>
    <x v="4"/>
    <s v="CUST-104"/>
    <s v="PROD-103"/>
    <n v="7"/>
    <n v="11008.5"/>
    <n v="9357.2250000000004"/>
    <n v="77059.5"/>
    <n v="65500.575000000004"/>
    <n v="11558.924999999996"/>
    <s v="Douglas"/>
    <x v="0"/>
    <x v="91"/>
    <x v="1"/>
    <n v="32"/>
    <x v="1"/>
    <x v="28"/>
    <x v="3"/>
  </r>
  <r>
    <s v="ORD-0671"/>
    <d v="2025-12-10T00:00:00"/>
    <x v="7"/>
    <s v="CUST-038"/>
    <s v="PROD-106"/>
    <n v="2"/>
    <n v="19678.5"/>
    <n v="16726.724999999999"/>
    <n v="39357"/>
    <n v="33453.449999999997"/>
    <n v="5903.5500000000029"/>
    <s v="Laura"/>
    <x v="1"/>
    <x v="59"/>
    <x v="0"/>
    <n v="32"/>
    <x v="1"/>
    <x v="6"/>
    <x v="4"/>
  </r>
  <r>
    <s v="ORD-0672"/>
    <d v="2025-12-01T00:00:00"/>
    <x v="10"/>
    <s v="CUST-101"/>
    <s v="PROD-133"/>
    <n v="9"/>
    <n v="18398"/>
    <n v="15638.3"/>
    <n v="165582"/>
    <n v="140744.69999999998"/>
    <n v="24837.300000000017"/>
    <s v="Joshua"/>
    <x v="1"/>
    <x v="85"/>
    <x v="1"/>
    <n v="25"/>
    <x v="1"/>
    <x v="22"/>
    <x v="2"/>
  </r>
  <r>
    <s v="ORD-0673"/>
    <d v="2025-10-15T00:00:00"/>
    <x v="13"/>
    <s v="CUST-076"/>
    <s v="PROD-121"/>
    <n v="10"/>
    <n v="14802.3"/>
    <n v="12581.955"/>
    <n v="148023"/>
    <n v="125819.55"/>
    <n v="22203.449999999997"/>
    <s v="Jasmine"/>
    <x v="0"/>
    <x v="84"/>
    <x v="0"/>
    <n v="32"/>
    <x v="1"/>
    <x v="8"/>
    <x v="0"/>
  </r>
  <r>
    <s v="ORD-0674"/>
    <d v="2025-11-08T00:00:00"/>
    <x v="5"/>
    <s v="CUST-087"/>
    <s v="PROD-113"/>
    <n v="10"/>
    <n v="1758.6000000000001"/>
    <n v="1494.8100000000002"/>
    <n v="17586"/>
    <n v="14948.100000000002"/>
    <n v="2637.8999999999978"/>
    <s v="Laura"/>
    <x v="0"/>
    <x v="105"/>
    <x v="1"/>
    <n v="53"/>
    <x v="0"/>
    <x v="19"/>
    <x v="1"/>
  </r>
  <r>
    <s v="ORD-0675"/>
    <d v="2025-12-20T00:00:00"/>
    <x v="4"/>
    <s v="CUST-086"/>
    <s v="PROD-107"/>
    <n v="10"/>
    <n v="6264.4000000000005"/>
    <n v="5324.7400000000007"/>
    <n v="62644.000000000007"/>
    <n v="53247.400000000009"/>
    <n v="9396.5999999999985"/>
    <s v="Joshua"/>
    <x v="5"/>
    <x v="70"/>
    <x v="0"/>
    <n v="19"/>
    <x v="1"/>
    <x v="12"/>
    <x v="4"/>
  </r>
  <r>
    <s v="ORD-0676"/>
    <d v="2025-10-31T00:00:00"/>
    <x v="3"/>
    <s v="CUST-008"/>
    <s v="PROD-119"/>
    <n v="5"/>
    <n v="11355.8"/>
    <n v="9652.43"/>
    <n v="56779"/>
    <n v="48262.15"/>
    <n v="8516.8499999999985"/>
    <s v="Katie"/>
    <x v="4"/>
    <x v="69"/>
    <x v="0"/>
    <n v="29"/>
    <x v="1"/>
    <x v="33"/>
    <x v="0"/>
  </r>
  <r>
    <s v="ORD-0677"/>
    <d v="2025-12-13T00:00:00"/>
    <x v="7"/>
    <s v="CUST-126"/>
    <s v="PROD-131"/>
    <n v="2"/>
    <n v="14687.8"/>
    <n v="12484.63"/>
    <n v="29375.599999999999"/>
    <n v="24969.26"/>
    <n v="4406.34"/>
    <s v="Kayla"/>
    <x v="0"/>
    <x v="89"/>
    <x v="1"/>
    <n v="40"/>
    <x v="0"/>
    <x v="2"/>
    <x v="2"/>
  </r>
  <r>
    <s v="ORD-0678"/>
    <d v="2025-10-31T00:00:00"/>
    <x v="3"/>
    <s v="CUST-147"/>
    <s v="PROD-122"/>
    <n v="2"/>
    <n v="14619.300000000001"/>
    <n v="12426.405000000001"/>
    <n v="29238.600000000002"/>
    <n v="24852.81"/>
    <n v="4385.7900000000009"/>
    <s v="Katie"/>
    <x v="2"/>
    <x v="36"/>
    <x v="0"/>
    <n v="53"/>
    <x v="0"/>
    <x v="11"/>
    <x v="0"/>
  </r>
  <r>
    <s v="ORD-0679"/>
    <d v="2025-10-02T00:00:00"/>
    <x v="11"/>
    <s v="CUST-143"/>
    <s v="PROD-125"/>
    <n v="9"/>
    <n v="7515.2"/>
    <n v="6387.92"/>
    <n v="67636.800000000003"/>
    <n v="57491.28"/>
    <n v="10145.520000000004"/>
    <s v="Andrea"/>
    <x v="1"/>
    <x v="19"/>
    <x v="0"/>
    <n v="36"/>
    <x v="0"/>
    <x v="13"/>
    <x v="0"/>
  </r>
  <r>
    <s v="ORD-0680"/>
    <d v="2025-10-13T00:00:00"/>
    <x v="13"/>
    <s v="CUST-134"/>
    <s v="PROD-101"/>
    <n v="8"/>
    <n v="13915.599999999999"/>
    <n v="11828.259999999998"/>
    <n v="111324.79999999999"/>
    <n v="94626.079999999987"/>
    <n v="16698.72"/>
    <s v="Ralph"/>
    <x v="1"/>
    <x v="25"/>
    <x v="0"/>
    <n v="26"/>
    <x v="1"/>
    <x v="16"/>
    <x v="3"/>
  </r>
  <r>
    <s v="ORD-0681"/>
    <d v="2025-10-06T00:00:00"/>
    <x v="1"/>
    <s v="CUST-143"/>
    <s v="PROD-115"/>
    <n v="3"/>
    <n v="11260.3"/>
    <n v="9571.2549999999992"/>
    <n v="33780.899999999994"/>
    <n v="28713.764999999999"/>
    <n v="5067.1349999999948"/>
    <s v="Jonathan"/>
    <x v="1"/>
    <x v="19"/>
    <x v="0"/>
    <n v="36"/>
    <x v="0"/>
    <x v="10"/>
    <x v="1"/>
  </r>
  <r>
    <s v="ORD-0682"/>
    <d v="2025-11-11T00:00:00"/>
    <x v="12"/>
    <s v="CUST-033"/>
    <s v="PROD-134"/>
    <n v="6"/>
    <n v="15212.4"/>
    <n v="12930.54"/>
    <n v="91274.4"/>
    <n v="77583.240000000005"/>
    <n v="13691.159999999989"/>
    <s v="Douglas"/>
    <x v="5"/>
    <x v="29"/>
    <x v="0"/>
    <n v="19"/>
    <x v="1"/>
    <x v="7"/>
    <x v="2"/>
  </r>
  <r>
    <s v="ORD-0683"/>
    <d v="2025-10-15T00:00:00"/>
    <x v="13"/>
    <s v="CUST-111"/>
    <s v="PROD-133"/>
    <n v="8"/>
    <n v="17543.800000000003"/>
    <n v="14912.230000000003"/>
    <n v="140350.40000000002"/>
    <n v="119297.84000000003"/>
    <n v="21052.559999999998"/>
    <s v="David"/>
    <x v="4"/>
    <x v="10"/>
    <x v="0"/>
    <n v="20"/>
    <x v="1"/>
    <x v="22"/>
    <x v="2"/>
  </r>
  <r>
    <s v="ORD-0684"/>
    <d v="2025-12-07T00:00:00"/>
    <x v="7"/>
    <s v="CUST-076"/>
    <s v="PROD-121"/>
    <n v="4"/>
    <n v="18834.400000000001"/>
    <n v="16009.240000000002"/>
    <n v="75337.600000000006"/>
    <n v="64036.960000000006"/>
    <n v="11300.64"/>
    <s v="Cheyenne"/>
    <x v="0"/>
    <x v="84"/>
    <x v="0"/>
    <n v="32"/>
    <x v="1"/>
    <x v="8"/>
    <x v="0"/>
  </r>
  <r>
    <s v="ORD-0685"/>
    <d v="2025-12-05T00:00:00"/>
    <x v="10"/>
    <s v="CUST-123"/>
    <s v="PROD-126"/>
    <n v="10"/>
    <n v="6797.2000000000007"/>
    <n v="5777.6200000000008"/>
    <n v="67972"/>
    <n v="57776.200000000012"/>
    <n v="10195.799999999988"/>
    <s v="Jennifer"/>
    <x v="1"/>
    <x v="28"/>
    <x v="0"/>
    <n v="20"/>
    <x v="1"/>
    <x v="9"/>
    <x v="5"/>
  </r>
  <r>
    <s v="ORD-0686"/>
    <d v="2025-12-22T00:00:00"/>
    <x v="8"/>
    <s v="CUST-086"/>
    <s v="PROD-109"/>
    <n v="6"/>
    <n v="15894.7"/>
    <n v="13510.495000000001"/>
    <n v="95368.200000000012"/>
    <n v="81062.97"/>
    <n v="14305.23000000001"/>
    <s v="Keith"/>
    <x v="5"/>
    <x v="70"/>
    <x v="0"/>
    <n v="19"/>
    <x v="1"/>
    <x v="30"/>
    <x v="4"/>
  </r>
  <r>
    <s v="ORD-0687"/>
    <d v="2025-11-22T00:00:00"/>
    <x v="6"/>
    <s v="CUST-078"/>
    <s v="PROD-106"/>
    <n v="4"/>
    <n v="17387.8"/>
    <n v="14779.63"/>
    <n v="69551.199999999997"/>
    <n v="59118.52"/>
    <n v="10432.68"/>
    <s v="Sean"/>
    <x v="4"/>
    <x v="43"/>
    <x v="0"/>
    <n v="25"/>
    <x v="1"/>
    <x v="6"/>
    <x v="4"/>
  </r>
  <r>
    <s v="ORD-0688"/>
    <d v="2025-12-18T00:00:00"/>
    <x v="4"/>
    <s v="CUST-049"/>
    <s v="PROD-106"/>
    <n v="7"/>
    <n v="16051.199999999999"/>
    <n v="13643.519999999999"/>
    <n v="112358.39999999999"/>
    <n v="95504.639999999985"/>
    <n v="16853.760000000009"/>
    <s v="Timothy"/>
    <x v="2"/>
    <x v="38"/>
    <x v="1"/>
    <n v="36"/>
    <x v="0"/>
    <x v="6"/>
    <x v="4"/>
  </r>
  <r>
    <s v="ORD-0689"/>
    <d v="2025-12-09T00:00:00"/>
    <x v="7"/>
    <s v="CUST-084"/>
    <s v="PROD-103"/>
    <n v="3"/>
    <n v="9305"/>
    <n v="7909.25"/>
    <n v="27915"/>
    <n v="23727.75"/>
    <n v="4187.25"/>
    <s v="Keith"/>
    <x v="4"/>
    <x v="45"/>
    <x v="1"/>
    <n v="49"/>
    <x v="0"/>
    <x v="28"/>
    <x v="3"/>
  </r>
  <r>
    <s v="ORD-0690"/>
    <d v="2025-11-05T00:00:00"/>
    <x v="5"/>
    <s v="CUST-090"/>
    <s v="PROD-116"/>
    <n v="2"/>
    <n v="2505.4"/>
    <n v="2129.59"/>
    <n v="5010.8"/>
    <n v="4259.18"/>
    <n v="751.61999999999989"/>
    <s v="Victoria"/>
    <x v="1"/>
    <x v="16"/>
    <x v="0"/>
    <n v="29"/>
    <x v="1"/>
    <x v="24"/>
    <x v="1"/>
  </r>
  <r>
    <s v="ORD-0691"/>
    <d v="2025-12-29T00:00:00"/>
    <x v="2"/>
    <s v="CUST-066"/>
    <s v="PROD-113"/>
    <n v="10"/>
    <n v="6422.9"/>
    <n v="5459.4650000000001"/>
    <n v="64229"/>
    <n v="54594.65"/>
    <n v="9634.3499999999985"/>
    <s v="Tracey"/>
    <x v="0"/>
    <x v="55"/>
    <x v="0"/>
    <n v="20"/>
    <x v="1"/>
    <x v="19"/>
    <x v="1"/>
  </r>
  <r>
    <s v="ORD-0692"/>
    <d v="2025-12-15T00:00:00"/>
    <x v="4"/>
    <s v="CUST-014"/>
    <s v="PROD-114"/>
    <n v="4"/>
    <n v="674.2"/>
    <n v="573.07000000000005"/>
    <n v="2696.8"/>
    <n v="2292.2800000000002"/>
    <n v="404.52"/>
    <s v="Joshua"/>
    <x v="4"/>
    <x v="34"/>
    <x v="1"/>
    <n v="27"/>
    <x v="1"/>
    <x v="18"/>
    <x v="1"/>
  </r>
  <r>
    <s v="ORD-0693"/>
    <d v="2025-10-21T00:00:00"/>
    <x v="9"/>
    <s v="CUST-041"/>
    <s v="PROD-120"/>
    <n v="1"/>
    <n v="17370.899999999998"/>
    <n v="14765.264999999998"/>
    <n v="17370.899999999998"/>
    <n v="14765.264999999998"/>
    <n v="2605.6350000000002"/>
    <s v="Joshua"/>
    <x v="3"/>
    <x v="19"/>
    <x v="0"/>
    <n v="20"/>
    <x v="1"/>
    <x v="0"/>
    <x v="0"/>
  </r>
  <r>
    <s v="ORD-0694"/>
    <d v="2025-10-19T00:00:00"/>
    <x v="9"/>
    <s v="CUST-097"/>
    <s v="PROD-110"/>
    <n v="6"/>
    <n v="19846.900000000001"/>
    <n v="16869.865000000002"/>
    <n v="119081.40000000001"/>
    <n v="101219.19"/>
    <n v="17862.210000000006"/>
    <s v="Jennifer"/>
    <x v="5"/>
    <x v="1"/>
    <x v="0"/>
    <n v="23"/>
    <x v="1"/>
    <x v="14"/>
    <x v="4"/>
  </r>
  <r>
    <s v="ORD-0695"/>
    <d v="2025-10-24T00:00:00"/>
    <x v="9"/>
    <s v="CUST-032"/>
    <s v="PROD-124"/>
    <n v="1"/>
    <n v="9011.1"/>
    <n v="7659.4350000000004"/>
    <n v="9011.1"/>
    <n v="7659.4350000000004"/>
    <n v="1351.665"/>
    <s v="Cheyenne"/>
    <x v="4"/>
    <x v="15"/>
    <x v="0"/>
    <n v="26"/>
    <x v="1"/>
    <x v="5"/>
    <x v="0"/>
  </r>
  <r>
    <s v="ORD-0696"/>
    <d v="2025-10-13T00:00:00"/>
    <x v="13"/>
    <s v="CUST-077"/>
    <s v="PROD-124"/>
    <n v="5"/>
    <n v="13384.8"/>
    <n v="11377.08"/>
    <n v="66924"/>
    <n v="56885.4"/>
    <n v="10038.599999999999"/>
    <s v="Patrick"/>
    <x v="1"/>
    <x v="27"/>
    <x v="0"/>
    <n v="35"/>
    <x v="0"/>
    <x v="5"/>
    <x v="0"/>
  </r>
  <r>
    <s v="ORD-0697"/>
    <d v="2025-10-03T00:00:00"/>
    <x v="11"/>
    <s v="CUST-120"/>
    <s v="PROD-128"/>
    <n v="9"/>
    <n v="19751.199999999997"/>
    <n v="16788.519999999997"/>
    <n v="177760.8"/>
    <n v="151096.67999999996"/>
    <n v="26664.120000000024"/>
    <s v="Kayla"/>
    <x v="0"/>
    <x v="95"/>
    <x v="1"/>
    <n v="18"/>
    <x v="1"/>
    <x v="15"/>
    <x v="5"/>
  </r>
  <r>
    <s v="ORD-0698"/>
    <d v="2025-12-07T00:00:00"/>
    <x v="7"/>
    <s v="CUST-099"/>
    <s v="PROD-110"/>
    <n v="8"/>
    <n v="18552.2"/>
    <n v="15769.37"/>
    <n v="148417.60000000001"/>
    <n v="126154.96"/>
    <n v="22262.639999999999"/>
    <s v="Patrick"/>
    <x v="1"/>
    <x v="5"/>
    <x v="0"/>
    <n v="52"/>
    <x v="0"/>
    <x v="14"/>
    <x v="4"/>
  </r>
  <r>
    <s v="ORD-0699"/>
    <d v="2025-12-04T00:00:00"/>
    <x v="10"/>
    <s v="CUST-113"/>
    <s v="PROD-105"/>
    <n v="3"/>
    <n v="18580.099999999999"/>
    <n v="15793.084999999999"/>
    <n v="55740.299999999996"/>
    <n v="47379.254999999997"/>
    <n v="8361.0449999999983"/>
    <s v="Joshua"/>
    <x v="1"/>
    <x v="21"/>
    <x v="1"/>
    <n v="47"/>
    <x v="0"/>
    <x v="3"/>
    <x v="3"/>
  </r>
  <r>
    <s v="ORD-0700"/>
    <d v="2025-11-15T00:00:00"/>
    <x v="12"/>
    <s v="CUST-041"/>
    <s v="PROD-124"/>
    <n v="10"/>
    <n v="14972.3"/>
    <n v="12726.455"/>
    <n v="149723"/>
    <n v="127264.55"/>
    <n v="22458.449999999997"/>
    <s v="Cheyenne"/>
    <x v="3"/>
    <x v="19"/>
    <x v="0"/>
    <n v="20"/>
    <x v="1"/>
    <x v="5"/>
    <x v="0"/>
  </r>
  <r>
    <s v="ORD-0701"/>
    <d v="2025-12-31T00:00:00"/>
    <x v="2"/>
    <s v="CUST-148"/>
    <s v="PROD-113"/>
    <n v="5"/>
    <n v="10040.599999999999"/>
    <n v="8534.5099999999984"/>
    <n v="50202.999999999993"/>
    <n v="42672.549999999988"/>
    <n v="7530.4500000000044"/>
    <s v="Cheyenne"/>
    <x v="0"/>
    <x v="68"/>
    <x v="1"/>
    <n v="37"/>
    <x v="0"/>
    <x v="19"/>
    <x v="1"/>
  </r>
  <r>
    <s v="ORD-0702"/>
    <d v="2025-11-26T00:00:00"/>
    <x v="0"/>
    <s v="CUST-096"/>
    <s v="PROD-134"/>
    <n v="1"/>
    <n v="15665.699999999999"/>
    <n v="13315.844999999999"/>
    <n v="15665.699999999999"/>
    <n v="13315.844999999999"/>
    <n v="2349.8549999999996"/>
    <s v="Joshua"/>
    <x v="4"/>
    <x v="13"/>
    <x v="1"/>
    <n v="26"/>
    <x v="1"/>
    <x v="7"/>
    <x v="2"/>
  </r>
  <r>
    <s v="ORD-0703"/>
    <d v="2025-11-20T00:00:00"/>
    <x v="6"/>
    <s v="CUST-125"/>
    <s v="PROD-128"/>
    <n v="4"/>
    <n v="14252.1"/>
    <n v="12114.285"/>
    <n v="57008.4"/>
    <n v="48457.14"/>
    <n v="8551.260000000002"/>
    <s v="Thomas"/>
    <x v="2"/>
    <x v="28"/>
    <x v="0"/>
    <n v="23"/>
    <x v="1"/>
    <x v="15"/>
    <x v="5"/>
  </r>
  <r>
    <s v="ORD-0704"/>
    <d v="2025-12-07T00:00:00"/>
    <x v="7"/>
    <s v="CUST-062"/>
    <s v="PROD-121"/>
    <n v="9"/>
    <n v="16436.400000000001"/>
    <n v="13970.940000000002"/>
    <n v="147927.6"/>
    <n v="125738.46000000002"/>
    <n v="22189.139999999985"/>
    <s v="Daniel"/>
    <x v="3"/>
    <x v="61"/>
    <x v="0"/>
    <n v="20"/>
    <x v="1"/>
    <x v="8"/>
    <x v="0"/>
  </r>
  <r>
    <s v="ORD-0705"/>
    <d v="2025-12-26T00:00:00"/>
    <x v="8"/>
    <s v="CUST-113"/>
    <s v="PROD-104"/>
    <n v="4"/>
    <n v="7269.4000000000005"/>
    <n v="6178.9900000000007"/>
    <n v="29077.600000000002"/>
    <n v="24715.960000000003"/>
    <n v="4361.6399999999994"/>
    <s v="Kayla"/>
    <x v="1"/>
    <x v="21"/>
    <x v="1"/>
    <n v="47"/>
    <x v="0"/>
    <x v="4"/>
    <x v="3"/>
  </r>
  <r>
    <s v="ORD-0706"/>
    <d v="2025-11-21T00:00:00"/>
    <x v="6"/>
    <s v="CUST-006"/>
    <s v="PROD-126"/>
    <n v="6"/>
    <n v="9522"/>
    <n v="8093.7"/>
    <n v="57132"/>
    <n v="48562.2"/>
    <n v="8569.8000000000029"/>
    <s v="Cheyenne"/>
    <x v="0"/>
    <x v="58"/>
    <x v="1"/>
    <n v="19"/>
    <x v="1"/>
    <x v="9"/>
    <x v="5"/>
  </r>
  <r>
    <s v="ORD-0707"/>
    <d v="2025-10-30T00:00:00"/>
    <x v="3"/>
    <s v="CUST-022"/>
    <s v="PROD-103"/>
    <n v="7"/>
    <n v="9072.1"/>
    <n v="7711.2849999999999"/>
    <n v="63504.700000000004"/>
    <n v="53978.994999999995"/>
    <n v="9525.705000000009"/>
    <s v="Ethan"/>
    <x v="5"/>
    <x v="46"/>
    <x v="1"/>
    <n v="31"/>
    <x v="1"/>
    <x v="28"/>
    <x v="3"/>
  </r>
  <r>
    <s v="ORD-0708"/>
    <d v="2025-10-11T00:00:00"/>
    <x v="1"/>
    <s v="CUST-003"/>
    <s v="PROD-112"/>
    <n v="1"/>
    <n v="14766.800000000001"/>
    <n v="12551.78"/>
    <n v="14766.800000000001"/>
    <n v="12551.78"/>
    <n v="2215.0200000000004"/>
    <s v="Cheyenne"/>
    <x v="4"/>
    <x v="10"/>
    <x v="0"/>
    <n v="25"/>
    <x v="1"/>
    <x v="1"/>
    <x v="1"/>
  </r>
  <r>
    <s v="ORD-0709"/>
    <d v="2025-11-24T00:00:00"/>
    <x v="0"/>
    <s v="CUST-105"/>
    <s v="PROD-106"/>
    <n v="8"/>
    <n v="4718.1000000000004"/>
    <n v="4010.3850000000002"/>
    <n v="37744.800000000003"/>
    <n v="32083.08"/>
    <n v="5661.7200000000012"/>
    <s v="Patrick"/>
    <x v="3"/>
    <x v="31"/>
    <x v="0"/>
    <n v="30"/>
    <x v="1"/>
    <x v="6"/>
    <x v="4"/>
  </r>
  <r>
    <s v="ORD-0710"/>
    <d v="2025-11-07T00:00:00"/>
    <x v="5"/>
    <s v="CUST-127"/>
    <s v="PROD-123"/>
    <n v="8"/>
    <n v="10073.300000000001"/>
    <n v="8562.3050000000003"/>
    <n v="80586.400000000009"/>
    <n v="68498.44"/>
    <n v="12087.960000000006"/>
    <s v="Lori"/>
    <x v="3"/>
    <x v="48"/>
    <x v="0"/>
    <n v="18"/>
    <x v="1"/>
    <x v="32"/>
    <x v="0"/>
  </r>
  <r>
    <s v="ORD-0711"/>
    <d v="2025-12-13T00:00:00"/>
    <x v="7"/>
    <s v="CUST-143"/>
    <s v="PROD-131"/>
    <n v="9"/>
    <n v="13371.800000000001"/>
    <n v="11366.03"/>
    <n v="120346.20000000001"/>
    <n v="102294.27"/>
    <n v="18051.930000000008"/>
    <s v="Aaron"/>
    <x v="1"/>
    <x v="19"/>
    <x v="0"/>
    <n v="36"/>
    <x v="0"/>
    <x v="2"/>
    <x v="2"/>
  </r>
  <r>
    <s v="ORD-0712"/>
    <d v="2025-12-15T00:00:00"/>
    <x v="4"/>
    <s v="CUST-131"/>
    <s v="PROD-110"/>
    <n v="1"/>
    <n v="9729.2999999999993"/>
    <n v="8269.9049999999988"/>
    <n v="9729.2999999999993"/>
    <n v="8269.9049999999988"/>
    <n v="1459.3950000000004"/>
    <s v="Tara"/>
    <x v="0"/>
    <x v="37"/>
    <x v="0"/>
    <n v="46"/>
    <x v="0"/>
    <x v="14"/>
    <x v="4"/>
  </r>
  <r>
    <s v="ORD-0713"/>
    <d v="2025-11-30T00:00:00"/>
    <x v="10"/>
    <s v="CUST-069"/>
    <s v="PROD-119"/>
    <n v="6"/>
    <n v="7306.1"/>
    <n v="6210.1850000000004"/>
    <n v="43836.600000000006"/>
    <n v="37261.11"/>
    <n v="6575.4900000000052"/>
    <s v="Jonathan"/>
    <x v="1"/>
    <x v="42"/>
    <x v="0"/>
    <n v="37"/>
    <x v="0"/>
    <x v="33"/>
    <x v="0"/>
  </r>
  <r>
    <s v="ORD-0714"/>
    <d v="2025-10-21T00:00:00"/>
    <x v="9"/>
    <s v="CUST-122"/>
    <s v="PROD-126"/>
    <n v="2"/>
    <n v="1213.3"/>
    <n v="1031.3050000000001"/>
    <n v="2426.6"/>
    <n v="2062.61"/>
    <n v="363.98999999999978"/>
    <s v="Thomas"/>
    <x v="4"/>
    <x v="26"/>
    <x v="1"/>
    <n v="43"/>
    <x v="0"/>
    <x v="9"/>
    <x v="5"/>
  </r>
  <r>
    <s v="ORD-0715"/>
    <d v="2025-10-30T00:00:00"/>
    <x v="3"/>
    <s v="CUST-148"/>
    <s v="PROD-130"/>
    <n v="5"/>
    <n v="14240.8"/>
    <n v="12104.68"/>
    <n v="71204"/>
    <n v="60523.4"/>
    <n v="10680.599999999999"/>
    <s v="Aaron"/>
    <x v="0"/>
    <x v="68"/>
    <x v="1"/>
    <n v="37"/>
    <x v="0"/>
    <x v="29"/>
    <x v="2"/>
  </r>
  <r>
    <s v="ORD-0716"/>
    <d v="2025-10-09T00:00:00"/>
    <x v="1"/>
    <s v="CUST-147"/>
    <s v="PROD-110"/>
    <n v="1"/>
    <n v="8174.2"/>
    <n v="6948.07"/>
    <n v="8174.2"/>
    <n v="6948.07"/>
    <n v="1226.1300000000001"/>
    <s v="Lori"/>
    <x v="2"/>
    <x v="36"/>
    <x v="0"/>
    <n v="53"/>
    <x v="0"/>
    <x v="14"/>
    <x v="4"/>
  </r>
  <r>
    <s v="ORD-0717"/>
    <d v="2025-12-15T00:00:00"/>
    <x v="4"/>
    <s v="CUST-092"/>
    <s v="PROD-117"/>
    <n v="7"/>
    <n v="14313.4"/>
    <n v="12166.39"/>
    <n v="100193.8"/>
    <n v="85164.73"/>
    <n v="15029.070000000007"/>
    <s v="Ralph"/>
    <x v="2"/>
    <x v="3"/>
    <x v="0"/>
    <n v="48"/>
    <x v="0"/>
    <x v="23"/>
    <x v="0"/>
  </r>
  <r>
    <s v="ORD-0718"/>
    <d v="2025-10-19T00:00:00"/>
    <x v="9"/>
    <s v="CUST-046"/>
    <s v="PROD-107"/>
    <n v="10"/>
    <n v="9002.1"/>
    <n v="7651.7849999999999"/>
    <n v="90021"/>
    <n v="76517.850000000006"/>
    <n v="13503.149999999994"/>
    <s v="Tracey"/>
    <x v="4"/>
    <x v="4"/>
    <x v="1"/>
    <n v="31"/>
    <x v="1"/>
    <x v="12"/>
    <x v="4"/>
  </r>
  <r>
    <s v="ORD-0719"/>
    <d v="2025-12-09T00:00:00"/>
    <x v="7"/>
    <s v="CUST-032"/>
    <s v="PROD-119"/>
    <n v="6"/>
    <n v="19779.3"/>
    <n v="16812.404999999999"/>
    <n v="118675.79999999999"/>
    <n v="100874.43"/>
    <n v="17801.369999999995"/>
    <s v="Laura"/>
    <x v="4"/>
    <x v="15"/>
    <x v="0"/>
    <n v="26"/>
    <x v="1"/>
    <x v="33"/>
    <x v="0"/>
  </r>
  <r>
    <s v="ORD-0720"/>
    <d v="2025-11-28T00:00:00"/>
    <x v="0"/>
    <s v="CUST-134"/>
    <s v="PROD-120"/>
    <n v="10"/>
    <n v="11977.8"/>
    <n v="10181.129999999999"/>
    <n v="119778"/>
    <n v="101811.29999999999"/>
    <n v="17966.700000000012"/>
    <s v="Kayla"/>
    <x v="1"/>
    <x v="25"/>
    <x v="0"/>
    <n v="26"/>
    <x v="1"/>
    <x v="0"/>
    <x v="0"/>
  </r>
  <r>
    <s v="ORD-0721"/>
    <d v="2025-12-27T00:00:00"/>
    <x v="8"/>
    <s v="CUST-125"/>
    <s v="PROD-117"/>
    <n v="3"/>
    <n v="19403.099999999999"/>
    <n v="16492.634999999998"/>
    <n v="58209.299999999996"/>
    <n v="49477.904999999999"/>
    <n v="8731.3949999999968"/>
    <s v="Tracey"/>
    <x v="2"/>
    <x v="28"/>
    <x v="0"/>
    <n v="23"/>
    <x v="1"/>
    <x v="23"/>
    <x v="0"/>
  </r>
  <r>
    <s v="ORD-0722"/>
    <d v="2025-12-02T00:00:00"/>
    <x v="10"/>
    <s v="CUST-141"/>
    <s v="PROD-107"/>
    <n v="9"/>
    <n v="15051.5"/>
    <n v="12793.775"/>
    <n v="135463.5"/>
    <n v="115143.97499999999"/>
    <n v="20319.525000000009"/>
    <s v="Tracey"/>
    <x v="5"/>
    <x v="12"/>
    <x v="1"/>
    <n v="49"/>
    <x v="0"/>
    <x v="12"/>
    <x v="4"/>
  </r>
  <r>
    <s v="ORD-0723"/>
    <d v="2025-12-12T00:00:00"/>
    <x v="7"/>
    <s v="CUST-120"/>
    <s v="PROD-108"/>
    <n v="9"/>
    <n v="18635.400000000001"/>
    <n v="15840.090000000002"/>
    <n v="167718.6"/>
    <n v="142560.81000000003"/>
    <n v="25157.789999999979"/>
    <s v="David"/>
    <x v="0"/>
    <x v="95"/>
    <x v="1"/>
    <n v="18"/>
    <x v="1"/>
    <x v="27"/>
    <x v="4"/>
  </r>
  <r>
    <s v="ORD-0724"/>
    <d v="2025-10-27T00:00:00"/>
    <x v="3"/>
    <s v="CUST-150"/>
    <s v="PROD-118"/>
    <n v="9"/>
    <n v="3933.8999999999996"/>
    <n v="3343.8149999999996"/>
    <n v="35405.1"/>
    <n v="30094.334999999995"/>
    <n v="5310.7650000000031"/>
    <s v="Jonathan"/>
    <x v="1"/>
    <x v="31"/>
    <x v="0"/>
    <n v="25"/>
    <x v="1"/>
    <x v="25"/>
    <x v="0"/>
  </r>
  <r>
    <s v="ORD-0725"/>
    <d v="2025-12-27T00:00:00"/>
    <x v="8"/>
    <s v="CUST-084"/>
    <s v="PROD-103"/>
    <n v="10"/>
    <n v="4558.8"/>
    <n v="3874.98"/>
    <n v="45588"/>
    <n v="38749.800000000003"/>
    <n v="6838.1999999999971"/>
    <s v="Linda"/>
    <x v="4"/>
    <x v="45"/>
    <x v="1"/>
    <n v="49"/>
    <x v="0"/>
    <x v="28"/>
    <x v="3"/>
  </r>
  <r>
    <s v="ORD-0726"/>
    <d v="2025-10-30T00:00:00"/>
    <x v="3"/>
    <s v="CUST-022"/>
    <s v="PROD-115"/>
    <n v="10"/>
    <n v="6024.8"/>
    <n v="5121.08"/>
    <n v="60248"/>
    <n v="51210.8"/>
    <n v="9037.1999999999971"/>
    <s v="Cheyenne"/>
    <x v="5"/>
    <x v="46"/>
    <x v="1"/>
    <n v="31"/>
    <x v="1"/>
    <x v="10"/>
    <x v="1"/>
  </r>
  <r>
    <s v="ORD-0727"/>
    <d v="2025-11-08T00:00:00"/>
    <x v="5"/>
    <s v="CUST-025"/>
    <s v="PROD-114"/>
    <n v="4"/>
    <n v="2043.7"/>
    <n v="1737.145"/>
    <n v="8174.8"/>
    <n v="6948.58"/>
    <n v="1226.2200000000003"/>
    <s v="Caroline"/>
    <x v="4"/>
    <x v="50"/>
    <x v="1"/>
    <n v="19"/>
    <x v="1"/>
    <x v="18"/>
    <x v="1"/>
  </r>
  <r>
    <s v="ORD-0728"/>
    <d v="2025-12-07T00:00:00"/>
    <x v="7"/>
    <s v="CUST-048"/>
    <s v="PROD-127"/>
    <n v="7"/>
    <n v="6711.2"/>
    <n v="5704.5199999999995"/>
    <n v="46978.400000000001"/>
    <n v="39931.64"/>
    <n v="7046.760000000002"/>
    <s v="Cheyenne"/>
    <x v="1"/>
    <x v="16"/>
    <x v="0"/>
    <n v="19"/>
    <x v="1"/>
    <x v="17"/>
    <x v="5"/>
  </r>
  <r>
    <s v="ORD-0729"/>
    <d v="2025-10-07T00:00:00"/>
    <x v="1"/>
    <s v="CUST-146"/>
    <s v="PROD-106"/>
    <n v="4"/>
    <n v="648.79999999999995"/>
    <n v="551.48"/>
    <n v="2595.1999999999998"/>
    <n v="2205.92"/>
    <n v="389.27999999999975"/>
    <s v="Aaron"/>
    <x v="1"/>
    <x v="29"/>
    <x v="0"/>
    <n v="24"/>
    <x v="1"/>
    <x v="6"/>
    <x v="4"/>
  </r>
  <r>
    <s v="ORD-0730"/>
    <d v="2025-10-18T00:00:00"/>
    <x v="13"/>
    <s v="CUST-133"/>
    <s v="PROD-134"/>
    <n v="4"/>
    <n v="4556.1000000000004"/>
    <n v="3872.6850000000004"/>
    <n v="18224.400000000001"/>
    <n v="15490.740000000002"/>
    <n v="2733.66"/>
    <s v="Linda"/>
    <x v="4"/>
    <x v="94"/>
    <x v="1"/>
    <n v="21"/>
    <x v="1"/>
    <x v="7"/>
    <x v="2"/>
  </r>
  <r>
    <s v="ORD-0731"/>
    <d v="2025-10-28T00:00:00"/>
    <x v="3"/>
    <s v="CUST-010"/>
    <s v="PROD-130"/>
    <n v="7"/>
    <n v="6486.4"/>
    <n v="5513.44"/>
    <n v="45404.799999999996"/>
    <n v="38594.079999999994"/>
    <n v="6810.7200000000012"/>
    <s v="Douglas"/>
    <x v="1"/>
    <x v="93"/>
    <x v="1"/>
    <n v="21"/>
    <x v="1"/>
    <x v="29"/>
    <x v="2"/>
  </r>
  <r>
    <s v="ORD-0732"/>
    <d v="2025-10-11T00:00:00"/>
    <x v="1"/>
    <s v="CUST-106"/>
    <s v="PROD-120"/>
    <n v="7"/>
    <n v="3114.6"/>
    <n v="2647.41"/>
    <n v="21802.2"/>
    <n v="18531.87"/>
    <n v="3270.3300000000017"/>
    <s v="Lisa"/>
    <x v="1"/>
    <x v="96"/>
    <x v="0"/>
    <n v="32"/>
    <x v="1"/>
    <x v="0"/>
    <x v="0"/>
  </r>
  <r>
    <s v="ORD-0733"/>
    <d v="2025-11-17T00:00:00"/>
    <x v="6"/>
    <s v="CUST-131"/>
    <s v="PROD-123"/>
    <n v="3"/>
    <n v="11617.8"/>
    <n v="9875.1299999999992"/>
    <n v="34853.399999999994"/>
    <n v="29625.39"/>
    <n v="5228.0099999999948"/>
    <s v="Kayla"/>
    <x v="0"/>
    <x v="37"/>
    <x v="0"/>
    <n v="46"/>
    <x v="0"/>
    <x v="32"/>
    <x v="0"/>
  </r>
  <r>
    <s v="ORD-0734"/>
    <d v="2025-12-29T00:00:00"/>
    <x v="2"/>
    <s v="CUST-055"/>
    <s v="PROD-115"/>
    <n v="2"/>
    <n v="14600.4"/>
    <n v="12410.34"/>
    <n v="29200.799999999999"/>
    <n v="24820.68"/>
    <n v="4380.119999999999"/>
    <s v="Ralph"/>
    <x v="0"/>
    <x v="16"/>
    <x v="0"/>
    <n v="24"/>
    <x v="1"/>
    <x v="10"/>
    <x v="1"/>
  </r>
  <r>
    <s v="ORD-0735"/>
    <d v="2025-11-21T00:00:00"/>
    <x v="6"/>
    <s v="CUST-083"/>
    <s v="PROD-102"/>
    <n v="9"/>
    <n v="18739.7"/>
    <n v="15928.745000000001"/>
    <n v="168657.30000000002"/>
    <n v="143358.70500000002"/>
    <n v="25298.595000000001"/>
    <s v="Caroline"/>
    <x v="3"/>
    <x v="14"/>
    <x v="1"/>
    <n v="23"/>
    <x v="1"/>
    <x v="20"/>
    <x v="3"/>
  </r>
  <r>
    <s v="ORD-0736"/>
    <d v="2025-10-21T00:00:00"/>
    <x v="9"/>
    <s v="CUST-036"/>
    <s v="PROD-110"/>
    <n v="3"/>
    <n v="7938.5"/>
    <n v="6747.7250000000004"/>
    <n v="23815.5"/>
    <n v="20243.175000000003"/>
    <n v="3572.3249999999971"/>
    <s v="Ralph"/>
    <x v="4"/>
    <x v="44"/>
    <x v="1"/>
    <n v="52"/>
    <x v="0"/>
    <x v="14"/>
    <x v="4"/>
  </r>
  <r>
    <s v="ORD-0737"/>
    <d v="2025-11-13T00:00:00"/>
    <x v="12"/>
    <s v="CUST-053"/>
    <s v="PROD-125"/>
    <n v="4"/>
    <n v="19672.900000000001"/>
    <n v="16721.965"/>
    <n v="78691.600000000006"/>
    <n v="66887.86"/>
    <n v="11803.740000000005"/>
    <s v="Joshua"/>
    <x v="4"/>
    <x v="69"/>
    <x v="0"/>
    <n v="19"/>
    <x v="1"/>
    <x v="13"/>
    <x v="0"/>
  </r>
  <r>
    <s v="ORD-0738"/>
    <d v="2025-12-22T00:00:00"/>
    <x v="8"/>
    <s v="CUST-040"/>
    <s v="PROD-124"/>
    <n v="4"/>
    <n v="13069.6"/>
    <n v="11109.16"/>
    <n v="52278.400000000001"/>
    <n v="44436.639999999999"/>
    <n v="7841.760000000002"/>
    <s v="Sean"/>
    <x v="0"/>
    <x v="72"/>
    <x v="0"/>
    <n v="52"/>
    <x v="0"/>
    <x v="5"/>
    <x v="0"/>
  </r>
  <r>
    <s v="ORD-0739"/>
    <d v="2025-11-10T00:00:00"/>
    <x v="12"/>
    <s v="CUST-102"/>
    <s v="PROD-129"/>
    <n v="4"/>
    <n v="7359.8"/>
    <n v="6255.83"/>
    <n v="29439.200000000001"/>
    <n v="25023.32"/>
    <n v="4415.880000000001"/>
    <s v="Caroline"/>
    <x v="1"/>
    <x v="40"/>
    <x v="1"/>
    <n v="27"/>
    <x v="1"/>
    <x v="21"/>
    <x v="5"/>
  </r>
  <r>
    <s v="ORD-0740"/>
    <d v="2025-10-21T00:00:00"/>
    <x v="9"/>
    <s v="CUST-034"/>
    <s v="PROD-126"/>
    <n v="8"/>
    <n v="18274.100000000002"/>
    <n v="15532.985000000002"/>
    <n v="146192.80000000002"/>
    <n v="124263.88000000002"/>
    <n v="21928.92"/>
    <s v="Linda"/>
    <x v="0"/>
    <x v="53"/>
    <x v="0"/>
    <n v="32"/>
    <x v="1"/>
    <x v="9"/>
    <x v="5"/>
  </r>
  <r>
    <s v="ORD-0741"/>
    <d v="2025-12-03T00:00:00"/>
    <x v="10"/>
    <s v="CUST-001"/>
    <s v="PROD-104"/>
    <n v="2"/>
    <n v="3789.4"/>
    <n v="3220.9900000000002"/>
    <n v="7578.8"/>
    <n v="6441.9800000000005"/>
    <n v="1136.8199999999997"/>
    <s v="Caroline"/>
    <x v="3"/>
    <x v="74"/>
    <x v="1"/>
    <n v="27"/>
    <x v="1"/>
    <x v="4"/>
    <x v="3"/>
  </r>
  <r>
    <s v="ORD-0742"/>
    <d v="2025-12-16T00:00:00"/>
    <x v="4"/>
    <s v="CUST-002"/>
    <s v="PROD-129"/>
    <n v="9"/>
    <n v="4401.8999999999996"/>
    <n v="3741.6149999999998"/>
    <n v="39617.1"/>
    <n v="33674.534999999996"/>
    <n v="5942.5650000000023"/>
    <s v="David"/>
    <x v="1"/>
    <x v="8"/>
    <x v="1"/>
    <n v="20"/>
    <x v="1"/>
    <x v="21"/>
    <x v="5"/>
  </r>
  <r>
    <s v="ORD-0743"/>
    <d v="2025-10-07T00:00:00"/>
    <x v="1"/>
    <s v="CUST-015"/>
    <s v="PROD-130"/>
    <n v="9"/>
    <n v="3164.1000000000004"/>
    <n v="2689.4850000000006"/>
    <n v="28476.9"/>
    <n v="24205.365000000005"/>
    <n v="4271.5349999999962"/>
    <s v="Katie"/>
    <x v="1"/>
    <x v="88"/>
    <x v="0"/>
    <n v="40"/>
    <x v="0"/>
    <x v="29"/>
    <x v="2"/>
  </r>
  <r>
    <s v="ORD-0744"/>
    <d v="2025-11-11T00:00:00"/>
    <x v="12"/>
    <s v="CUST-068"/>
    <s v="PROD-121"/>
    <n v="6"/>
    <n v="11177.1"/>
    <n v="9500.5349999999999"/>
    <n v="67062.600000000006"/>
    <n v="57003.21"/>
    <n v="10059.390000000007"/>
    <s v="Lori"/>
    <x v="4"/>
    <x v="45"/>
    <x v="1"/>
    <n v="28"/>
    <x v="1"/>
    <x v="8"/>
    <x v="0"/>
  </r>
  <r>
    <s v="ORD-0745"/>
    <d v="2025-11-03T00:00:00"/>
    <x v="5"/>
    <s v="CUST-108"/>
    <s v="PROD-122"/>
    <n v="6"/>
    <n v="13905.699999999999"/>
    <n v="11819.844999999999"/>
    <n v="83434.2"/>
    <n v="70919.069999999992"/>
    <n v="12515.130000000005"/>
    <s v="Aaron"/>
    <x v="5"/>
    <x v="30"/>
    <x v="0"/>
    <n v="42"/>
    <x v="0"/>
    <x v="11"/>
    <x v="0"/>
  </r>
  <r>
    <s v="ORD-0746"/>
    <d v="2025-12-25T00:00:00"/>
    <x v="8"/>
    <s v="CUST-037"/>
    <s v="PROD-126"/>
    <n v="2"/>
    <n v="9522"/>
    <n v="8093.7"/>
    <n v="19044"/>
    <n v="16187.4"/>
    <n v="2856.6000000000004"/>
    <s v="Patrick"/>
    <x v="1"/>
    <x v="73"/>
    <x v="0"/>
    <n v="26"/>
    <x v="1"/>
    <x v="9"/>
    <x v="5"/>
  </r>
  <r>
    <s v="ORD-0747"/>
    <d v="2025-11-08T00:00:00"/>
    <x v="5"/>
    <s v="CUST-035"/>
    <s v="PROD-120"/>
    <n v="4"/>
    <n v="2479.4"/>
    <n v="2107.4900000000002"/>
    <n v="9917.6"/>
    <n v="8429.9600000000009"/>
    <n v="1487.6399999999994"/>
    <s v="Ralph"/>
    <x v="1"/>
    <x v="72"/>
    <x v="0"/>
    <n v="21"/>
    <x v="1"/>
    <x v="0"/>
    <x v="0"/>
  </r>
  <r>
    <s v="ORD-0748"/>
    <d v="2025-12-09T00:00:00"/>
    <x v="7"/>
    <s v="CUST-035"/>
    <s v="PROD-130"/>
    <n v="3"/>
    <n v="1840.1"/>
    <n v="1564.085"/>
    <n v="5520.2999999999993"/>
    <n v="4692.2550000000001"/>
    <n v="828.04499999999916"/>
    <s v="Victoria"/>
    <x v="1"/>
    <x v="72"/>
    <x v="0"/>
    <n v="21"/>
    <x v="1"/>
    <x v="29"/>
    <x v="2"/>
  </r>
  <r>
    <s v="ORD-0749"/>
    <d v="2025-10-19T00:00:00"/>
    <x v="9"/>
    <s v="CUST-059"/>
    <s v="PROD-129"/>
    <n v="2"/>
    <n v="19868.599999999999"/>
    <n v="16888.309999999998"/>
    <n v="39737.199999999997"/>
    <n v="33776.619999999995"/>
    <n v="5960.5800000000017"/>
    <s v="Patrick"/>
    <x v="1"/>
    <x v="6"/>
    <x v="1"/>
    <n v="25"/>
    <x v="1"/>
    <x v="21"/>
    <x v="5"/>
  </r>
  <r>
    <s v="ORD-0750"/>
    <d v="2025-12-08T00:00:00"/>
    <x v="7"/>
    <s v="CUST-089"/>
    <s v="PROD-124"/>
    <n v="2"/>
    <n v="3584.7000000000003"/>
    <n v="3046.9950000000003"/>
    <n v="7169.4000000000005"/>
    <n v="6093.9900000000007"/>
    <n v="1075.4099999999999"/>
    <s v="Caroline"/>
    <x v="4"/>
    <x v="92"/>
    <x v="1"/>
    <n v="35"/>
    <x v="0"/>
    <x v="5"/>
    <x v="0"/>
  </r>
  <r>
    <s v="ORD-0751"/>
    <d v="2025-11-13T00:00:00"/>
    <x v="12"/>
    <s v="CUST-015"/>
    <s v="PROD-110"/>
    <n v="1"/>
    <n v="1870.8000000000002"/>
    <n v="1590.1800000000003"/>
    <n v="1870.8000000000002"/>
    <n v="1590.1800000000003"/>
    <n v="280.61999999999989"/>
    <s v="Cheyenne"/>
    <x v="1"/>
    <x v="88"/>
    <x v="0"/>
    <n v="40"/>
    <x v="0"/>
    <x v="14"/>
    <x v="4"/>
  </r>
  <r>
    <s v="ORD-0752"/>
    <d v="2025-10-19T00:00:00"/>
    <x v="9"/>
    <s v="CUST-093"/>
    <s v="PROD-133"/>
    <n v="10"/>
    <n v="12912.4"/>
    <n v="10975.539999999999"/>
    <n v="129124"/>
    <n v="109755.4"/>
    <n v="19368.600000000006"/>
    <s v="Kayla"/>
    <x v="0"/>
    <x v="25"/>
    <x v="0"/>
    <n v="19"/>
    <x v="1"/>
    <x v="22"/>
    <x v="2"/>
  </r>
  <r>
    <s v="ORD-0753"/>
    <d v="2025-11-25T00:00:00"/>
    <x v="0"/>
    <s v="CUST-063"/>
    <s v="PROD-118"/>
    <n v="1"/>
    <n v="18414.400000000001"/>
    <n v="15652.240000000002"/>
    <n v="18414.400000000001"/>
    <n v="15652.240000000002"/>
    <n v="2762.16"/>
    <s v="Ethan"/>
    <x v="1"/>
    <x v="18"/>
    <x v="0"/>
    <n v="24"/>
    <x v="1"/>
    <x v="25"/>
    <x v="0"/>
  </r>
  <r>
    <s v="ORD-0754"/>
    <d v="2025-11-25T00:00:00"/>
    <x v="0"/>
    <s v="CUST-117"/>
    <s v="PROD-130"/>
    <n v="2"/>
    <n v="8256.2999999999993"/>
    <n v="7017.8549999999996"/>
    <n v="16512.599999999999"/>
    <n v="14035.71"/>
    <n v="2476.8899999999994"/>
    <s v="Jasmine"/>
    <x v="1"/>
    <x v="20"/>
    <x v="1"/>
    <n v="29"/>
    <x v="1"/>
    <x v="29"/>
    <x v="2"/>
  </r>
  <r>
    <s v="ORD-0755"/>
    <d v="2025-12-23T00:00:00"/>
    <x v="8"/>
    <s v="CUST-067"/>
    <s v="PROD-104"/>
    <n v="6"/>
    <n v="12774.7"/>
    <n v="10858.495000000001"/>
    <n v="76648.200000000012"/>
    <n v="65150.97"/>
    <n v="11497.23000000001"/>
    <s v="Daniel"/>
    <x v="1"/>
    <x v="64"/>
    <x v="1"/>
    <n v="45"/>
    <x v="0"/>
    <x v="4"/>
    <x v="3"/>
  </r>
  <r>
    <s v="ORD-0756"/>
    <d v="2025-11-25T00:00:00"/>
    <x v="0"/>
    <s v="CUST-091"/>
    <s v="PROD-101"/>
    <n v="10"/>
    <n v="11907.6"/>
    <n v="10121.460000000001"/>
    <n v="119076"/>
    <n v="101214.6"/>
    <n v="17861.399999999994"/>
    <s v="Tracey"/>
    <x v="1"/>
    <x v="102"/>
    <x v="0"/>
    <n v="44"/>
    <x v="0"/>
    <x v="16"/>
    <x v="3"/>
  </r>
  <r>
    <s v="ORD-0757"/>
    <d v="2025-10-12T00:00:00"/>
    <x v="13"/>
    <s v="CUST-044"/>
    <s v="PROD-105"/>
    <n v="4"/>
    <n v="5105.5"/>
    <n v="4339.6750000000002"/>
    <n v="20422"/>
    <n v="17358.7"/>
    <n v="3063.2999999999993"/>
    <s v="Jonathan"/>
    <x v="5"/>
    <x v="28"/>
    <x v="0"/>
    <n v="31"/>
    <x v="1"/>
    <x v="3"/>
    <x v="3"/>
  </r>
  <r>
    <s v="ORD-0758"/>
    <d v="2025-12-28T00:00:00"/>
    <x v="2"/>
    <s v="CUST-050"/>
    <s v="PROD-120"/>
    <n v="9"/>
    <n v="18578"/>
    <n v="15791.3"/>
    <n v="167202"/>
    <n v="142121.69999999998"/>
    <n v="25080.300000000017"/>
    <s v="Ethan"/>
    <x v="0"/>
    <x v="83"/>
    <x v="0"/>
    <n v="35"/>
    <x v="0"/>
    <x v="0"/>
    <x v="0"/>
  </r>
  <r>
    <s v="ORD-0759"/>
    <d v="2025-10-10T00:00:00"/>
    <x v="1"/>
    <s v="CUST-084"/>
    <s v="PROD-127"/>
    <n v="3"/>
    <n v="6897.2000000000007"/>
    <n v="5862.6200000000008"/>
    <n v="20691.600000000002"/>
    <n v="17587.86"/>
    <n v="3103.7400000000016"/>
    <s v="Thomas"/>
    <x v="4"/>
    <x v="45"/>
    <x v="1"/>
    <n v="49"/>
    <x v="0"/>
    <x v="17"/>
    <x v="5"/>
  </r>
  <r>
    <s v="ORD-0760"/>
    <d v="2025-11-02T00:00:00"/>
    <x v="5"/>
    <s v="CUST-039"/>
    <s v="PROD-126"/>
    <n v="5"/>
    <n v="9199.7999999999993"/>
    <n v="7819.83"/>
    <n v="45999"/>
    <n v="39099.15"/>
    <n v="6899.8499999999985"/>
    <s v="Jonathan"/>
    <x v="2"/>
    <x v="80"/>
    <x v="0"/>
    <n v="51"/>
    <x v="0"/>
    <x v="9"/>
    <x v="5"/>
  </r>
  <r>
    <s v="ORD-0761"/>
    <d v="2025-10-13T00:00:00"/>
    <x v="13"/>
    <s v="CUST-146"/>
    <s v="PROD-106"/>
    <n v="8"/>
    <n v="1624.5"/>
    <n v="1380.825"/>
    <n v="12996"/>
    <n v="11046.6"/>
    <n v="1949.3999999999996"/>
    <s v="Katie"/>
    <x v="1"/>
    <x v="29"/>
    <x v="0"/>
    <n v="24"/>
    <x v="1"/>
    <x v="6"/>
    <x v="4"/>
  </r>
  <r>
    <s v="ORD-0762"/>
    <d v="2025-11-16T00:00:00"/>
    <x v="6"/>
    <s v="CUST-048"/>
    <s v="PROD-124"/>
    <n v="2"/>
    <n v="10017.200000000001"/>
    <n v="8514.6200000000008"/>
    <n v="20034.400000000001"/>
    <n v="17029.240000000002"/>
    <n v="3005.16"/>
    <s v="Tracey"/>
    <x v="1"/>
    <x v="16"/>
    <x v="0"/>
    <n v="19"/>
    <x v="1"/>
    <x v="5"/>
    <x v="0"/>
  </r>
  <r>
    <s v="ORD-0763"/>
    <d v="2025-12-10T00:00:00"/>
    <x v="7"/>
    <s v="CUST-148"/>
    <s v="PROD-124"/>
    <n v="6"/>
    <n v="17125.899999999998"/>
    <n v="14557.014999999998"/>
    <n v="102755.4"/>
    <n v="87342.089999999982"/>
    <n v="15413.310000000012"/>
    <s v="Thomas"/>
    <x v="0"/>
    <x v="68"/>
    <x v="1"/>
    <n v="37"/>
    <x v="0"/>
    <x v="5"/>
    <x v="0"/>
  </r>
  <r>
    <s v="ORD-0764"/>
    <d v="2025-11-03T00:00:00"/>
    <x v="5"/>
    <s v="CUST-136"/>
    <s v="PROD-101"/>
    <n v="2"/>
    <n v="12755.699999999999"/>
    <n v="10842.344999999999"/>
    <n v="25511.399999999998"/>
    <n v="21684.69"/>
    <n v="3826.7099999999991"/>
    <s v="Lisa"/>
    <x v="2"/>
    <x v="24"/>
    <x v="0"/>
    <n v="34"/>
    <x v="1"/>
    <x v="16"/>
    <x v="3"/>
  </r>
  <r>
    <s v="ORD-0765"/>
    <d v="2025-11-20T00:00:00"/>
    <x v="6"/>
    <s v="CUST-109"/>
    <s v="PROD-129"/>
    <n v="1"/>
    <n v="1791.5"/>
    <n v="1522.7750000000001"/>
    <n v="1791.5"/>
    <n v="1522.7750000000001"/>
    <n v="268.72499999999991"/>
    <s v="Timothy"/>
    <x v="0"/>
    <x v="10"/>
    <x v="0"/>
    <n v="22"/>
    <x v="1"/>
    <x v="21"/>
    <x v="5"/>
  </r>
  <r>
    <s v="ORD-0766"/>
    <d v="2025-11-18T00:00:00"/>
    <x v="6"/>
    <s v="CUST-148"/>
    <s v="PROD-130"/>
    <n v="4"/>
    <n v="18676.5"/>
    <n v="15875.025"/>
    <n v="74706"/>
    <n v="63500.1"/>
    <n v="11205.900000000001"/>
    <s v="Sean"/>
    <x v="0"/>
    <x v="68"/>
    <x v="1"/>
    <n v="37"/>
    <x v="0"/>
    <x v="29"/>
    <x v="2"/>
  </r>
  <r>
    <s v="ORD-0767"/>
    <d v="2025-12-01T00:00:00"/>
    <x v="10"/>
    <s v="CUST-001"/>
    <s v="PROD-102"/>
    <n v="2"/>
    <n v="932.09999999999991"/>
    <n v="792.28499999999997"/>
    <n v="1864.1999999999998"/>
    <n v="1584.57"/>
    <n v="279.62999999999988"/>
    <s v="Lori"/>
    <x v="3"/>
    <x v="74"/>
    <x v="1"/>
    <n v="27"/>
    <x v="1"/>
    <x v="20"/>
    <x v="3"/>
  </r>
  <r>
    <s v="ORD-0768"/>
    <d v="2025-12-29T00:00:00"/>
    <x v="2"/>
    <s v="CUST-111"/>
    <s v="PROD-105"/>
    <n v="8"/>
    <n v="4379.7000000000007"/>
    <n v="3722.7450000000008"/>
    <n v="35037.600000000006"/>
    <n v="29781.960000000006"/>
    <n v="5255.6399999999994"/>
    <s v="Joshua"/>
    <x v="4"/>
    <x v="10"/>
    <x v="0"/>
    <n v="20"/>
    <x v="1"/>
    <x v="3"/>
    <x v="3"/>
  </r>
  <r>
    <s v="ORD-0769"/>
    <d v="2025-12-14T00:00:00"/>
    <x v="4"/>
    <s v="CUST-131"/>
    <s v="PROD-126"/>
    <n v="9"/>
    <n v="9090.4"/>
    <n v="7726.84"/>
    <n v="81813.599999999991"/>
    <n v="69541.56"/>
    <n v="12272.039999999994"/>
    <s v="Lisa"/>
    <x v="0"/>
    <x v="37"/>
    <x v="0"/>
    <n v="46"/>
    <x v="0"/>
    <x v="9"/>
    <x v="5"/>
  </r>
  <r>
    <s v="ORD-0770"/>
    <d v="2025-10-18T00:00:00"/>
    <x v="13"/>
    <s v="CUST-065"/>
    <s v="PROD-125"/>
    <n v="8"/>
    <n v="14203.099999999999"/>
    <n v="12072.634999999998"/>
    <n v="113624.79999999999"/>
    <n v="96581.079999999987"/>
    <n v="17043.72"/>
    <s v="Douglas"/>
    <x v="5"/>
    <x v="42"/>
    <x v="0"/>
    <n v="23"/>
    <x v="1"/>
    <x v="13"/>
    <x v="0"/>
  </r>
  <r>
    <s v="ORD-0771"/>
    <d v="2025-11-06T00:00:00"/>
    <x v="5"/>
    <s v="CUST-084"/>
    <s v="PROD-102"/>
    <n v="10"/>
    <n v="14788.900000000001"/>
    <n v="12570.565000000002"/>
    <n v="147889"/>
    <n v="125705.65000000002"/>
    <n v="22183.349999999977"/>
    <s v="Linda"/>
    <x v="4"/>
    <x v="45"/>
    <x v="1"/>
    <n v="49"/>
    <x v="0"/>
    <x v="20"/>
    <x v="3"/>
  </r>
  <r>
    <s v="ORD-0772"/>
    <d v="2025-10-31T00:00:00"/>
    <x v="3"/>
    <s v="CUST-065"/>
    <s v="PROD-112"/>
    <n v="6"/>
    <n v="7414.0999999999995"/>
    <n v="6301.9849999999997"/>
    <n v="44484.6"/>
    <n v="37811.909999999996"/>
    <n v="6672.6900000000023"/>
    <s v="Tara"/>
    <x v="5"/>
    <x v="42"/>
    <x v="0"/>
    <n v="23"/>
    <x v="1"/>
    <x v="1"/>
    <x v="1"/>
  </r>
  <r>
    <s v="ORD-0773"/>
    <d v="2025-11-25T00:00:00"/>
    <x v="0"/>
    <s v="CUST-115"/>
    <s v="PROD-134"/>
    <n v="10"/>
    <n v="11588.699999999999"/>
    <n v="9850.3949999999986"/>
    <n v="115886.99999999999"/>
    <n v="98503.949999999983"/>
    <n v="17383.050000000003"/>
    <s v="Andrea"/>
    <x v="0"/>
    <x v="87"/>
    <x v="0"/>
    <n v="31"/>
    <x v="1"/>
    <x v="7"/>
    <x v="2"/>
  </r>
  <r>
    <s v="ORD-0774"/>
    <d v="2025-11-16T00:00:00"/>
    <x v="6"/>
    <s v="CUST-125"/>
    <s v="PROD-101"/>
    <n v="7"/>
    <n v="18447.5"/>
    <n v="15680.375"/>
    <n v="129132.5"/>
    <n v="109762.625"/>
    <n v="19369.875"/>
    <s v="Linda"/>
    <x v="2"/>
    <x v="28"/>
    <x v="0"/>
    <n v="23"/>
    <x v="1"/>
    <x v="16"/>
    <x v="3"/>
  </r>
  <r>
    <s v="ORD-0775"/>
    <d v="2025-12-08T00:00:00"/>
    <x v="7"/>
    <s v="CUST-020"/>
    <s v="PROD-125"/>
    <n v="10"/>
    <n v="12004.9"/>
    <n v="10204.164999999999"/>
    <n v="120049"/>
    <n v="102041.65"/>
    <n v="18007.350000000006"/>
    <s v="Daniel"/>
    <x v="1"/>
    <x v="23"/>
    <x v="1"/>
    <n v="35"/>
    <x v="0"/>
    <x v="13"/>
    <x v="0"/>
  </r>
  <r>
    <s v="ORD-0776"/>
    <d v="2025-11-20T00:00:00"/>
    <x v="6"/>
    <s v="CUST-012"/>
    <s v="PROD-107"/>
    <n v="6"/>
    <n v="6052.3"/>
    <n v="5144.4549999999999"/>
    <n v="36313.800000000003"/>
    <n v="30866.73"/>
    <n v="5447.0700000000033"/>
    <s v="Kayla"/>
    <x v="0"/>
    <x v="79"/>
    <x v="1"/>
    <n v="23"/>
    <x v="1"/>
    <x v="12"/>
    <x v="4"/>
  </r>
  <r>
    <s v="ORD-0777"/>
    <d v="2025-11-23T00:00:00"/>
    <x v="0"/>
    <s v="CUST-077"/>
    <s v="PROD-101"/>
    <n v="5"/>
    <n v="19660.7"/>
    <n v="16711.595000000001"/>
    <n v="98303.5"/>
    <n v="83557.975000000006"/>
    <n v="14745.524999999994"/>
    <s v="Lori"/>
    <x v="1"/>
    <x v="27"/>
    <x v="0"/>
    <n v="35"/>
    <x v="0"/>
    <x v="16"/>
    <x v="3"/>
  </r>
  <r>
    <s v="ORD-0778"/>
    <d v="2025-12-19T00:00:00"/>
    <x v="4"/>
    <s v="CUST-146"/>
    <s v="PROD-117"/>
    <n v="7"/>
    <n v="16959.2"/>
    <n v="14415.32"/>
    <n v="118714.40000000001"/>
    <n v="100907.23999999999"/>
    <n v="17807.160000000018"/>
    <s v="Patrick"/>
    <x v="1"/>
    <x v="29"/>
    <x v="0"/>
    <n v="24"/>
    <x v="1"/>
    <x v="23"/>
    <x v="0"/>
  </r>
  <r>
    <s v="ORD-0779"/>
    <d v="2025-12-12T00:00:00"/>
    <x v="7"/>
    <s v="CUST-072"/>
    <s v="PROD-116"/>
    <n v="7"/>
    <n v="13849.400000000001"/>
    <n v="11771.990000000002"/>
    <n v="96945.800000000017"/>
    <n v="82403.930000000008"/>
    <n v="14541.87000000001"/>
    <s v="Douglas"/>
    <x v="0"/>
    <x v="54"/>
    <x v="0"/>
    <n v="45"/>
    <x v="0"/>
    <x v="24"/>
    <x v="1"/>
  </r>
  <r>
    <s v="ORD-0780"/>
    <d v="2025-11-05T00:00:00"/>
    <x v="5"/>
    <s v="CUST-023"/>
    <s v="PROD-129"/>
    <n v="1"/>
    <n v="18043.399999999998"/>
    <n v="15336.889999999998"/>
    <n v="18043.399999999998"/>
    <n v="15336.889999999998"/>
    <n v="2706.51"/>
    <s v="Jennifer"/>
    <x v="0"/>
    <x v="65"/>
    <x v="1"/>
    <n v="35"/>
    <x v="0"/>
    <x v="21"/>
    <x v="5"/>
  </r>
  <r>
    <s v="ORD-0781"/>
    <d v="2025-10-12T00:00:00"/>
    <x v="13"/>
    <s v="CUST-136"/>
    <s v="PROD-126"/>
    <n v="7"/>
    <n v="13662.4"/>
    <n v="11613.04"/>
    <n v="95636.800000000003"/>
    <n v="81291.28"/>
    <n v="14345.520000000004"/>
    <s v="Timothy"/>
    <x v="2"/>
    <x v="24"/>
    <x v="0"/>
    <n v="34"/>
    <x v="1"/>
    <x v="9"/>
    <x v="5"/>
  </r>
  <r>
    <s v="ORD-0782"/>
    <d v="2025-10-13T00:00:00"/>
    <x v="13"/>
    <s v="CUST-079"/>
    <s v="PROD-134"/>
    <n v="1"/>
    <n v="12151"/>
    <n v="10328.35"/>
    <n v="12151"/>
    <n v="10328.35"/>
    <n v="1822.6499999999996"/>
    <s v="Victoria"/>
    <x v="1"/>
    <x v="97"/>
    <x v="0"/>
    <n v="50"/>
    <x v="0"/>
    <x v="7"/>
    <x v="2"/>
  </r>
  <r>
    <s v="ORD-0783"/>
    <d v="2025-10-23T00:00:00"/>
    <x v="9"/>
    <s v="CUST-135"/>
    <s v="PROD-105"/>
    <n v="10"/>
    <n v="3820.2"/>
    <n v="3247.17"/>
    <n v="38202"/>
    <n v="32471.7"/>
    <n v="5730.2999999999993"/>
    <s v="Brenda"/>
    <x v="1"/>
    <x v="101"/>
    <x v="0"/>
    <n v="23"/>
    <x v="1"/>
    <x v="3"/>
    <x v="3"/>
  </r>
  <r>
    <s v="ORD-0784"/>
    <d v="2025-10-17T00:00:00"/>
    <x v="13"/>
    <s v="CUST-105"/>
    <s v="PROD-134"/>
    <n v="10"/>
    <n v="11149.9"/>
    <n v="9477.4149999999991"/>
    <n v="111499"/>
    <n v="94774.15"/>
    <n v="16724.850000000006"/>
    <s v="Lisa"/>
    <x v="3"/>
    <x v="31"/>
    <x v="0"/>
    <n v="30"/>
    <x v="1"/>
    <x v="7"/>
    <x v="2"/>
  </r>
  <r>
    <s v="ORD-0785"/>
    <d v="2025-11-03T00:00:00"/>
    <x v="5"/>
    <s v="CUST-130"/>
    <s v="PROD-101"/>
    <n v="7"/>
    <n v="15255.1"/>
    <n v="12966.835000000001"/>
    <n v="106785.7"/>
    <n v="90767.845000000001"/>
    <n v="16017.854999999996"/>
    <s v="Ralph"/>
    <x v="5"/>
    <x v="34"/>
    <x v="1"/>
    <n v="55"/>
    <x v="0"/>
    <x v="16"/>
    <x v="3"/>
  </r>
  <r>
    <s v="ORD-0786"/>
    <d v="2025-10-27T00:00:00"/>
    <x v="3"/>
    <s v="CUST-149"/>
    <s v="PROD-101"/>
    <n v="6"/>
    <n v="9178.7000000000007"/>
    <n v="7801.8950000000004"/>
    <n v="55072.200000000004"/>
    <n v="46811.37"/>
    <n v="8260.8300000000017"/>
    <s v="Daniel"/>
    <x v="3"/>
    <x v="53"/>
    <x v="0"/>
    <n v="54"/>
    <x v="0"/>
    <x v="16"/>
    <x v="3"/>
  </r>
  <r>
    <s v="ORD-0787"/>
    <d v="2025-12-30T00:00:00"/>
    <x v="2"/>
    <s v="CUST-134"/>
    <s v="PROD-133"/>
    <n v="8"/>
    <n v="5429"/>
    <n v="4614.6499999999996"/>
    <n v="43432"/>
    <n v="36917.199999999997"/>
    <n v="6514.8000000000029"/>
    <s v="Jasmine"/>
    <x v="1"/>
    <x v="25"/>
    <x v="0"/>
    <n v="26"/>
    <x v="1"/>
    <x v="22"/>
    <x v="2"/>
  </r>
  <r>
    <s v="ORD-0788"/>
    <d v="2025-12-02T00:00:00"/>
    <x v="10"/>
    <s v="CUST-026"/>
    <s v="PROD-121"/>
    <n v="5"/>
    <n v="13328.099999999999"/>
    <n v="11328.884999999998"/>
    <n v="66640.5"/>
    <n v="56644.424999999988"/>
    <n v="9996.0750000000116"/>
    <s v="Katie"/>
    <x v="1"/>
    <x v="104"/>
    <x v="1"/>
    <n v="26"/>
    <x v="1"/>
    <x v="8"/>
    <x v="0"/>
  </r>
  <r>
    <s v="ORD-0789"/>
    <d v="2025-10-26T00:00:00"/>
    <x v="3"/>
    <s v="CUST-085"/>
    <s v="PROD-113"/>
    <n v="10"/>
    <n v="4816.8"/>
    <n v="4094.28"/>
    <n v="48168"/>
    <n v="40942.800000000003"/>
    <n v="7225.1999999999971"/>
    <s v="Sean"/>
    <x v="4"/>
    <x v="41"/>
    <x v="0"/>
    <n v="29"/>
    <x v="1"/>
    <x v="19"/>
    <x v="1"/>
  </r>
  <r>
    <s v="ORD-0790"/>
    <d v="2025-12-12T00:00:00"/>
    <x v="7"/>
    <s v="CUST-037"/>
    <s v="PROD-120"/>
    <n v="4"/>
    <n v="9383.7000000000007"/>
    <n v="7976.1450000000004"/>
    <n v="37534.800000000003"/>
    <n v="31904.58"/>
    <n v="5630.2200000000012"/>
    <s v="Tracey"/>
    <x v="1"/>
    <x v="73"/>
    <x v="0"/>
    <n v="26"/>
    <x v="1"/>
    <x v="0"/>
    <x v="0"/>
  </r>
  <r>
    <s v="ORD-0791"/>
    <d v="2025-12-15T00:00:00"/>
    <x v="4"/>
    <s v="CUST-070"/>
    <s v="PROD-121"/>
    <n v="10"/>
    <n v="16288.099999999999"/>
    <n v="13844.884999999998"/>
    <n v="162881"/>
    <n v="138448.84999999998"/>
    <n v="24432.150000000023"/>
    <s v="Anna"/>
    <x v="1"/>
    <x v="51"/>
    <x v="1"/>
    <n v="25"/>
    <x v="1"/>
    <x v="8"/>
    <x v="0"/>
  </r>
  <r>
    <s v="ORD-0792"/>
    <d v="2025-10-14T00:00:00"/>
    <x v="13"/>
    <s v="CUST-107"/>
    <s v="PROD-112"/>
    <n v="6"/>
    <n v="2286.5"/>
    <n v="1943.5250000000001"/>
    <n v="13719"/>
    <n v="11661.150000000001"/>
    <n v="2057.8499999999985"/>
    <s v="Jonathan"/>
    <x v="4"/>
    <x v="36"/>
    <x v="0"/>
    <n v="18"/>
    <x v="1"/>
    <x v="1"/>
    <x v="1"/>
  </r>
  <r>
    <s v="ORD-0793"/>
    <d v="2025-10-08T00:00:00"/>
    <x v="1"/>
    <s v="CUST-042"/>
    <s v="PROD-128"/>
    <n v="1"/>
    <n v="14319.8"/>
    <n v="12171.83"/>
    <n v="14319.8"/>
    <n v="12171.83"/>
    <n v="2147.9699999999993"/>
    <s v="Linda"/>
    <x v="1"/>
    <x v="41"/>
    <x v="0"/>
    <n v="33"/>
    <x v="1"/>
    <x v="15"/>
    <x v="5"/>
  </r>
  <r>
    <s v="ORD-0794"/>
    <d v="2025-12-18T00:00:00"/>
    <x v="4"/>
    <s v="CUST-123"/>
    <s v="PROD-125"/>
    <n v="8"/>
    <n v="6289.5"/>
    <n v="5346.0749999999998"/>
    <n v="50316"/>
    <n v="42768.6"/>
    <n v="7547.4000000000015"/>
    <s v="Lori"/>
    <x v="1"/>
    <x v="28"/>
    <x v="0"/>
    <n v="20"/>
    <x v="1"/>
    <x v="13"/>
    <x v="0"/>
  </r>
  <r>
    <s v="ORD-0795"/>
    <d v="2025-11-14T00:00:00"/>
    <x v="12"/>
    <s v="CUST-056"/>
    <s v="PROD-109"/>
    <n v="5"/>
    <n v="15382.7"/>
    <n v="13075.295"/>
    <n v="76913.5"/>
    <n v="65376.474999999999"/>
    <n v="11537.025000000001"/>
    <s v="Caroline"/>
    <x v="1"/>
    <x v="1"/>
    <x v="0"/>
    <n v="55"/>
    <x v="0"/>
    <x v="30"/>
    <x v="4"/>
  </r>
  <r>
    <s v="ORD-0796"/>
    <d v="2025-10-04T00:00:00"/>
    <x v="11"/>
    <s v="CUST-098"/>
    <s v="PROD-126"/>
    <n v="1"/>
    <n v="19465.099999999999"/>
    <n v="16545.334999999999"/>
    <n v="19465.099999999999"/>
    <n v="16545.334999999999"/>
    <n v="2919.7649999999994"/>
    <s v="Caroline"/>
    <x v="0"/>
    <x v="22"/>
    <x v="1"/>
    <n v="38"/>
    <x v="0"/>
    <x v="9"/>
    <x v="5"/>
  </r>
  <r>
    <s v="ORD-0797"/>
    <d v="2025-10-08T00:00:00"/>
    <x v="1"/>
    <s v="CUST-141"/>
    <s v="PROD-106"/>
    <n v="1"/>
    <n v="15232.8"/>
    <n v="12947.88"/>
    <n v="15232.8"/>
    <n v="12947.88"/>
    <n v="2284.92"/>
    <s v="Lisa"/>
    <x v="5"/>
    <x v="12"/>
    <x v="1"/>
    <n v="49"/>
    <x v="0"/>
    <x v="6"/>
    <x v="4"/>
  </r>
  <r>
    <s v="ORD-0798"/>
    <d v="2025-11-19T00:00:00"/>
    <x v="6"/>
    <s v="CUST-050"/>
    <s v="PROD-116"/>
    <n v="8"/>
    <n v="15892.1"/>
    <n v="13508.285"/>
    <n v="127136.8"/>
    <n v="108066.28"/>
    <n v="19070.520000000004"/>
    <s v="Laura"/>
    <x v="0"/>
    <x v="83"/>
    <x v="0"/>
    <n v="35"/>
    <x v="0"/>
    <x v="24"/>
    <x v="1"/>
  </r>
  <r>
    <s v="ORD-0799"/>
    <d v="2025-11-10T00:00:00"/>
    <x v="12"/>
    <s v="CUST-096"/>
    <s v="PROD-127"/>
    <n v="5"/>
    <n v="2986.9"/>
    <n v="2538.8650000000002"/>
    <n v="14934.5"/>
    <n v="12694.325000000001"/>
    <n v="2240.1749999999993"/>
    <s v="Aaron"/>
    <x v="4"/>
    <x v="13"/>
    <x v="1"/>
    <n v="26"/>
    <x v="1"/>
    <x v="17"/>
    <x v="5"/>
  </r>
  <r>
    <s v="ORD-0800"/>
    <d v="2025-12-28T00:00:00"/>
    <x v="2"/>
    <s v="CUST-142"/>
    <s v="PROD-118"/>
    <n v="6"/>
    <n v="4976.2"/>
    <n v="4229.7699999999995"/>
    <n v="29857.199999999997"/>
    <n v="25378.619999999995"/>
    <n v="4478.5800000000017"/>
    <s v="Tracey"/>
    <x v="0"/>
    <x v="0"/>
    <x v="0"/>
    <n v="38"/>
    <x v="0"/>
    <x v="25"/>
    <x v="0"/>
  </r>
  <r>
    <s v="ORD-0801"/>
    <d v="2025-11-15T00:00:00"/>
    <x v="12"/>
    <s v="CUST-025"/>
    <s v="PROD-107"/>
    <n v="6"/>
    <n v="11191.6"/>
    <n v="9512.86"/>
    <n v="67149.600000000006"/>
    <n v="57077.16"/>
    <n v="10072.440000000002"/>
    <s v="Anna"/>
    <x v="4"/>
    <x v="50"/>
    <x v="1"/>
    <n v="19"/>
    <x v="1"/>
    <x v="12"/>
    <x v="4"/>
  </r>
  <r>
    <s v="ORD-0802"/>
    <d v="2025-12-22T00:00:00"/>
    <x v="8"/>
    <s v="CUST-004"/>
    <s v="PROD-120"/>
    <n v="3"/>
    <n v="18554.599999999999"/>
    <n v="15771.41"/>
    <n v="55663.799999999996"/>
    <n v="47314.229999999996"/>
    <n v="8349.57"/>
    <s v="Jonathan"/>
    <x v="5"/>
    <x v="100"/>
    <x v="0"/>
    <n v="40"/>
    <x v="0"/>
    <x v="0"/>
    <x v="0"/>
  </r>
  <r>
    <s v="ORD-0803"/>
    <d v="2025-10-21T00:00:00"/>
    <x v="9"/>
    <s v="CUST-048"/>
    <s v="PROD-119"/>
    <n v="3"/>
    <n v="8806.4"/>
    <n v="7485.44"/>
    <n v="26419.199999999997"/>
    <n v="22456.32"/>
    <n v="3962.8799999999974"/>
    <s v="Tracey"/>
    <x v="1"/>
    <x v="16"/>
    <x v="0"/>
    <n v="19"/>
    <x v="1"/>
    <x v="33"/>
    <x v="0"/>
  </r>
  <r>
    <s v="ORD-0804"/>
    <d v="2025-11-16T00:00:00"/>
    <x v="6"/>
    <s v="CUST-094"/>
    <s v="PROD-134"/>
    <n v="4"/>
    <n v="7545.2"/>
    <n v="6413.42"/>
    <n v="30180.799999999999"/>
    <n v="25653.68"/>
    <n v="4527.119999999999"/>
    <s v="Timothy"/>
    <x v="3"/>
    <x v="21"/>
    <x v="1"/>
    <n v="40"/>
    <x v="0"/>
    <x v="7"/>
    <x v="2"/>
  </r>
  <r>
    <s v="ORD-0805"/>
    <d v="2025-10-18T00:00:00"/>
    <x v="13"/>
    <s v="CUST-065"/>
    <s v="PROD-118"/>
    <n v="1"/>
    <n v="14154"/>
    <n v="12030.9"/>
    <n v="14154"/>
    <n v="12030.9"/>
    <n v="2123.1000000000004"/>
    <s v="Kayla"/>
    <x v="5"/>
    <x v="42"/>
    <x v="0"/>
    <n v="23"/>
    <x v="1"/>
    <x v="25"/>
    <x v="0"/>
  </r>
  <r>
    <s v="ORD-0806"/>
    <d v="2025-11-17T00:00:00"/>
    <x v="6"/>
    <s v="CUST-070"/>
    <s v="PROD-105"/>
    <n v="10"/>
    <n v="5149.2999999999993"/>
    <n v="4376.9049999999997"/>
    <n v="51492.999999999993"/>
    <n v="43769.049999999996"/>
    <n v="7723.9499999999971"/>
    <s v="Joshua"/>
    <x v="1"/>
    <x v="51"/>
    <x v="1"/>
    <n v="25"/>
    <x v="1"/>
    <x v="3"/>
    <x v="3"/>
  </r>
  <r>
    <s v="ORD-0807"/>
    <d v="2025-10-08T00:00:00"/>
    <x v="1"/>
    <s v="CUST-089"/>
    <s v="PROD-102"/>
    <n v="8"/>
    <n v="18910.7"/>
    <n v="16074.095000000001"/>
    <n v="151285.6"/>
    <n v="128592.76000000001"/>
    <n v="22692.839999999997"/>
    <s v="Ralph"/>
    <x v="4"/>
    <x v="92"/>
    <x v="1"/>
    <n v="35"/>
    <x v="0"/>
    <x v="20"/>
    <x v="3"/>
  </r>
  <r>
    <s v="ORD-0808"/>
    <d v="2025-12-16T00:00:00"/>
    <x v="4"/>
    <s v="CUST-014"/>
    <s v="PROD-127"/>
    <n v="8"/>
    <n v="18000.599999999999"/>
    <n v="15300.509999999998"/>
    <n v="144004.79999999999"/>
    <n v="122404.07999999999"/>
    <n v="21600.720000000001"/>
    <s v="Lori"/>
    <x v="4"/>
    <x v="34"/>
    <x v="1"/>
    <n v="27"/>
    <x v="1"/>
    <x v="17"/>
    <x v="5"/>
  </r>
  <r>
    <s v="ORD-0809"/>
    <d v="2025-10-30T00:00:00"/>
    <x v="3"/>
    <s v="CUST-122"/>
    <s v="PROD-101"/>
    <n v="2"/>
    <n v="19862"/>
    <n v="16882.7"/>
    <n v="39724"/>
    <n v="33765.4"/>
    <n v="5958.5999999999985"/>
    <s v="Aaron"/>
    <x v="4"/>
    <x v="26"/>
    <x v="1"/>
    <n v="43"/>
    <x v="0"/>
    <x v="16"/>
    <x v="3"/>
  </r>
  <r>
    <s v="ORD-0810"/>
    <d v="2025-12-14T00:00:00"/>
    <x v="4"/>
    <s v="CUST-105"/>
    <s v="PROD-112"/>
    <n v="3"/>
    <n v="1945.3999999999999"/>
    <n v="1653.59"/>
    <n v="5836.2"/>
    <n v="4960.7699999999995"/>
    <n v="875.43000000000029"/>
    <s v="Jonathan"/>
    <x v="3"/>
    <x v="31"/>
    <x v="0"/>
    <n v="30"/>
    <x v="1"/>
    <x v="1"/>
    <x v="1"/>
  </r>
  <r>
    <s v="ORD-0811"/>
    <d v="2025-12-13T00:00:00"/>
    <x v="7"/>
    <s v="CUST-022"/>
    <s v="PROD-107"/>
    <n v="4"/>
    <n v="2450.4"/>
    <n v="2082.84"/>
    <n v="9801.6"/>
    <n v="8331.36"/>
    <n v="1470.2399999999998"/>
    <s v="Laura"/>
    <x v="5"/>
    <x v="46"/>
    <x v="1"/>
    <n v="31"/>
    <x v="1"/>
    <x v="12"/>
    <x v="4"/>
  </r>
  <r>
    <s v="ORD-0812"/>
    <d v="2025-12-08T00:00:00"/>
    <x v="7"/>
    <s v="CUST-135"/>
    <s v="PROD-113"/>
    <n v="2"/>
    <n v="8082.6"/>
    <n v="6870.21"/>
    <n v="16165.2"/>
    <n v="13740.42"/>
    <n v="2424.7800000000007"/>
    <s v="Cheyenne"/>
    <x v="1"/>
    <x v="101"/>
    <x v="0"/>
    <n v="23"/>
    <x v="1"/>
    <x v="19"/>
    <x v="1"/>
  </r>
  <r>
    <s v="ORD-0813"/>
    <d v="2025-12-26T00:00:00"/>
    <x v="8"/>
    <s v="CUST-132"/>
    <s v="PROD-101"/>
    <n v="5"/>
    <n v="2581.1999999999998"/>
    <n v="2194.02"/>
    <n v="12906"/>
    <n v="10970.1"/>
    <n v="1935.8999999999996"/>
    <s v="Jennifer"/>
    <x v="1"/>
    <x v="90"/>
    <x v="1"/>
    <n v="27"/>
    <x v="1"/>
    <x v="16"/>
    <x v="3"/>
  </r>
  <r>
    <s v="ORD-0814"/>
    <d v="2025-10-17T00:00:00"/>
    <x v="13"/>
    <s v="CUST-099"/>
    <s v="PROD-115"/>
    <n v="9"/>
    <n v="1987.1000000000001"/>
    <n v="1689.0350000000001"/>
    <n v="17883.900000000001"/>
    <n v="15201.315000000001"/>
    <n v="2682.5850000000009"/>
    <s v="Daniel"/>
    <x v="1"/>
    <x v="5"/>
    <x v="0"/>
    <n v="52"/>
    <x v="0"/>
    <x v="10"/>
    <x v="1"/>
  </r>
  <r>
    <s v="ORD-0815"/>
    <d v="2025-10-14T00:00:00"/>
    <x v="13"/>
    <s v="CUST-036"/>
    <s v="PROD-110"/>
    <n v="9"/>
    <n v="12298.199999999999"/>
    <n v="10453.469999999999"/>
    <n v="110683.79999999999"/>
    <n v="94081.23"/>
    <n v="16602.569999999992"/>
    <s v="Patrick"/>
    <x v="4"/>
    <x v="44"/>
    <x v="1"/>
    <n v="52"/>
    <x v="0"/>
    <x v="14"/>
    <x v="4"/>
  </r>
  <r>
    <s v="ORD-0816"/>
    <d v="2025-10-10T00:00:00"/>
    <x v="1"/>
    <s v="CUST-010"/>
    <s v="PROD-103"/>
    <n v="1"/>
    <n v="1254.0999999999999"/>
    <n v="1065.9849999999999"/>
    <n v="1254.0999999999999"/>
    <n v="1065.9849999999999"/>
    <n v="188.11500000000001"/>
    <s v="Caroline"/>
    <x v="1"/>
    <x v="93"/>
    <x v="1"/>
    <n v="21"/>
    <x v="1"/>
    <x v="28"/>
    <x v="3"/>
  </r>
  <r>
    <s v="ORD-0817"/>
    <d v="2025-11-07T00:00:00"/>
    <x v="5"/>
    <s v="CUST-035"/>
    <s v="PROD-118"/>
    <n v="4"/>
    <n v="12418.099999999999"/>
    <n v="10555.384999999998"/>
    <n v="49672.399999999994"/>
    <n v="42221.539999999994"/>
    <n v="7450.8600000000006"/>
    <s v="Ethan"/>
    <x v="1"/>
    <x v="72"/>
    <x v="0"/>
    <n v="21"/>
    <x v="1"/>
    <x v="25"/>
    <x v="0"/>
  </r>
  <r>
    <s v="ORD-0818"/>
    <d v="2025-11-17T00:00:00"/>
    <x v="6"/>
    <s v="CUST-036"/>
    <s v="PROD-103"/>
    <n v="9"/>
    <n v="15940.1"/>
    <n v="13549.085000000001"/>
    <n v="143460.9"/>
    <n v="121941.76500000001"/>
    <n v="21519.13499999998"/>
    <s v="Daniel"/>
    <x v="4"/>
    <x v="44"/>
    <x v="1"/>
    <n v="52"/>
    <x v="0"/>
    <x v="28"/>
    <x v="3"/>
  </r>
  <r>
    <s v="ORD-0819"/>
    <d v="2025-12-22T00:00:00"/>
    <x v="8"/>
    <s v="CUST-020"/>
    <s v="PROD-130"/>
    <n v="9"/>
    <n v="3937.7999999999997"/>
    <n v="3347.1299999999997"/>
    <n v="35440.199999999997"/>
    <n v="30124.17"/>
    <n v="5316.0299999999988"/>
    <s v="Douglas"/>
    <x v="1"/>
    <x v="23"/>
    <x v="1"/>
    <n v="35"/>
    <x v="0"/>
    <x v="29"/>
    <x v="2"/>
  </r>
  <r>
    <s v="ORD-0820"/>
    <d v="2025-12-22T00:00:00"/>
    <x v="8"/>
    <s v="CUST-141"/>
    <s v="PROD-101"/>
    <n v="4"/>
    <n v="13935.3"/>
    <n v="11845.004999999999"/>
    <n v="55741.2"/>
    <n v="47380.02"/>
    <n v="8361.18"/>
    <s v="Anna"/>
    <x v="5"/>
    <x v="12"/>
    <x v="1"/>
    <n v="49"/>
    <x v="0"/>
    <x v="16"/>
    <x v="3"/>
  </r>
  <r>
    <s v="ORD-0821"/>
    <d v="2025-12-23T00:00:00"/>
    <x v="8"/>
    <s v="CUST-011"/>
    <s v="PROD-134"/>
    <n v="7"/>
    <n v="15809.400000000001"/>
    <n v="13437.990000000002"/>
    <n v="110665.80000000002"/>
    <n v="94065.930000000008"/>
    <n v="16599.87000000001"/>
    <s v="David"/>
    <x v="2"/>
    <x v="26"/>
    <x v="1"/>
    <n v="18"/>
    <x v="1"/>
    <x v="7"/>
    <x v="2"/>
  </r>
  <r>
    <s v="ORD-0822"/>
    <d v="2025-10-11T00:00:00"/>
    <x v="1"/>
    <s v="CUST-139"/>
    <s v="PROD-125"/>
    <n v="6"/>
    <n v="19129.3"/>
    <n v="16259.904999999999"/>
    <n v="114775.79999999999"/>
    <n v="97559.43"/>
    <n v="17216.369999999995"/>
    <s v="Ethan"/>
    <x v="1"/>
    <x v="57"/>
    <x v="1"/>
    <n v="20"/>
    <x v="1"/>
    <x v="13"/>
    <x v="0"/>
  </r>
  <r>
    <s v="ORD-0823"/>
    <d v="2025-11-16T00:00:00"/>
    <x v="6"/>
    <s v="CUST-076"/>
    <s v="PROD-106"/>
    <n v="7"/>
    <n v="2867.3"/>
    <n v="2437.2049999999999"/>
    <n v="20071.100000000002"/>
    <n v="17060.434999999998"/>
    <n v="3010.6650000000045"/>
    <s v="Lori"/>
    <x v="0"/>
    <x v="84"/>
    <x v="0"/>
    <n v="32"/>
    <x v="1"/>
    <x v="6"/>
    <x v="4"/>
  </r>
  <r>
    <s v="ORD-0824"/>
    <d v="2025-11-19T00:00:00"/>
    <x v="6"/>
    <s v="CUST-091"/>
    <s v="PROD-105"/>
    <n v="7"/>
    <n v="16762.2"/>
    <n v="14247.87"/>
    <n v="117335.40000000001"/>
    <n v="99735.090000000011"/>
    <n v="17600.309999999998"/>
    <s v="Keith"/>
    <x v="1"/>
    <x v="102"/>
    <x v="0"/>
    <n v="44"/>
    <x v="0"/>
    <x v="3"/>
    <x v="3"/>
  </r>
  <r>
    <s v="ORD-0825"/>
    <d v="2025-10-12T00:00:00"/>
    <x v="13"/>
    <s v="CUST-148"/>
    <s v="PROD-114"/>
    <n v="2"/>
    <n v="16468.3"/>
    <n v="13998.055"/>
    <n v="32936.6"/>
    <n v="27996.11"/>
    <n v="4940.489999999998"/>
    <s v="Linda"/>
    <x v="0"/>
    <x v="68"/>
    <x v="1"/>
    <n v="37"/>
    <x v="0"/>
    <x v="18"/>
    <x v="1"/>
  </r>
  <r>
    <s v="ORD-0826"/>
    <d v="2025-10-05T00:00:00"/>
    <x v="1"/>
    <s v="CUST-101"/>
    <s v="PROD-121"/>
    <n v="2"/>
    <n v="16197"/>
    <n v="13767.45"/>
    <n v="32394"/>
    <n v="27534.9"/>
    <n v="4859.0999999999985"/>
    <s v="Jennifer"/>
    <x v="1"/>
    <x v="85"/>
    <x v="1"/>
    <n v="25"/>
    <x v="1"/>
    <x v="8"/>
    <x v="0"/>
  </r>
  <r>
    <s v="ORD-0827"/>
    <d v="2025-11-26T00:00:00"/>
    <x v="0"/>
    <s v="CUST-034"/>
    <s v="PROD-134"/>
    <n v="10"/>
    <n v="17352.7"/>
    <n v="14749.795"/>
    <n v="173527"/>
    <n v="147497.95000000001"/>
    <n v="26029.049999999988"/>
    <s v="Kayla"/>
    <x v="0"/>
    <x v="53"/>
    <x v="0"/>
    <n v="32"/>
    <x v="1"/>
    <x v="7"/>
    <x v="2"/>
  </r>
  <r>
    <s v="ORD-0828"/>
    <d v="2025-12-18T00:00:00"/>
    <x v="4"/>
    <s v="CUST-091"/>
    <s v="PROD-122"/>
    <n v="1"/>
    <n v="11390.1"/>
    <n v="9681.5850000000009"/>
    <n v="11390.1"/>
    <n v="9681.5850000000009"/>
    <n v="1708.5149999999994"/>
    <s v="Douglas"/>
    <x v="1"/>
    <x v="102"/>
    <x v="0"/>
    <n v="44"/>
    <x v="0"/>
    <x v="11"/>
    <x v="0"/>
  </r>
  <r>
    <s v="ORD-0829"/>
    <d v="2025-11-25T00:00:00"/>
    <x v="0"/>
    <s v="CUST-021"/>
    <s v="PROD-125"/>
    <n v="2"/>
    <n v="12535.9"/>
    <n v="10655.514999999999"/>
    <n v="25071.8"/>
    <n v="21311.03"/>
    <n v="3760.7700000000004"/>
    <s v="Thomas"/>
    <x v="4"/>
    <x v="67"/>
    <x v="1"/>
    <n v="28"/>
    <x v="1"/>
    <x v="13"/>
    <x v="0"/>
  </r>
  <r>
    <s v="ORD-0830"/>
    <d v="2025-12-20T00:00:00"/>
    <x v="4"/>
    <s v="CUST-049"/>
    <s v="PROD-125"/>
    <n v="6"/>
    <n v="11469.8"/>
    <n v="9749.33"/>
    <n v="68818.799999999988"/>
    <n v="58495.979999999996"/>
    <n v="10322.819999999992"/>
    <s v="Andrea"/>
    <x v="2"/>
    <x v="38"/>
    <x v="1"/>
    <n v="36"/>
    <x v="0"/>
    <x v="13"/>
    <x v="0"/>
  </r>
  <r>
    <s v="ORD-0831"/>
    <d v="2025-12-18T00:00:00"/>
    <x v="4"/>
    <s v="CUST-052"/>
    <s v="PROD-125"/>
    <n v="5"/>
    <n v="8415.5999999999985"/>
    <n v="7153.2599999999984"/>
    <n v="42077.999999999993"/>
    <n v="35766.299999999988"/>
    <n v="6311.7000000000044"/>
    <s v="Andrea"/>
    <x v="1"/>
    <x v="8"/>
    <x v="1"/>
    <n v="28"/>
    <x v="1"/>
    <x v="13"/>
    <x v="0"/>
  </r>
  <r>
    <s v="ORD-0832"/>
    <d v="2025-10-05T00:00:00"/>
    <x v="1"/>
    <s v="CUST-085"/>
    <s v="PROD-134"/>
    <n v="1"/>
    <n v="17410.2"/>
    <n v="14798.67"/>
    <n v="17410.2"/>
    <n v="14798.67"/>
    <n v="2611.5300000000007"/>
    <s v="Brenda"/>
    <x v="4"/>
    <x v="41"/>
    <x v="0"/>
    <n v="29"/>
    <x v="1"/>
    <x v="7"/>
    <x v="2"/>
  </r>
  <r>
    <s v="ORD-0833"/>
    <d v="2025-10-27T00:00:00"/>
    <x v="3"/>
    <s v="CUST-053"/>
    <s v="PROD-110"/>
    <n v="7"/>
    <n v="1880.9"/>
    <n v="1598.7650000000001"/>
    <n v="13166.300000000001"/>
    <n v="11191.355000000001"/>
    <n v="1974.9449999999997"/>
    <s v="Laura"/>
    <x v="4"/>
    <x v="69"/>
    <x v="0"/>
    <n v="19"/>
    <x v="1"/>
    <x v="14"/>
    <x v="4"/>
  </r>
  <r>
    <s v="ORD-0834"/>
    <d v="2025-12-09T00:00:00"/>
    <x v="7"/>
    <s v="CUST-098"/>
    <s v="PROD-102"/>
    <n v="1"/>
    <n v="18692.8"/>
    <n v="15888.88"/>
    <n v="18692.8"/>
    <n v="15888.88"/>
    <n v="2803.92"/>
    <s v="Douglas"/>
    <x v="0"/>
    <x v="22"/>
    <x v="1"/>
    <n v="38"/>
    <x v="0"/>
    <x v="20"/>
    <x v="3"/>
  </r>
  <r>
    <s v="ORD-0835"/>
    <d v="2025-12-14T00:00:00"/>
    <x v="4"/>
    <s v="CUST-108"/>
    <s v="PROD-105"/>
    <n v="7"/>
    <n v="12076"/>
    <n v="10264.6"/>
    <n v="84532"/>
    <n v="71852.2"/>
    <n v="12679.800000000003"/>
    <s v="Cheyenne"/>
    <x v="5"/>
    <x v="30"/>
    <x v="0"/>
    <n v="42"/>
    <x v="0"/>
    <x v="3"/>
    <x v="3"/>
  </r>
  <r>
    <s v="ORD-0836"/>
    <d v="2025-10-04T00:00:00"/>
    <x v="11"/>
    <s v="CUST-052"/>
    <s v="PROD-114"/>
    <n v="5"/>
    <n v="10762.7"/>
    <n v="9148.2950000000001"/>
    <n v="53813.5"/>
    <n v="45741.474999999999"/>
    <n v="8072.0250000000015"/>
    <s v="Jonathan"/>
    <x v="1"/>
    <x v="8"/>
    <x v="1"/>
    <n v="28"/>
    <x v="1"/>
    <x v="18"/>
    <x v="1"/>
  </r>
  <r>
    <s v="ORD-0837"/>
    <d v="2025-11-01T00:00:00"/>
    <x v="3"/>
    <s v="CUST-097"/>
    <s v="PROD-122"/>
    <n v="2"/>
    <n v="10122.200000000001"/>
    <n v="8603.8700000000008"/>
    <n v="20244.400000000001"/>
    <n v="17207.740000000002"/>
    <n v="3036.66"/>
    <s v="Timothy"/>
    <x v="5"/>
    <x v="1"/>
    <x v="0"/>
    <n v="23"/>
    <x v="1"/>
    <x v="11"/>
    <x v="0"/>
  </r>
  <r>
    <s v="ORD-0838"/>
    <d v="2025-10-31T00:00:00"/>
    <x v="3"/>
    <s v="CUST-045"/>
    <s v="PROD-122"/>
    <n v="1"/>
    <n v="11766.099999999999"/>
    <n v="10001.184999999999"/>
    <n v="11766.099999999999"/>
    <n v="10001.184999999999"/>
    <n v="1764.9149999999991"/>
    <s v="Laura"/>
    <x v="1"/>
    <x v="36"/>
    <x v="0"/>
    <n v="22"/>
    <x v="1"/>
    <x v="11"/>
    <x v="0"/>
  </r>
  <r>
    <s v="ORD-0839"/>
    <d v="2025-10-07T00:00:00"/>
    <x v="1"/>
    <s v="CUST-143"/>
    <s v="PROD-118"/>
    <n v="9"/>
    <n v="10332.299999999999"/>
    <n v="8782.4549999999999"/>
    <n v="92990.7"/>
    <n v="79042.095000000001"/>
    <n v="13948.604999999996"/>
    <s v="Jonathan"/>
    <x v="1"/>
    <x v="19"/>
    <x v="0"/>
    <n v="36"/>
    <x v="0"/>
    <x v="25"/>
    <x v="0"/>
  </r>
  <r>
    <s v="ORD-0840"/>
    <d v="2025-10-21T00:00:00"/>
    <x v="9"/>
    <s v="CUST-107"/>
    <s v="PROD-109"/>
    <n v="8"/>
    <n v="10424"/>
    <n v="8860.4"/>
    <n v="83392"/>
    <n v="70883.199999999997"/>
    <n v="12508.800000000003"/>
    <s v="Katie"/>
    <x v="4"/>
    <x v="36"/>
    <x v="0"/>
    <n v="18"/>
    <x v="1"/>
    <x v="30"/>
    <x v="4"/>
  </r>
  <r>
    <s v="ORD-0841"/>
    <d v="2025-10-02T00:00:00"/>
    <x v="11"/>
    <s v="CUST-127"/>
    <s v="PROD-125"/>
    <n v="5"/>
    <n v="14667.7"/>
    <n v="12467.545"/>
    <n v="73338.5"/>
    <n v="62337.724999999999"/>
    <n v="11000.775000000001"/>
    <s v="Keith"/>
    <x v="3"/>
    <x v="48"/>
    <x v="0"/>
    <n v="18"/>
    <x v="1"/>
    <x v="13"/>
    <x v="0"/>
  </r>
  <r>
    <s v="ORD-0842"/>
    <d v="2025-12-26T00:00:00"/>
    <x v="8"/>
    <s v="CUST-022"/>
    <s v="PROD-125"/>
    <n v="1"/>
    <n v="17262.5"/>
    <n v="14673.125"/>
    <n v="17262.5"/>
    <n v="14673.125"/>
    <n v="2589.375"/>
    <s v="Lisa"/>
    <x v="5"/>
    <x v="46"/>
    <x v="1"/>
    <n v="31"/>
    <x v="1"/>
    <x v="13"/>
    <x v="0"/>
  </r>
  <r>
    <s v="ORD-0843"/>
    <d v="2025-11-02T00:00:00"/>
    <x v="5"/>
    <s v="CUST-073"/>
    <s v="PROD-121"/>
    <n v="8"/>
    <n v="3756"/>
    <n v="3192.6"/>
    <n v="30048"/>
    <n v="25540.799999999999"/>
    <n v="4507.2000000000007"/>
    <s v="David"/>
    <x v="3"/>
    <x v="28"/>
    <x v="0"/>
    <n v="23"/>
    <x v="1"/>
    <x v="8"/>
    <x v="0"/>
  </r>
  <r>
    <s v="ORD-0844"/>
    <d v="2025-11-09T00:00:00"/>
    <x v="12"/>
    <s v="CUST-031"/>
    <s v="PROD-118"/>
    <n v="4"/>
    <n v="8306.2999999999993"/>
    <n v="7060.3549999999996"/>
    <n v="33225.199999999997"/>
    <n v="28241.42"/>
    <n v="4983.7799999999988"/>
    <s v="Jonathan"/>
    <x v="1"/>
    <x v="47"/>
    <x v="0"/>
    <n v="28"/>
    <x v="1"/>
    <x v="25"/>
    <x v="0"/>
  </r>
  <r>
    <s v="ORD-0845"/>
    <d v="2025-10-29T00:00:00"/>
    <x v="3"/>
    <s v="CUST-126"/>
    <s v="PROD-108"/>
    <n v="5"/>
    <n v="12173.599999999999"/>
    <n v="10347.56"/>
    <n v="60867.999999999993"/>
    <n v="51737.799999999996"/>
    <n v="9130.1999999999971"/>
    <s v="Caroline"/>
    <x v="0"/>
    <x v="89"/>
    <x v="1"/>
    <n v="40"/>
    <x v="0"/>
    <x v="27"/>
    <x v="4"/>
  </r>
  <r>
    <s v="ORD-0846"/>
    <d v="2025-11-27T00:00:00"/>
    <x v="0"/>
    <s v="CUST-150"/>
    <s v="PROD-113"/>
    <n v="9"/>
    <n v="2424.9"/>
    <n v="2061.165"/>
    <n v="21824.100000000002"/>
    <n v="18550.485000000001"/>
    <n v="3273.6150000000016"/>
    <s v="Douglas"/>
    <x v="1"/>
    <x v="31"/>
    <x v="0"/>
    <n v="25"/>
    <x v="1"/>
    <x v="19"/>
    <x v="1"/>
  </r>
  <r>
    <s v="ORD-0847"/>
    <d v="2025-12-08T00:00:00"/>
    <x v="7"/>
    <s v="CUST-145"/>
    <s v="PROD-110"/>
    <n v="5"/>
    <n v="14749"/>
    <n v="12536.65"/>
    <n v="73745"/>
    <n v="62683.25"/>
    <n v="11061.75"/>
    <s v="Jonathan"/>
    <x v="1"/>
    <x v="83"/>
    <x v="0"/>
    <n v="31"/>
    <x v="1"/>
    <x v="14"/>
    <x v="4"/>
  </r>
  <r>
    <s v="ORD-0848"/>
    <d v="2025-10-15T00:00:00"/>
    <x v="13"/>
    <s v="CUST-119"/>
    <s v="PROD-131"/>
    <n v="7"/>
    <n v="16469.7"/>
    <n v="13999.245000000001"/>
    <n v="115287.90000000001"/>
    <n v="97994.715000000011"/>
    <n v="17293.184999999998"/>
    <s v="Tara"/>
    <x v="5"/>
    <x v="56"/>
    <x v="1"/>
    <n v="20"/>
    <x v="1"/>
    <x v="2"/>
    <x v="2"/>
  </r>
  <r>
    <s v="ORD-0849"/>
    <d v="2025-11-22T00:00:00"/>
    <x v="6"/>
    <s v="CUST-117"/>
    <s v="PROD-110"/>
    <n v="3"/>
    <n v="6637.6"/>
    <n v="5641.96"/>
    <n v="19912.800000000003"/>
    <n v="16925.88"/>
    <n v="2986.9200000000019"/>
    <s v="Keith"/>
    <x v="1"/>
    <x v="20"/>
    <x v="1"/>
    <n v="29"/>
    <x v="1"/>
    <x v="14"/>
    <x v="4"/>
  </r>
  <r>
    <s v="ORD-0850"/>
    <d v="2025-10-13T00:00:00"/>
    <x v="13"/>
    <s v="CUST-103"/>
    <s v="PROD-126"/>
    <n v="2"/>
    <n v="11393.099999999999"/>
    <n v="9684.1349999999984"/>
    <n v="22786.199999999997"/>
    <n v="19368.269999999997"/>
    <n v="3417.9300000000003"/>
    <s v="Laura"/>
    <x v="2"/>
    <x v="85"/>
    <x v="1"/>
    <n v="23"/>
    <x v="1"/>
    <x v="9"/>
    <x v="5"/>
  </r>
  <r>
    <s v="ORD-0851"/>
    <d v="2025-12-19T00:00:00"/>
    <x v="4"/>
    <s v="CUST-048"/>
    <s v="PROD-118"/>
    <n v="7"/>
    <n v="13159.300000000001"/>
    <n v="11185.405000000001"/>
    <n v="92115.1"/>
    <n v="78297.835000000006"/>
    <n v="13817.264999999999"/>
    <s v="Timothy"/>
    <x v="1"/>
    <x v="16"/>
    <x v="0"/>
    <n v="19"/>
    <x v="1"/>
    <x v="25"/>
    <x v="0"/>
  </r>
  <r>
    <s v="ORD-0852"/>
    <d v="2025-12-24T00:00:00"/>
    <x v="8"/>
    <s v="CUST-106"/>
    <s v="PROD-109"/>
    <n v="1"/>
    <n v="11531.099999999999"/>
    <n v="9801.4349999999995"/>
    <n v="11531.099999999999"/>
    <n v="9801.4349999999995"/>
    <n v="1729.6649999999991"/>
    <s v="Caroline"/>
    <x v="1"/>
    <x v="96"/>
    <x v="0"/>
    <n v="32"/>
    <x v="1"/>
    <x v="30"/>
    <x v="4"/>
  </r>
  <r>
    <s v="ORD-0853"/>
    <d v="2025-11-13T00:00:00"/>
    <x v="12"/>
    <s v="CUST-086"/>
    <s v="PROD-113"/>
    <n v="7"/>
    <n v="15136.300000000001"/>
    <n v="12865.855000000001"/>
    <n v="105954.1"/>
    <n v="90060.985000000015"/>
    <n v="15893.114999999991"/>
    <s v="Cheyenne"/>
    <x v="5"/>
    <x v="70"/>
    <x v="0"/>
    <n v="19"/>
    <x v="1"/>
    <x v="19"/>
    <x v="1"/>
  </r>
  <r>
    <s v="ORD-0854"/>
    <d v="2025-10-08T00:00:00"/>
    <x v="1"/>
    <s v="CUST-050"/>
    <s v="PROD-109"/>
    <n v="6"/>
    <n v="5981.5"/>
    <n v="5084.2749999999996"/>
    <n v="35889"/>
    <n v="30505.649999999998"/>
    <n v="5383.3500000000022"/>
    <s v="Jonathan"/>
    <x v="0"/>
    <x v="83"/>
    <x v="0"/>
    <n v="35"/>
    <x v="0"/>
    <x v="30"/>
    <x v="4"/>
  </r>
  <r>
    <s v="ORD-0855"/>
    <d v="2025-10-29T00:00:00"/>
    <x v="3"/>
    <s v="CUST-125"/>
    <s v="PROD-119"/>
    <n v="10"/>
    <n v="5234.7000000000007"/>
    <n v="4449.4950000000008"/>
    <n v="52347.000000000007"/>
    <n v="44494.950000000012"/>
    <n v="7852.0499999999956"/>
    <s v="Joshua"/>
    <x v="2"/>
    <x v="28"/>
    <x v="0"/>
    <n v="23"/>
    <x v="1"/>
    <x v="33"/>
    <x v="0"/>
  </r>
  <r>
    <s v="ORD-0856"/>
    <d v="2025-11-14T00:00:00"/>
    <x v="12"/>
    <s v="CUST-068"/>
    <s v="PROD-125"/>
    <n v="7"/>
    <n v="15248.3"/>
    <n v="12961.055"/>
    <n v="106738.09999999999"/>
    <n v="90727.385000000009"/>
    <n v="16010.714999999982"/>
    <s v="Patrick"/>
    <x v="4"/>
    <x v="45"/>
    <x v="1"/>
    <n v="28"/>
    <x v="1"/>
    <x v="13"/>
    <x v="0"/>
  </r>
  <r>
    <s v="ORD-0857"/>
    <d v="2025-12-17T00:00:00"/>
    <x v="4"/>
    <s v="CUST-018"/>
    <s v="PROD-111"/>
    <n v="8"/>
    <n v="5772.1"/>
    <n v="4906.2849999999999"/>
    <n v="46176.800000000003"/>
    <n v="39250.28"/>
    <n v="6926.5200000000041"/>
    <s v="Anna"/>
    <x v="0"/>
    <x v="103"/>
    <x v="0"/>
    <n v="35"/>
    <x v="0"/>
    <x v="31"/>
    <x v="1"/>
  </r>
  <r>
    <s v="ORD-0858"/>
    <d v="2025-11-07T00:00:00"/>
    <x v="5"/>
    <s v="CUST-116"/>
    <s v="PROD-134"/>
    <n v="5"/>
    <n v="5246.2"/>
    <n v="4459.2699999999995"/>
    <n v="26231"/>
    <n v="22296.35"/>
    <n v="3934.6500000000015"/>
    <s v="Jonathan"/>
    <x v="3"/>
    <x v="17"/>
    <x v="0"/>
    <n v="48"/>
    <x v="0"/>
    <x v="7"/>
    <x v="2"/>
  </r>
  <r>
    <s v="ORD-0859"/>
    <d v="2025-12-28T00:00:00"/>
    <x v="2"/>
    <s v="CUST-026"/>
    <s v="PROD-130"/>
    <n v="8"/>
    <n v="16119"/>
    <n v="13701.15"/>
    <n v="128952"/>
    <n v="109609.2"/>
    <n v="19342.800000000003"/>
    <s v="Douglas"/>
    <x v="1"/>
    <x v="104"/>
    <x v="1"/>
    <n v="26"/>
    <x v="1"/>
    <x v="29"/>
    <x v="2"/>
  </r>
  <r>
    <s v="ORD-0860"/>
    <d v="2025-12-23T00:00:00"/>
    <x v="8"/>
    <s v="CUST-016"/>
    <s v="PROD-133"/>
    <n v="4"/>
    <n v="18554.100000000002"/>
    <n v="15770.985000000002"/>
    <n v="74216.400000000009"/>
    <n v="63083.94000000001"/>
    <n v="11132.46"/>
    <s v="Tracey"/>
    <x v="1"/>
    <x v="26"/>
    <x v="1"/>
    <n v="26"/>
    <x v="1"/>
    <x v="22"/>
    <x v="2"/>
  </r>
  <r>
    <s v="ORD-0861"/>
    <d v="2025-11-04T00:00:00"/>
    <x v="5"/>
    <s v="CUST-087"/>
    <s v="PROD-134"/>
    <n v="10"/>
    <n v="3818.6000000000004"/>
    <n v="3245.8100000000004"/>
    <n v="38186"/>
    <n v="32458.100000000006"/>
    <n v="5727.8999999999942"/>
    <s v="David"/>
    <x v="0"/>
    <x v="105"/>
    <x v="1"/>
    <n v="53"/>
    <x v="0"/>
    <x v="7"/>
    <x v="2"/>
  </r>
  <r>
    <s v="ORD-0862"/>
    <d v="2025-12-13T00:00:00"/>
    <x v="7"/>
    <s v="CUST-094"/>
    <s v="PROD-101"/>
    <n v="8"/>
    <n v="17353.3"/>
    <n v="14750.305"/>
    <n v="138826.4"/>
    <n v="118002.44"/>
    <n v="20823.959999999992"/>
    <s v="Lori"/>
    <x v="3"/>
    <x v="21"/>
    <x v="1"/>
    <n v="40"/>
    <x v="0"/>
    <x v="16"/>
    <x v="3"/>
  </r>
  <r>
    <s v="ORD-0863"/>
    <d v="2025-11-22T00:00:00"/>
    <x v="6"/>
    <s v="CUST-145"/>
    <s v="PROD-115"/>
    <n v="9"/>
    <n v="5621.2"/>
    <n v="4778.0199999999995"/>
    <n v="50590.799999999996"/>
    <n v="43002.179999999993"/>
    <n v="7588.6200000000026"/>
    <s v="Jennifer"/>
    <x v="1"/>
    <x v="83"/>
    <x v="0"/>
    <n v="31"/>
    <x v="1"/>
    <x v="10"/>
    <x v="1"/>
  </r>
  <r>
    <s v="ORD-0864"/>
    <d v="2025-12-30T00:00:00"/>
    <x v="2"/>
    <s v="CUST-072"/>
    <s v="PROD-117"/>
    <n v="6"/>
    <n v="19642.8"/>
    <n v="16696.38"/>
    <n v="117856.79999999999"/>
    <n v="100178.28"/>
    <n v="17678.51999999999"/>
    <s v="Laura"/>
    <x v="0"/>
    <x v="54"/>
    <x v="0"/>
    <n v="45"/>
    <x v="0"/>
    <x v="23"/>
    <x v="0"/>
  </r>
  <r>
    <s v="ORD-0865"/>
    <d v="2025-12-17T00:00:00"/>
    <x v="4"/>
    <s v="CUST-123"/>
    <s v="PROD-133"/>
    <n v="2"/>
    <n v="11157.8"/>
    <n v="9484.1299999999992"/>
    <n v="22315.599999999999"/>
    <n v="18968.259999999998"/>
    <n v="3347.34"/>
    <s v="Keith"/>
    <x v="1"/>
    <x v="28"/>
    <x v="0"/>
    <n v="20"/>
    <x v="1"/>
    <x v="22"/>
    <x v="2"/>
  </r>
  <r>
    <s v="ORD-0866"/>
    <d v="2025-12-10T00:00:00"/>
    <x v="7"/>
    <s v="CUST-007"/>
    <s v="PROD-117"/>
    <n v="7"/>
    <n v="2479.6999999999998"/>
    <n v="2107.7449999999999"/>
    <n v="17357.899999999998"/>
    <n v="14754.215"/>
    <n v="2603.6849999999977"/>
    <s v="Jasmine"/>
    <x v="1"/>
    <x v="29"/>
    <x v="0"/>
    <n v="44"/>
    <x v="0"/>
    <x v="23"/>
    <x v="0"/>
  </r>
  <r>
    <s v="ORD-0867"/>
    <d v="2025-10-12T00:00:00"/>
    <x v="13"/>
    <s v="CUST-120"/>
    <s v="PROD-127"/>
    <n v="2"/>
    <n v="11450.1"/>
    <n v="9732.5850000000009"/>
    <n v="22900.2"/>
    <n v="19465.170000000002"/>
    <n v="3435.0299999999988"/>
    <s v="Jonathan"/>
    <x v="0"/>
    <x v="95"/>
    <x v="1"/>
    <n v="18"/>
    <x v="1"/>
    <x v="17"/>
    <x v="5"/>
  </r>
  <r>
    <s v="ORD-0868"/>
    <d v="2025-12-12T00:00:00"/>
    <x v="7"/>
    <s v="CUST-041"/>
    <s v="PROD-110"/>
    <n v="8"/>
    <n v="2135.1"/>
    <n v="1814.835"/>
    <n v="17080.8"/>
    <n v="14518.68"/>
    <n v="2562.119999999999"/>
    <s v="Jasmine"/>
    <x v="3"/>
    <x v="19"/>
    <x v="0"/>
    <n v="20"/>
    <x v="1"/>
    <x v="14"/>
    <x v="4"/>
  </r>
  <r>
    <s v="ORD-0869"/>
    <d v="2025-10-23T00:00:00"/>
    <x v="9"/>
    <s v="CUST-047"/>
    <s v="PROD-129"/>
    <n v="5"/>
    <n v="2250.4"/>
    <n v="1912.8400000000001"/>
    <n v="11252"/>
    <n v="9564.2000000000007"/>
    <n v="1687.7999999999993"/>
    <s v="Caroline"/>
    <x v="1"/>
    <x v="29"/>
    <x v="0"/>
    <n v="55"/>
    <x v="0"/>
    <x v="21"/>
    <x v="5"/>
  </r>
  <r>
    <s v="ORD-0870"/>
    <d v="2025-10-10T00:00:00"/>
    <x v="1"/>
    <s v="CUST-134"/>
    <s v="PROD-112"/>
    <n v="5"/>
    <n v="10030.700000000001"/>
    <n v="8526.0950000000012"/>
    <n v="50153.5"/>
    <n v="42630.475000000006"/>
    <n v="7523.0249999999942"/>
    <s v="Tara"/>
    <x v="1"/>
    <x v="25"/>
    <x v="0"/>
    <n v="26"/>
    <x v="1"/>
    <x v="1"/>
    <x v="1"/>
  </r>
  <r>
    <s v="ORD-0871"/>
    <d v="2025-12-15T00:00:00"/>
    <x v="4"/>
    <s v="CUST-032"/>
    <s v="PROD-123"/>
    <n v="2"/>
    <n v="6532"/>
    <n v="5552.2"/>
    <n v="13064"/>
    <n v="11104.4"/>
    <n v="1959.6000000000004"/>
    <s v="Victoria"/>
    <x v="4"/>
    <x v="15"/>
    <x v="0"/>
    <n v="26"/>
    <x v="1"/>
    <x v="32"/>
    <x v="0"/>
  </r>
  <r>
    <s v="ORD-0872"/>
    <d v="2025-12-06T00:00:00"/>
    <x v="10"/>
    <s v="CUST-137"/>
    <s v="PROD-130"/>
    <n v="8"/>
    <n v="4895.5"/>
    <n v="4161.1750000000002"/>
    <n v="39164"/>
    <n v="33289.4"/>
    <n v="5874.5999999999985"/>
    <s v="Katie"/>
    <x v="0"/>
    <x v="81"/>
    <x v="0"/>
    <n v="36"/>
    <x v="0"/>
    <x v="29"/>
    <x v="2"/>
  </r>
  <r>
    <s v="ORD-0873"/>
    <d v="2025-10-01T00:00:00"/>
    <x v="11"/>
    <s v="CUST-022"/>
    <s v="PROD-107"/>
    <n v="3"/>
    <n v="9928.2000000000007"/>
    <n v="8438.9700000000012"/>
    <n v="29784.600000000002"/>
    <n v="25316.910000000003"/>
    <n v="4467.6899999999987"/>
    <s v="Jonathan"/>
    <x v="5"/>
    <x v="46"/>
    <x v="1"/>
    <n v="31"/>
    <x v="1"/>
    <x v="12"/>
    <x v="4"/>
  </r>
  <r>
    <s v="ORD-0874"/>
    <d v="2025-10-02T00:00:00"/>
    <x v="11"/>
    <s v="CUST-116"/>
    <s v="PROD-132"/>
    <n v="9"/>
    <n v="7019.2999999999993"/>
    <n v="5966.4049999999997"/>
    <n v="63173.7"/>
    <n v="53697.644999999997"/>
    <n v="9476.0550000000003"/>
    <s v="Lori"/>
    <x v="3"/>
    <x v="17"/>
    <x v="0"/>
    <n v="48"/>
    <x v="0"/>
    <x v="26"/>
    <x v="2"/>
  </r>
  <r>
    <s v="ORD-0875"/>
    <d v="2025-11-25T00:00:00"/>
    <x v="0"/>
    <s v="CUST-091"/>
    <s v="PROD-111"/>
    <n v="10"/>
    <n v="12427.7"/>
    <n v="10563.545"/>
    <n v="124277"/>
    <n v="105635.45"/>
    <n v="18641.550000000003"/>
    <s v="Timothy"/>
    <x v="1"/>
    <x v="102"/>
    <x v="0"/>
    <n v="44"/>
    <x v="0"/>
    <x v="31"/>
    <x v="1"/>
  </r>
  <r>
    <s v="ORD-0876"/>
    <d v="2025-12-23T00:00:00"/>
    <x v="8"/>
    <s v="CUST-032"/>
    <s v="PROD-113"/>
    <n v="8"/>
    <n v="18572.099999999999"/>
    <n v="15786.285"/>
    <n v="148576.79999999999"/>
    <n v="126290.28"/>
    <n v="22286.51999999999"/>
    <s v="Ralph"/>
    <x v="4"/>
    <x v="15"/>
    <x v="0"/>
    <n v="26"/>
    <x v="1"/>
    <x v="19"/>
    <x v="1"/>
  </r>
  <r>
    <s v="ORD-0877"/>
    <d v="2025-10-13T00:00:00"/>
    <x v="13"/>
    <s v="CUST-007"/>
    <s v="PROD-121"/>
    <n v="8"/>
    <n v="6080.1"/>
    <n v="5168.085"/>
    <n v="48640.800000000003"/>
    <n v="41344.68"/>
    <n v="7296.1200000000026"/>
    <s v="Brenda"/>
    <x v="1"/>
    <x v="29"/>
    <x v="0"/>
    <n v="44"/>
    <x v="0"/>
    <x v="8"/>
    <x v="0"/>
  </r>
  <r>
    <s v="ORD-0878"/>
    <d v="2025-11-14T00:00:00"/>
    <x v="12"/>
    <s v="CUST-136"/>
    <s v="PROD-115"/>
    <n v="3"/>
    <n v="3446.6000000000004"/>
    <n v="2929.6100000000006"/>
    <n v="10339.800000000001"/>
    <n v="8788.8300000000017"/>
    <n v="1550.9699999999993"/>
    <s v="Jonathan"/>
    <x v="2"/>
    <x v="24"/>
    <x v="0"/>
    <n v="34"/>
    <x v="1"/>
    <x v="10"/>
    <x v="1"/>
  </r>
  <r>
    <s v="ORD-0879"/>
    <d v="2025-10-25T00:00:00"/>
    <x v="9"/>
    <s v="CUST-044"/>
    <s v="PROD-121"/>
    <n v="6"/>
    <n v="3155.7999999999997"/>
    <n v="2682.43"/>
    <n v="18934.8"/>
    <n v="16094.579999999998"/>
    <n v="2840.2200000000012"/>
    <s v="Brenda"/>
    <x v="5"/>
    <x v="28"/>
    <x v="0"/>
    <n v="31"/>
    <x v="1"/>
    <x v="8"/>
    <x v="0"/>
  </r>
  <r>
    <s v="ORD-0880"/>
    <d v="2025-12-13T00:00:00"/>
    <x v="7"/>
    <s v="CUST-029"/>
    <s v="PROD-132"/>
    <n v="5"/>
    <n v="7243.7"/>
    <n v="6157.1450000000004"/>
    <n v="36218.5"/>
    <n v="30785.725000000002"/>
    <n v="5432.7749999999978"/>
    <s v="Jennifer"/>
    <x v="0"/>
    <x v="86"/>
    <x v="1"/>
    <n v="44"/>
    <x v="0"/>
    <x v="26"/>
    <x v="2"/>
  </r>
  <r>
    <s v="ORD-0881"/>
    <d v="2025-11-18T00:00:00"/>
    <x v="6"/>
    <s v="CUST-045"/>
    <s v="PROD-118"/>
    <n v="10"/>
    <n v="16884.900000000001"/>
    <n v="14352.165000000001"/>
    <n v="168849"/>
    <n v="143521.65000000002"/>
    <n v="25327.349999999977"/>
    <s v="Tracey"/>
    <x v="1"/>
    <x v="36"/>
    <x v="0"/>
    <n v="22"/>
    <x v="1"/>
    <x v="25"/>
    <x v="0"/>
  </r>
  <r>
    <s v="ORD-0882"/>
    <d v="2025-10-25T00:00:00"/>
    <x v="9"/>
    <s v="CUST-130"/>
    <s v="PROD-110"/>
    <n v="2"/>
    <n v="7339.0999999999995"/>
    <n v="6238.2349999999997"/>
    <n v="14678.199999999999"/>
    <n v="12476.47"/>
    <n v="2201.7299999999996"/>
    <s v="Tracey"/>
    <x v="5"/>
    <x v="34"/>
    <x v="1"/>
    <n v="55"/>
    <x v="0"/>
    <x v="14"/>
    <x v="4"/>
  </r>
  <r>
    <s v="ORD-0883"/>
    <d v="2025-11-22T00:00:00"/>
    <x v="6"/>
    <s v="CUST-140"/>
    <s v="PROD-130"/>
    <n v="4"/>
    <n v="8112.2000000000007"/>
    <n v="6895.3700000000008"/>
    <n v="32448.800000000003"/>
    <n v="27581.480000000003"/>
    <n v="4867.32"/>
    <s v="Ralph"/>
    <x v="4"/>
    <x v="77"/>
    <x v="1"/>
    <n v="46"/>
    <x v="0"/>
    <x v="29"/>
    <x v="2"/>
  </r>
  <r>
    <s v="ORD-0884"/>
    <d v="2025-12-22T00:00:00"/>
    <x v="8"/>
    <s v="CUST-069"/>
    <s v="PROD-134"/>
    <n v="8"/>
    <n v="5157.3"/>
    <n v="4383.7049999999999"/>
    <n v="41258.400000000001"/>
    <n v="35069.64"/>
    <n v="6188.760000000002"/>
    <s v="Douglas"/>
    <x v="1"/>
    <x v="42"/>
    <x v="0"/>
    <n v="37"/>
    <x v="0"/>
    <x v="7"/>
    <x v="2"/>
  </r>
  <r>
    <s v="ORD-0885"/>
    <d v="2025-12-21T00:00:00"/>
    <x v="8"/>
    <s v="CUST-124"/>
    <s v="PROD-114"/>
    <n v="3"/>
    <n v="11418.800000000001"/>
    <n v="9705.9800000000014"/>
    <n v="34256.400000000001"/>
    <n v="29117.940000000002"/>
    <n v="5138.4599999999991"/>
    <s v="Andrea"/>
    <x v="1"/>
    <x v="32"/>
    <x v="1"/>
    <n v="35"/>
    <x v="0"/>
    <x v="18"/>
    <x v="1"/>
  </r>
  <r>
    <s v="ORD-0886"/>
    <d v="2025-12-27T00:00:00"/>
    <x v="8"/>
    <s v="CUST-099"/>
    <s v="PROD-128"/>
    <n v="3"/>
    <n v="16835.400000000001"/>
    <n v="14310.090000000002"/>
    <n v="50506.200000000004"/>
    <n v="42930.270000000004"/>
    <n v="7575.93"/>
    <s v="Andrea"/>
    <x v="1"/>
    <x v="5"/>
    <x v="0"/>
    <n v="52"/>
    <x v="0"/>
    <x v="15"/>
    <x v="5"/>
  </r>
  <r>
    <s v="ORD-0887"/>
    <d v="2025-11-11T00:00:00"/>
    <x v="12"/>
    <s v="CUST-150"/>
    <s v="PROD-123"/>
    <n v="9"/>
    <n v="5465.4"/>
    <n v="4645.59"/>
    <n v="49188.6"/>
    <n v="41810.31"/>
    <n v="7378.2900000000009"/>
    <s v="Timothy"/>
    <x v="1"/>
    <x v="31"/>
    <x v="0"/>
    <n v="25"/>
    <x v="1"/>
    <x v="32"/>
    <x v="0"/>
  </r>
  <r>
    <s v="ORD-0888"/>
    <d v="2025-12-07T00:00:00"/>
    <x v="7"/>
    <s v="CUST-082"/>
    <s v="PROD-105"/>
    <n v="3"/>
    <n v="6131.4"/>
    <n v="5211.6899999999996"/>
    <n v="18394.199999999997"/>
    <n v="15635.07"/>
    <n v="2759.1299999999974"/>
    <s v="Ethan"/>
    <x v="0"/>
    <x v="73"/>
    <x v="0"/>
    <n v="18"/>
    <x v="1"/>
    <x v="3"/>
    <x v="3"/>
  </r>
  <r>
    <s v="ORD-0889"/>
    <d v="2025-12-09T00:00:00"/>
    <x v="7"/>
    <s v="CUST-001"/>
    <s v="PROD-127"/>
    <n v="3"/>
    <n v="14233.800000000001"/>
    <n v="12098.730000000001"/>
    <n v="42701.4"/>
    <n v="36296.19"/>
    <n v="6405.2099999999991"/>
    <s v="Tara"/>
    <x v="3"/>
    <x v="74"/>
    <x v="1"/>
    <n v="27"/>
    <x v="1"/>
    <x v="17"/>
    <x v="5"/>
  </r>
  <r>
    <s v="ORD-0890"/>
    <d v="2025-12-21T00:00:00"/>
    <x v="8"/>
    <s v="CUST-078"/>
    <s v="PROD-117"/>
    <n v="8"/>
    <n v="3694.1000000000004"/>
    <n v="3139.9850000000006"/>
    <n v="29552.800000000003"/>
    <n v="25119.880000000005"/>
    <n v="4432.9199999999983"/>
    <s v="Tracey"/>
    <x v="4"/>
    <x v="43"/>
    <x v="0"/>
    <n v="25"/>
    <x v="1"/>
    <x v="23"/>
    <x v="0"/>
  </r>
  <r>
    <s v="ORD-0891"/>
    <d v="2025-10-04T00:00:00"/>
    <x v="11"/>
    <s v="CUST-077"/>
    <s v="PROD-124"/>
    <n v="1"/>
    <n v="7974.2"/>
    <n v="6778.07"/>
    <n v="7974.2"/>
    <n v="6778.07"/>
    <n v="1196.1300000000001"/>
    <s v="Lisa"/>
    <x v="1"/>
    <x v="27"/>
    <x v="0"/>
    <n v="35"/>
    <x v="0"/>
    <x v="5"/>
    <x v="0"/>
  </r>
  <r>
    <s v="ORD-0892"/>
    <d v="2025-12-08T00:00:00"/>
    <x v="7"/>
    <s v="CUST-034"/>
    <s v="PROD-116"/>
    <n v="9"/>
    <n v="891.7"/>
    <n v="757.94500000000005"/>
    <n v="8025.3"/>
    <n v="6821.5050000000001"/>
    <n v="1203.7950000000001"/>
    <s v="Ethan"/>
    <x v="0"/>
    <x v="53"/>
    <x v="0"/>
    <n v="32"/>
    <x v="1"/>
    <x v="24"/>
    <x v="1"/>
  </r>
  <r>
    <s v="ORD-0893"/>
    <d v="2025-11-09T00:00:00"/>
    <x v="12"/>
    <s v="CUST-026"/>
    <s v="PROD-121"/>
    <n v="8"/>
    <n v="15228.5"/>
    <n v="12944.225"/>
    <n v="121828"/>
    <n v="103553.8"/>
    <n v="18274.199999999997"/>
    <s v="Daniel"/>
    <x v="1"/>
    <x v="104"/>
    <x v="1"/>
    <n v="26"/>
    <x v="1"/>
    <x v="8"/>
    <x v="0"/>
  </r>
  <r>
    <s v="ORD-0894"/>
    <d v="2025-12-10T00:00:00"/>
    <x v="7"/>
    <s v="CUST-105"/>
    <s v="PROD-123"/>
    <n v="8"/>
    <n v="5045"/>
    <n v="4288.25"/>
    <n v="40360"/>
    <n v="34306"/>
    <n v="6054"/>
    <s v="Lisa"/>
    <x v="3"/>
    <x v="31"/>
    <x v="0"/>
    <n v="30"/>
    <x v="1"/>
    <x v="32"/>
    <x v="0"/>
  </r>
  <r>
    <s v="ORD-0895"/>
    <d v="2025-10-21T00:00:00"/>
    <x v="9"/>
    <s v="CUST-113"/>
    <s v="PROD-101"/>
    <n v="5"/>
    <n v="9978.5"/>
    <n v="8481.7250000000004"/>
    <n v="49892.5"/>
    <n v="42408.625"/>
    <n v="7483.875"/>
    <s v="Cheyenne"/>
    <x v="1"/>
    <x v="21"/>
    <x v="1"/>
    <n v="47"/>
    <x v="0"/>
    <x v="16"/>
    <x v="3"/>
  </r>
  <r>
    <s v="ORD-0896"/>
    <d v="2025-10-25T00:00:00"/>
    <x v="9"/>
    <s v="CUST-085"/>
    <s v="PROD-130"/>
    <n v="6"/>
    <n v="14754.8"/>
    <n v="12541.58"/>
    <n v="88528.799999999988"/>
    <n v="75249.48"/>
    <n v="13279.319999999992"/>
    <s v="Douglas"/>
    <x v="4"/>
    <x v="41"/>
    <x v="0"/>
    <n v="29"/>
    <x v="1"/>
    <x v="29"/>
    <x v="2"/>
  </r>
  <r>
    <s v="ORD-0897"/>
    <d v="2025-11-24T00:00:00"/>
    <x v="0"/>
    <s v="CUST-040"/>
    <s v="PROD-128"/>
    <n v="1"/>
    <n v="2783.3999999999996"/>
    <n v="2365.89"/>
    <n v="2783.3999999999996"/>
    <n v="2365.89"/>
    <n v="417.50999999999976"/>
    <s v="Laura"/>
    <x v="0"/>
    <x v="72"/>
    <x v="0"/>
    <n v="52"/>
    <x v="0"/>
    <x v="15"/>
    <x v="5"/>
  </r>
  <r>
    <s v="ORD-0898"/>
    <d v="2025-11-07T00:00:00"/>
    <x v="5"/>
    <s v="CUST-092"/>
    <s v="PROD-116"/>
    <n v="10"/>
    <n v="10175.1"/>
    <n v="8648.8350000000009"/>
    <n v="101751"/>
    <n v="86488.35"/>
    <n v="15262.649999999994"/>
    <s v="Keith"/>
    <x v="2"/>
    <x v="3"/>
    <x v="0"/>
    <n v="48"/>
    <x v="0"/>
    <x v="24"/>
    <x v="1"/>
  </r>
  <r>
    <s v="ORD-0899"/>
    <d v="2025-10-05T00:00:00"/>
    <x v="1"/>
    <s v="CUST-001"/>
    <s v="PROD-133"/>
    <n v="7"/>
    <n v="4168.7"/>
    <n v="3543.395"/>
    <n v="29180.899999999998"/>
    <n v="24803.764999999999"/>
    <n v="4377.1349999999984"/>
    <s v="Jonathan"/>
    <x v="3"/>
    <x v="74"/>
    <x v="1"/>
    <n v="27"/>
    <x v="1"/>
    <x v="22"/>
    <x v="2"/>
  </r>
  <r>
    <s v="ORD-0900"/>
    <d v="2025-10-22T00:00:00"/>
    <x v="9"/>
    <s v="CUST-107"/>
    <s v="PROD-117"/>
    <n v="1"/>
    <n v="4630"/>
    <n v="3935.5"/>
    <n v="4630"/>
    <n v="3935.5"/>
    <n v="694.5"/>
    <s v="Ralph"/>
    <x v="4"/>
    <x v="36"/>
    <x v="0"/>
    <n v="18"/>
    <x v="1"/>
    <x v="23"/>
    <x v="0"/>
  </r>
  <r>
    <s v="ORD-0901"/>
    <d v="2025-10-15T00:00:00"/>
    <x v="13"/>
    <s v="CUST-084"/>
    <s v="PROD-134"/>
    <n v="10"/>
    <n v="12078.4"/>
    <n v="10266.64"/>
    <n v="120784"/>
    <n v="102666.4"/>
    <n v="18117.600000000006"/>
    <s v="Linda"/>
    <x v="4"/>
    <x v="45"/>
    <x v="1"/>
    <n v="49"/>
    <x v="0"/>
    <x v="7"/>
    <x v="2"/>
  </r>
  <r>
    <s v="ORD-0902"/>
    <d v="2025-12-11T00:00:00"/>
    <x v="7"/>
    <s v="CUST-122"/>
    <s v="PROD-115"/>
    <n v="10"/>
    <n v="16717.7"/>
    <n v="14210.045"/>
    <n v="167177"/>
    <n v="142100.45000000001"/>
    <n v="25076.549999999988"/>
    <s v="Timothy"/>
    <x v="4"/>
    <x v="26"/>
    <x v="1"/>
    <n v="43"/>
    <x v="0"/>
    <x v="10"/>
    <x v="1"/>
  </r>
  <r>
    <s v="ORD-0903"/>
    <d v="2025-12-06T00:00:00"/>
    <x v="10"/>
    <s v="CUST-115"/>
    <s v="PROD-109"/>
    <n v="7"/>
    <n v="13637.4"/>
    <n v="11591.789999999999"/>
    <n v="95461.8"/>
    <n v="81142.53"/>
    <n v="14319.270000000004"/>
    <s v="Jasmine"/>
    <x v="0"/>
    <x v="87"/>
    <x v="0"/>
    <n v="31"/>
    <x v="1"/>
    <x v="30"/>
    <x v="4"/>
  </r>
  <r>
    <s v="ORD-0904"/>
    <d v="2025-11-12T00:00:00"/>
    <x v="12"/>
    <s v="CUST-080"/>
    <s v="PROD-130"/>
    <n v="1"/>
    <n v="14068.800000000001"/>
    <n v="11958.480000000001"/>
    <n v="14068.800000000001"/>
    <n v="11958.480000000001"/>
    <n v="2110.3199999999997"/>
    <s v="Keith"/>
    <x v="1"/>
    <x v="33"/>
    <x v="1"/>
    <n v="21"/>
    <x v="1"/>
    <x v="29"/>
    <x v="2"/>
  </r>
  <r>
    <s v="ORD-0905"/>
    <d v="2025-10-11T00:00:00"/>
    <x v="1"/>
    <s v="CUST-004"/>
    <s v="PROD-128"/>
    <n v="9"/>
    <n v="6935.9000000000005"/>
    <n v="5895.5150000000003"/>
    <n v="62423.100000000006"/>
    <n v="53059.635000000002"/>
    <n v="9363.4650000000038"/>
    <s v="Tara"/>
    <x v="5"/>
    <x v="100"/>
    <x v="0"/>
    <n v="40"/>
    <x v="0"/>
    <x v="15"/>
    <x v="5"/>
  </r>
  <r>
    <s v="ORD-0906"/>
    <d v="2025-12-22T00:00:00"/>
    <x v="8"/>
    <s v="CUST-002"/>
    <s v="PROD-134"/>
    <n v="10"/>
    <n v="13043.699999999999"/>
    <n v="11087.144999999999"/>
    <n v="130436.99999999999"/>
    <n v="110871.44999999998"/>
    <n v="19565.550000000003"/>
    <s v="Katie"/>
    <x v="1"/>
    <x v="8"/>
    <x v="1"/>
    <n v="20"/>
    <x v="1"/>
    <x v="7"/>
    <x v="2"/>
  </r>
  <r>
    <s v="ORD-0907"/>
    <d v="2025-11-01T00:00:00"/>
    <x v="3"/>
    <s v="CUST-103"/>
    <s v="PROD-103"/>
    <n v="8"/>
    <n v="16172.2"/>
    <n v="13746.37"/>
    <n v="129377.60000000001"/>
    <n v="109970.96"/>
    <n v="19406.64"/>
    <s v="Laura"/>
    <x v="2"/>
    <x v="85"/>
    <x v="1"/>
    <n v="23"/>
    <x v="1"/>
    <x v="28"/>
    <x v="3"/>
  </r>
  <r>
    <s v="ORD-0908"/>
    <d v="2025-12-18T00:00:00"/>
    <x v="4"/>
    <s v="CUST-132"/>
    <s v="PROD-115"/>
    <n v="8"/>
    <n v="4955.5"/>
    <n v="4212.1750000000002"/>
    <n v="39644"/>
    <n v="33697.4"/>
    <n v="5946.5999999999985"/>
    <s v="Laura"/>
    <x v="1"/>
    <x v="90"/>
    <x v="1"/>
    <n v="27"/>
    <x v="1"/>
    <x v="10"/>
    <x v="1"/>
  </r>
  <r>
    <s v="ORD-0909"/>
    <d v="2025-11-27T00:00:00"/>
    <x v="0"/>
    <s v="CUST-030"/>
    <s v="PROD-121"/>
    <n v="1"/>
    <n v="14485.4"/>
    <n v="12312.59"/>
    <n v="14485.4"/>
    <n v="12312.59"/>
    <n v="2172.8099999999995"/>
    <s v="Aaron"/>
    <x v="3"/>
    <x v="4"/>
    <x v="1"/>
    <n v="24"/>
    <x v="1"/>
    <x v="8"/>
    <x v="0"/>
  </r>
  <r>
    <s v="ORD-0910"/>
    <d v="2025-11-11T00:00:00"/>
    <x v="12"/>
    <s v="CUST-046"/>
    <s v="PROD-103"/>
    <n v="6"/>
    <n v="5814.7000000000007"/>
    <n v="4942.4950000000008"/>
    <n v="34888.200000000004"/>
    <n v="29654.970000000005"/>
    <n v="5233.2299999999996"/>
    <s v="Brenda"/>
    <x v="4"/>
    <x v="4"/>
    <x v="1"/>
    <n v="31"/>
    <x v="1"/>
    <x v="28"/>
    <x v="3"/>
  </r>
  <r>
    <s v="ORD-0911"/>
    <d v="2025-10-18T00:00:00"/>
    <x v="13"/>
    <s v="CUST-127"/>
    <s v="PROD-123"/>
    <n v="9"/>
    <n v="13772.7"/>
    <n v="11706.795"/>
    <n v="123954.3"/>
    <n v="105361.155"/>
    <n v="18593.145000000004"/>
    <s v="Ethan"/>
    <x v="3"/>
    <x v="48"/>
    <x v="0"/>
    <n v="18"/>
    <x v="1"/>
    <x v="32"/>
    <x v="0"/>
  </r>
  <r>
    <s v="ORD-0912"/>
    <d v="2025-11-16T00:00:00"/>
    <x v="6"/>
    <s v="CUST-126"/>
    <s v="PROD-124"/>
    <n v="9"/>
    <n v="18995.599999999999"/>
    <n v="16146.259999999998"/>
    <n v="170960.4"/>
    <n v="145316.34"/>
    <n v="25644.059999999998"/>
    <s v="Keith"/>
    <x v="0"/>
    <x v="89"/>
    <x v="1"/>
    <n v="40"/>
    <x v="0"/>
    <x v="5"/>
    <x v="0"/>
  </r>
  <r>
    <s v="ORD-0913"/>
    <d v="2025-10-13T00:00:00"/>
    <x v="13"/>
    <s v="CUST-062"/>
    <s v="PROD-113"/>
    <n v="10"/>
    <n v="18485.899999999998"/>
    <n v="15713.014999999998"/>
    <n v="184858.99999999997"/>
    <n v="157130.14999999997"/>
    <n v="27728.850000000006"/>
    <s v="Keith"/>
    <x v="3"/>
    <x v="61"/>
    <x v="0"/>
    <n v="20"/>
    <x v="1"/>
    <x v="19"/>
    <x v="1"/>
  </r>
  <r>
    <s v="ORD-0914"/>
    <d v="2025-12-15T00:00:00"/>
    <x v="4"/>
    <s v="CUST-090"/>
    <s v="PROD-132"/>
    <n v="9"/>
    <n v="7420.9000000000005"/>
    <n v="6307.7650000000003"/>
    <n v="66788.100000000006"/>
    <n v="56769.885000000002"/>
    <n v="10018.215000000004"/>
    <s v="Keith"/>
    <x v="1"/>
    <x v="16"/>
    <x v="0"/>
    <n v="29"/>
    <x v="1"/>
    <x v="26"/>
    <x v="2"/>
  </r>
  <r>
    <s v="ORD-0915"/>
    <d v="2025-12-11T00:00:00"/>
    <x v="7"/>
    <s v="CUST-070"/>
    <s v="PROD-106"/>
    <n v="1"/>
    <n v="18895.599999999999"/>
    <n v="16061.259999999998"/>
    <n v="18895.599999999999"/>
    <n v="16061.259999999998"/>
    <n v="2834.34"/>
    <s v="David"/>
    <x v="1"/>
    <x v="51"/>
    <x v="1"/>
    <n v="25"/>
    <x v="1"/>
    <x v="6"/>
    <x v="4"/>
  </r>
  <r>
    <s v="ORD-0916"/>
    <d v="2025-12-10T00:00:00"/>
    <x v="7"/>
    <s v="CUST-134"/>
    <s v="PROD-112"/>
    <n v="6"/>
    <n v="8601.4"/>
    <n v="7311.19"/>
    <n v="51608.399999999994"/>
    <n v="43867.14"/>
    <n v="7741.2599999999948"/>
    <s v="Jonathan"/>
    <x v="1"/>
    <x v="25"/>
    <x v="0"/>
    <n v="26"/>
    <x v="1"/>
    <x v="1"/>
    <x v="1"/>
  </r>
  <r>
    <s v="ORD-0917"/>
    <d v="2025-12-28T00:00:00"/>
    <x v="2"/>
    <s v="CUST-040"/>
    <s v="PROD-116"/>
    <n v="4"/>
    <n v="12475.3"/>
    <n v="10604.004999999999"/>
    <n v="49901.2"/>
    <n v="42416.02"/>
    <n v="7485.18"/>
    <s v="Cheyenne"/>
    <x v="0"/>
    <x v="72"/>
    <x v="0"/>
    <n v="52"/>
    <x v="0"/>
    <x v="24"/>
    <x v="1"/>
  </r>
  <r>
    <s v="ORD-0918"/>
    <d v="2025-10-14T00:00:00"/>
    <x v="13"/>
    <s v="CUST-119"/>
    <s v="PROD-129"/>
    <n v="4"/>
    <n v="10387.299999999999"/>
    <n v="8829.2049999999999"/>
    <n v="41549.199999999997"/>
    <n v="35316.82"/>
    <n v="6232.3799999999974"/>
    <s v="Katie"/>
    <x v="5"/>
    <x v="56"/>
    <x v="1"/>
    <n v="20"/>
    <x v="1"/>
    <x v="21"/>
    <x v="5"/>
  </r>
  <r>
    <s v="ORD-0919"/>
    <d v="2025-11-25T00:00:00"/>
    <x v="0"/>
    <s v="CUST-045"/>
    <s v="PROD-125"/>
    <n v="5"/>
    <n v="7710"/>
    <n v="6553.5"/>
    <n v="38550"/>
    <n v="32767.5"/>
    <n v="5782.5"/>
    <s v="Linda"/>
    <x v="1"/>
    <x v="36"/>
    <x v="0"/>
    <n v="22"/>
    <x v="1"/>
    <x v="13"/>
    <x v="0"/>
  </r>
  <r>
    <s v="ORD-0920"/>
    <d v="2025-11-06T00:00:00"/>
    <x v="5"/>
    <s v="CUST-100"/>
    <s v="PROD-127"/>
    <n v="8"/>
    <n v="5868.9"/>
    <n v="4988.5649999999996"/>
    <n v="46951.199999999997"/>
    <n v="39908.519999999997"/>
    <n v="7042.68"/>
    <s v="Tracey"/>
    <x v="4"/>
    <x v="26"/>
    <x v="1"/>
    <n v="28"/>
    <x v="1"/>
    <x v="17"/>
    <x v="5"/>
  </r>
  <r>
    <s v="ORD-0921"/>
    <d v="2025-10-18T00:00:00"/>
    <x v="13"/>
    <s v="CUST-094"/>
    <s v="PROD-101"/>
    <n v="4"/>
    <n v="16778"/>
    <n v="14261.3"/>
    <n v="67112"/>
    <n v="57045.2"/>
    <n v="10066.800000000003"/>
    <s v="Ralph"/>
    <x v="3"/>
    <x v="21"/>
    <x v="1"/>
    <n v="40"/>
    <x v="0"/>
    <x v="16"/>
    <x v="3"/>
  </r>
  <r>
    <s v="ORD-0922"/>
    <d v="2025-12-04T00:00:00"/>
    <x v="10"/>
    <s v="CUST-133"/>
    <s v="PROD-110"/>
    <n v="6"/>
    <n v="15304.300000000001"/>
    <n v="13008.655000000001"/>
    <n v="91825.8"/>
    <n v="78051.930000000008"/>
    <n v="13773.869999999995"/>
    <s v="Sean"/>
    <x v="4"/>
    <x v="94"/>
    <x v="1"/>
    <n v="21"/>
    <x v="1"/>
    <x v="14"/>
    <x v="4"/>
  </r>
  <r>
    <s v="ORD-0923"/>
    <d v="2025-11-18T00:00:00"/>
    <x v="6"/>
    <s v="CUST-003"/>
    <s v="PROD-120"/>
    <n v="5"/>
    <n v="12575.699999999999"/>
    <n v="10689.344999999999"/>
    <n v="62878.499999999993"/>
    <n v="53446.724999999999"/>
    <n v="9431.7749999999942"/>
    <s v="Sean"/>
    <x v="4"/>
    <x v="10"/>
    <x v="0"/>
    <n v="25"/>
    <x v="1"/>
    <x v="0"/>
    <x v="0"/>
  </r>
  <r>
    <s v="ORD-0924"/>
    <d v="2025-12-02T00:00:00"/>
    <x v="10"/>
    <s v="CUST-038"/>
    <s v="PROD-121"/>
    <n v="6"/>
    <n v="3900.7"/>
    <n v="3315.5949999999998"/>
    <n v="23404.199999999997"/>
    <n v="19893.57"/>
    <n v="3510.6299999999974"/>
    <s v="Jonathan"/>
    <x v="1"/>
    <x v="59"/>
    <x v="0"/>
    <n v="32"/>
    <x v="1"/>
    <x v="8"/>
    <x v="0"/>
  </r>
  <r>
    <s v="ORD-0925"/>
    <d v="2025-12-22T00:00:00"/>
    <x v="8"/>
    <s v="CUST-144"/>
    <s v="PROD-102"/>
    <n v="9"/>
    <n v="19464.7"/>
    <n v="16544.995000000003"/>
    <n v="175182.30000000002"/>
    <n v="148904.95500000002"/>
    <n v="26277.345000000001"/>
    <s v="Patrick"/>
    <x v="4"/>
    <x v="66"/>
    <x v="1"/>
    <n v="23"/>
    <x v="1"/>
    <x v="20"/>
    <x v="3"/>
  </r>
  <r>
    <s v="ORD-0926"/>
    <d v="2025-10-29T00:00:00"/>
    <x v="3"/>
    <s v="CUST-052"/>
    <s v="PROD-124"/>
    <n v="6"/>
    <n v="17328.699999999997"/>
    <n v="14729.394999999997"/>
    <n v="103972.19999999998"/>
    <n v="88376.369999999981"/>
    <n v="15595.830000000002"/>
    <s v="Timothy"/>
    <x v="1"/>
    <x v="8"/>
    <x v="1"/>
    <n v="28"/>
    <x v="1"/>
    <x v="5"/>
    <x v="0"/>
  </r>
  <r>
    <s v="ORD-0927"/>
    <d v="2025-10-04T00:00:00"/>
    <x v="11"/>
    <s v="CUST-027"/>
    <s v="PROD-117"/>
    <n v="9"/>
    <n v="3051.3999999999996"/>
    <n v="2593.6899999999996"/>
    <n v="27462.6"/>
    <n v="23343.209999999995"/>
    <n v="4119.3900000000031"/>
    <s v="David"/>
    <x v="1"/>
    <x v="55"/>
    <x v="0"/>
    <n v="19"/>
    <x v="1"/>
    <x v="23"/>
    <x v="0"/>
  </r>
  <r>
    <s v="ORD-0928"/>
    <d v="2025-12-01T00:00:00"/>
    <x v="10"/>
    <s v="CUST-132"/>
    <s v="PROD-134"/>
    <n v="8"/>
    <n v="2786.3"/>
    <n v="2368.355"/>
    <n v="22290.400000000001"/>
    <n v="18946.84"/>
    <n v="3343.5600000000013"/>
    <s v="Joshua"/>
    <x v="1"/>
    <x v="90"/>
    <x v="1"/>
    <n v="27"/>
    <x v="1"/>
    <x v="7"/>
    <x v="2"/>
  </r>
  <r>
    <s v="ORD-0929"/>
    <d v="2025-10-01T00:00:00"/>
    <x v="11"/>
    <s v="CUST-083"/>
    <s v="PROD-133"/>
    <n v="8"/>
    <n v="18932.400000000001"/>
    <n v="16092.54"/>
    <n v="151459.20000000001"/>
    <n v="128740.32"/>
    <n v="22718.880000000005"/>
    <s v="Timothy"/>
    <x v="3"/>
    <x v="14"/>
    <x v="1"/>
    <n v="23"/>
    <x v="1"/>
    <x v="22"/>
    <x v="2"/>
  </r>
  <r>
    <s v="ORD-0930"/>
    <d v="2025-10-06T00:00:00"/>
    <x v="1"/>
    <s v="CUST-113"/>
    <s v="PROD-121"/>
    <n v="8"/>
    <n v="16414.3"/>
    <n v="13952.154999999999"/>
    <n v="131314.4"/>
    <n v="111617.23999999999"/>
    <n v="19697.160000000003"/>
    <s v="David"/>
    <x v="1"/>
    <x v="21"/>
    <x v="1"/>
    <n v="47"/>
    <x v="0"/>
    <x v="8"/>
    <x v="0"/>
  </r>
  <r>
    <s v="ORD-0931"/>
    <d v="2025-11-22T00:00:00"/>
    <x v="6"/>
    <s v="CUST-023"/>
    <s v="PROD-133"/>
    <n v="4"/>
    <n v="3607.2000000000003"/>
    <n v="3066.1200000000003"/>
    <n v="14428.800000000001"/>
    <n v="12264.480000000001"/>
    <n v="2164.3199999999997"/>
    <s v="Timothy"/>
    <x v="0"/>
    <x v="65"/>
    <x v="1"/>
    <n v="35"/>
    <x v="0"/>
    <x v="22"/>
    <x v="2"/>
  </r>
  <r>
    <s v="ORD-0932"/>
    <d v="2025-10-29T00:00:00"/>
    <x v="3"/>
    <s v="CUST-049"/>
    <s v="PROD-101"/>
    <n v="4"/>
    <n v="2124.5"/>
    <n v="1805.825"/>
    <n v="8498"/>
    <n v="7223.3"/>
    <n v="1274.6999999999998"/>
    <s v="Daniel"/>
    <x v="2"/>
    <x v="38"/>
    <x v="1"/>
    <n v="36"/>
    <x v="0"/>
    <x v="16"/>
    <x v="3"/>
  </r>
  <r>
    <s v="ORD-0933"/>
    <d v="2025-10-13T00:00:00"/>
    <x v="13"/>
    <s v="CUST-027"/>
    <s v="PROD-124"/>
    <n v="7"/>
    <n v="10191.200000000001"/>
    <n v="8662.52"/>
    <n v="71338.400000000009"/>
    <n v="60637.64"/>
    <n v="10700.760000000009"/>
    <s v="Laura"/>
    <x v="1"/>
    <x v="55"/>
    <x v="0"/>
    <n v="19"/>
    <x v="1"/>
    <x v="5"/>
    <x v="0"/>
  </r>
  <r>
    <s v="ORD-0934"/>
    <d v="2025-11-02T00:00:00"/>
    <x v="5"/>
    <s v="CUST-011"/>
    <s v="PROD-113"/>
    <n v="8"/>
    <n v="14698.5"/>
    <n v="12493.725"/>
    <n v="117588"/>
    <n v="99949.8"/>
    <n v="17638.199999999997"/>
    <s v="Jonathan"/>
    <x v="2"/>
    <x v="26"/>
    <x v="1"/>
    <n v="18"/>
    <x v="1"/>
    <x v="19"/>
    <x v="1"/>
  </r>
  <r>
    <s v="ORD-0935"/>
    <d v="2025-11-05T00:00:00"/>
    <x v="5"/>
    <s v="CUST-105"/>
    <s v="PROD-119"/>
    <n v="1"/>
    <n v="866.1"/>
    <n v="736.18500000000006"/>
    <n v="866.1"/>
    <n v="736.18500000000006"/>
    <n v="129.91499999999996"/>
    <s v="Laura"/>
    <x v="3"/>
    <x v="31"/>
    <x v="0"/>
    <n v="30"/>
    <x v="1"/>
    <x v="33"/>
    <x v="0"/>
  </r>
  <r>
    <s v="ORD-0936"/>
    <d v="2025-11-20T00:00:00"/>
    <x v="6"/>
    <s v="CUST-095"/>
    <s v="PROD-104"/>
    <n v="7"/>
    <n v="14248.800000000001"/>
    <n v="12111.480000000001"/>
    <n v="99741.6"/>
    <n v="84780.360000000015"/>
    <n v="14961.239999999991"/>
    <s v="Laura"/>
    <x v="1"/>
    <x v="2"/>
    <x v="1"/>
    <n v="39"/>
    <x v="0"/>
    <x v="4"/>
    <x v="3"/>
  </r>
  <r>
    <s v="ORD-0937"/>
    <d v="2025-11-06T00:00:00"/>
    <x v="5"/>
    <s v="CUST-033"/>
    <s v="PROD-122"/>
    <n v="6"/>
    <n v="19817.7"/>
    <n v="16845.045000000002"/>
    <n v="118906.20000000001"/>
    <n v="101070.27000000002"/>
    <n v="17835.929999999993"/>
    <s v="Jonathan"/>
    <x v="5"/>
    <x v="29"/>
    <x v="0"/>
    <n v="19"/>
    <x v="1"/>
    <x v="11"/>
    <x v="0"/>
  </r>
  <r>
    <s v="ORD-0938"/>
    <d v="2025-10-08T00:00:00"/>
    <x v="1"/>
    <s v="CUST-105"/>
    <s v="PROD-106"/>
    <n v="1"/>
    <n v="9947.1"/>
    <n v="8455.0349999999999"/>
    <n v="9947.1"/>
    <n v="8455.0349999999999"/>
    <n v="1492.0650000000005"/>
    <s v="Anna"/>
    <x v="3"/>
    <x v="31"/>
    <x v="0"/>
    <n v="30"/>
    <x v="1"/>
    <x v="6"/>
    <x v="4"/>
  </r>
  <r>
    <s v="ORD-0939"/>
    <d v="2025-11-16T00:00:00"/>
    <x v="6"/>
    <s v="CUST-042"/>
    <s v="PROD-127"/>
    <n v="8"/>
    <n v="1858.6000000000001"/>
    <n v="1579.8100000000002"/>
    <n v="14868.800000000001"/>
    <n v="12638.480000000001"/>
    <n v="2230.3199999999997"/>
    <s v="Sean"/>
    <x v="1"/>
    <x v="41"/>
    <x v="0"/>
    <n v="33"/>
    <x v="1"/>
    <x v="17"/>
    <x v="5"/>
  </r>
  <r>
    <s v="ORD-0940"/>
    <d v="2025-12-15T00:00:00"/>
    <x v="4"/>
    <s v="CUST-021"/>
    <s v="PROD-127"/>
    <n v="9"/>
    <n v="11584.2"/>
    <n v="9846.57"/>
    <n v="104257.8"/>
    <n v="88619.13"/>
    <n v="15638.669999999998"/>
    <s v="Jasmine"/>
    <x v="4"/>
    <x v="67"/>
    <x v="1"/>
    <n v="28"/>
    <x v="1"/>
    <x v="17"/>
    <x v="5"/>
  </r>
  <r>
    <s v="ORD-0941"/>
    <d v="2025-10-31T00:00:00"/>
    <x v="3"/>
    <s v="CUST-096"/>
    <s v="PROD-107"/>
    <n v="1"/>
    <n v="19570.2"/>
    <n v="16634.670000000002"/>
    <n v="19570.2"/>
    <n v="16634.670000000002"/>
    <n v="2935.5299999999988"/>
    <s v="Andrea"/>
    <x v="4"/>
    <x v="13"/>
    <x v="1"/>
    <n v="26"/>
    <x v="1"/>
    <x v="12"/>
    <x v="4"/>
  </r>
  <r>
    <s v="ORD-0942"/>
    <d v="2025-12-18T00:00:00"/>
    <x v="4"/>
    <s v="CUST-008"/>
    <s v="PROD-111"/>
    <n v="4"/>
    <n v="15035.599999999999"/>
    <n v="12780.259999999998"/>
    <n v="60142.399999999994"/>
    <n v="51121.039999999994"/>
    <n v="9021.36"/>
    <s v="Sean"/>
    <x v="4"/>
    <x v="69"/>
    <x v="0"/>
    <n v="29"/>
    <x v="1"/>
    <x v="31"/>
    <x v="1"/>
  </r>
  <r>
    <s v="ORD-0943"/>
    <d v="2025-10-29T00:00:00"/>
    <x v="3"/>
    <s v="CUST-080"/>
    <s v="PROD-107"/>
    <n v="9"/>
    <n v="8707.7999999999993"/>
    <n v="7401.6299999999992"/>
    <n v="78370.2"/>
    <n v="66614.67"/>
    <n v="11755.529999999999"/>
    <s v="Victoria"/>
    <x v="1"/>
    <x v="33"/>
    <x v="1"/>
    <n v="21"/>
    <x v="1"/>
    <x v="12"/>
    <x v="4"/>
  </r>
  <r>
    <s v="ORD-0944"/>
    <d v="2025-12-06T00:00:00"/>
    <x v="10"/>
    <s v="CUST-064"/>
    <s v="PROD-115"/>
    <n v="9"/>
    <n v="11151.5"/>
    <n v="9478.7749999999996"/>
    <n v="100363.5"/>
    <n v="85308.974999999991"/>
    <n v="15054.525000000009"/>
    <s v="Daniel"/>
    <x v="4"/>
    <x v="59"/>
    <x v="0"/>
    <n v="37"/>
    <x v="0"/>
    <x v="10"/>
    <x v="1"/>
  </r>
  <r>
    <s v="ORD-0945"/>
    <d v="2025-11-30T00:00:00"/>
    <x v="10"/>
    <s v="CUST-075"/>
    <s v="PROD-106"/>
    <n v="8"/>
    <n v="6002.7999999999993"/>
    <n v="5102.3799999999992"/>
    <n v="48022.399999999994"/>
    <n v="40819.039999999994"/>
    <n v="7203.3600000000006"/>
    <s v="Daniel"/>
    <x v="5"/>
    <x v="82"/>
    <x v="0"/>
    <n v="31"/>
    <x v="1"/>
    <x v="6"/>
    <x v="4"/>
  </r>
  <r>
    <s v="ORD-0946"/>
    <d v="2025-10-02T00:00:00"/>
    <x v="11"/>
    <s v="CUST-117"/>
    <s v="PROD-113"/>
    <n v="9"/>
    <n v="14793.099999999999"/>
    <n v="12574.134999999998"/>
    <n v="133137.9"/>
    <n v="113167.21499999998"/>
    <n v="19970.685000000012"/>
    <s v="Joshua"/>
    <x v="1"/>
    <x v="20"/>
    <x v="1"/>
    <n v="29"/>
    <x v="1"/>
    <x v="19"/>
    <x v="1"/>
  </r>
  <r>
    <s v="ORD-0947"/>
    <d v="2025-10-19T00:00:00"/>
    <x v="9"/>
    <s v="CUST-034"/>
    <s v="PROD-133"/>
    <n v="5"/>
    <n v="8099.4000000000005"/>
    <n v="6884.4900000000007"/>
    <n v="40497"/>
    <n v="34422.450000000004"/>
    <n v="6074.5499999999956"/>
    <s v="Patrick"/>
    <x v="0"/>
    <x v="53"/>
    <x v="0"/>
    <n v="32"/>
    <x v="1"/>
    <x v="22"/>
    <x v="2"/>
  </r>
  <r>
    <s v="ORD-0948"/>
    <d v="2025-11-05T00:00:00"/>
    <x v="5"/>
    <s v="CUST-117"/>
    <s v="PROD-132"/>
    <n v="5"/>
    <n v="8514.9"/>
    <n v="7237.665"/>
    <n v="42574.5"/>
    <n v="36188.324999999997"/>
    <n v="6386.1750000000029"/>
    <s v="Brenda"/>
    <x v="1"/>
    <x v="20"/>
    <x v="1"/>
    <n v="29"/>
    <x v="1"/>
    <x v="26"/>
    <x v="2"/>
  </r>
  <r>
    <s v="ORD-0949"/>
    <d v="2025-10-09T00:00:00"/>
    <x v="1"/>
    <s v="CUST-051"/>
    <s v="PROD-125"/>
    <n v="1"/>
    <n v="15229.7"/>
    <n v="12945.245000000001"/>
    <n v="15229.7"/>
    <n v="12945.245000000001"/>
    <n v="2284.4549999999999"/>
    <s v="Lori"/>
    <x v="3"/>
    <x v="15"/>
    <x v="0"/>
    <n v="31"/>
    <x v="1"/>
    <x v="13"/>
    <x v="0"/>
  </r>
  <r>
    <s v="ORD-0950"/>
    <d v="2025-10-17T00:00:00"/>
    <x v="13"/>
    <s v="CUST-006"/>
    <s v="PROD-125"/>
    <n v="4"/>
    <n v="15314"/>
    <n v="13016.9"/>
    <n v="61256"/>
    <n v="52067.6"/>
    <n v="9188.4000000000015"/>
    <s v="Ralph"/>
    <x v="0"/>
    <x v="58"/>
    <x v="1"/>
    <n v="19"/>
    <x v="1"/>
    <x v="13"/>
    <x v="0"/>
  </r>
  <r>
    <s v="ORD-0951"/>
    <d v="2025-10-21T00:00:00"/>
    <x v="9"/>
    <s v="CUST-128"/>
    <s v="PROD-108"/>
    <n v="6"/>
    <n v="3831.3"/>
    <n v="3256.605"/>
    <n v="22987.800000000003"/>
    <n v="19539.63"/>
    <n v="3448.1700000000019"/>
    <s v="Patrick"/>
    <x v="1"/>
    <x v="75"/>
    <x v="1"/>
    <n v="55"/>
    <x v="0"/>
    <x v="27"/>
    <x v="4"/>
  </r>
  <r>
    <s v="ORD-0952"/>
    <d v="2025-12-04T00:00:00"/>
    <x v="10"/>
    <s v="CUST-065"/>
    <s v="PROD-131"/>
    <n v="1"/>
    <n v="5852.5"/>
    <n v="4974.625"/>
    <n v="5852.5"/>
    <n v="4974.625"/>
    <n v="877.875"/>
    <s v="Aaron"/>
    <x v="5"/>
    <x v="42"/>
    <x v="0"/>
    <n v="23"/>
    <x v="1"/>
    <x v="2"/>
    <x v="2"/>
  </r>
  <r>
    <s v="ORD-0953"/>
    <d v="2025-11-22T00:00:00"/>
    <x v="6"/>
    <s v="CUST-138"/>
    <s v="PROD-132"/>
    <n v="4"/>
    <n v="13227.1"/>
    <n v="11243.035"/>
    <n v="52908.4"/>
    <n v="44972.14"/>
    <n v="7936.260000000002"/>
    <s v="Ralph"/>
    <x v="3"/>
    <x v="22"/>
    <x v="1"/>
    <n v="27"/>
    <x v="1"/>
    <x v="26"/>
    <x v="2"/>
  </r>
  <r>
    <s v="ORD-0954"/>
    <d v="2025-10-01T00:00:00"/>
    <x v="11"/>
    <s v="CUST-090"/>
    <s v="PROD-125"/>
    <n v="7"/>
    <n v="11075.699999999999"/>
    <n v="9414.3449999999993"/>
    <n v="77529.899999999994"/>
    <n v="65900.414999999994"/>
    <n v="11629.485000000001"/>
    <s v="Tracey"/>
    <x v="1"/>
    <x v="16"/>
    <x v="0"/>
    <n v="29"/>
    <x v="1"/>
    <x v="13"/>
    <x v="0"/>
  </r>
  <r>
    <s v="ORD-0955"/>
    <d v="2025-12-31T00:00:00"/>
    <x v="2"/>
    <s v="CUST-054"/>
    <s v="PROD-101"/>
    <n v="8"/>
    <n v="16886.900000000001"/>
    <n v="14353.865000000002"/>
    <n v="135095.20000000001"/>
    <n v="114830.92000000001"/>
    <n v="20264.28"/>
    <s v="Tara"/>
    <x v="5"/>
    <x v="52"/>
    <x v="1"/>
    <n v="39"/>
    <x v="0"/>
    <x v="16"/>
    <x v="3"/>
  </r>
  <r>
    <s v="ORD-0956"/>
    <d v="2025-12-27T00:00:00"/>
    <x v="8"/>
    <s v="CUST-027"/>
    <s v="PROD-126"/>
    <n v="4"/>
    <n v="6836.5999999999995"/>
    <n v="5811.11"/>
    <n v="27346.399999999998"/>
    <n v="23244.44"/>
    <n v="4101.9599999999991"/>
    <s v="Ethan"/>
    <x v="1"/>
    <x v="55"/>
    <x v="0"/>
    <n v="19"/>
    <x v="1"/>
    <x v="9"/>
    <x v="5"/>
  </r>
  <r>
    <s v="ORD-0957"/>
    <d v="2025-10-28T00:00:00"/>
    <x v="3"/>
    <s v="CUST-082"/>
    <s v="PROD-134"/>
    <n v="8"/>
    <n v="19382.5"/>
    <n v="16475.125"/>
    <n v="155060"/>
    <n v="131801"/>
    <n v="23259"/>
    <s v="Aaron"/>
    <x v="0"/>
    <x v="73"/>
    <x v="0"/>
    <n v="18"/>
    <x v="1"/>
    <x v="7"/>
    <x v="2"/>
  </r>
  <r>
    <s v="ORD-0958"/>
    <d v="2025-11-14T00:00:00"/>
    <x v="12"/>
    <s v="CUST-034"/>
    <s v="PROD-106"/>
    <n v="4"/>
    <n v="18526.8"/>
    <n v="15747.779999999999"/>
    <n v="74107.199999999997"/>
    <n v="62991.119999999995"/>
    <n v="11116.080000000002"/>
    <s v="Daniel"/>
    <x v="0"/>
    <x v="53"/>
    <x v="0"/>
    <n v="32"/>
    <x v="1"/>
    <x v="6"/>
    <x v="4"/>
  </r>
  <r>
    <s v="ORD-0959"/>
    <d v="2025-11-22T00:00:00"/>
    <x v="6"/>
    <s v="CUST-014"/>
    <s v="PROD-134"/>
    <n v="4"/>
    <n v="13710.699999999999"/>
    <n v="11654.094999999999"/>
    <n v="54842.799999999996"/>
    <n v="46616.38"/>
    <n v="8226.4199999999983"/>
    <s v="David"/>
    <x v="4"/>
    <x v="34"/>
    <x v="1"/>
    <n v="27"/>
    <x v="1"/>
    <x v="7"/>
    <x v="2"/>
  </r>
  <r>
    <s v="ORD-0960"/>
    <d v="2025-11-04T00:00:00"/>
    <x v="5"/>
    <s v="CUST-056"/>
    <s v="PROD-115"/>
    <n v="1"/>
    <n v="18026"/>
    <n v="15322.1"/>
    <n v="18026"/>
    <n v="15322.1"/>
    <n v="2703.8999999999996"/>
    <s v="Keith"/>
    <x v="1"/>
    <x v="1"/>
    <x v="0"/>
    <n v="55"/>
    <x v="0"/>
    <x v="10"/>
    <x v="1"/>
  </r>
  <r>
    <s v="ORD-0961"/>
    <d v="2025-10-12T00:00:00"/>
    <x v="13"/>
    <s v="CUST-100"/>
    <s v="PROD-105"/>
    <n v="5"/>
    <n v="665.3"/>
    <n v="565.505"/>
    <n v="3326.5"/>
    <n v="2827.5250000000001"/>
    <n v="498.97499999999991"/>
    <s v="Andrea"/>
    <x v="4"/>
    <x v="26"/>
    <x v="1"/>
    <n v="28"/>
    <x v="1"/>
    <x v="3"/>
    <x v="3"/>
  </r>
  <r>
    <s v="ORD-0962"/>
    <d v="2025-11-01T00:00:00"/>
    <x v="3"/>
    <s v="CUST-087"/>
    <s v="PROD-129"/>
    <n v="6"/>
    <n v="15708.800000000001"/>
    <n v="13352.480000000001"/>
    <n v="94252.800000000003"/>
    <n v="80114.880000000005"/>
    <n v="14137.919999999998"/>
    <s v="Patrick"/>
    <x v="0"/>
    <x v="105"/>
    <x v="1"/>
    <n v="53"/>
    <x v="0"/>
    <x v="21"/>
    <x v="5"/>
  </r>
  <r>
    <s v="ORD-0963"/>
    <d v="2025-12-14T00:00:00"/>
    <x v="4"/>
    <s v="CUST-064"/>
    <s v="PROD-130"/>
    <n v="3"/>
    <n v="7654"/>
    <n v="6505.9"/>
    <n v="22962"/>
    <n v="19517.699999999997"/>
    <n v="3444.3000000000029"/>
    <s v="Keith"/>
    <x v="4"/>
    <x v="59"/>
    <x v="0"/>
    <n v="37"/>
    <x v="0"/>
    <x v="29"/>
    <x v="2"/>
  </r>
  <r>
    <s v="ORD-0964"/>
    <d v="2025-12-15T00:00:00"/>
    <x v="4"/>
    <s v="CUST-135"/>
    <s v="PROD-117"/>
    <n v="1"/>
    <n v="648.9"/>
    <n v="551.56499999999994"/>
    <n v="648.9"/>
    <n v="551.56499999999994"/>
    <n v="97.335000000000036"/>
    <s v="Cheyenne"/>
    <x v="1"/>
    <x v="101"/>
    <x v="0"/>
    <n v="23"/>
    <x v="1"/>
    <x v="23"/>
    <x v="0"/>
  </r>
  <r>
    <s v="ORD-0965"/>
    <d v="2025-10-04T00:00:00"/>
    <x v="11"/>
    <s v="CUST-143"/>
    <s v="PROD-113"/>
    <n v="3"/>
    <n v="2945.6"/>
    <n v="2503.7599999999998"/>
    <n v="8836.7999999999993"/>
    <n v="7511.2799999999988"/>
    <n v="1325.5200000000004"/>
    <s v="Timothy"/>
    <x v="1"/>
    <x v="19"/>
    <x v="0"/>
    <n v="36"/>
    <x v="0"/>
    <x v="19"/>
    <x v="1"/>
  </r>
  <r>
    <s v="ORD-0966"/>
    <d v="2025-11-03T00:00:00"/>
    <x v="5"/>
    <s v="CUST-094"/>
    <s v="PROD-113"/>
    <n v="4"/>
    <n v="3187.5"/>
    <n v="2709.375"/>
    <n v="12750"/>
    <n v="10837.5"/>
    <n v="1912.5"/>
    <s v="Caroline"/>
    <x v="3"/>
    <x v="21"/>
    <x v="1"/>
    <n v="40"/>
    <x v="0"/>
    <x v="19"/>
    <x v="1"/>
  </r>
  <r>
    <s v="ORD-0967"/>
    <d v="2025-12-02T00:00:00"/>
    <x v="10"/>
    <s v="CUST-047"/>
    <s v="PROD-119"/>
    <n v="1"/>
    <n v="1978.1999999999998"/>
    <n v="1681.4699999999998"/>
    <n v="1978.1999999999998"/>
    <n v="1681.4699999999998"/>
    <n v="296.73"/>
    <s v="Linda"/>
    <x v="1"/>
    <x v="29"/>
    <x v="0"/>
    <n v="55"/>
    <x v="0"/>
    <x v="33"/>
    <x v="0"/>
  </r>
  <r>
    <s v="ORD-0968"/>
    <d v="2025-11-22T00:00:00"/>
    <x v="6"/>
    <s v="CUST-108"/>
    <s v="PROD-121"/>
    <n v="1"/>
    <n v="9391.4"/>
    <n v="7982.69"/>
    <n v="9391.4"/>
    <n v="7982.69"/>
    <n v="1408.71"/>
    <s v="Katie"/>
    <x v="5"/>
    <x v="30"/>
    <x v="0"/>
    <n v="42"/>
    <x v="0"/>
    <x v="8"/>
    <x v="0"/>
  </r>
  <r>
    <s v="ORD-0969"/>
    <d v="2025-12-28T00:00:00"/>
    <x v="2"/>
    <s v="CUST-052"/>
    <s v="PROD-133"/>
    <n v="4"/>
    <n v="10123.300000000001"/>
    <n v="8604.8050000000003"/>
    <n v="40493.200000000004"/>
    <n v="34419.22"/>
    <n v="6073.9800000000032"/>
    <s v="Cheyenne"/>
    <x v="1"/>
    <x v="8"/>
    <x v="1"/>
    <n v="28"/>
    <x v="1"/>
    <x v="22"/>
    <x v="2"/>
  </r>
  <r>
    <s v="ORD-0970"/>
    <d v="2025-12-29T00:00:00"/>
    <x v="2"/>
    <s v="CUST-144"/>
    <s v="PROD-127"/>
    <n v="9"/>
    <n v="3425.2999999999997"/>
    <n v="2911.5049999999997"/>
    <n v="30827.699999999997"/>
    <n v="26203.544999999998"/>
    <n v="4624.1549999999988"/>
    <s v="Katie"/>
    <x v="4"/>
    <x v="66"/>
    <x v="1"/>
    <n v="23"/>
    <x v="1"/>
    <x v="17"/>
    <x v="5"/>
  </r>
  <r>
    <s v="ORD-0971"/>
    <d v="2025-12-15T00:00:00"/>
    <x v="4"/>
    <s v="CUST-067"/>
    <s v="PROD-103"/>
    <n v="6"/>
    <n v="1210"/>
    <n v="1028.5"/>
    <n v="7260"/>
    <n v="6171"/>
    <n v="1089"/>
    <s v="Linda"/>
    <x v="1"/>
    <x v="64"/>
    <x v="1"/>
    <n v="45"/>
    <x v="0"/>
    <x v="28"/>
    <x v="3"/>
  </r>
  <r>
    <s v="ORD-0972"/>
    <d v="2025-11-02T00:00:00"/>
    <x v="5"/>
    <s v="CUST-128"/>
    <s v="PROD-133"/>
    <n v="9"/>
    <n v="15465.599999999999"/>
    <n v="13145.759999999998"/>
    <n v="139190.39999999999"/>
    <n v="118311.83999999998"/>
    <n v="20878.560000000012"/>
    <s v="Keith"/>
    <x v="1"/>
    <x v="75"/>
    <x v="1"/>
    <n v="55"/>
    <x v="0"/>
    <x v="22"/>
    <x v="2"/>
  </r>
  <r>
    <s v="ORD-0973"/>
    <d v="2025-10-21T00:00:00"/>
    <x v="9"/>
    <s v="CUST-022"/>
    <s v="PROD-128"/>
    <n v="7"/>
    <n v="6395.7000000000007"/>
    <n v="5436.3450000000012"/>
    <n v="44769.900000000009"/>
    <n v="38054.415000000008"/>
    <n v="6715.4850000000006"/>
    <s v="Anna"/>
    <x v="5"/>
    <x v="46"/>
    <x v="1"/>
    <n v="31"/>
    <x v="1"/>
    <x v="15"/>
    <x v="5"/>
  </r>
  <r>
    <s v="ORD-0974"/>
    <d v="2025-11-02T00:00:00"/>
    <x v="5"/>
    <s v="CUST-138"/>
    <s v="PROD-114"/>
    <n v="6"/>
    <n v="2309.4"/>
    <n v="1962.99"/>
    <n v="13856.400000000001"/>
    <n v="11777.94"/>
    <n v="2078.4600000000009"/>
    <s v="Andrea"/>
    <x v="3"/>
    <x v="22"/>
    <x v="1"/>
    <n v="27"/>
    <x v="1"/>
    <x v="18"/>
    <x v="1"/>
  </r>
  <r>
    <s v="ORD-0975"/>
    <d v="2025-11-24T00:00:00"/>
    <x v="0"/>
    <s v="CUST-117"/>
    <s v="PROD-103"/>
    <n v="10"/>
    <n v="18035.7"/>
    <n v="15330.345000000001"/>
    <n v="180357"/>
    <n v="153303.45000000001"/>
    <n v="27053.549999999988"/>
    <s v="Sean"/>
    <x v="1"/>
    <x v="20"/>
    <x v="1"/>
    <n v="29"/>
    <x v="1"/>
    <x v="28"/>
    <x v="3"/>
  </r>
  <r>
    <s v="ORD-0976"/>
    <d v="2025-11-26T00:00:00"/>
    <x v="0"/>
    <s v="CUST-106"/>
    <s v="PROD-126"/>
    <n v="10"/>
    <n v="6530.4"/>
    <n v="5550.84"/>
    <n v="65304"/>
    <n v="55508.4"/>
    <n v="9795.5999999999985"/>
    <s v="Jonathan"/>
    <x v="1"/>
    <x v="96"/>
    <x v="0"/>
    <n v="32"/>
    <x v="1"/>
    <x v="9"/>
    <x v="5"/>
  </r>
  <r>
    <s v="ORD-0977"/>
    <d v="2025-11-23T00:00:00"/>
    <x v="0"/>
    <s v="CUST-053"/>
    <s v="PROD-132"/>
    <n v="4"/>
    <n v="1634.5"/>
    <n v="1389.325"/>
    <n v="6538"/>
    <n v="5557.3"/>
    <n v="980.69999999999982"/>
    <s v="Katie"/>
    <x v="4"/>
    <x v="69"/>
    <x v="0"/>
    <n v="19"/>
    <x v="1"/>
    <x v="26"/>
    <x v="2"/>
  </r>
  <r>
    <s v="ORD-0978"/>
    <d v="2025-12-08T00:00:00"/>
    <x v="7"/>
    <s v="CUST-146"/>
    <s v="PROD-117"/>
    <n v="2"/>
    <n v="8991.7999999999993"/>
    <n v="7643.03"/>
    <n v="17983.599999999999"/>
    <n v="15286.06"/>
    <n v="2697.5399999999991"/>
    <s v="Jonathan"/>
    <x v="1"/>
    <x v="29"/>
    <x v="0"/>
    <n v="24"/>
    <x v="1"/>
    <x v="23"/>
    <x v="0"/>
  </r>
  <r>
    <s v="ORD-0979"/>
    <d v="2025-10-07T00:00:00"/>
    <x v="1"/>
    <s v="CUST-020"/>
    <s v="PROD-115"/>
    <n v="6"/>
    <n v="16760.899999999998"/>
    <n v="14246.764999999998"/>
    <n v="100565.4"/>
    <n v="85480.589999999982"/>
    <n v="15084.810000000012"/>
    <s v="Patrick"/>
    <x v="1"/>
    <x v="23"/>
    <x v="1"/>
    <n v="35"/>
    <x v="0"/>
    <x v="10"/>
    <x v="1"/>
  </r>
  <r>
    <s v="ORD-0980"/>
    <d v="2025-10-06T00:00:00"/>
    <x v="1"/>
    <s v="CUST-147"/>
    <s v="PROD-105"/>
    <n v="5"/>
    <n v="1136.4000000000001"/>
    <n v="965.94"/>
    <n v="5682"/>
    <n v="4829.7000000000007"/>
    <n v="852.29999999999927"/>
    <s v="Joshua"/>
    <x v="2"/>
    <x v="36"/>
    <x v="0"/>
    <n v="53"/>
    <x v="0"/>
    <x v="3"/>
    <x v="3"/>
  </r>
  <r>
    <s v="ORD-0981"/>
    <d v="2025-12-31T00:00:00"/>
    <x v="2"/>
    <s v="CUST-018"/>
    <s v="PROD-120"/>
    <n v="7"/>
    <n v="6622.3"/>
    <n v="5628.9549999999999"/>
    <n v="46356.1"/>
    <n v="39402.684999999998"/>
    <n v="6953.4150000000009"/>
    <s v="Jonathan"/>
    <x v="0"/>
    <x v="103"/>
    <x v="0"/>
    <n v="35"/>
    <x v="0"/>
    <x v="0"/>
    <x v="0"/>
  </r>
  <r>
    <s v="ORD-0982"/>
    <d v="2025-12-15T00:00:00"/>
    <x v="4"/>
    <s v="CUST-040"/>
    <s v="PROD-111"/>
    <n v="7"/>
    <n v="12957.7"/>
    <n v="11014.045"/>
    <n v="90703.900000000009"/>
    <n v="77098.315000000002"/>
    <n v="13605.585000000006"/>
    <s v="Jonathan"/>
    <x v="0"/>
    <x v="72"/>
    <x v="0"/>
    <n v="52"/>
    <x v="0"/>
    <x v="31"/>
    <x v="1"/>
  </r>
  <r>
    <s v="ORD-0983"/>
    <d v="2025-12-08T00:00:00"/>
    <x v="7"/>
    <s v="CUST-086"/>
    <s v="PROD-118"/>
    <n v="9"/>
    <n v="5392.7999999999993"/>
    <n v="4583.8799999999992"/>
    <n v="48535.199999999997"/>
    <n v="41254.919999999991"/>
    <n v="7280.2800000000061"/>
    <s v="Cheyenne"/>
    <x v="5"/>
    <x v="70"/>
    <x v="0"/>
    <n v="19"/>
    <x v="1"/>
    <x v="25"/>
    <x v="0"/>
  </r>
  <r>
    <s v="ORD-0984"/>
    <d v="2025-11-24T00:00:00"/>
    <x v="0"/>
    <s v="CUST-072"/>
    <s v="PROD-123"/>
    <n v="7"/>
    <n v="12698.5"/>
    <n v="10793.725"/>
    <n v="88889.5"/>
    <n v="75556.074999999997"/>
    <n v="13333.425000000003"/>
    <s v="Laura"/>
    <x v="0"/>
    <x v="54"/>
    <x v="0"/>
    <n v="45"/>
    <x v="0"/>
    <x v="32"/>
    <x v="0"/>
  </r>
  <r>
    <s v="ORD-0985"/>
    <d v="2025-11-24T00:00:00"/>
    <x v="0"/>
    <s v="CUST-065"/>
    <s v="PROD-115"/>
    <n v="3"/>
    <n v="819.4"/>
    <n v="696.49"/>
    <n v="2458.1999999999998"/>
    <n v="2089.4700000000003"/>
    <n v="368.72999999999956"/>
    <s v="Thomas"/>
    <x v="5"/>
    <x v="42"/>
    <x v="0"/>
    <n v="23"/>
    <x v="1"/>
    <x v="10"/>
    <x v="1"/>
  </r>
  <r>
    <s v="ORD-0986"/>
    <d v="2025-12-20T00:00:00"/>
    <x v="4"/>
    <s v="CUST-120"/>
    <s v="PROD-125"/>
    <n v="10"/>
    <n v="19231.8"/>
    <n v="16347.029999999999"/>
    <n v="192318"/>
    <n v="163470.29999999999"/>
    <n v="28847.700000000012"/>
    <s v="Lori"/>
    <x v="0"/>
    <x v="95"/>
    <x v="1"/>
    <n v="18"/>
    <x v="1"/>
    <x v="13"/>
    <x v="0"/>
  </r>
  <r>
    <s v="ORD-0987"/>
    <d v="2025-10-22T00:00:00"/>
    <x v="9"/>
    <s v="CUST-119"/>
    <s v="PROD-101"/>
    <n v="5"/>
    <n v="16004.2"/>
    <n v="13603.57"/>
    <n v="80021"/>
    <n v="68017.850000000006"/>
    <n v="12003.149999999994"/>
    <s v="Kayla"/>
    <x v="5"/>
    <x v="56"/>
    <x v="1"/>
    <n v="20"/>
    <x v="1"/>
    <x v="16"/>
    <x v="3"/>
  </r>
  <r>
    <s v="ORD-0988"/>
    <d v="2025-10-24T00:00:00"/>
    <x v="9"/>
    <s v="CUST-049"/>
    <s v="PROD-133"/>
    <n v="8"/>
    <n v="13316.199999999999"/>
    <n v="11318.769999999999"/>
    <n v="106529.59999999999"/>
    <n v="90550.159999999989"/>
    <n v="15979.440000000002"/>
    <s v="Victoria"/>
    <x v="2"/>
    <x v="38"/>
    <x v="1"/>
    <n v="36"/>
    <x v="0"/>
    <x v="22"/>
    <x v="2"/>
  </r>
  <r>
    <s v="ORD-0989"/>
    <d v="2025-12-06T00:00:00"/>
    <x v="10"/>
    <s v="CUST-057"/>
    <s v="PROD-133"/>
    <n v="9"/>
    <n v="3341.7000000000003"/>
    <n v="2840.4450000000002"/>
    <n v="30075.300000000003"/>
    <n v="25564.005000000001"/>
    <n v="4511.2950000000019"/>
    <s v="Daniel"/>
    <x v="4"/>
    <x v="49"/>
    <x v="1"/>
    <n v="26"/>
    <x v="1"/>
    <x v="22"/>
    <x v="2"/>
  </r>
  <r>
    <s v="ORD-0990"/>
    <d v="2025-12-20T00:00:00"/>
    <x v="4"/>
    <s v="CUST-054"/>
    <s v="PROD-106"/>
    <n v="9"/>
    <n v="16207.3"/>
    <n v="13776.205"/>
    <n v="145865.69999999998"/>
    <n v="123985.845"/>
    <n v="21879.854999999981"/>
    <s v="Victoria"/>
    <x v="5"/>
    <x v="52"/>
    <x v="1"/>
    <n v="39"/>
    <x v="0"/>
    <x v="6"/>
    <x v="4"/>
  </r>
  <r>
    <s v="ORD-0991"/>
    <d v="2025-11-10T00:00:00"/>
    <x v="12"/>
    <s v="CUST-118"/>
    <s v="PROD-121"/>
    <n v="8"/>
    <n v="19720"/>
    <n v="16762"/>
    <n v="157760"/>
    <n v="134096"/>
    <n v="23664"/>
    <s v="Kayla"/>
    <x v="4"/>
    <x v="62"/>
    <x v="0"/>
    <n v="48"/>
    <x v="0"/>
    <x v="8"/>
    <x v="0"/>
  </r>
  <r>
    <s v="ORD-0992"/>
    <d v="2025-12-30T00:00:00"/>
    <x v="2"/>
    <s v="CUST-030"/>
    <s v="PROD-121"/>
    <n v="9"/>
    <n v="2881.5"/>
    <n v="2449.2750000000001"/>
    <n v="25933.5"/>
    <n v="22043.475000000002"/>
    <n v="3890.0249999999978"/>
    <s v="David"/>
    <x v="3"/>
    <x v="4"/>
    <x v="1"/>
    <n v="24"/>
    <x v="1"/>
    <x v="8"/>
    <x v="0"/>
  </r>
  <r>
    <s v="ORD-0993"/>
    <d v="2025-11-26T00:00:00"/>
    <x v="0"/>
    <s v="CUST-094"/>
    <s v="PROD-115"/>
    <n v="3"/>
    <n v="8522.9"/>
    <n v="7244.4650000000001"/>
    <n v="25568.699999999997"/>
    <n v="21733.395"/>
    <n v="3835.3049999999967"/>
    <s v="Andrea"/>
    <x v="3"/>
    <x v="21"/>
    <x v="1"/>
    <n v="40"/>
    <x v="0"/>
    <x v="10"/>
    <x v="1"/>
  </r>
  <r>
    <s v="ORD-0994"/>
    <d v="2025-12-30T00:00:00"/>
    <x v="2"/>
    <s v="CUST-143"/>
    <s v="PROD-106"/>
    <n v="1"/>
    <n v="11503.099999999999"/>
    <n v="9777.6349999999984"/>
    <n v="11503.099999999999"/>
    <n v="9777.6349999999984"/>
    <n v="1725.4650000000001"/>
    <s v="Sean"/>
    <x v="1"/>
    <x v="19"/>
    <x v="0"/>
    <n v="36"/>
    <x v="0"/>
    <x v="6"/>
    <x v="4"/>
  </r>
  <r>
    <s v="ORD-0995"/>
    <d v="2025-11-13T00:00:00"/>
    <x v="12"/>
    <s v="CUST-097"/>
    <s v="PROD-130"/>
    <n v="4"/>
    <n v="10207"/>
    <n v="8675.9500000000007"/>
    <n v="40828"/>
    <n v="34703.800000000003"/>
    <n v="6124.1999999999971"/>
    <s v="Ethan"/>
    <x v="5"/>
    <x v="1"/>
    <x v="0"/>
    <n v="23"/>
    <x v="1"/>
    <x v="29"/>
    <x v="2"/>
  </r>
  <r>
    <s v="ORD-0996"/>
    <d v="2025-10-10T00:00:00"/>
    <x v="1"/>
    <s v="CUST-061"/>
    <s v="PROD-107"/>
    <n v="2"/>
    <n v="15855.2"/>
    <n v="13476.92"/>
    <n v="31710.400000000001"/>
    <n v="26953.84"/>
    <n v="4756.5600000000013"/>
    <s v="Tara"/>
    <x v="0"/>
    <x v="31"/>
    <x v="0"/>
    <n v="28"/>
    <x v="1"/>
    <x v="12"/>
    <x v="4"/>
  </r>
  <r>
    <s v="ORD-0997"/>
    <d v="2025-11-15T00:00:00"/>
    <x v="12"/>
    <s v="CUST-078"/>
    <s v="PROD-120"/>
    <n v="1"/>
    <n v="4997.7"/>
    <n v="4248.0450000000001"/>
    <n v="4997.7"/>
    <n v="4248.0450000000001"/>
    <n v="749.65499999999975"/>
    <s v="Sean"/>
    <x v="4"/>
    <x v="43"/>
    <x v="0"/>
    <n v="25"/>
    <x v="1"/>
    <x v="0"/>
    <x v="0"/>
  </r>
  <r>
    <s v="ORD-0998"/>
    <d v="2025-11-20T00:00:00"/>
    <x v="6"/>
    <s v="CUST-138"/>
    <s v="PROD-102"/>
    <n v="6"/>
    <n v="8441.6"/>
    <n v="7175.3600000000006"/>
    <n v="50649.600000000006"/>
    <n v="43052.160000000003"/>
    <n v="7597.4400000000023"/>
    <s v="Timothy"/>
    <x v="3"/>
    <x v="22"/>
    <x v="1"/>
    <n v="27"/>
    <x v="1"/>
    <x v="20"/>
    <x v="3"/>
  </r>
  <r>
    <s v="ORD-0999"/>
    <d v="2025-11-07T00:00:00"/>
    <x v="5"/>
    <s v="CUST-064"/>
    <s v="PROD-131"/>
    <n v="4"/>
    <n v="14929.7"/>
    <n v="12690.245000000001"/>
    <n v="59718.8"/>
    <n v="50760.98"/>
    <n v="8957.82"/>
    <s v="Timothy"/>
    <x v="4"/>
    <x v="59"/>
    <x v="0"/>
    <n v="37"/>
    <x v="0"/>
    <x v="2"/>
    <x v="2"/>
  </r>
  <r>
    <s v="ORD-1000"/>
    <d v="2025-11-28T00:00:00"/>
    <x v="0"/>
    <s v="CUST-006"/>
    <s v="PROD-102"/>
    <n v="5"/>
    <n v="14809.2"/>
    <n v="12587.82"/>
    <n v="74046"/>
    <n v="62939.1"/>
    <n v="11106.900000000001"/>
    <s v="Lori"/>
    <x v="0"/>
    <x v="58"/>
    <x v="1"/>
    <n v="19"/>
    <x v="1"/>
    <x v="20"/>
    <x v="3"/>
  </r>
  <r>
    <s v="ORD-1001"/>
    <d v="2025-10-08T00:00:00"/>
    <x v="1"/>
    <s v="CUST-027"/>
    <s v="PROD-126"/>
    <n v="6"/>
    <n v="8397.4"/>
    <n v="7137.79"/>
    <n v="50384.399999999994"/>
    <n v="42826.74"/>
    <n v="7557.6599999999962"/>
    <s v="Lori"/>
    <x v="1"/>
    <x v="55"/>
    <x v="0"/>
    <n v="19"/>
    <x v="1"/>
    <x v="9"/>
    <x v="5"/>
  </r>
  <r>
    <s v="ORD-1002"/>
    <d v="2025-10-22T00:00:00"/>
    <x v="9"/>
    <s v="CUST-021"/>
    <s v="PROD-113"/>
    <n v="3"/>
    <n v="8042.7999999999993"/>
    <n v="6836.3799999999992"/>
    <n v="24128.399999999998"/>
    <n v="20509.14"/>
    <n v="3619.2599999999984"/>
    <s v="David"/>
    <x v="4"/>
    <x v="67"/>
    <x v="1"/>
    <n v="28"/>
    <x v="1"/>
    <x v="19"/>
    <x v="1"/>
  </r>
  <r>
    <s v="ORD-1003"/>
    <d v="2025-12-04T00:00:00"/>
    <x v="10"/>
    <s v="CUST-033"/>
    <s v="PROD-119"/>
    <n v="10"/>
    <n v="4278.2"/>
    <n v="3636.47"/>
    <n v="42782"/>
    <n v="36364.699999999997"/>
    <n v="6417.3000000000029"/>
    <s v="Timothy"/>
    <x v="5"/>
    <x v="29"/>
    <x v="0"/>
    <n v="19"/>
    <x v="1"/>
    <x v="33"/>
    <x v="0"/>
  </r>
  <r>
    <s v="ORD-1004"/>
    <d v="2025-11-28T00:00:00"/>
    <x v="0"/>
    <s v="CUST-138"/>
    <s v="PROD-104"/>
    <n v="7"/>
    <n v="17884.100000000002"/>
    <n v="15201.485000000002"/>
    <n v="125188.70000000001"/>
    <n v="106410.39500000002"/>
    <n v="18778.304999999993"/>
    <s v="Ethan"/>
    <x v="3"/>
    <x v="22"/>
    <x v="1"/>
    <n v="27"/>
    <x v="1"/>
    <x v="4"/>
    <x v="3"/>
  </r>
  <r>
    <s v="ORD-1005"/>
    <d v="2025-12-02T00:00:00"/>
    <x v="10"/>
    <s v="CUST-087"/>
    <s v="PROD-126"/>
    <n v="5"/>
    <n v="18022.7"/>
    <n v="15319.295"/>
    <n v="90113.5"/>
    <n v="76596.475000000006"/>
    <n v="13517.024999999994"/>
    <s v="Sean"/>
    <x v="0"/>
    <x v="105"/>
    <x v="1"/>
    <n v="53"/>
    <x v="0"/>
    <x v="9"/>
    <x v="5"/>
  </r>
  <r>
    <s v="ORD-1006"/>
    <d v="2025-11-17T00:00:00"/>
    <x v="6"/>
    <s v="CUST-094"/>
    <s v="PROD-132"/>
    <n v="2"/>
    <n v="15860.9"/>
    <n v="13481.764999999999"/>
    <n v="31721.8"/>
    <n v="26963.53"/>
    <n v="4758.2700000000004"/>
    <s v="Aaron"/>
    <x v="3"/>
    <x v="21"/>
    <x v="1"/>
    <n v="40"/>
    <x v="0"/>
    <x v="26"/>
    <x v="2"/>
  </r>
  <r>
    <s v="ORD-1007"/>
    <d v="2025-12-03T00:00:00"/>
    <x v="10"/>
    <s v="CUST-081"/>
    <s v="PROD-104"/>
    <n v="4"/>
    <n v="18261.8"/>
    <n v="15522.529999999999"/>
    <n v="73047.199999999997"/>
    <n v="62090.119999999995"/>
    <n v="10957.080000000002"/>
    <s v="Jasmine"/>
    <x v="2"/>
    <x v="43"/>
    <x v="0"/>
    <n v="46"/>
    <x v="0"/>
    <x v="4"/>
    <x v="3"/>
  </r>
  <r>
    <s v="ORD-1008"/>
    <d v="2025-12-13T00:00:00"/>
    <x v="7"/>
    <s v="CUST-130"/>
    <s v="PROD-132"/>
    <n v="1"/>
    <n v="14750.699999999999"/>
    <n v="12538.094999999999"/>
    <n v="14750.699999999999"/>
    <n v="12538.094999999999"/>
    <n v="2212.6049999999996"/>
    <s v="Jennifer"/>
    <x v="5"/>
    <x v="34"/>
    <x v="1"/>
    <n v="55"/>
    <x v="0"/>
    <x v="26"/>
    <x v="2"/>
  </r>
  <r>
    <s v="ORD-1009"/>
    <d v="2025-10-20T00:00:00"/>
    <x v="9"/>
    <s v="CUST-001"/>
    <s v="PROD-127"/>
    <n v="2"/>
    <n v="13477.3"/>
    <n v="11455.705"/>
    <n v="26954.6"/>
    <n v="22911.41"/>
    <n v="4043.1899999999987"/>
    <s v="Cheyenne"/>
    <x v="3"/>
    <x v="74"/>
    <x v="1"/>
    <n v="27"/>
    <x v="1"/>
    <x v="17"/>
    <x v="5"/>
  </r>
  <r>
    <s v="ORD-1010"/>
    <d v="2025-10-08T00:00:00"/>
    <x v="1"/>
    <s v="CUST-037"/>
    <s v="PROD-128"/>
    <n v="8"/>
    <n v="1083.5"/>
    <n v="920.97500000000002"/>
    <n v="8668"/>
    <n v="7367.8"/>
    <n v="1300.1999999999998"/>
    <s v="Jonathan"/>
    <x v="1"/>
    <x v="73"/>
    <x v="0"/>
    <n v="26"/>
    <x v="1"/>
    <x v="15"/>
    <x v="5"/>
  </r>
  <r>
    <s v="ORD-1011"/>
    <d v="2025-10-09T00:00:00"/>
    <x v="1"/>
    <s v="CUST-126"/>
    <s v="PROD-114"/>
    <n v="10"/>
    <n v="1422.4"/>
    <n v="1209.04"/>
    <n v="14224"/>
    <n v="12090.4"/>
    <n v="2133.6000000000004"/>
    <s v="Keith"/>
    <x v="0"/>
    <x v="89"/>
    <x v="1"/>
    <n v="40"/>
    <x v="0"/>
    <x v="18"/>
    <x v="1"/>
  </r>
  <r>
    <s v="ORD-1012"/>
    <d v="2025-10-25T00:00:00"/>
    <x v="9"/>
    <s v="CUST-119"/>
    <s v="PROD-106"/>
    <n v="3"/>
    <n v="11433.5"/>
    <n v="9718.4750000000004"/>
    <n v="34300.5"/>
    <n v="29155.425000000003"/>
    <n v="5145.0749999999971"/>
    <s v="Lori"/>
    <x v="5"/>
    <x v="56"/>
    <x v="1"/>
    <n v="20"/>
    <x v="1"/>
    <x v="6"/>
    <x v="4"/>
  </r>
  <r>
    <s v="ORD-1013"/>
    <d v="2025-11-07T00:00:00"/>
    <x v="5"/>
    <s v="CUST-125"/>
    <s v="PROD-121"/>
    <n v="1"/>
    <n v="4349.3"/>
    <n v="3696.9050000000002"/>
    <n v="4349.3"/>
    <n v="3696.9050000000002"/>
    <n v="652.39499999999998"/>
    <s v="Jasmine"/>
    <x v="2"/>
    <x v="28"/>
    <x v="0"/>
    <n v="23"/>
    <x v="1"/>
    <x v="8"/>
    <x v="0"/>
  </r>
  <r>
    <s v="ORD-1014"/>
    <d v="2025-12-02T00:00:00"/>
    <x v="10"/>
    <s v="CUST-113"/>
    <s v="PROD-102"/>
    <n v="3"/>
    <n v="6685.2"/>
    <n v="5682.42"/>
    <n v="20055.599999999999"/>
    <n v="17047.260000000002"/>
    <n v="3008.3399999999965"/>
    <s v="Patrick"/>
    <x v="1"/>
    <x v="21"/>
    <x v="1"/>
    <n v="47"/>
    <x v="0"/>
    <x v="20"/>
    <x v="3"/>
  </r>
  <r>
    <s v="ORD-1015"/>
    <d v="2025-11-18T00:00:00"/>
    <x v="6"/>
    <s v="CUST-090"/>
    <s v="PROD-107"/>
    <n v="1"/>
    <n v="14142.3"/>
    <n v="12020.955"/>
    <n v="14142.3"/>
    <n v="12020.955"/>
    <n v="2121.3449999999993"/>
    <s v="Joshua"/>
    <x v="1"/>
    <x v="16"/>
    <x v="0"/>
    <n v="29"/>
    <x v="1"/>
    <x v="12"/>
    <x v="4"/>
  </r>
  <r>
    <s v="ORD-1016"/>
    <d v="2025-10-08T00:00:00"/>
    <x v="1"/>
    <s v="CUST-052"/>
    <s v="PROD-128"/>
    <n v="1"/>
    <n v="16887.3"/>
    <n v="14354.205"/>
    <n v="16887.3"/>
    <n v="14354.205"/>
    <n v="2533.0949999999993"/>
    <s v="Douglas"/>
    <x v="1"/>
    <x v="8"/>
    <x v="1"/>
    <n v="28"/>
    <x v="1"/>
    <x v="15"/>
    <x v="5"/>
  </r>
  <r>
    <s v="ORD-1017"/>
    <d v="2025-11-24T00:00:00"/>
    <x v="0"/>
    <s v="CUST-139"/>
    <s v="PROD-103"/>
    <n v="3"/>
    <n v="7126.3"/>
    <n v="6057.3550000000005"/>
    <n v="21378.9"/>
    <n v="18172.065000000002"/>
    <n v="3206.8349999999991"/>
    <s v="Keith"/>
    <x v="1"/>
    <x v="57"/>
    <x v="1"/>
    <n v="20"/>
    <x v="1"/>
    <x v="28"/>
    <x v="3"/>
  </r>
  <r>
    <s v="ORD-1018"/>
    <d v="2025-10-08T00:00:00"/>
    <x v="1"/>
    <s v="CUST-038"/>
    <s v="PROD-112"/>
    <n v="4"/>
    <n v="15580.5"/>
    <n v="13243.424999999999"/>
    <n v="62322"/>
    <n v="52973.7"/>
    <n v="9348.3000000000029"/>
    <s v="Sean"/>
    <x v="1"/>
    <x v="59"/>
    <x v="0"/>
    <n v="32"/>
    <x v="1"/>
    <x v="1"/>
    <x v="1"/>
  </r>
  <r>
    <s v="ORD-1019"/>
    <d v="2025-12-19T00:00:00"/>
    <x v="4"/>
    <s v="CUST-049"/>
    <s v="PROD-134"/>
    <n v="3"/>
    <n v="19884.3"/>
    <n v="16901.654999999999"/>
    <n v="59652.899999999994"/>
    <n v="50704.964999999997"/>
    <n v="8947.9349999999977"/>
    <s v="Aaron"/>
    <x v="2"/>
    <x v="38"/>
    <x v="1"/>
    <n v="36"/>
    <x v="0"/>
    <x v="7"/>
    <x v="2"/>
  </r>
  <r>
    <s v="ORD-1020"/>
    <d v="2025-10-13T00:00:00"/>
    <x v="13"/>
    <s v="CUST-021"/>
    <s v="PROD-113"/>
    <n v="6"/>
    <n v="8507.6"/>
    <n v="7231.46"/>
    <n v="51045.600000000006"/>
    <n v="43388.76"/>
    <n v="7656.8400000000038"/>
    <s v="Andrea"/>
    <x v="4"/>
    <x v="67"/>
    <x v="1"/>
    <n v="28"/>
    <x v="1"/>
    <x v="19"/>
    <x v="1"/>
  </r>
  <r>
    <s v="ORD-1021"/>
    <d v="2025-12-20T00:00:00"/>
    <x v="4"/>
    <s v="CUST-100"/>
    <s v="PROD-110"/>
    <n v="5"/>
    <n v="7179.2"/>
    <n v="6102.32"/>
    <n v="35896"/>
    <n v="30511.599999999999"/>
    <n v="5384.4000000000015"/>
    <s v="Sean"/>
    <x v="4"/>
    <x v="26"/>
    <x v="1"/>
    <n v="28"/>
    <x v="1"/>
    <x v="14"/>
    <x v="4"/>
  </r>
  <r>
    <s v="ORD-1022"/>
    <d v="2025-11-28T00:00:00"/>
    <x v="0"/>
    <s v="CUST-007"/>
    <s v="PROD-130"/>
    <n v="10"/>
    <n v="5875.5"/>
    <n v="4994.1750000000002"/>
    <n v="58755"/>
    <n v="49941.75"/>
    <n v="8813.25"/>
    <s v="Andrea"/>
    <x v="1"/>
    <x v="29"/>
    <x v="0"/>
    <n v="44"/>
    <x v="0"/>
    <x v="29"/>
    <x v="2"/>
  </r>
  <r>
    <s v="ORD-1023"/>
    <d v="2025-12-01T00:00:00"/>
    <x v="10"/>
    <s v="CUST-117"/>
    <s v="PROD-127"/>
    <n v="8"/>
    <n v="16480.3"/>
    <n v="14008.254999999999"/>
    <n v="131842.4"/>
    <n v="112066.04"/>
    <n v="19776.36"/>
    <s v="Kayla"/>
    <x v="1"/>
    <x v="20"/>
    <x v="1"/>
    <n v="29"/>
    <x v="1"/>
    <x v="17"/>
    <x v="5"/>
  </r>
  <r>
    <s v="ORD-1024"/>
    <d v="2025-10-04T00:00:00"/>
    <x v="11"/>
    <s v="CUST-007"/>
    <s v="PROD-120"/>
    <n v="10"/>
    <n v="1783.1999999999998"/>
    <n v="1515.7199999999998"/>
    <n v="17832"/>
    <n v="15157.199999999997"/>
    <n v="2674.8000000000029"/>
    <s v="Katie"/>
    <x v="1"/>
    <x v="29"/>
    <x v="0"/>
    <n v="44"/>
    <x v="0"/>
    <x v="0"/>
    <x v="0"/>
  </r>
  <r>
    <s v="ORD-1025"/>
    <d v="2025-10-13T00:00:00"/>
    <x v="13"/>
    <s v="CUST-053"/>
    <s v="PROD-128"/>
    <n v="6"/>
    <n v="5655.9000000000005"/>
    <n v="4807.5150000000003"/>
    <n v="33935.4"/>
    <n v="28845.090000000004"/>
    <n v="5090.3099999999977"/>
    <s v="Jonathan"/>
    <x v="4"/>
    <x v="69"/>
    <x v="0"/>
    <n v="19"/>
    <x v="1"/>
    <x v="15"/>
    <x v="5"/>
  </r>
  <r>
    <s v="ORD-1026"/>
    <d v="2025-10-01T00:00:00"/>
    <x v="11"/>
    <s v="CUST-093"/>
    <s v="PROD-125"/>
    <n v="3"/>
    <n v="4451.3999999999996"/>
    <n v="3783.6899999999996"/>
    <n v="13354.199999999999"/>
    <n v="11351.07"/>
    <n v="2003.1299999999992"/>
    <s v="Brenda"/>
    <x v="0"/>
    <x v="25"/>
    <x v="0"/>
    <n v="19"/>
    <x v="1"/>
    <x v="13"/>
    <x v="0"/>
  </r>
  <r>
    <s v="ORD-1027"/>
    <d v="2025-11-02T00:00:00"/>
    <x v="5"/>
    <s v="CUST-017"/>
    <s v="PROD-126"/>
    <n v="5"/>
    <n v="4378.8999999999996"/>
    <n v="3722.0649999999996"/>
    <n v="21894.5"/>
    <n v="18610.324999999997"/>
    <n v="3284.1750000000029"/>
    <s v="Victoria"/>
    <x v="2"/>
    <x v="60"/>
    <x v="0"/>
    <n v="27"/>
    <x v="1"/>
    <x v="9"/>
    <x v="5"/>
  </r>
  <r>
    <s v="ORD-1028"/>
    <d v="2025-10-19T00:00:00"/>
    <x v="9"/>
    <s v="CUST-064"/>
    <s v="PROD-117"/>
    <n v="2"/>
    <n v="2312.6"/>
    <n v="1965.71"/>
    <n v="4625.2"/>
    <n v="3931.42"/>
    <n v="693.77999999999975"/>
    <s v="Tara"/>
    <x v="4"/>
    <x v="59"/>
    <x v="0"/>
    <n v="37"/>
    <x v="0"/>
    <x v="23"/>
    <x v="0"/>
  </r>
  <r>
    <s v="ORD-1029"/>
    <d v="2025-11-19T00:00:00"/>
    <x v="6"/>
    <s v="CUST-126"/>
    <s v="PROD-132"/>
    <n v="1"/>
    <n v="17734.599999999999"/>
    <n v="15074.41"/>
    <n v="17734.599999999999"/>
    <n v="15074.41"/>
    <n v="2660.1899999999987"/>
    <s v="Patrick"/>
    <x v="0"/>
    <x v="89"/>
    <x v="1"/>
    <n v="40"/>
    <x v="0"/>
    <x v="26"/>
    <x v="2"/>
  </r>
  <r>
    <s v="ORD-1030"/>
    <d v="2025-11-29T00:00:00"/>
    <x v="0"/>
    <s v="CUST-099"/>
    <s v="PROD-101"/>
    <n v="5"/>
    <n v="13457.5"/>
    <n v="11438.875"/>
    <n v="67287.5"/>
    <n v="57194.375"/>
    <n v="10093.125"/>
    <s v="Thomas"/>
    <x v="1"/>
    <x v="5"/>
    <x v="0"/>
    <n v="52"/>
    <x v="0"/>
    <x v="16"/>
    <x v="3"/>
  </r>
  <r>
    <s v="ORD-1031"/>
    <d v="2025-12-01T00:00:00"/>
    <x v="10"/>
    <s v="CUST-112"/>
    <s v="PROD-106"/>
    <n v="2"/>
    <n v="8363.4"/>
    <n v="7108.8899999999994"/>
    <n v="16726.8"/>
    <n v="14217.779999999999"/>
    <n v="2509.0200000000004"/>
    <s v="Kayla"/>
    <x v="1"/>
    <x v="11"/>
    <x v="1"/>
    <n v="40"/>
    <x v="0"/>
    <x v="6"/>
    <x v="4"/>
  </r>
  <r>
    <s v="ORD-1032"/>
    <d v="2025-11-04T00:00:00"/>
    <x v="5"/>
    <s v="CUST-044"/>
    <s v="PROD-111"/>
    <n v="7"/>
    <n v="12925.4"/>
    <n v="10986.59"/>
    <n v="90477.8"/>
    <n v="76906.13"/>
    <n v="13571.669999999998"/>
    <s v="Sean"/>
    <x v="5"/>
    <x v="28"/>
    <x v="0"/>
    <n v="31"/>
    <x v="1"/>
    <x v="31"/>
    <x v="1"/>
  </r>
  <r>
    <s v="ORD-1033"/>
    <d v="2025-10-06T00:00:00"/>
    <x v="1"/>
    <s v="CUST-005"/>
    <s v="PROD-107"/>
    <n v="2"/>
    <n v="14029"/>
    <n v="11924.65"/>
    <n v="28058"/>
    <n v="23849.3"/>
    <n v="4208.7000000000007"/>
    <s v="Jasmine"/>
    <x v="0"/>
    <x v="39"/>
    <x v="1"/>
    <n v="20"/>
    <x v="1"/>
    <x v="12"/>
    <x v="4"/>
  </r>
  <r>
    <s v="ORD-1034"/>
    <d v="2025-10-22T00:00:00"/>
    <x v="9"/>
    <s v="CUST-095"/>
    <s v="PROD-114"/>
    <n v="4"/>
    <n v="13137.7"/>
    <n v="11167.045"/>
    <n v="52550.8"/>
    <n v="44668.18"/>
    <n v="7882.6200000000026"/>
    <s v="Caroline"/>
    <x v="1"/>
    <x v="2"/>
    <x v="1"/>
    <n v="39"/>
    <x v="0"/>
    <x v="18"/>
    <x v="1"/>
  </r>
  <r>
    <s v="ORD-1035"/>
    <d v="2025-12-16T00:00:00"/>
    <x v="4"/>
    <s v="CUST-080"/>
    <s v="PROD-132"/>
    <n v="1"/>
    <n v="13554.400000000001"/>
    <n v="11521.240000000002"/>
    <n v="13554.400000000001"/>
    <n v="11521.240000000002"/>
    <n v="2033.1599999999999"/>
    <s v="Jonathan"/>
    <x v="1"/>
    <x v="33"/>
    <x v="1"/>
    <n v="21"/>
    <x v="1"/>
    <x v="26"/>
    <x v="2"/>
  </r>
  <r>
    <s v="ORD-1036"/>
    <d v="2025-11-09T00:00:00"/>
    <x v="12"/>
    <s v="CUST-010"/>
    <s v="PROD-131"/>
    <n v="6"/>
    <n v="17022.099999999999"/>
    <n v="14468.785"/>
    <n v="102132.59999999999"/>
    <n v="86812.709999999992"/>
    <n v="15319.89"/>
    <s v="Tracey"/>
    <x v="1"/>
    <x v="93"/>
    <x v="1"/>
    <n v="21"/>
    <x v="1"/>
    <x v="2"/>
    <x v="2"/>
  </r>
  <r>
    <s v="ORD-1037"/>
    <d v="2025-12-01T00:00:00"/>
    <x v="10"/>
    <s v="CUST-056"/>
    <s v="PROD-113"/>
    <n v="10"/>
    <n v="2894.2000000000003"/>
    <n v="2460.0700000000002"/>
    <n v="28942.000000000004"/>
    <n v="24600.7"/>
    <n v="4341.3000000000029"/>
    <s v="Patrick"/>
    <x v="1"/>
    <x v="1"/>
    <x v="0"/>
    <n v="55"/>
    <x v="0"/>
    <x v="19"/>
    <x v="1"/>
  </r>
  <r>
    <s v="ORD-1038"/>
    <d v="2025-12-15T00:00:00"/>
    <x v="4"/>
    <s v="CUST-042"/>
    <s v="PROD-133"/>
    <n v="7"/>
    <n v="9965.4"/>
    <n v="8470.59"/>
    <n v="69757.8"/>
    <n v="59294.130000000005"/>
    <n v="10463.669999999998"/>
    <s v="Katie"/>
    <x v="1"/>
    <x v="41"/>
    <x v="0"/>
    <n v="33"/>
    <x v="1"/>
    <x v="22"/>
    <x v="2"/>
  </r>
  <r>
    <s v="ORD-1039"/>
    <d v="2025-11-10T00:00:00"/>
    <x v="12"/>
    <s v="CUST-054"/>
    <s v="PROD-108"/>
    <n v="10"/>
    <n v="7440.8"/>
    <n v="6324.68"/>
    <n v="74408"/>
    <n v="63246.8"/>
    <n v="11161.199999999997"/>
    <s v="Sean"/>
    <x v="5"/>
    <x v="52"/>
    <x v="1"/>
    <n v="39"/>
    <x v="0"/>
    <x v="27"/>
    <x v="4"/>
  </r>
  <r>
    <s v="ORD-1040"/>
    <d v="2025-12-06T00:00:00"/>
    <x v="10"/>
    <s v="CUST-054"/>
    <s v="PROD-106"/>
    <n v="9"/>
    <n v="17730.7"/>
    <n v="15071.095000000001"/>
    <n v="159576.30000000002"/>
    <n v="135639.85500000001"/>
    <n v="23936.445000000007"/>
    <s v="Cheyenne"/>
    <x v="5"/>
    <x v="52"/>
    <x v="1"/>
    <n v="39"/>
    <x v="0"/>
    <x v="6"/>
    <x v="4"/>
  </r>
  <r>
    <s v="ORD-1041"/>
    <d v="2025-11-20T00:00:00"/>
    <x v="6"/>
    <s v="CUST-063"/>
    <s v="PROD-125"/>
    <n v="8"/>
    <n v="13024.300000000001"/>
    <n v="11070.655000000001"/>
    <n v="104194.40000000001"/>
    <n v="88565.24"/>
    <n v="15629.160000000003"/>
    <s v="Laura"/>
    <x v="1"/>
    <x v="18"/>
    <x v="0"/>
    <n v="24"/>
    <x v="1"/>
    <x v="13"/>
    <x v="0"/>
  </r>
  <r>
    <s v="ORD-1042"/>
    <d v="2025-12-09T00:00:00"/>
    <x v="7"/>
    <s v="CUST-064"/>
    <s v="PROD-104"/>
    <n v="8"/>
    <n v="11944.8"/>
    <n v="10153.08"/>
    <n v="95558.399999999994"/>
    <n v="81224.639999999999"/>
    <n v="14333.759999999995"/>
    <s v="Cheyenne"/>
    <x v="4"/>
    <x v="59"/>
    <x v="0"/>
    <n v="37"/>
    <x v="0"/>
    <x v="4"/>
    <x v="3"/>
  </r>
  <r>
    <s v="ORD-1043"/>
    <d v="2025-10-28T00:00:00"/>
    <x v="3"/>
    <s v="CUST-007"/>
    <s v="PROD-110"/>
    <n v="7"/>
    <n v="12080.599999999999"/>
    <n v="10268.509999999998"/>
    <n v="84564.199999999983"/>
    <n v="71879.569999999992"/>
    <n v="12684.62999999999"/>
    <s v="Jennifer"/>
    <x v="1"/>
    <x v="29"/>
    <x v="0"/>
    <n v="44"/>
    <x v="0"/>
    <x v="14"/>
    <x v="4"/>
  </r>
  <r>
    <s v="ORD-1044"/>
    <d v="2025-10-31T00:00:00"/>
    <x v="3"/>
    <s v="CUST-070"/>
    <s v="PROD-126"/>
    <n v="10"/>
    <n v="3199.1000000000004"/>
    <n v="2719.2350000000006"/>
    <n v="31991.000000000004"/>
    <n v="27192.350000000006"/>
    <n v="4798.6499999999978"/>
    <s v="Lori"/>
    <x v="1"/>
    <x v="51"/>
    <x v="1"/>
    <n v="25"/>
    <x v="1"/>
    <x v="9"/>
    <x v="5"/>
  </r>
  <r>
    <s v="ORD-1045"/>
    <d v="2025-11-18T00:00:00"/>
    <x v="6"/>
    <s v="CUST-007"/>
    <s v="PROD-129"/>
    <n v="5"/>
    <n v="2302.6"/>
    <n v="1957.21"/>
    <n v="11513"/>
    <n v="9786.0499999999993"/>
    <n v="1726.9500000000007"/>
    <s v="Cheyenne"/>
    <x v="1"/>
    <x v="29"/>
    <x v="0"/>
    <n v="44"/>
    <x v="0"/>
    <x v="21"/>
    <x v="5"/>
  </r>
  <r>
    <s v="ORD-1046"/>
    <d v="2025-12-02T00:00:00"/>
    <x v="10"/>
    <s v="CUST-055"/>
    <s v="PROD-111"/>
    <n v="4"/>
    <n v="17575.8"/>
    <n v="14939.43"/>
    <n v="70303.199999999997"/>
    <n v="59757.72"/>
    <n v="10545.479999999996"/>
    <s v="Jennifer"/>
    <x v="0"/>
    <x v="16"/>
    <x v="0"/>
    <n v="24"/>
    <x v="1"/>
    <x v="31"/>
    <x v="1"/>
  </r>
  <r>
    <s v="ORD-1047"/>
    <d v="2025-12-03T00:00:00"/>
    <x v="10"/>
    <s v="CUST-128"/>
    <s v="PROD-127"/>
    <n v="3"/>
    <n v="4095.1"/>
    <n v="3480.835"/>
    <n v="12285.3"/>
    <n v="10442.505000000001"/>
    <n v="1842.7949999999983"/>
    <s v="Jonathan"/>
    <x v="1"/>
    <x v="75"/>
    <x v="1"/>
    <n v="55"/>
    <x v="0"/>
    <x v="17"/>
    <x v="5"/>
  </r>
  <r>
    <s v="ORD-1048"/>
    <d v="2025-12-19T00:00:00"/>
    <x v="4"/>
    <s v="CUST-149"/>
    <s v="PROD-120"/>
    <n v="7"/>
    <n v="13103.099999999999"/>
    <n v="11137.634999999998"/>
    <n v="91721.699999999983"/>
    <n v="77963.444999999992"/>
    <n v="13758.25499999999"/>
    <s v="Lori"/>
    <x v="3"/>
    <x v="53"/>
    <x v="0"/>
    <n v="54"/>
    <x v="0"/>
    <x v="0"/>
    <x v="0"/>
  </r>
  <r>
    <s v="ORD-1049"/>
    <d v="2025-11-27T00:00:00"/>
    <x v="0"/>
    <s v="CUST-095"/>
    <s v="PROD-114"/>
    <n v="10"/>
    <n v="8327.9"/>
    <n v="7078.7150000000001"/>
    <n v="83279"/>
    <n v="70787.149999999994"/>
    <n v="12491.850000000006"/>
    <s v="Anna"/>
    <x v="1"/>
    <x v="2"/>
    <x v="1"/>
    <n v="39"/>
    <x v="0"/>
    <x v="18"/>
    <x v="1"/>
  </r>
  <r>
    <s v="ORD-1050"/>
    <d v="2025-12-18T00:00:00"/>
    <x v="4"/>
    <s v="CUST-144"/>
    <s v="PROD-113"/>
    <n v="9"/>
    <n v="8305.1"/>
    <n v="7059.335"/>
    <n v="74745.900000000009"/>
    <n v="63534.014999999999"/>
    <n v="11211.885000000009"/>
    <s v="Joshua"/>
    <x v="4"/>
    <x v="66"/>
    <x v="1"/>
    <n v="23"/>
    <x v="1"/>
    <x v="19"/>
    <x v="1"/>
  </r>
  <r>
    <s v="ORD-1051"/>
    <d v="2025-11-20T00:00:00"/>
    <x v="6"/>
    <s v="CUST-086"/>
    <s v="PROD-119"/>
    <n v="3"/>
    <n v="5378.5"/>
    <n v="4571.7250000000004"/>
    <n v="16135.5"/>
    <n v="13715.175000000001"/>
    <n v="2420.3249999999989"/>
    <s v="Lori"/>
    <x v="5"/>
    <x v="70"/>
    <x v="0"/>
    <n v="19"/>
    <x v="1"/>
    <x v="33"/>
    <x v="0"/>
  </r>
  <r>
    <s v="ORD-1052"/>
    <d v="2025-10-07T00:00:00"/>
    <x v="1"/>
    <s v="CUST-131"/>
    <s v="PROD-133"/>
    <n v="4"/>
    <n v="5231.3"/>
    <n v="4446.6050000000005"/>
    <n v="20925.2"/>
    <n v="17786.420000000002"/>
    <n v="3138.7799999999988"/>
    <s v="Daniel"/>
    <x v="0"/>
    <x v="37"/>
    <x v="0"/>
    <n v="46"/>
    <x v="0"/>
    <x v="22"/>
    <x v="2"/>
  </r>
  <r>
    <s v="ORD-1053"/>
    <d v="2025-11-24T00:00:00"/>
    <x v="0"/>
    <s v="CUST-062"/>
    <s v="PROD-111"/>
    <n v="2"/>
    <n v="15465.699999999999"/>
    <n v="13145.844999999999"/>
    <n v="30931.399999999998"/>
    <n v="26291.69"/>
    <n v="4639.7099999999991"/>
    <s v="Ralph"/>
    <x v="3"/>
    <x v="61"/>
    <x v="0"/>
    <n v="20"/>
    <x v="1"/>
    <x v="31"/>
    <x v="1"/>
  </r>
  <r>
    <s v="ORD-1054"/>
    <d v="2025-11-03T00:00:00"/>
    <x v="5"/>
    <s v="CUST-147"/>
    <s v="PROD-110"/>
    <n v="5"/>
    <n v="949.5"/>
    <n v="807.07500000000005"/>
    <n v="4747.5"/>
    <n v="4035.375"/>
    <n v="712.125"/>
    <s v="David"/>
    <x v="2"/>
    <x v="36"/>
    <x v="0"/>
    <n v="53"/>
    <x v="0"/>
    <x v="14"/>
    <x v="4"/>
  </r>
  <r>
    <s v="ORD-1055"/>
    <d v="2025-12-06T00:00:00"/>
    <x v="10"/>
    <s v="CUST-077"/>
    <s v="PROD-107"/>
    <n v="5"/>
    <n v="15953.3"/>
    <n v="13560.305"/>
    <n v="79766.5"/>
    <n v="67801.524999999994"/>
    <n v="11964.975000000006"/>
    <s v="Linda"/>
    <x v="1"/>
    <x v="27"/>
    <x v="0"/>
    <n v="35"/>
    <x v="0"/>
    <x v="12"/>
    <x v="4"/>
  </r>
  <r>
    <s v="ORD-1056"/>
    <d v="2025-10-10T00:00:00"/>
    <x v="1"/>
    <s v="CUST-085"/>
    <s v="PROD-115"/>
    <n v="2"/>
    <n v="6260.2"/>
    <n v="5321.17"/>
    <n v="12520.4"/>
    <n v="10642.34"/>
    <n v="1878.0599999999995"/>
    <s v="Katie"/>
    <x v="4"/>
    <x v="41"/>
    <x v="0"/>
    <n v="29"/>
    <x v="1"/>
    <x v="10"/>
    <x v="1"/>
  </r>
  <r>
    <s v="ORD-1057"/>
    <d v="2025-10-24T00:00:00"/>
    <x v="9"/>
    <s v="CUST-008"/>
    <s v="PROD-126"/>
    <n v="6"/>
    <n v="9859.6"/>
    <n v="8380.66"/>
    <n v="59157.600000000006"/>
    <n v="50283.96"/>
    <n v="8873.6400000000067"/>
    <s v="Caroline"/>
    <x v="4"/>
    <x v="69"/>
    <x v="0"/>
    <n v="29"/>
    <x v="1"/>
    <x v="9"/>
    <x v="5"/>
  </r>
  <r>
    <s v="ORD-1058"/>
    <d v="2025-10-21T00:00:00"/>
    <x v="9"/>
    <s v="CUST-078"/>
    <s v="PROD-109"/>
    <n v="1"/>
    <n v="2498.8999999999996"/>
    <n v="2124.0649999999996"/>
    <n v="2498.8999999999996"/>
    <n v="2124.0649999999996"/>
    <n v="374.83500000000004"/>
    <s v="Joshua"/>
    <x v="4"/>
    <x v="43"/>
    <x v="0"/>
    <n v="25"/>
    <x v="1"/>
    <x v="30"/>
    <x v="4"/>
  </r>
  <r>
    <s v="ORD-1059"/>
    <d v="2025-10-26T00:00:00"/>
    <x v="3"/>
    <s v="CUST-077"/>
    <s v="PROD-112"/>
    <n v="4"/>
    <n v="11091.199999999999"/>
    <n v="9427.5199999999986"/>
    <n v="44364.799999999996"/>
    <n v="37710.079999999994"/>
    <n v="6654.7200000000012"/>
    <s v="Timothy"/>
    <x v="1"/>
    <x v="27"/>
    <x v="0"/>
    <n v="35"/>
    <x v="0"/>
    <x v="1"/>
    <x v="1"/>
  </r>
  <r>
    <s v="ORD-1060"/>
    <d v="2025-11-09T00:00:00"/>
    <x v="12"/>
    <s v="CUST-137"/>
    <s v="PROD-130"/>
    <n v="2"/>
    <n v="5899.2"/>
    <n v="5014.32"/>
    <n v="11798.4"/>
    <n v="10028.64"/>
    <n v="1769.7600000000002"/>
    <s v="Lisa"/>
    <x v="0"/>
    <x v="81"/>
    <x v="0"/>
    <n v="36"/>
    <x v="0"/>
    <x v="29"/>
    <x v="2"/>
  </r>
  <r>
    <s v="ORD-1061"/>
    <d v="2025-10-11T00:00:00"/>
    <x v="1"/>
    <s v="CUST-100"/>
    <s v="PROD-108"/>
    <n v="2"/>
    <n v="12450.4"/>
    <n v="10582.84"/>
    <n v="24900.799999999999"/>
    <n v="21165.68"/>
    <n v="3735.119999999999"/>
    <s v="Victoria"/>
    <x v="4"/>
    <x v="26"/>
    <x v="1"/>
    <n v="28"/>
    <x v="1"/>
    <x v="27"/>
    <x v="4"/>
  </r>
  <r>
    <s v="ORD-1062"/>
    <d v="2025-10-30T00:00:00"/>
    <x v="3"/>
    <s v="CUST-036"/>
    <s v="PROD-103"/>
    <n v="10"/>
    <n v="19120.5"/>
    <n v="16252.424999999999"/>
    <n v="191205"/>
    <n v="162524.25"/>
    <n v="28680.75"/>
    <s v="Laura"/>
    <x v="4"/>
    <x v="44"/>
    <x v="1"/>
    <n v="52"/>
    <x v="0"/>
    <x v="28"/>
    <x v="3"/>
  </r>
  <r>
    <s v="ORD-1063"/>
    <d v="2025-12-18T00:00:00"/>
    <x v="4"/>
    <s v="CUST-086"/>
    <s v="PROD-125"/>
    <n v="10"/>
    <n v="5866.9000000000005"/>
    <n v="4986.8650000000007"/>
    <n v="58669.000000000007"/>
    <n v="49868.650000000009"/>
    <n v="8800.3499999999985"/>
    <s v="Ralph"/>
    <x v="5"/>
    <x v="70"/>
    <x v="0"/>
    <n v="19"/>
    <x v="1"/>
    <x v="13"/>
    <x v="0"/>
  </r>
  <r>
    <s v="ORD-1064"/>
    <d v="2025-10-11T00:00:00"/>
    <x v="1"/>
    <s v="CUST-026"/>
    <s v="PROD-121"/>
    <n v="2"/>
    <n v="18840.7"/>
    <n v="16014.595000000001"/>
    <n v="37681.4"/>
    <n v="32029.190000000002"/>
    <n v="5652.2099999999991"/>
    <s v="Ralph"/>
    <x v="1"/>
    <x v="104"/>
    <x v="1"/>
    <n v="26"/>
    <x v="1"/>
    <x v="8"/>
    <x v="0"/>
  </r>
  <r>
    <s v="ORD-1065"/>
    <d v="2025-11-15T00:00:00"/>
    <x v="12"/>
    <s v="CUST-002"/>
    <s v="PROD-114"/>
    <n v="7"/>
    <n v="7430.1"/>
    <n v="6315.585"/>
    <n v="52010.700000000004"/>
    <n v="44209.095000000001"/>
    <n v="7801.6050000000032"/>
    <s v="Caroline"/>
    <x v="1"/>
    <x v="8"/>
    <x v="1"/>
    <n v="20"/>
    <x v="1"/>
    <x v="18"/>
    <x v="1"/>
  </r>
  <r>
    <s v="ORD-1066"/>
    <d v="2025-11-11T00:00:00"/>
    <x v="12"/>
    <s v="CUST-054"/>
    <s v="PROD-104"/>
    <n v="2"/>
    <n v="12868.199999999999"/>
    <n v="10937.97"/>
    <n v="25736.399999999998"/>
    <n v="21875.94"/>
    <n v="3860.4599999999991"/>
    <s v="Tracey"/>
    <x v="5"/>
    <x v="52"/>
    <x v="1"/>
    <n v="39"/>
    <x v="0"/>
    <x v="4"/>
    <x v="3"/>
  </r>
  <r>
    <s v="ORD-1067"/>
    <d v="2025-10-19T00:00:00"/>
    <x v="9"/>
    <s v="CUST-088"/>
    <s v="PROD-107"/>
    <n v="10"/>
    <n v="17799.400000000001"/>
    <n v="15129.490000000002"/>
    <n v="177994"/>
    <n v="151294.90000000002"/>
    <n v="26699.099999999977"/>
    <s v="Linda"/>
    <x v="1"/>
    <x v="76"/>
    <x v="1"/>
    <n v="33"/>
    <x v="1"/>
    <x v="12"/>
    <x v="4"/>
  </r>
  <r>
    <s v="ORD-1068"/>
    <d v="2025-11-04T00:00:00"/>
    <x v="5"/>
    <s v="CUST-031"/>
    <s v="PROD-127"/>
    <n v="1"/>
    <n v="6555.2999999999993"/>
    <n v="5572.0049999999992"/>
    <n v="6555.2999999999993"/>
    <n v="5572.0049999999992"/>
    <n v="983.29500000000007"/>
    <s v="Thomas"/>
    <x v="1"/>
    <x v="47"/>
    <x v="0"/>
    <n v="28"/>
    <x v="1"/>
    <x v="17"/>
    <x v="5"/>
  </r>
  <r>
    <s v="ORD-1069"/>
    <d v="2025-12-18T00:00:00"/>
    <x v="4"/>
    <s v="CUST-074"/>
    <s v="PROD-110"/>
    <n v="4"/>
    <n v="16183.900000000001"/>
    <n v="13756.315000000002"/>
    <n v="64735.600000000006"/>
    <n v="55025.260000000009"/>
    <n v="9710.3399999999965"/>
    <s v="Timothy"/>
    <x v="1"/>
    <x v="47"/>
    <x v="0"/>
    <n v="32"/>
    <x v="1"/>
    <x v="14"/>
    <x v="4"/>
  </r>
  <r>
    <s v="ORD-1070"/>
    <d v="2025-11-13T00:00:00"/>
    <x v="12"/>
    <s v="CUST-131"/>
    <s v="PROD-109"/>
    <n v="3"/>
    <n v="9736.1"/>
    <n v="8275.6850000000013"/>
    <n v="29208.300000000003"/>
    <n v="24827.055000000004"/>
    <n v="4381.244999999999"/>
    <s v="Victoria"/>
    <x v="0"/>
    <x v="37"/>
    <x v="0"/>
    <n v="46"/>
    <x v="0"/>
    <x v="30"/>
    <x v="4"/>
  </r>
  <r>
    <s v="ORD-1071"/>
    <d v="2025-12-24T00:00:00"/>
    <x v="8"/>
    <s v="CUST-109"/>
    <s v="PROD-101"/>
    <n v="4"/>
    <n v="6376.7999999999993"/>
    <n v="5420.28"/>
    <n v="25507.199999999997"/>
    <n v="21681.119999999999"/>
    <n v="3826.0799999999981"/>
    <s v="Cheyenne"/>
    <x v="0"/>
    <x v="10"/>
    <x v="0"/>
    <n v="22"/>
    <x v="1"/>
    <x v="16"/>
    <x v="3"/>
  </r>
  <r>
    <s v="ORD-1072"/>
    <d v="2025-12-05T00:00:00"/>
    <x v="10"/>
    <s v="CUST-112"/>
    <s v="PROD-121"/>
    <n v="2"/>
    <n v="7373.2000000000007"/>
    <n v="6267.2200000000012"/>
    <n v="14746.400000000001"/>
    <n v="12534.440000000002"/>
    <n v="2211.9599999999991"/>
    <s v="Cheyenne"/>
    <x v="1"/>
    <x v="11"/>
    <x v="1"/>
    <n v="40"/>
    <x v="0"/>
    <x v="8"/>
    <x v="0"/>
  </r>
  <r>
    <s v="ORD-1073"/>
    <d v="2025-12-06T00:00:00"/>
    <x v="10"/>
    <s v="CUST-109"/>
    <s v="PROD-134"/>
    <n v="3"/>
    <n v="10943.199999999999"/>
    <n v="9301.7199999999993"/>
    <n v="32829.599999999999"/>
    <n v="27905.159999999996"/>
    <n v="4924.4400000000023"/>
    <s v="Douglas"/>
    <x v="0"/>
    <x v="10"/>
    <x v="0"/>
    <n v="22"/>
    <x v="1"/>
    <x v="7"/>
    <x v="2"/>
  </r>
  <r>
    <s v="ORD-1074"/>
    <d v="2025-10-22T00:00:00"/>
    <x v="9"/>
    <s v="CUST-123"/>
    <s v="PROD-109"/>
    <n v="5"/>
    <n v="11149.6"/>
    <n v="9477.16"/>
    <n v="55748"/>
    <n v="47385.8"/>
    <n v="8362.1999999999971"/>
    <s v="Ralph"/>
    <x v="1"/>
    <x v="28"/>
    <x v="0"/>
    <n v="20"/>
    <x v="1"/>
    <x v="30"/>
    <x v="4"/>
  </r>
  <r>
    <s v="ORD-1075"/>
    <d v="2025-12-23T00:00:00"/>
    <x v="8"/>
    <s v="CUST-008"/>
    <s v="PROD-122"/>
    <n v="5"/>
    <n v="14710.4"/>
    <n v="12503.84"/>
    <n v="73552"/>
    <n v="62519.199999999997"/>
    <n v="11032.800000000003"/>
    <s v="Linda"/>
    <x v="4"/>
    <x v="69"/>
    <x v="0"/>
    <n v="29"/>
    <x v="1"/>
    <x v="11"/>
    <x v="0"/>
  </r>
  <r>
    <s v="ORD-1076"/>
    <d v="2025-12-13T00:00:00"/>
    <x v="7"/>
    <s v="CUST-068"/>
    <s v="PROD-129"/>
    <n v="7"/>
    <n v="11371.5"/>
    <n v="9665.7749999999996"/>
    <n v="79600.5"/>
    <n v="67660.425000000003"/>
    <n v="11940.074999999997"/>
    <s v="David"/>
    <x v="4"/>
    <x v="45"/>
    <x v="1"/>
    <n v="28"/>
    <x v="1"/>
    <x v="21"/>
    <x v="5"/>
  </r>
  <r>
    <s v="ORD-1077"/>
    <d v="2025-12-26T00:00:00"/>
    <x v="8"/>
    <s v="CUST-046"/>
    <s v="PROD-133"/>
    <n v="10"/>
    <n v="19524.400000000001"/>
    <n v="16595.740000000002"/>
    <n v="195244"/>
    <n v="165957.40000000002"/>
    <n v="29286.599999999977"/>
    <s v="Patrick"/>
    <x v="4"/>
    <x v="4"/>
    <x v="1"/>
    <n v="31"/>
    <x v="1"/>
    <x v="22"/>
    <x v="2"/>
  </r>
  <r>
    <s v="ORD-1078"/>
    <d v="2025-10-08T00:00:00"/>
    <x v="1"/>
    <s v="CUST-036"/>
    <s v="PROD-132"/>
    <n v="9"/>
    <n v="3328.8999999999996"/>
    <n v="2829.5649999999996"/>
    <n v="29960.1"/>
    <n v="25466.084999999995"/>
    <n v="4494.0150000000031"/>
    <s v="Brenda"/>
    <x v="4"/>
    <x v="44"/>
    <x v="1"/>
    <n v="52"/>
    <x v="0"/>
    <x v="26"/>
    <x v="2"/>
  </r>
  <r>
    <s v="ORD-1079"/>
    <d v="2025-12-04T00:00:00"/>
    <x v="10"/>
    <s v="CUST-149"/>
    <s v="PROD-134"/>
    <n v="9"/>
    <n v="4831.7"/>
    <n v="4106.9449999999997"/>
    <n v="43485.299999999996"/>
    <n v="36962.504999999997"/>
    <n v="6522.7949999999983"/>
    <s v="Katie"/>
    <x v="3"/>
    <x v="53"/>
    <x v="0"/>
    <n v="54"/>
    <x v="0"/>
    <x v="7"/>
    <x v="2"/>
  </r>
  <r>
    <s v="ORD-1080"/>
    <d v="2025-11-05T00:00:00"/>
    <x v="5"/>
    <s v="CUST-038"/>
    <s v="PROD-112"/>
    <n v="6"/>
    <n v="15013.599999999999"/>
    <n v="12761.56"/>
    <n v="90081.599999999991"/>
    <n v="76569.36"/>
    <n v="13512.239999999991"/>
    <s v="Tara"/>
    <x v="1"/>
    <x v="59"/>
    <x v="0"/>
    <n v="32"/>
    <x v="1"/>
    <x v="1"/>
    <x v="1"/>
  </r>
  <r>
    <s v="ORD-1081"/>
    <d v="2025-12-11T00:00:00"/>
    <x v="7"/>
    <s v="CUST-116"/>
    <s v="PROD-134"/>
    <n v="1"/>
    <n v="18262.099999999999"/>
    <n v="15522.785"/>
    <n v="18262.099999999999"/>
    <n v="15522.785"/>
    <n v="2739.3149999999987"/>
    <s v="Lisa"/>
    <x v="3"/>
    <x v="17"/>
    <x v="0"/>
    <n v="48"/>
    <x v="0"/>
    <x v="7"/>
    <x v="2"/>
  </r>
  <r>
    <s v="ORD-1082"/>
    <d v="2025-10-23T00:00:00"/>
    <x v="9"/>
    <s v="CUST-118"/>
    <s v="PROD-112"/>
    <n v="3"/>
    <n v="1305.0999999999999"/>
    <n v="1109.335"/>
    <n v="3915.2999999999997"/>
    <n v="3328.0050000000001"/>
    <n v="587.29499999999962"/>
    <s v="Ralph"/>
    <x v="4"/>
    <x v="62"/>
    <x v="0"/>
    <n v="48"/>
    <x v="0"/>
    <x v="1"/>
    <x v="1"/>
  </r>
  <r>
    <s v="ORD-1083"/>
    <d v="2025-11-01T00:00:00"/>
    <x v="3"/>
    <s v="CUST-062"/>
    <s v="PROD-115"/>
    <n v="5"/>
    <n v="11724"/>
    <n v="9965.4"/>
    <n v="58620"/>
    <n v="49827"/>
    <n v="8793"/>
    <s v="Andrea"/>
    <x v="3"/>
    <x v="61"/>
    <x v="0"/>
    <n v="20"/>
    <x v="1"/>
    <x v="10"/>
    <x v="1"/>
  </r>
  <r>
    <s v="ORD-1084"/>
    <d v="2025-10-13T00:00:00"/>
    <x v="13"/>
    <s v="CUST-059"/>
    <s v="PROD-104"/>
    <n v="1"/>
    <n v="16842.2"/>
    <n v="14315.87"/>
    <n v="16842.2"/>
    <n v="14315.87"/>
    <n v="2526.33"/>
    <s v="Ralph"/>
    <x v="1"/>
    <x v="6"/>
    <x v="1"/>
    <n v="25"/>
    <x v="1"/>
    <x v="4"/>
    <x v="3"/>
  </r>
  <r>
    <s v="ORD-1085"/>
    <d v="2025-12-03T00:00:00"/>
    <x v="10"/>
    <s v="CUST-144"/>
    <s v="PROD-105"/>
    <n v="1"/>
    <n v="10053.700000000001"/>
    <n v="8545.6450000000004"/>
    <n v="10053.700000000001"/>
    <n v="8545.6450000000004"/>
    <n v="1508.0550000000003"/>
    <s v="Lori"/>
    <x v="4"/>
    <x v="66"/>
    <x v="1"/>
    <n v="23"/>
    <x v="1"/>
    <x v="3"/>
    <x v="3"/>
  </r>
  <r>
    <s v="ORD-1086"/>
    <d v="2025-12-01T00:00:00"/>
    <x v="10"/>
    <s v="CUST-117"/>
    <s v="PROD-114"/>
    <n v="4"/>
    <n v="16110"/>
    <n v="13693.5"/>
    <n v="64440"/>
    <n v="54774"/>
    <n v="9666"/>
    <s v="Kayla"/>
    <x v="1"/>
    <x v="20"/>
    <x v="1"/>
    <n v="29"/>
    <x v="1"/>
    <x v="18"/>
    <x v="1"/>
  </r>
  <r>
    <s v="ORD-1087"/>
    <d v="2025-10-06T00:00:00"/>
    <x v="1"/>
    <s v="CUST-004"/>
    <s v="PROD-105"/>
    <n v="4"/>
    <n v="10466.300000000001"/>
    <n v="8896.3550000000014"/>
    <n v="41865.200000000004"/>
    <n v="35585.420000000006"/>
    <n v="6279.7799999999988"/>
    <s v="Jonathan"/>
    <x v="5"/>
    <x v="100"/>
    <x v="0"/>
    <n v="40"/>
    <x v="0"/>
    <x v="3"/>
    <x v="3"/>
  </r>
  <r>
    <s v="ORD-1088"/>
    <d v="2025-12-13T00:00:00"/>
    <x v="7"/>
    <s v="CUST-105"/>
    <s v="PROD-133"/>
    <n v="3"/>
    <n v="1411.3999999999999"/>
    <n v="1199.6899999999998"/>
    <n v="4234.2"/>
    <n v="3599.0699999999997"/>
    <n v="635.13000000000011"/>
    <s v="Andrea"/>
    <x v="3"/>
    <x v="31"/>
    <x v="0"/>
    <n v="30"/>
    <x v="1"/>
    <x v="22"/>
    <x v="2"/>
  </r>
  <r>
    <s v="ORD-1089"/>
    <d v="2025-11-01T00:00:00"/>
    <x v="3"/>
    <s v="CUST-135"/>
    <s v="PROD-121"/>
    <n v="8"/>
    <n v="14320.599999999999"/>
    <n v="12172.509999999998"/>
    <n v="114564.79999999999"/>
    <n v="97380.079999999987"/>
    <n v="17184.72"/>
    <s v="Thomas"/>
    <x v="1"/>
    <x v="101"/>
    <x v="0"/>
    <n v="23"/>
    <x v="1"/>
    <x v="8"/>
    <x v="0"/>
  </r>
  <r>
    <s v="ORD-1090"/>
    <d v="2025-11-06T00:00:00"/>
    <x v="5"/>
    <s v="CUST-018"/>
    <s v="PROD-119"/>
    <n v="10"/>
    <n v="6162.5"/>
    <n v="5238.125"/>
    <n v="61625"/>
    <n v="52381.25"/>
    <n v="9243.75"/>
    <s v="Joshua"/>
    <x v="0"/>
    <x v="103"/>
    <x v="0"/>
    <n v="35"/>
    <x v="0"/>
    <x v="33"/>
    <x v="0"/>
  </r>
  <r>
    <s v="ORD-1091"/>
    <d v="2025-12-22T00:00:00"/>
    <x v="8"/>
    <s v="CUST-086"/>
    <s v="PROD-126"/>
    <n v="2"/>
    <n v="12251.800000000001"/>
    <n v="10414.030000000001"/>
    <n v="24503.600000000002"/>
    <n v="20828.060000000001"/>
    <n v="3675.5400000000009"/>
    <s v="Ethan"/>
    <x v="5"/>
    <x v="70"/>
    <x v="0"/>
    <n v="19"/>
    <x v="1"/>
    <x v="9"/>
    <x v="5"/>
  </r>
  <r>
    <s v="ORD-1092"/>
    <d v="2025-10-13T00:00:00"/>
    <x v="13"/>
    <s v="CUST-147"/>
    <s v="PROD-115"/>
    <n v="5"/>
    <n v="8635.9"/>
    <n v="7340.5149999999994"/>
    <n v="43179.5"/>
    <n v="36702.574999999997"/>
    <n v="6476.9250000000029"/>
    <s v="Sean"/>
    <x v="2"/>
    <x v="36"/>
    <x v="0"/>
    <n v="53"/>
    <x v="0"/>
    <x v="10"/>
    <x v="1"/>
  </r>
  <r>
    <s v="ORD-1093"/>
    <d v="2025-11-02T00:00:00"/>
    <x v="5"/>
    <s v="CUST-118"/>
    <s v="PROD-115"/>
    <n v="6"/>
    <n v="12058.699999999999"/>
    <n v="10249.894999999999"/>
    <n v="72352.2"/>
    <n v="61499.369999999995"/>
    <n v="10852.830000000002"/>
    <s v="Sean"/>
    <x v="4"/>
    <x v="62"/>
    <x v="0"/>
    <n v="48"/>
    <x v="0"/>
    <x v="10"/>
    <x v="1"/>
  </r>
  <r>
    <s v="ORD-1094"/>
    <d v="2025-11-19T00:00:00"/>
    <x v="6"/>
    <s v="CUST-123"/>
    <s v="PROD-131"/>
    <n v="5"/>
    <n v="8079.9"/>
    <n v="6867.915"/>
    <n v="40399.5"/>
    <n v="34339.574999999997"/>
    <n v="6059.9250000000029"/>
    <s v="David"/>
    <x v="1"/>
    <x v="28"/>
    <x v="0"/>
    <n v="20"/>
    <x v="1"/>
    <x v="2"/>
    <x v="2"/>
  </r>
  <r>
    <s v="ORD-1095"/>
    <d v="2025-12-11T00:00:00"/>
    <x v="7"/>
    <s v="CUST-003"/>
    <s v="PROD-123"/>
    <n v="6"/>
    <n v="19731.600000000002"/>
    <n v="16771.86"/>
    <n v="118389.6"/>
    <n v="100631.16"/>
    <n v="17758.440000000002"/>
    <s v="Linda"/>
    <x v="4"/>
    <x v="10"/>
    <x v="0"/>
    <n v="25"/>
    <x v="1"/>
    <x v="32"/>
    <x v="0"/>
  </r>
  <r>
    <s v="ORD-1096"/>
    <d v="2025-10-10T00:00:00"/>
    <x v="1"/>
    <s v="CUST-138"/>
    <s v="PROD-103"/>
    <n v="1"/>
    <n v="17511.7"/>
    <n v="14884.945"/>
    <n v="17511.7"/>
    <n v="14884.945"/>
    <n v="2626.755000000001"/>
    <s v="Andrea"/>
    <x v="3"/>
    <x v="22"/>
    <x v="1"/>
    <n v="27"/>
    <x v="1"/>
    <x v="28"/>
    <x v="3"/>
  </r>
  <r>
    <s v="ORD-1097"/>
    <d v="2025-11-24T00:00:00"/>
    <x v="0"/>
    <s v="CUST-052"/>
    <s v="PROD-104"/>
    <n v="6"/>
    <n v="16678.599999999999"/>
    <n v="14176.81"/>
    <n v="100071.59999999999"/>
    <n v="85060.86"/>
    <n v="15010.739999999991"/>
    <s v="Sean"/>
    <x v="1"/>
    <x v="8"/>
    <x v="1"/>
    <n v="28"/>
    <x v="1"/>
    <x v="4"/>
    <x v="3"/>
  </r>
  <r>
    <s v="ORD-1098"/>
    <d v="2025-12-19T00:00:00"/>
    <x v="4"/>
    <s v="CUST-118"/>
    <s v="PROD-124"/>
    <n v="4"/>
    <n v="6076.9000000000005"/>
    <n v="5165.3650000000007"/>
    <n v="24307.600000000002"/>
    <n v="20661.460000000003"/>
    <n v="3646.1399999999994"/>
    <s v="Jasmine"/>
    <x v="4"/>
    <x v="62"/>
    <x v="0"/>
    <n v="48"/>
    <x v="0"/>
    <x v="5"/>
    <x v="0"/>
  </r>
  <r>
    <s v="ORD-1099"/>
    <d v="2025-10-06T00:00:00"/>
    <x v="1"/>
    <s v="CUST-139"/>
    <s v="PROD-115"/>
    <n v="2"/>
    <n v="9864.7000000000007"/>
    <n v="8384.9950000000008"/>
    <n v="19729.400000000001"/>
    <n v="16769.990000000002"/>
    <n v="2959.41"/>
    <s v="Anna"/>
    <x v="1"/>
    <x v="57"/>
    <x v="1"/>
    <n v="20"/>
    <x v="1"/>
    <x v="10"/>
    <x v="1"/>
  </r>
  <r>
    <s v="ORD-1100"/>
    <d v="2025-10-20T00:00:00"/>
    <x v="9"/>
    <s v="CUST-049"/>
    <s v="PROD-131"/>
    <n v="3"/>
    <n v="18594.5"/>
    <n v="15805.325000000001"/>
    <n v="55783.5"/>
    <n v="47415.975000000006"/>
    <n v="8367.5249999999942"/>
    <s v="Timothy"/>
    <x v="2"/>
    <x v="38"/>
    <x v="1"/>
    <n v="36"/>
    <x v="0"/>
    <x v="2"/>
    <x v="2"/>
  </r>
  <r>
    <s v="ORD-1101"/>
    <d v="2025-10-26T00:00:00"/>
    <x v="3"/>
    <s v="CUST-011"/>
    <s v="PROD-131"/>
    <n v="6"/>
    <n v="9479.7999999999993"/>
    <n v="8057.83"/>
    <n v="56878.799999999996"/>
    <n v="48346.979999999996"/>
    <n v="8531.82"/>
    <s v="Keith"/>
    <x v="2"/>
    <x v="26"/>
    <x v="1"/>
    <n v="18"/>
    <x v="1"/>
    <x v="2"/>
    <x v="2"/>
  </r>
  <r>
    <s v="ORD-1102"/>
    <d v="2025-12-30T00:00:00"/>
    <x v="2"/>
    <s v="CUST-040"/>
    <s v="PROD-128"/>
    <n v="6"/>
    <n v="18847.400000000001"/>
    <n v="16020.29"/>
    <n v="113084.40000000001"/>
    <n v="96121.74"/>
    <n v="16962.660000000003"/>
    <s v="Timothy"/>
    <x v="0"/>
    <x v="72"/>
    <x v="0"/>
    <n v="52"/>
    <x v="0"/>
    <x v="15"/>
    <x v="5"/>
  </r>
  <r>
    <s v="ORD-1103"/>
    <d v="2025-12-20T00:00:00"/>
    <x v="4"/>
    <s v="CUST-101"/>
    <s v="PROD-129"/>
    <n v="10"/>
    <n v="10645.4"/>
    <n v="9048.59"/>
    <n v="106454"/>
    <n v="90485.9"/>
    <n v="15968.100000000006"/>
    <s v="Linda"/>
    <x v="1"/>
    <x v="85"/>
    <x v="1"/>
    <n v="25"/>
    <x v="1"/>
    <x v="21"/>
    <x v="5"/>
  </r>
  <r>
    <s v="ORD-1104"/>
    <d v="2025-11-02T00:00:00"/>
    <x v="5"/>
    <s v="CUST-048"/>
    <s v="PROD-127"/>
    <n v="3"/>
    <n v="16447.400000000001"/>
    <n v="13980.29"/>
    <n v="49342.200000000004"/>
    <n v="41940.870000000003"/>
    <n v="7401.3300000000017"/>
    <s v="Andrea"/>
    <x v="1"/>
    <x v="16"/>
    <x v="0"/>
    <n v="19"/>
    <x v="1"/>
    <x v="17"/>
    <x v="5"/>
  </r>
  <r>
    <s v="ORD-1105"/>
    <d v="2025-10-06T00:00:00"/>
    <x v="1"/>
    <s v="CUST-112"/>
    <s v="PROD-134"/>
    <n v="9"/>
    <n v="17865.2"/>
    <n v="15185.42"/>
    <n v="160786.80000000002"/>
    <n v="136668.78"/>
    <n v="24118.020000000019"/>
    <s v="Jonathan"/>
    <x v="1"/>
    <x v="11"/>
    <x v="1"/>
    <n v="40"/>
    <x v="0"/>
    <x v="7"/>
    <x v="2"/>
  </r>
  <r>
    <s v="ORD-1106"/>
    <d v="2025-10-13T00:00:00"/>
    <x v="13"/>
    <s v="CUST-086"/>
    <s v="PROD-124"/>
    <n v="10"/>
    <n v="11020.8"/>
    <n v="9367.68"/>
    <n v="110208"/>
    <n v="93676.800000000003"/>
    <n v="16531.199999999997"/>
    <s v="Tracey"/>
    <x v="5"/>
    <x v="70"/>
    <x v="0"/>
    <n v="19"/>
    <x v="1"/>
    <x v="5"/>
    <x v="0"/>
  </r>
  <r>
    <s v="ORD-1107"/>
    <d v="2025-11-22T00:00:00"/>
    <x v="6"/>
    <s v="CUST-015"/>
    <s v="PROD-132"/>
    <n v="6"/>
    <n v="15263.900000000001"/>
    <n v="12974.315000000002"/>
    <n v="91583.400000000009"/>
    <n v="77845.890000000014"/>
    <n v="13737.509999999995"/>
    <s v="Ethan"/>
    <x v="1"/>
    <x v="88"/>
    <x v="0"/>
    <n v="40"/>
    <x v="0"/>
    <x v="26"/>
    <x v="2"/>
  </r>
  <r>
    <s v="ORD-1108"/>
    <d v="2025-10-24T00:00:00"/>
    <x v="9"/>
    <s v="CUST-046"/>
    <s v="PROD-130"/>
    <n v="10"/>
    <n v="659.80000000000007"/>
    <n v="560.83000000000004"/>
    <n v="6598.0000000000009"/>
    <n v="5608.3"/>
    <n v="989.70000000000073"/>
    <s v="Daniel"/>
    <x v="4"/>
    <x v="4"/>
    <x v="1"/>
    <n v="31"/>
    <x v="1"/>
    <x v="29"/>
    <x v="2"/>
  </r>
  <r>
    <s v="ORD-1109"/>
    <d v="2025-12-20T00:00:00"/>
    <x v="4"/>
    <s v="CUST-065"/>
    <s v="PROD-117"/>
    <n v="3"/>
    <n v="16199.300000000001"/>
    <n v="13769.405000000001"/>
    <n v="48597.9"/>
    <n v="41308.215000000004"/>
    <n v="7289.6849999999977"/>
    <s v="Timothy"/>
    <x v="5"/>
    <x v="42"/>
    <x v="0"/>
    <n v="23"/>
    <x v="1"/>
    <x v="23"/>
    <x v="0"/>
  </r>
  <r>
    <s v="ORD-1110"/>
    <d v="2025-11-19T00:00:00"/>
    <x v="6"/>
    <s v="CUST-073"/>
    <s v="PROD-126"/>
    <n v="8"/>
    <n v="9907.1"/>
    <n v="8421.0349999999999"/>
    <n v="79256.800000000003"/>
    <n v="67368.28"/>
    <n v="11888.520000000004"/>
    <s v="Ralph"/>
    <x v="3"/>
    <x v="28"/>
    <x v="0"/>
    <n v="23"/>
    <x v="1"/>
    <x v="9"/>
    <x v="5"/>
  </r>
  <r>
    <s v="ORD-1111"/>
    <d v="2025-10-18T00:00:00"/>
    <x v="13"/>
    <s v="CUST-090"/>
    <s v="PROD-131"/>
    <n v="8"/>
    <n v="11873.4"/>
    <n v="10092.39"/>
    <n v="94987.199999999997"/>
    <n v="80739.12"/>
    <n v="14248.080000000002"/>
    <s v="David"/>
    <x v="1"/>
    <x v="16"/>
    <x v="0"/>
    <n v="29"/>
    <x v="1"/>
    <x v="2"/>
    <x v="2"/>
  </r>
  <r>
    <s v="ORD-1112"/>
    <d v="2025-11-25T00:00:00"/>
    <x v="0"/>
    <s v="CUST-130"/>
    <s v="PROD-134"/>
    <n v="2"/>
    <n v="5983.9"/>
    <n v="5086.3149999999996"/>
    <n v="11967.8"/>
    <n v="10172.629999999999"/>
    <n v="1795.17"/>
    <s v="Aaron"/>
    <x v="5"/>
    <x v="34"/>
    <x v="1"/>
    <n v="55"/>
    <x v="0"/>
    <x v="7"/>
    <x v="2"/>
  </r>
  <r>
    <s v="ORD-1113"/>
    <d v="2025-10-26T00:00:00"/>
    <x v="3"/>
    <s v="CUST-052"/>
    <s v="PROD-104"/>
    <n v="9"/>
    <n v="5398.4000000000005"/>
    <n v="4588.6400000000003"/>
    <n v="48585.600000000006"/>
    <n v="41297.760000000002"/>
    <n v="7287.8400000000038"/>
    <s v="Aaron"/>
    <x v="1"/>
    <x v="8"/>
    <x v="1"/>
    <n v="28"/>
    <x v="1"/>
    <x v="4"/>
    <x v="3"/>
  </r>
  <r>
    <s v="ORD-1114"/>
    <d v="2025-11-24T00:00:00"/>
    <x v="0"/>
    <s v="CUST-141"/>
    <s v="PROD-113"/>
    <n v="3"/>
    <n v="6933.2000000000007"/>
    <n v="5893.2200000000012"/>
    <n v="20799.600000000002"/>
    <n v="17679.660000000003"/>
    <n v="3119.9399999999987"/>
    <s v="Aaron"/>
    <x v="5"/>
    <x v="12"/>
    <x v="1"/>
    <n v="49"/>
    <x v="0"/>
    <x v="19"/>
    <x v="1"/>
  </r>
  <r>
    <s v="ORD-1115"/>
    <d v="2025-11-30T00:00:00"/>
    <x v="10"/>
    <s v="CUST-057"/>
    <s v="PROD-103"/>
    <n v="3"/>
    <n v="18657.8"/>
    <n v="15859.13"/>
    <n v="55973.399999999994"/>
    <n v="47577.39"/>
    <n v="8396.0099999999948"/>
    <s v="Sean"/>
    <x v="4"/>
    <x v="49"/>
    <x v="1"/>
    <n v="26"/>
    <x v="1"/>
    <x v="28"/>
    <x v="3"/>
  </r>
  <r>
    <s v="ORD-1116"/>
    <d v="2025-10-10T00:00:00"/>
    <x v="1"/>
    <s v="CUST-068"/>
    <s v="PROD-115"/>
    <n v="4"/>
    <n v="5685.5"/>
    <n v="4832.6750000000002"/>
    <n v="22742"/>
    <n v="19330.7"/>
    <n v="3411.2999999999993"/>
    <s v="Tara"/>
    <x v="4"/>
    <x v="45"/>
    <x v="1"/>
    <n v="28"/>
    <x v="1"/>
    <x v="10"/>
    <x v="1"/>
  </r>
  <r>
    <s v="ORD-1117"/>
    <d v="2025-10-27T00:00:00"/>
    <x v="3"/>
    <s v="CUST-139"/>
    <s v="PROD-132"/>
    <n v="9"/>
    <n v="7092.7999999999993"/>
    <n v="6028.8799999999992"/>
    <n v="63835.199999999997"/>
    <n v="54259.919999999991"/>
    <n v="9575.2800000000061"/>
    <s v="Keith"/>
    <x v="1"/>
    <x v="57"/>
    <x v="1"/>
    <n v="20"/>
    <x v="1"/>
    <x v="26"/>
    <x v="2"/>
  </r>
  <r>
    <s v="ORD-1118"/>
    <d v="2025-11-08T00:00:00"/>
    <x v="5"/>
    <s v="CUST-074"/>
    <s v="PROD-106"/>
    <n v="7"/>
    <n v="10704"/>
    <n v="9098.4"/>
    <n v="74928"/>
    <n v="63688.799999999996"/>
    <n v="11239.200000000004"/>
    <s v="Laura"/>
    <x v="1"/>
    <x v="47"/>
    <x v="0"/>
    <n v="32"/>
    <x v="1"/>
    <x v="6"/>
    <x v="4"/>
  </r>
  <r>
    <s v="ORD-1119"/>
    <d v="2025-10-02T00:00:00"/>
    <x v="11"/>
    <s v="CUST-088"/>
    <s v="PROD-107"/>
    <n v="4"/>
    <n v="1343.3000000000002"/>
    <n v="1141.8050000000001"/>
    <n v="5373.2000000000007"/>
    <n v="4567.22"/>
    <n v="805.98000000000047"/>
    <s v="Lisa"/>
    <x v="1"/>
    <x v="76"/>
    <x v="1"/>
    <n v="33"/>
    <x v="1"/>
    <x v="12"/>
    <x v="4"/>
  </r>
  <r>
    <s v="ORD-1120"/>
    <d v="2025-11-03T00:00:00"/>
    <x v="5"/>
    <s v="CUST-073"/>
    <s v="PROD-120"/>
    <n v="9"/>
    <n v="19012.900000000001"/>
    <n v="16160.965000000002"/>
    <n v="171116.1"/>
    <n v="145448.68500000003"/>
    <n v="25667.414999999979"/>
    <s v="Tracey"/>
    <x v="3"/>
    <x v="28"/>
    <x v="0"/>
    <n v="23"/>
    <x v="1"/>
    <x v="0"/>
    <x v="0"/>
  </r>
  <r>
    <s v="ORD-1121"/>
    <d v="2025-10-08T00:00:00"/>
    <x v="1"/>
    <s v="CUST-044"/>
    <s v="PROD-115"/>
    <n v="10"/>
    <n v="7741.2"/>
    <n v="6580.02"/>
    <n v="77412"/>
    <n v="65800.200000000012"/>
    <n v="11611.799999999988"/>
    <s v="David"/>
    <x v="5"/>
    <x v="28"/>
    <x v="0"/>
    <n v="31"/>
    <x v="1"/>
    <x v="10"/>
    <x v="1"/>
  </r>
  <r>
    <s v="ORD-1122"/>
    <d v="2025-10-11T00:00:00"/>
    <x v="1"/>
    <s v="CUST-061"/>
    <s v="PROD-128"/>
    <n v="4"/>
    <n v="17478.3"/>
    <n v="14856.555"/>
    <n v="69913.2"/>
    <n v="59426.22"/>
    <n v="10486.979999999996"/>
    <s v="Anna"/>
    <x v="0"/>
    <x v="31"/>
    <x v="0"/>
    <n v="28"/>
    <x v="1"/>
    <x v="15"/>
    <x v="5"/>
  </r>
  <r>
    <s v="ORD-1123"/>
    <d v="2025-12-17T00:00:00"/>
    <x v="4"/>
    <s v="CUST-017"/>
    <s v="PROD-111"/>
    <n v="4"/>
    <n v="10944.7"/>
    <n v="9302.9950000000008"/>
    <n v="43778.8"/>
    <n v="37211.980000000003"/>
    <n v="6566.82"/>
    <s v="Timothy"/>
    <x v="2"/>
    <x v="60"/>
    <x v="0"/>
    <n v="27"/>
    <x v="1"/>
    <x v="31"/>
    <x v="1"/>
  </r>
  <r>
    <s v="ORD-1124"/>
    <d v="2025-10-05T00:00:00"/>
    <x v="1"/>
    <s v="CUST-088"/>
    <s v="PROD-105"/>
    <n v="2"/>
    <n v="6458.7"/>
    <n v="5489.8949999999995"/>
    <n v="12917.4"/>
    <n v="10979.789999999999"/>
    <n v="1937.6100000000006"/>
    <s v="Patrick"/>
    <x v="1"/>
    <x v="76"/>
    <x v="1"/>
    <n v="33"/>
    <x v="1"/>
    <x v="3"/>
    <x v="3"/>
  </r>
  <r>
    <s v="ORD-1125"/>
    <d v="2025-10-04T00:00:00"/>
    <x v="11"/>
    <s v="CUST-109"/>
    <s v="PROD-109"/>
    <n v="4"/>
    <n v="10284.799999999999"/>
    <n v="8742.08"/>
    <n v="41139.199999999997"/>
    <n v="34968.32"/>
    <n v="6170.8799999999974"/>
    <s v="Ethan"/>
    <x v="0"/>
    <x v="10"/>
    <x v="0"/>
    <n v="22"/>
    <x v="1"/>
    <x v="30"/>
    <x v="4"/>
  </r>
  <r>
    <s v="ORD-1126"/>
    <d v="2025-11-05T00:00:00"/>
    <x v="5"/>
    <s v="CUST-084"/>
    <s v="PROD-128"/>
    <n v="5"/>
    <n v="18526.8"/>
    <n v="15747.779999999999"/>
    <n v="92634"/>
    <n v="78738.899999999994"/>
    <n v="13895.100000000006"/>
    <s v="Ralph"/>
    <x v="4"/>
    <x v="45"/>
    <x v="1"/>
    <n v="49"/>
    <x v="0"/>
    <x v="15"/>
    <x v="5"/>
  </r>
  <r>
    <s v="ORD-1127"/>
    <d v="2025-12-02T00:00:00"/>
    <x v="10"/>
    <s v="CUST-040"/>
    <s v="PROD-123"/>
    <n v="8"/>
    <n v="3580.6"/>
    <n v="3043.51"/>
    <n v="28644.799999999999"/>
    <n v="24348.080000000002"/>
    <n v="4296.7199999999975"/>
    <s v="Patrick"/>
    <x v="0"/>
    <x v="72"/>
    <x v="0"/>
    <n v="52"/>
    <x v="0"/>
    <x v="32"/>
    <x v="0"/>
  </r>
  <r>
    <s v="ORD-1128"/>
    <d v="2025-10-24T00:00:00"/>
    <x v="9"/>
    <s v="CUST-076"/>
    <s v="PROD-132"/>
    <n v="2"/>
    <n v="9150.9"/>
    <n v="7778.2649999999994"/>
    <n v="18301.8"/>
    <n v="15556.529999999999"/>
    <n v="2745.2700000000004"/>
    <s v="Brenda"/>
    <x v="0"/>
    <x v="84"/>
    <x v="0"/>
    <n v="32"/>
    <x v="1"/>
    <x v="26"/>
    <x v="2"/>
  </r>
  <r>
    <s v="ORD-1129"/>
    <d v="2025-10-31T00:00:00"/>
    <x v="3"/>
    <s v="CUST-016"/>
    <s v="PROD-102"/>
    <n v="7"/>
    <n v="7770.4"/>
    <n v="6604.84"/>
    <n v="54392.799999999996"/>
    <n v="46233.880000000005"/>
    <n v="8158.919999999991"/>
    <s v="Ethan"/>
    <x v="1"/>
    <x v="26"/>
    <x v="1"/>
    <n v="26"/>
    <x v="1"/>
    <x v="20"/>
    <x v="3"/>
  </r>
  <r>
    <s v="ORD-1130"/>
    <d v="2025-10-18T00:00:00"/>
    <x v="13"/>
    <s v="CUST-030"/>
    <s v="PROD-127"/>
    <n v="6"/>
    <n v="19619.8"/>
    <n v="16676.829999999998"/>
    <n v="117718.79999999999"/>
    <n v="100060.97999999998"/>
    <n v="17657.820000000007"/>
    <s v="Jennifer"/>
    <x v="3"/>
    <x v="4"/>
    <x v="1"/>
    <n v="24"/>
    <x v="1"/>
    <x v="17"/>
    <x v="5"/>
  </r>
  <r>
    <s v="ORD-1131"/>
    <d v="2025-10-05T00:00:00"/>
    <x v="1"/>
    <s v="CUST-109"/>
    <s v="PROD-118"/>
    <n v="5"/>
    <n v="13376.7"/>
    <n v="11370.195"/>
    <n v="66883.5"/>
    <n v="56850.974999999999"/>
    <n v="10032.525000000001"/>
    <s v="Jonathan"/>
    <x v="0"/>
    <x v="10"/>
    <x v="0"/>
    <n v="22"/>
    <x v="1"/>
    <x v="25"/>
    <x v="0"/>
  </r>
  <r>
    <s v="ORD-1132"/>
    <d v="2025-12-11T00:00:00"/>
    <x v="7"/>
    <s v="CUST-011"/>
    <s v="PROD-101"/>
    <n v="5"/>
    <n v="14719.400000000001"/>
    <n v="12511.490000000002"/>
    <n v="73597"/>
    <n v="62557.450000000012"/>
    <n v="11039.549999999988"/>
    <s v="Timothy"/>
    <x v="2"/>
    <x v="26"/>
    <x v="1"/>
    <n v="18"/>
    <x v="1"/>
    <x v="16"/>
    <x v="3"/>
  </r>
  <r>
    <s v="ORD-1133"/>
    <d v="2025-12-04T00:00:00"/>
    <x v="10"/>
    <s v="CUST-129"/>
    <s v="PROD-111"/>
    <n v="5"/>
    <n v="12223.4"/>
    <n v="10389.89"/>
    <n v="61117"/>
    <n v="51949.45"/>
    <n v="9167.5500000000029"/>
    <s v="Victoria"/>
    <x v="4"/>
    <x v="71"/>
    <x v="0"/>
    <n v="38"/>
    <x v="0"/>
    <x v="31"/>
    <x v="1"/>
  </r>
  <r>
    <s v="ORD-1134"/>
    <d v="2025-11-03T00:00:00"/>
    <x v="5"/>
    <s v="CUST-062"/>
    <s v="PROD-129"/>
    <n v="5"/>
    <n v="5277.7999999999993"/>
    <n v="4486.1299999999992"/>
    <n v="26388.999999999996"/>
    <n v="22430.649999999994"/>
    <n v="3958.3500000000022"/>
    <s v="Caroline"/>
    <x v="3"/>
    <x v="61"/>
    <x v="0"/>
    <n v="20"/>
    <x v="1"/>
    <x v="21"/>
    <x v="5"/>
  </r>
  <r>
    <s v="ORD-1135"/>
    <d v="2025-12-06T00:00:00"/>
    <x v="10"/>
    <s v="CUST-117"/>
    <s v="PROD-105"/>
    <n v="4"/>
    <n v="5904.2999999999993"/>
    <n v="5018.6549999999997"/>
    <n v="23617.199999999997"/>
    <n v="20074.62"/>
    <n v="3542.5799999999981"/>
    <s v="Victoria"/>
    <x v="1"/>
    <x v="20"/>
    <x v="1"/>
    <n v="29"/>
    <x v="1"/>
    <x v="3"/>
    <x v="3"/>
  </r>
  <r>
    <s v="ORD-1136"/>
    <d v="2025-10-01T00:00:00"/>
    <x v="11"/>
    <s v="CUST-039"/>
    <s v="PROD-134"/>
    <n v="4"/>
    <n v="7458.6"/>
    <n v="6339.81"/>
    <n v="29834.400000000001"/>
    <n v="25359.24"/>
    <n v="4475.16"/>
    <s v="Laura"/>
    <x v="2"/>
    <x v="80"/>
    <x v="0"/>
    <n v="51"/>
    <x v="0"/>
    <x v="7"/>
    <x v="2"/>
  </r>
  <r>
    <s v="ORD-1137"/>
    <d v="2025-12-06T00:00:00"/>
    <x v="10"/>
    <s v="CUST-032"/>
    <s v="PROD-118"/>
    <n v="3"/>
    <n v="6832.6"/>
    <n v="5807.71"/>
    <n v="20497.800000000003"/>
    <n v="17423.13"/>
    <n v="3074.6700000000019"/>
    <s v="Sean"/>
    <x v="4"/>
    <x v="15"/>
    <x v="0"/>
    <n v="26"/>
    <x v="1"/>
    <x v="25"/>
    <x v="0"/>
  </r>
  <r>
    <s v="ORD-1138"/>
    <d v="2025-10-03T00:00:00"/>
    <x v="11"/>
    <s v="CUST-139"/>
    <s v="PROD-130"/>
    <n v="3"/>
    <n v="6322.7999999999993"/>
    <n v="5374.3799999999992"/>
    <n v="18968.399999999998"/>
    <n v="16123.139999999998"/>
    <n v="2845.26"/>
    <s v="Sean"/>
    <x v="1"/>
    <x v="57"/>
    <x v="1"/>
    <n v="20"/>
    <x v="1"/>
    <x v="29"/>
    <x v="2"/>
  </r>
  <r>
    <s v="ORD-1139"/>
    <d v="2025-11-21T00:00:00"/>
    <x v="6"/>
    <s v="CUST-093"/>
    <s v="PROD-134"/>
    <n v="1"/>
    <n v="11524"/>
    <n v="9795.4"/>
    <n v="11524"/>
    <n v="9795.4"/>
    <n v="1728.6000000000004"/>
    <s v="Kayla"/>
    <x v="0"/>
    <x v="25"/>
    <x v="0"/>
    <n v="19"/>
    <x v="1"/>
    <x v="7"/>
    <x v="2"/>
  </r>
  <r>
    <s v="ORD-1140"/>
    <d v="2025-11-19T00:00:00"/>
    <x v="6"/>
    <s v="CUST-064"/>
    <s v="PROD-110"/>
    <n v="5"/>
    <n v="10137.9"/>
    <n v="8617.2150000000001"/>
    <n v="50689.5"/>
    <n v="43086.074999999997"/>
    <n v="7603.4250000000029"/>
    <s v="Lisa"/>
    <x v="4"/>
    <x v="59"/>
    <x v="0"/>
    <n v="37"/>
    <x v="0"/>
    <x v="14"/>
    <x v="4"/>
  </r>
  <r>
    <s v="ORD-1141"/>
    <d v="2025-12-01T00:00:00"/>
    <x v="10"/>
    <s v="CUST-023"/>
    <s v="PROD-106"/>
    <n v="7"/>
    <n v="18133.900000000001"/>
    <n v="15413.815000000002"/>
    <n v="126937.30000000002"/>
    <n v="107896.70500000002"/>
    <n v="19040.595000000001"/>
    <s v="David"/>
    <x v="0"/>
    <x v="65"/>
    <x v="1"/>
    <n v="35"/>
    <x v="0"/>
    <x v="6"/>
    <x v="4"/>
  </r>
  <r>
    <s v="ORD-1142"/>
    <d v="2025-10-06T00:00:00"/>
    <x v="1"/>
    <s v="CUST-044"/>
    <s v="PROD-110"/>
    <n v="10"/>
    <n v="13878.3"/>
    <n v="11796.555"/>
    <n v="138783"/>
    <n v="117965.55"/>
    <n v="20817.449999999997"/>
    <s v="Lisa"/>
    <x v="5"/>
    <x v="28"/>
    <x v="0"/>
    <n v="31"/>
    <x v="1"/>
    <x v="14"/>
    <x v="4"/>
  </r>
  <r>
    <s v="ORD-1143"/>
    <d v="2025-11-16T00:00:00"/>
    <x v="6"/>
    <s v="CUST-086"/>
    <s v="PROD-127"/>
    <n v="3"/>
    <n v="15177.7"/>
    <n v="12901.045"/>
    <n v="45533.100000000006"/>
    <n v="38703.135000000002"/>
    <n v="6829.9650000000038"/>
    <s v="Caroline"/>
    <x v="5"/>
    <x v="70"/>
    <x v="0"/>
    <n v="19"/>
    <x v="1"/>
    <x v="17"/>
    <x v="5"/>
  </r>
  <r>
    <s v="ORD-1144"/>
    <d v="2025-11-05T00:00:00"/>
    <x v="5"/>
    <s v="CUST-125"/>
    <s v="PROD-101"/>
    <n v="9"/>
    <n v="8880.5999999999985"/>
    <n v="7548.5099999999984"/>
    <n v="79925.399999999994"/>
    <n v="67936.589999999982"/>
    <n v="11988.810000000012"/>
    <s v="Daniel"/>
    <x v="2"/>
    <x v="28"/>
    <x v="0"/>
    <n v="23"/>
    <x v="1"/>
    <x v="16"/>
    <x v="3"/>
  </r>
  <r>
    <s v="ORD-1145"/>
    <d v="2025-12-17T00:00:00"/>
    <x v="4"/>
    <s v="CUST-144"/>
    <s v="PROD-134"/>
    <n v="6"/>
    <n v="7004.2"/>
    <n v="5953.57"/>
    <n v="42025.2"/>
    <n v="35721.42"/>
    <n v="6303.7799999999988"/>
    <s v="Katie"/>
    <x v="4"/>
    <x v="66"/>
    <x v="1"/>
    <n v="23"/>
    <x v="1"/>
    <x v="7"/>
    <x v="2"/>
  </r>
  <r>
    <s v="ORD-1146"/>
    <d v="2025-10-22T00:00:00"/>
    <x v="9"/>
    <s v="CUST-133"/>
    <s v="PROD-103"/>
    <n v="2"/>
    <n v="989.80000000000007"/>
    <n v="841.33"/>
    <n v="1979.6000000000001"/>
    <n v="1682.66"/>
    <n v="296.94000000000005"/>
    <s v="Jennifer"/>
    <x v="4"/>
    <x v="94"/>
    <x v="1"/>
    <n v="21"/>
    <x v="1"/>
    <x v="28"/>
    <x v="3"/>
  </r>
  <r>
    <s v="ORD-1147"/>
    <d v="2025-12-26T00:00:00"/>
    <x v="8"/>
    <s v="CUST-060"/>
    <s v="PROD-126"/>
    <n v="10"/>
    <n v="3604.5"/>
    <n v="3063.8249999999998"/>
    <n v="36045"/>
    <n v="30638.25"/>
    <n v="5406.75"/>
    <s v="Tracey"/>
    <x v="2"/>
    <x v="7"/>
    <x v="0"/>
    <n v="20"/>
    <x v="1"/>
    <x v="9"/>
    <x v="5"/>
  </r>
  <r>
    <s v="ORD-1148"/>
    <d v="2025-11-09T00:00:00"/>
    <x v="12"/>
    <s v="CUST-119"/>
    <s v="PROD-102"/>
    <n v="1"/>
    <n v="8850.2999999999993"/>
    <n v="7522.7549999999992"/>
    <n v="8850.2999999999993"/>
    <n v="7522.7549999999992"/>
    <n v="1327.5450000000001"/>
    <s v="Joshua"/>
    <x v="5"/>
    <x v="56"/>
    <x v="1"/>
    <n v="20"/>
    <x v="1"/>
    <x v="20"/>
    <x v="3"/>
  </r>
  <r>
    <s v="ORD-1149"/>
    <d v="2025-10-26T00:00:00"/>
    <x v="3"/>
    <s v="CUST-126"/>
    <s v="PROD-107"/>
    <n v="4"/>
    <n v="9586.5"/>
    <n v="8148.5249999999996"/>
    <n v="38346"/>
    <n v="32594.1"/>
    <n v="5751.9000000000015"/>
    <s v="David"/>
    <x v="0"/>
    <x v="89"/>
    <x v="1"/>
    <n v="40"/>
    <x v="0"/>
    <x v="12"/>
    <x v="4"/>
  </r>
  <r>
    <s v="ORD-1150"/>
    <d v="2025-11-01T00:00:00"/>
    <x v="3"/>
    <s v="CUST-094"/>
    <s v="PROD-129"/>
    <n v="5"/>
    <n v="2019.6000000000001"/>
    <n v="1716.66"/>
    <n v="10098"/>
    <n v="8583.3000000000011"/>
    <n v="1514.6999999999989"/>
    <s v="Lori"/>
    <x v="3"/>
    <x v="21"/>
    <x v="1"/>
    <n v="40"/>
    <x v="0"/>
    <x v="21"/>
    <x v="5"/>
  </r>
  <r>
    <s v="ORD-1151"/>
    <d v="2025-10-13T00:00:00"/>
    <x v="13"/>
    <s v="CUST-077"/>
    <s v="PROD-133"/>
    <n v="1"/>
    <n v="16461.099999999999"/>
    <n v="13991.934999999999"/>
    <n v="16461.099999999999"/>
    <n v="13991.934999999999"/>
    <n v="2469.1649999999991"/>
    <s v="Brenda"/>
    <x v="1"/>
    <x v="27"/>
    <x v="0"/>
    <n v="35"/>
    <x v="0"/>
    <x v="22"/>
    <x v="2"/>
  </r>
  <r>
    <s v="ORD-1152"/>
    <d v="2025-11-08T00:00:00"/>
    <x v="5"/>
    <s v="CUST-100"/>
    <s v="PROD-114"/>
    <n v="10"/>
    <n v="729.7"/>
    <n v="620.245"/>
    <n v="7297"/>
    <n v="6202.45"/>
    <n v="1094.5500000000002"/>
    <s v="Joshua"/>
    <x v="4"/>
    <x v="26"/>
    <x v="1"/>
    <n v="28"/>
    <x v="1"/>
    <x v="18"/>
    <x v="1"/>
  </r>
  <r>
    <s v="ORD-1153"/>
    <d v="2025-12-10T00:00:00"/>
    <x v="7"/>
    <s v="CUST-060"/>
    <s v="PROD-101"/>
    <n v="5"/>
    <n v="11739.1"/>
    <n v="9978.2350000000006"/>
    <n v="58695.5"/>
    <n v="49891.175000000003"/>
    <n v="8804.3249999999971"/>
    <s v="Caroline"/>
    <x v="2"/>
    <x v="7"/>
    <x v="0"/>
    <n v="20"/>
    <x v="1"/>
    <x v="16"/>
    <x v="3"/>
  </r>
  <r>
    <s v="ORD-1154"/>
    <d v="2025-12-21T00:00:00"/>
    <x v="8"/>
    <s v="CUST-119"/>
    <s v="PROD-126"/>
    <n v="8"/>
    <n v="15615.5"/>
    <n v="13273.174999999999"/>
    <n v="124924"/>
    <n v="106185.4"/>
    <n v="18738.600000000006"/>
    <s v="Caroline"/>
    <x v="5"/>
    <x v="56"/>
    <x v="1"/>
    <n v="20"/>
    <x v="1"/>
    <x v="9"/>
    <x v="5"/>
  </r>
  <r>
    <s v="ORD-1155"/>
    <d v="2025-12-09T00:00:00"/>
    <x v="7"/>
    <s v="CUST-012"/>
    <s v="PROD-130"/>
    <n v="1"/>
    <n v="8218"/>
    <n v="6985.3"/>
    <n v="8218"/>
    <n v="6985.3"/>
    <n v="1232.6999999999998"/>
    <s v="Victoria"/>
    <x v="0"/>
    <x v="79"/>
    <x v="1"/>
    <n v="23"/>
    <x v="1"/>
    <x v="29"/>
    <x v="2"/>
  </r>
  <r>
    <s v="ORD-1156"/>
    <d v="2025-11-19T00:00:00"/>
    <x v="6"/>
    <s v="CUST-042"/>
    <s v="PROD-118"/>
    <n v="9"/>
    <n v="18961"/>
    <n v="16116.85"/>
    <n v="170649"/>
    <n v="145051.65"/>
    <n v="25597.350000000006"/>
    <s v="Ethan"/>
    <x v="1"/>
    <x v="41"/>
    <x v="0"/>
    <n v="33"/>
    <x v="1"/>
    <x v="25"/>
    <x v="0"/>
  </r>
  <r>
    <s v="ORD-1157"/>
    <d v="2025-12-20T00:00:00"/>
    <x v="4"/>
    <s v="CUST-040"/>
    <s v="PROD-120"/>
    <n v="5"/>
    <n v="8474"/>
    <n v="7202.9"/>
    <n v="42370"/>
    <n v="36014.5"/>
    <n v="6355.5"/>
    <s v="Timothy"/>
    <x v="0"/>
    <x v="72"/>
    <x v="0"/>
    <n v="52"/>
    <x v="0"/>
    <x v="0"/>
    <x v="0"/>
  </r>
  <r>
    <s v="ORD-1158"/>
    <d v="2025-10-19T00:00:00"/>
    <x v="9"/>
    <s v="CUST-020"/>
    <s v="PROD-121"/>
    <n v="4"/>
    <n v="19666.099999999999"/>
    <n v="16716.184999999998"/>
    <n v="78664.399999999994"/>
    <n v="66864.739999999991"/>
    <n v="11799.660000000003"/>
    <s v="Kayla"/>
    <x v="1"/>
    <x v="23"/>
    <x v="1"/>
    <n v="35"/>
    <x v="0"/>
    <x v="8"/>
    <x v="0"/>
  </r>
  <r>
    <s v="ORD-1159"/>
    <d v="2025-12-04T00:00:00"/>
    <x v="10"/>
    <s v="CUST-030"/>
    <s v="PROD-108"/>
    <n v="3"/>
    <n v="6736.7999999999993"/>
    <n v="5726.28"/>
    <n v="20210.399999999998"/>
    <n v="17178.84"/>
    <n v="3031.5599999999977"/>
    <s v="Jennifer"/>
    <x v="3"/>
    <x v="4"/>
    <x v="1"/>
    <n v="24"/>
    <x v="1"/>
    <x v="27"/>
    <x v="4"/>
  </r>
  <r>
    <s v="ORD-1160"/>
    <d v="2025-10-21T00:00:00"/>
    <x v="9"/>
    <s v="CUST-134"/>
    <s v="PROD-119"/>
    <n v="10"/>
    <n v="1691.3"/>
    <n v="1437.605"/>
    <n v="16913"/>
    <n v="14376.05"/>
    <n v="2536.9500000000007"/>
    <s v="Tracey"/>
    <x v="1"/>
    <x v="25"/>
    <x v="0"/>
    <n v="26"/>
    <x v="1"/>
    <x v="33"/>
    <x v="0"/>
  </r>
  <r>
    <s v="ORD-1161"/>
    <d v="2025-10-06T00:00:00"/>
    <x v="1"/>
    <s v="CUST-042"/>
    <s v="PROD-126"/>
    <n v="10"/>
    <n v="2726.3"/>
    <n v="2317.355"/>
    <n v="27263"/>
    <n v="23173.55"/>
    <n v="4089.4500000000007"/>
    <s v="Caroline"/>
    <x v="1"/>
    <x v="41"/>
    <x v="0"/>
    <n v="33"/>
    <x v="1"/>
    <x v="9"/>
    <x v="5"/>
  </r>
  <r>
    <s v="ORD-1162"/>
    <d v="2025-11-20T00:00:00"/>
    <x v="6"/>
    <s v="CUST-093"/>
    <s v="PROD-118"/>
    <n v="6"/>
    <n v="5874.6"/>
    <n v="4993.41"/>
    <n v="35247.600000000006"/>
    <n v="29960.46"/>
    <n v="5287.1400000000067"/>
    <s v="Katie"/>
    <x v="0"/>
    <x v="25"/>
    <x v="0"/>
    <n v="19"/>
    <x v="1"/>
    <x v="25"/>
    <x v="0"/>
  </r>
  <r>
    <s v="ORD-1163"/>
    <d v="2025-10-02T00:00:00"/>
    <x v="11"/>
    <s v="CUST-011"/>
    <s v="PROD-133"/>
    <n v="6"/>
    <n v="869.2"/>
    <n v="738.82"/>
    <n v="5215.2000000000007"/>
    <n v="4432.92"/>
    <n v="782.28000000000065"/>
    <s v="Laura"/>
    <x v="2"/>
    <x v="26"/>
    <x v="1"/>
    <n v="18"/>
    <x v="1"/>
    <x v="22"/>
    <x v="2"/>
  </r>
  <r>
    <s v="ORD-1164"/>
    <d v="2025-11-09T00:00:00"/>
    <x v="12"/>
    <s v="CUST-008"/>
    <s v="PROD-112"/>
    <n v="10"/>
    <n v="3202.4"/>
    <n v="2722.04"/>
    <n v="32024"/>
    <n v="27220.400000000001"/>
    <n v="4803.5999999999985"/>
    <s v="Laura"/>
    <x v="4"/>
    <x v="69"/>
    <x v="0"/>
    <n v="29"/>
    <x v="1"/>
    <x v="1"/>
    <x v="1"/>
  </r>
  <r>
    <s v="ORD-1165"/>
    <d v="2025-10-04T00:00:00"/>
    <x v="11"/>
    <s v="CUST-050"/>
    <s v="PROD-122"/>
    <n v="6"/>
    <n v="9666.5"/>
    <n v="8216.5249999999996"/>
    <n v="57999"/>
    <n v="49299.149999999994"/>
    <n v="8699.8500000000058"/>
    <s v="Lisa"/>
    <x v="0"/>
    <x v="83"/>
    <x v="0"/>
    <n v="35"/>
    <x v="0"/>
    <x v="11"/>
    <x v="0"/>
  </r>
  <r>
    <s v="ORD-1166"/>
    <d v="2025-12-11T00:00:00"/>
    <x v="7"/>
    <s v="CUST-048"/>
    <s v="PROD-128"/>
    <n v="1"/>
    <n v="3037.7"/>
    <n v="2582.0450000000001"/>
    <n v="3037.7"/>
    <n v="2582.0450000000001"/>
    <n v="455.65499999999975"/>
    <s v="Jonathan"/>
    <x v="1"/>
    <x v="16"/>
    <x v="0"/>
    <n v="19"/>
    <x v="1"/>
    <x v="15"/>
    <x v="5"/>
  </r>
  <r>
    <s v="ORD-1167"/>
    <d v="2025-12-14T00:00:00"/>
    <x v="4"/>
    <s v="CUST-026"/>
    <s v="PROD-129"/>
    <n v="6"/>
    <n v="8364.1"/>
    <n v="7109.4850000000006"/>
    <n v="50184.600000000006"/>
    <n v="42656.91"/>
    <n v="7527.6900000000023"/>
    <s v="Andrea"/>
    <x v="1"/>
    <x v="104"/>
    <x v="1"/>
    <n v="26"/>
    <x v="1"/>
    <x v="21"/>
    <x v="5"/>
  </r>
  <r>
    <s v="ORD-1168"/>
    <d v="2025-10-29T00:00:00"/>
    <x v="3"/>
    <s v="CUST-002"/>
    <s v="PROD-115"/>
    <n v="1"/>
    <n v="8080.1"/>
    <n v="6868.085"/>
    <n v="8080.1"/>
    <n v="6868.085"/>
    <n v="1212.0150000000003"/>
    <s v="Thomas"/>
    <x v="1"/>
    <x v="8"/>
    <x v="1"/>
    <n v="20"/>
    <x v="1"/>
    <x v="10"/>
    <x v="1"/>
  </r>
  <r>
    <s v="ORD-1169"/>
    <d v="2025-12-02T00:00:00"/>
    <x v="10"/>
    <s v="CUST-035"/>
    <s v="PROD-133"/>
    <n v="4"/>
    <n v="4594.3"/>
    <n v="3905.1550000000002"/>
    <n v="18377.2"/>
    <n v="15620.62"/>
    <n v="2756.58"/>
    <s v="Daniel"/>
    <x v="1"/>
    <x v="72"/>
    <x v="0"/>
    <n v="21"/>
    <x v="1"/>
    <x v="22"/>
    <x v="2"/>
  </r>
  <r>
    <s v="ORD-1170"/>
    <d v="2025-12-06T00:00:00"/>
    <x v="10"/>
    <s v="CUST-133"/>
    <s v="PROD-106"/>
    <n v="10"/>
    <n v="17627.3"/>
    <n v="14983.205"/>
    <n v="176273"/>
    <n v="149832.04999999999"/>
    <n v="26440.950000000012"/>
    <s v="Lori"/>
    <x v="4"/>
    <x v="94"/>
    <x v="1"/>
    <n v="21"/>
    <x v="1"/>
    <x v="6"/>
    <x v="4"/>
  </r>
  <r>
    <s v="ORD-1171"/>
    <d v="2025-10-27T00:00:00"/>
    <x v="3"/>
    <s v="CUST-082"/>
    <s v="PROD-106"/>
    <n v="1"/>
    <n v="15860.699999999999"/>
    <n v="13481.594999999999"/>
    <n v="15860.699999999999"/>
    <n v="13481.594999999999"/>
    <n v="2379.1049999999996"/>
    <s v="Patrick"/>
    <x v="0"/>
    <x v="73"/>
    <x v="0"/>
    <n v="18"/>
    <x v="1"/>
    <x v="6"/>
    <x v="4"/>
  </r>
  <r>
    <s v="ORD-1172"/>
    <d v="2025-11-03T00:00:00"/>
    <x v="5"/>
    <s v="CUST-044"/>
    <s v="PROD-112"/>
    <n v="2"/>
    <n v="2831.1000000000004"/>
    <n v="2406.4350000000004"/>
    <n v="5662.2000000000007"/>
    <n v="4812.8700000000008"/>
    <n v="849.32999999999993"/>
    <s v="Tara"/>
    <x v="5"/>
    <x v="28"/>
    <x v="0"/>
    <n v="31"/>
    <x v="1"/>
    <x v="1"/>
    <x v="1"/>
  </r>
  <r>
    <s v="ORD-1173"/>
    <d v="2025-10-16T00:00:00"/>
    <x v="13"/>
    <s v="CUST-002"/>
    <s v="PROD-113"/>
    <n v="7"/>
    <n v="16730.899999999998"/>
    <n v="14221.264999999998"/>
    <n v="117116.29999999999"/>
    <n v="99548.854999999981"/>
    <n v="17567.445000000007"/>
    <s v="Katie"/>
    <x v="1"/>
    <x v="8"/>
    <x v="1"/>
    <n v="20"/>
    <x v="1"/>
    <x v="19"/>
    <x v="1"/>
  </r>
  <r>
    <s v="ORD-1174"/>
    <d v="2025-11-18T00:00:00"/>
    <x v="6"/>
    <s v="CUST-052"/>
    <s v="PROD-106"/>
    <n v="6"/>
    <n v="15694.400000000001"/>
    <n v="13340.240000000002"/>
    <n v="94166.400000000009"/>
    <n v="80041.440000000002"/>
    <n v="14124.960000000006"/>
    <s v="Aaron"/>
    <x v="1"/>
    <x v="8"/>
    <x v="1"/>
    <n v="28"/>
    <x v="1"/>
    <x v="6"/>
    <x v="4"/>
  </r>
  <r>
    <s v="ORD-1175"/>
    <d v="2025-11-10T00:00:00"/>
    <x v="12"/>
    <s v="CUST-147"/>
    <s v="PROD-119"/>
    <n v="8"/>
    <n v="600.6"/>
    <n v="510.51"/>
    <n v="4804.8"/>
    <n v="4084.08"/>
    <n v="720.72000000000025"/>
    <s v="Brenda"/>
    <x v="2"/>
    <x v="36"/>
    <x v="0"/>
    <n v="53"/>
    <x v="0"/>
    <x v="33"/>
    <x v="0"/>
  </r>
  <r>
    <s v="ORD-1176"/>
    <d v="2025-11-07T00:00:00"/>
    <x v="5"/>
    <s v="CUST-130"/>
    <s v="PROD-101"/>
    <n v="5"/>
    <n v="1441.6999999999998"/>
    <n v="1225.4449999999999"/>
    <n v="7208.4999999999991"/>
    <n v="6127.2249999999995"/>
    <n v="1081.2749999999996"/>
    <s v="Tracey"/>
    <x v="5"/>
    <x v="34"/>
    <x v="1"/>
    <n v="55"/>
    <x v="0"/>
    <x v="16"/>
    <x v="3"/>
  </r>
  <r>
    <s v="ORD-1177"/>
    <d v="2025-12-19T00:00:00"/>
    <x v="4"/>
    <s v="CUST-044"/>
    <s v="PROD-111"/>
    <n v="10"/>
    <n v="17867.599999999999"/>
    <n v="15187.46"/>
    <n v="178676"/>
    <n v="151874.59999999998"/>
    <n v="26801.400000000023"/>
    <s v="Tara"/>
    <x v="5"/>
    <x v="28"/>
    <x v="0"/>
    <n v="31"/>
    <x v="1"/>
    <x v="31"/>
    <x v="1"/>
  </r>
  <r>
    <s v="ORD-1178"/>
    <d v="2025-11-22T00:00:00"/>
    <x v="6"/>
    <s v="CUST-106"/>
    <s v="PROD-113"/>
    <n v="6"/>
    <n v="19840.5"/>
    <n v="16864.424999999999"/>
    <n v="119043"/>
    <n v="101186.54999999999"/>
    <n v="17856.450000000012"/>
    <s v="Timothy"/>
    <x v="1"/>
    <x v="96"/>
    <x v="0"/>
    <n v="32"/>
    <x v="1"/>
    <x v="19"/>
    <x v="1"/>
  </r>
  <r>
    <s v="ORD-1179"/>
    <d v="2025-11-03T00:00:00"/>
    <x v="5"/>
    <s v="CUST-123"/>
    <s v="PROD-119"/>
    <n v="3"/>
    <n v="3640.4"/>
    <n v="3094.34"/>
    <n v="10921.2"/>
    <n v="9283.02"/>
    <n v="1638.1800000000003"/>
    <s v="Linda"/>
    <x v="1"/>
    <x v="28"/>
    <x v="0"/>
    <n v="20"/>
    <x v="1"/>
    <x v="33"/>
    <x v="0"/>
  </r>
  <r>
    <s v="ORD-1180"/>
    <d v="2025-10-01T00:00:00"/>
    <x v="11"/>
    <s v="CUST-073"/>
    <s v="PROD-106"/>
    <n v="1"/>
    <n v="6111.3"/>
    <n v="5194.6050000000005"/>
    <n v="6111.3"/>
    <n v="5194.6050000000005"/>
    <n v="916.69499999999971"/>
    <s v="Jennifer"/>
    <x v="3"/>
    <x v="28"/>
    <x v="0"/>
    <n v="23"/>
    <x v="1"/>
    <x v="6"/>
    <x v="4"/>
  </r>
  <r>
    <s v="ORD-1181"/>
    <d v="2025-10-08T00:00:00"/>
    <x v="1"/>
    <s v="CUST-013"/>
    <s v="PROD-128"/>
    <n v="10"/>
    <n v="11395.4"/>
    <n v="9686.09"/>
    <n v="113954"/>
    <n v="96860.9"/>
    <n v="17093.100000000006"/>
    <s v="Victoria"/>
    <x v="1"/>
    <x v="94"/>
    <x v="1"/>
    <n v="26"/>
    <x v="1"/>
    <x v="15"/>
    <x v="5"/>
  </r>
  <r>
    <s v="ORD-1182"/>
    <d v="2025-10-11T00:00:00"/>
    <x v="1"/>
    <s v="CUST-082"/>
    <s v="PROD-131"/>
    <n v="10"/>
    <n v="5703.0999999999995"/>
    <n v="4847.6349999999993"/>
    <n v="57030.999999999993"/>
    <n v="48476.349999999991"/>
    <n v="8554.6500000000015"/>
    <s v="Cheyenne"/>
    <x v="0"/>
    <x v="73"/>
    <x v="0"/>
    <n v="18"/>
    <x v="1"/>
    <x v="2"/>
    <x v="2"/>
  </r>
  <r>
    <s v="ORD-1183"/>
    <d v="2025-12-14T00:00:00"/>
    <x v="4"/>
    <s v="CUST-030"/>
    <s v="PROD-107"/>
    <n v="2"/>
    <n v="1841.1000000000001"/>
    <n v="1564.9350000000002"/>
    <n v="3682.2000000000003"/>
    <n v="3129.8700000000003"/>
    <n v="552.32999999999993"/>
    <s v="Tara"/>
    <x v="3"/>
    <x v="4"/>
    <x v="1"/>
    <n v="24"/>
    <x v="1"/>
    <x v="12"/>
    <x v="4"/>
  </r>
  <r>
    <s v="ORD-1184"/>
    <d v="2025-11-30T00:00:00"/>
    <x v="10"/>
    <s v="CUST-051"/>
    <s v="PROD-107"/>
    <n v="1"/>
    <n v="4006"/>
    <n v="3405.1"/>
    <n v="4006"/>
    <n v="3405.1"/>
    <n v="600.90000000000009"/>
    <s v="Joshua"/>
    <x v="3"/>
    <x v="15"/>
    <x v="0"/>
    <n v="31"/>
    <x v="1"/>
    <x v="12"/>
    <x v="4"/>
  </r>
  <r>
    <s v="ORD-1185"/>
    <d v="2025-11-26T00:00:00"/>
    <x v="0"/>
    <s v="CUST-148"/>
    <s v="PROD-115"/>
    <n v="1"/>
    <n v="7881.5"/>
    <n v="6699.2749999999996"/>
    <n v="7881.5"/>
    <n v="6699.2749999999996"/>
    <n v="1182.2250000000004"/>
    <s v="Jonathan"/>
    <x v="0"/>
    <x v="68"/>
    <x v="1"/>
    <n v="37"/>
    <x v="0"/>
    <x v="10"/>
    <x v="1"/>
  </r>
  <r>
    <s v="ORD-1186"/>
    <d v="2025-11-20T00:00:00"/>
    <x v="6"/>
    <s v="CUST-078"/>
    <s v="PROD-109"/>
    <n v="2"/>
    <n v="14928.900000000001"/>
    <n v="12689.565000000002"/>
    <n v="29857.800000000003"/>
    <n v="25379.130000000005"/>
    <n v="4478.6699999999983"/>
    <s v="Kayla"/>
    <x v="4"/>
    <x v="43"/>
    <x v="0"/>
    <n v="25"/>
    <x v="1"/>
    <x v="30"/>
    <x v="4"/>
  </r>
  <r>
    <s v="ORD-1187"/>
    <d v="2025-12-24T00:00:00"/>
    <x v="8"/>
    <s v="CUST-109"/>
    <s v="PROD-125"/>
    <n v="1"/>
    <n v="17566.099999999999"/>
    <n v="14931.184999999999"/>
    <n v="17566.099999999999"/>
    <n v="14931.184999999999"/>
    <n v="2634.9149999999991"/>
    <s v="Jonathan"/>
    <x v="0"/>
    <x v="10"/>
    <x v="0"/>
    <n v="22"/>
    <x v="1"/>
    <x v="13"/>
    <x v="0"/>
  </r>
  <r>
    <s v="ORD-1188"/>
    <d v="2025-10-28T00:00:00"/>
    <x v="3"/>
    <s v="CUST-061"/>
    <s v="PROD-117"/>
    <n v="3"/>
    <n v="19369.2"/>
    <n v="16463.82"/>
    <n v="58107.600000000006"/>
    <n v="49391.46"/>
    <n v="8716.1400000000067"/>
    <s v="Kayla"/>
    <x v="0"/>
    <x v="31"/>
    <x v="0"/>
    <n v="28"/>
    <x v="1"/>
    <x v="23"/>
    <x v="0"/>
  </r>
  <r>
    <s v="ORD-1189"/>
    <d v="2025-10-01T00:00:00"/>
    <x v="11"/>
    <s v="CUST-129"/>
    <s v="PROD-125"/>
    <n v="10"/>
    <n v="17507"/>
    <n v="14880.95"/>
    <n v="175070"/>
    <n v="148809.5"/>
    <n v="26260.5"/>
    <s v="Keith"/>
    <x v="4"/>
    <x v="71"/>
    <x v="0"/>
    <n v="38"/>
    <x v="0"/>
    <x v="13"/>
    <x v="0"/>
  </r>
  <r>
    <s v="ORD-1190"/>
    <d v="2025-10-16T00:00:00"/>
    <x v="13"/>
    <s v="CUST-025"/>
    <s v="PROD-115"/>
    <n v="5"/>
    <n v="16085.8"/>
    <n v="13672.93"/>
    <n v="80429"/>
    <n v="68364.649999999994"/>
    <n v="12064.350000000006"/>
    <s v="Aaron"/>
    <x v="4"/>
    <x v="50"/>
    <x v="1"/>
    <n v="19"/>
    <x v="1"/>
    <x v="10"/>
    <x v="1"/>
  </r>
  <r>
    <s v="ORD-1191"/>
    <d v="2025-12-13T00:00:00"/>
    <x v="7"/>
    <s v="CUST-014"/>
    <s v="PROD-101"/>
    <n v="2"/>
    <n v="16120.8"/>
    <n v="13702.68"/>
    <n v="32241.599999999999"/>
    <n v="27405.360000000001"/>
    <n v="4836.239999999998"/>
    <s v="Thomas"/>
    <x v="4"/>
    <x v="34"/>
    <x v="1"/>
    <n v="27"/>
    <x v="1"/>
    <x v="16"/>
    <x v="3"/>
  </r>
  <r>
    <s v="ORD-1192"/>
    <d v="2025-11-05T00:00:00"/>
    <x v="5"/>
    <s v="CUST-015"/>
    <s v="PROD-106"/>
    <n v="6"/>
    <n v="14836.800000000001"/>
    <n v="12611.28"/>
    <n v="89020.800000000003"/>
    <n v="75667.680000000008"/>
    <n v="13353.119999999995"/>
    <s v="Linda"/>
    <x v="1"/>
    <x v="88"/>
    <x v="0"/>
    <n v="40"/>
    <x v="0"/>
    <x v="6"/>
    <x v="4"/>
  </r>
  <r>
    <s v="ORD-1193"/>
    <d v="2025-10-02T00:00:00"/>
    <x v="11"/>
    <s v="CUST-109"/>
    <s v="PROD-120"/>
    <n v="3"/>
    <n v="18564.900000000001"/>
    <n v="15780.165000000001"/>
    <n v="55694.700000000004"/>
    <n v="47340.495000000003"/>
    <n v="8354.2050000000017"/>
    <s v="Andrea"/>
    <x v="0"/>
    <x v="10"/>
    <x v="0"/>
    <n v="22"/>
    <x v="1"/>
    <x v="0"/>
    <x v="0"/>
  </r>
  <r>
    <s v="ORD-1194"/>
    <d v="2025-12-21T00:00:00"/>
    <x v="8"/>
    <s v="CUST-004"/>
    <s v="PROD-129"/>
    <n v="8"/>
    <n v="3810.6"/>
    <n v="3239.01"/>
    <n v="30484.799999999999"/>
    <n v="25912.080000000002"/>
    <n v="4572.7199999999975"/>
    <s v="David"/>
    <x v="5"/>
    <x v="100"/>
    <x v="0"/>
    <n v="40"/>
    <x v="0"/>
    <x v="21"/>
    <x v="5"/>
  </r>
  <r>
    <s v="ORD-1195"/>
    <d v="2025-10-22T00:00:00"/>
    <x v="9"/>
    <s v="CUST-018"/>
    <s v="PROD-132"/>
    <n v="6"/>
    <n v="5593.3"/>
    <n v="4754.3050000000003"/>
    <n v="33559.800000000003"/>
    <n v="28525.83"/>
    <n v="5033.9700000000012"/>
    <s v="Keith"/>
    <x v="0"/>
    <x v="103"/>
    <x v="0"/>
    <n v="35"/>
    <x v="0"/>
    <x v="26"/>
    <x v="2"/>
  </r>
  <r>
    <s v="ORD-1196"/>
    <d v="2025-12-11T00:00:00"/>
    <x v="7"/>
    <s v="CUST-142"/>
    <s v="PROD-134"/>
    <n v="3"/>
    <n v="7424.5"/>
    <n v="6310.8249999999998"/>
    <n v="22273.5"/>
    <n v="18932.474999999999"/>
    <n v="3341.0250000000015"/>
    <s v="Jasmine"/>
    <x v="0"/>
    <x v="0"/>
    <x v="0"/>
    <n v="38"/>
    <x v="0"/>
    <x v="7"/>
    <x v="2"/>
  </r>
  <r>
    <s v="ORD-1197"/>
    <d v="2025-10-10T00:00:00"/>
    <x v="1"/>
    <s v="CUST-101"/>
    <s v="PROD-132"/>
    <n v="7"/>
    <n v="4629.5999999999995"/>
    <n v="3935.1599999999994"/>
    <n v="32407.199999999997"/>
    <n v="27546.119999999995"/>
    <n v="4861.0800000000017"/>
    <s v="David"/>
    <x v="1"/>
    <x v="85"/>
    <x v="1"/>
    <n v="25"/>
    <x v="1"/>
    <x v="26"/>
    <x v="2"/>
  </r>
  <r>
    <s v="ORD-1198"/>
    <d v="2025-10-18T00:00:00"/>
    <x v="13"/>
    <s v="CUST-037"/>
    <s v="PROD-111"/>
    <n v="2"/>
    <n v="13757.2"/>
    <n v="11693.62"/>
    <n v="27514.400000000001"/>
    <n v="23387.24"/>
    <n v="4127.16"/>
    <s v="Thomas"/>
    <x v="1"/>
    <x v="73"/>
    <x v="0"/>
    <n v="26"/>
    <x v="1"/>
    <x v="31"/>
    <x v="1"/>
  </r>
  <r>
    <s v="ORD-1199"/>
    <d v="2025-10-13T00:00:00"/>
    <x v="13"/>
    <s v="CUST-098"/>
    <s v="PROD-126"/>
    <n v="9"/>
    <n v="7829"/>
    <n v="6654.65"/>
    <n v="70461"/>
    <n v="59891.85"/>
    <n v="10569.150000000001"/>
    <s v="Sean"/>
    <x v="0"/>
    <x v="22"/>
    <x v="1"/>
    <n v="38"/>
    <x v="0"/>
    <x v="9"/>
    <x v="5"/>
  </r>
  <r>
    <s v="ORD-1200"/>
    <d v="2025-11-24T00:00:00"/>
    <x v="0"/>
    <s v="CUST-115"/>
    <s v="PROD-133"/>
    <n v="2"/>
    <n v="5594.0999999999995"/>
    <n v="4754.9849999999997"/>
    <n v="11188.199999999999"/>
    <n v="9509.9699999999993"/>
    <n v="1678.2299999999996"/>
    <s v="Joshua"/>
    <x v="0"/>
    <x v="87"/>
    <x v="0"/>
    <n v="31"/>
    <x v="1"/>
    <x v="22"/>
    <x v="2"/>
  </r>
  <r>
    <s v="ORD-1201"/>
    <d v="2025-11-27T00:00:00"/>
    <x v="0"/>
    <s v="CUST-142"/>
    <s v="PROD-104"/>
    <n v="2"/>
    <n v="19178.099999999999"/>
    <n v="16301.384999999998"/>
    <n v="38356.199999999997"/>
    <n v="32602.769999999997"/>
    <n v="5753.43"/>
    <s v="Patrick"/>
    <x v="0"/>
    <x v="0"/>
    <x v="0"/>
    <n v="38"/>
    <x v="0"/>
    <x v="4"/>
    <x v="3"/>
  </r>
  <r>
    <s v="ORD-1202"/>
    <d v="2025-12-04T00:00:00"/>
    <x v="10"/>
    <s v="CUST-105"/>
    <s v="PROD-104"/>
    <n v="1"/>
    <n v="3456.6000000000004"/>
    <n v="2938.1100000000006"/>
    <n v="3456.6000000000004"/>
    <n v="2938.1100000000006"/>
    <n v="518.48999999999978"/>
    <s v="Anna"/>
    <x v="3"/>
    <x v="31"/>
    <x v="0"/>
    <n v="30"/>
    <x v="1"/>
    <x v="4"/>
    <x v="3"/>
  </r>
  <r>
    <s v="ORD-1203"/>
    <d v="2025-11-17T00:00:00"/>
    <x v="6"/>
    <s v="CUST-041"/>
    <s v="PROD-104"/>
    <n v="10"/>
    <n v="11799.9"/>
    <n v="10029.914999999999"/>
    <n v="117999"/>
    <n v="100299.15"/>
    <n v="17699.850000000006"/>
    <s v="Ralph"/>
    <x v="3"/>
    <x v="19"/>
    <x v="0"/>
    <n v="20"/>
    <x v="1"/>
    <x v="4"/>
    <x v="3"/>
  </r>
  <r>
    <s v="ORD-1204"/>
    <d v="2025-12-30T00:00:00"/>
    <x v="2"/>
    <s v="CUST-147"/>
    <s v="PROD-112"/>
    <n v="3"/>
    <n v="16764"/>
    <n v="14249.4"/>
    <n v="50292"/>
    <n v="42748.2"/>
    <n v="7543.8000000000029"/>
    <s v="Caroline"/>
    <x v="2"/>
    <x v="36"/>
    <x v="0"/>
    <n v="53"/>
    <x v="0"/>
    <x v="1"/>
    <x v="1"/>
  </r>
  <r>
    <s v="ORD-1205"/>
    <d v="2025-11-19T00:00:00"/>
    <x v="6"/>
    <s v="CUST-042"/>
    <s v="PROD-113"/>
    <n v="4"/>
    <n v="10314.400000000001"/>
    <n v="8767.2400000000016"/>
    <n v="41257.600000000006"/>
    <n v="35068.960000000006"/>
    <n v="6188.6399999999994"/>
    <s v="Sean"/>
    <x v="1"/>
    <x v="41"/>
    <x v="0"/>
    <n v="33"/>
    <x v="1"/>
    <x v="19"/>
    <x v="1"/>
  </r>
  <r>
    <s v="ORD-1206"/>
    <d v="2025-12-14T00:00:00"/>
    <x v="4"/>
    <s v="CUST-059"/>
    <s v="PROD-124"/>
    <n v="10"/>
    <n v="9589.1999999999989"/>
    <n v="8150.8199999999988"/>
    <n v="95891.999999999985"/>
    <n v="81508.199999999983"/>
    <n v="14383.800000000003"/>
    <s v="Katie"/>
    <x v="1"/>
    <x v="6"/>
    <x v="1"/>
    <n v="25"/>
    <x v="1"/>
    <x v="5"/>
    <x v="0"/>
  </r>
  <r>
    <s v="ORD-1207"/>
    <d v="2025-10-14T00:00:00"/>
    <x v="13"/>
    <s v="CUST-034"/>
    <s v="PROD-124"/>
    <n v="3"/>
    <n v="19630.599999999999"/>
    <n v="16686.009999999998"/>
    <n v="58891.799999999996"/>
    <n v="50058.03"/>
    <n v="8833.7699999999968"/>
    <s v="Jonathan"/>
    <x v="0"/>
    <x v="53"/>
    <x v="0"/>
    <n v="32"/>
    <x v="1"/>
    <x v="5"/>
    <x v="0"/>
  </r>
  <r>
    <s v="ORD-1208"/>
    <d v="2025-12-22T00:00:00"/>
    <x v="8"/>
    <s v="CUST-080"/>
    <s v="PROD-121"/>
    <n v="4"/>
    <n v="11474.5"/>
    <n v="9753.3250000000007"/>
    <n v="45898"/>
    <n v="39013.300000000003"/>
    <n v="6884.6999999999971"/>
    <s v="Jasmine"/>
    <x v="1"/>
    <x v="33"/>
    <x v="1"/>
    <n v="21"/>
    <x v="1"/>
    <x v="8"/>
    <x v="0"/>
  </r>
  <r>
    <s v="ORD-1209"/>
    <d v="2025-12-15T00:00:00"/>
    <x v="4"/>
    <s v="CUST-068"/>
    <s v="PROD-105"/>
    <n v="8"/>
    <n v="14952.3"/>
    <n v="12709.455"/>
    <n v="119618.4"/>
    <n v="101675.64"/>
    <n v="17942.759999999995"/>
    <s v="Jasmine"/>
    <x v="4"/>
    <x v="45"/>
    <x v="1"/>
    <n v="28"/>
    <x v="1"/>
    <x v="3"/>
    <x v="3"/>
  </r>
  <r>
    <s v="ORD-1210"/>
    <d v="2025-10-29T00:00:00"/>
    <x v="3"/>
    <s v="CUST-054"/>
    <s v="PROD-131"/>
    <n v="3"/>
    <n v="17901.400000000001"/>
    <n v="15216.190000000002"/>
    <n v="53704.200000000004"/>
    <n v="45648.570000000007"/>
    <n v="8055.6299999999974"/>
    <s v="Joshua"/>
    <x v="5"/>
    <x v="52"/>
    <x v="1"/>
    <n v="39"/>
    <x v="0"/>
    <x v="2"/>
    <x v="2"/>
  </r>
  <r>
    <s v="ORD-1211"/>
    <d v="2025-12-12T00:00:00"/>
    <x v="7"/>
    <s v="CUST-106"/>
    <s v="PROD-125"/>
    <n v="6"/>
    <n v="14888.800000000001"/>
    <n v="12655.480000000001"/>
    <n v="89332.800000000003"/>
    <n v="75932.88"/>
    <n v="13399.919999999998"/>
    <s v="Timothy"/>
    <x v="1"/>
    <x v="96"/>
    <x v="0"/>
    <n v="32"/>
    <x v="1"/>
    <x v="13"/>
    <x v="0"/>
  </r>
  <r>
    <s v="ORD-1212"/>
    <d v="2025-10-12T00:00:00"/>
    <x v="13"/>
    <s v="CUST-068"/>
    <s v="PROD-126"/>
    <n v="3"/>
    <n v="15832.7"/>
    <n v="13457.795"/>
    <n v="47498.100000000006"/>
    <n v="40373.385000000002"/>
    <n v="7124.7150000000038"/>
    <s v="Lori"/>
    <x v="4"/>
    <x v="45"/>
    <x v="1"/>
    <n v="28"/>
    <x v="1"/>
    <x v="9"/>
    <x v="5"/>
  </r>
  <r>
    <s v="ORD-1213"/>
    <d v="2025-12-11T00:00:00"/>
    <x v="7"/>
    <s v="CUST-046"/>
    <s v="PROD-102"/>
    <n v="10"/>
    <n v="18316.199999999997"/>
    <n v="15568.769999999997"/>
    <n v="183161.99999999997"/>
    <n v="155687.69999999995"/>
    <n v="27474.300000000017"/>
    <s v="Sean"/>
    <x v="4"/>
    <x v="4"/>
    <x v="1"/>
    <n v="31"/>
    <x v="1"/>
    <x v="20"/>
    <x v="3"/>
  </r>
  <r>
    <s v="ORD-1214"/>
    <d v="2025-10-21T00:00:00"/>
    <x v="9"/>
    <s v="CUST-001"/>
    <s v="PROD-125"/>
    <n v="4"/>
    <n v="17009.8"/>
    <n v="14458.33"/>
    <n v="68039.199999999997"/>
    <n v="57833.32"/>
    <n v="10205.879999999997"/>
    <s v="Sean"/>
    <x v="3"/>
    <x v="74"/>
    <x v="1"/>
    <n v="27"/>
    <x v="1"/>
    <x v="13"/>
    <x v="0"/>
  </r>
  <r>
    <s v="ORD-1215"/>
    <d v="2025-12-14T00:00:00"/>
    <x v="4"/>
    <s v="CUST-036"/>
    <s v="PROD-132"/>
    <n v="9"/>
    <n v="11677.6"/>
    <n v="9925.9600000000009"/>
    <n v="105098.40000000001"/>
    <n v="89333.640000000014"/>
    <n v="15764.759999999995"/>
    <s v="Jonathan"/>
    <x v="4"/>
    <x v="44"/>
    <x v="1"/>
    <n v="52"/>
    <x v="0"/>
    <x v="26"/>
    <x v="2"/>
  </r>
  <r>
    <s v="ORD-1216"/>
    <d v="2025-10-11T00:00:00"/>
    <x v="1"/>
    <s v="CUST-071"/>
    <s v="PROD-110"/>
    <n v="1"/>
    <n v="586.5"/>
    <n v="498.52499999999998"/>
    <n v="586.5"/>
    <n v="498.52499999999998"/>
    <n v="87.975000000000023"/>
    <s v="Patrick"/>
    <x v="2"/>
    <x v="6"/>
    <x v="1"/>
    <n v="32"/>
    <x v="1"/>
    <x v="14"/>
    <x v="4"/>
  </r>
  <r>
    <s v="ORD-1217"/>
    <d v="2025-12-30T00:00:00"/>
    <x v="2"/>
    <s v="CUST-073"/>
    <s v="PROD-110"/>
    <n v="6"/>
    <n v="12690"/>
    <n v="10786.5"/>
    <n v="76140"/>
    <n v="64719"/>
    <n v="11421"/>
    <s v="Patrick"/>
    <x v="3"/>
    <x v="28"/>
    <x v="0"/>
    <n v="23"/>
    <x v="1"/>
    <x v="14"/>
    <x v="4"/>
  </r>
  <r>
    <s v="ORD-1218"/>
    <d v="2025-11-20T00:00:00"/>
    <x v="6"/>
    <s v="CUST-099"/>
    <s v="PROD-126"/>
    <n v="7"/>
    <n v="5694.5"/>
    <n v="4840.3249999999998"/>
    <n v="39861.5"/>
    <n v="33882.275000000001"/>
    <n v="5979.2249999999985"/>
    <s v="Anna"/>
    <x v="1"/>
    <x v="5"/>
    <x v="0"/>
    <n v="52"/>
    <x v="0"/>
    <x v="9"/>
    <x v="5"/>
  </r>
  <r>
    <s v="ORD-1219"/>
    <d v="2025-10-16T00:00:00"/>
    <x v="13"/>
    <s v="CUST-032"/>
    <s v="PROD-122"/>
    <n v="8"/>
    <n v="9082.5"/>
    <n v="7720.125"/>
    <n v="72660"/>
    <n v="61761"/>
    <n v="10899"/>
    <s v="Katie"/>
    <x v="4"/>
    <x v="15"/>
    <x v="0"/>
    <n v="26"/>
    <x v="1"/>
    <x v="11"/>
    <x v="0"/>
  </r>
  <r>
    <s v="ORD-1220"/>
    <d v="2025-12-16T00:00:00"/>
    <x v="4"/>
    <s v="CUST-149"/>
    <s v="PROD-111"/>
    <n v="4"/>
    <n v="7723.0999999999995"/>
    <n v="6564.6349999999993"/>
    <n v="30892.399999999998"/>
    <n v="26258.539999999997"/>
    <n v="4633.8600000000006"/>
    <s v="Patrick"/>
    <x v="3"/>
    <x v="53"/>
    <x v="0"/>
    <n v="54"/>
    <x v="0"/>
    <x v="31"/>
    <x v="1"/>
  </r>
  <r>
    <s v="ORD-1221"/>
    <d v="2025-12-14T00:00:00"/>
    <x v="4"/>
    <s v="CUST-144"/>
    <s v="PROD-107"/>
    <n v="8"/>
    <n v="4662.9000000000005"/>
    <n v="3963.4650000000006"/>
    <n v="37303.200000000004"/>
    <n v="31707.720000000005"/>
    <n v="5595.48"/>
    <s v="Daniel"/>
    <x v="4"/>
    <x v="66"/>
    <x v="1"/>
    <n v="23"/>
    <x v="1"/>
    <x v="12"/>
    <x v="4"/>
  </r>
  <r>
    <s v="ORD-1222"/>
    <d v="2025-11-01T00:00:00"/>
    <x v="3"/>
    <s v="CUST-136"/>
    <s v="PROD-116"/>
    <n v="1"/>
    <n v="12445.9"/>
    <n v="10579.014999999999"/>
    <n v="12445.9"/>
    <n v="10579.014999999999"/>
    <n v="1866.8850000000002"/>
    <s v="Douglas"/>
    <x v="2"/>
    <x v="24"/>
    <x v="0"/>
    <n v="34"/>
    <x v="1"/>
    <x v="24"/>
    <x v="1"/>
  </r>
  <r>
    <s v="ORD-1223"/>
    <d v="2025-10-23T00:00:00"/>
    <x v="9"/>
    <s v="CUST-088"/>
    <s v="PROD-128"/>
    <n v="4"/>
    <n v="19823.699999999997"/>
    <n v="16850.144999999997"/>
    <n v="79294.799999999988"/>
    <n v="67400.579999999987"/>
    <n v="11894.220000000001"/>
    <s v="Katie"/>
    <x v="1"/>
    <x v="76"/>
    <x v="1"/>
    <n v="33"/>
    <x v="1"/>
    <x v="15"/>
    <x v="5"/>
  </r>
  <r>
    <s v="ORD-1224"/>
    <d v="2025-10-19T00:00:00"/>
    <x v="9"/>
    <s v="CUST-080"/>
    <s v="PROD-126"/>
    <n v="7"/>
    <n v="9120"/>
    <n v="7752"/>
    <n v="63840"/>
    <n v="54264"/>
    <n v="9576"/>
    <s v="Linda"/>
    <x v="1"/>
    <x v="33"/>
    <x v="1"/>
    <n v="21"/>
    <x v="1"/>
    <x v="9"/>
    <x v="5"/>
  </r>
  <r>
    <s v="ORD-1225"/>
    <d v="2025-10-08T00:00:00"/>
    <x v="1"/>
    <s v="CUST-125"/>
    <s v="PROD-133"/>
    <n v="2"/>
    <n v="14838"/>
    <n v="12612.3"/>
    <n v="29676"/>
    <n v="25224.6"/>
    <n v="4451.4000000000015"/>
    <s v="Caroline"/>
    <x v="2"/>
    <x v="28"/>
    <x v="0"/>
    <n v="23"/>
    <x v="1"/>
    <x v="22"/>
    <x v="2"/>
  </r>
  <r>
    <s v="ORD-1226"/>
    <d v="2025-10-07T00:00:00"/>
    <x v="1"/>
    <s v="CUST-043"/>
    <s v="PROD-110"/>
    <n v="10"/>
    <n v="11665.699999999999"/>
    <n v="9915.8449999999993"/>
    <n v="116656.99999999999"/>
    <n v="99158.45"/>
    <n v="17498.549999999988"/>
    <s v="Daniel"/>
    <x v="4"/>
    <x v="7"/>
    <x v="0"/>
    <n v="42"/>
    <x v="0"/>
    <x v="14"/>
    <x v="4"/>
  </r>
  <r>
    <s v="ORD-1227"/>
    <d v="2025-10-23T00:00:00"/>
    <x v="9"/>
    <s v="CUST-126"/>
    <s v="PROD-103"/>
    <n v="5"/>
    <n v="13863.5"/>
    <n v="11783.975"/>
    <n v="69317.5"/>
    <n v="58919.875"/>
    <n v="10397.625"/>
    <s v="Linda"/>
    <x v="0"/>
    <x v="89"/>
    <x v="1"/>
    <n v="40"/>
    <x v="0"/>
    <x v="28"/>
    <x v="3"/>
  </r>
  <r>
    <s v="ORD-1228"/>
    <d v="2025-11-08T00:00:00"/>
    <x v="5"/>
    <s v="CUST-061"/>
    <s v="PROD-115"/>
    <n v="4"/>
    <n v="3381.7000000000003"/>
    <n v="2874.4450000000002"/>
    <n v="13526.800000000001"/>
    <n v="11497.78"/>
    <n v="2029.0200000000004"/>
    <s v="Brenda"/>
    <x v="0"/>
    <x v="31"/>
    <x v="0"/>
    <n v="28"/>
    <x v="1"/>
    <x v="10"/>
    <x v="1"/>
  </r>
  <r>
    <s v="ORD-1229"/>
    <d v="2025-11-24T00:00:00"/>
    <x v="0"/>
    <s v="CUST-078"/>
    <s v="PROD-101"/>
    <n v="3"/>
    <n v="15702.3"/>
    <n v="13346.955"/>
    <n v="47106.899999999994"/>
    <n v="40040.864999999998"/>
    <n v="7066.0349999999962"/>
    <s v="Douglas"/>
    <x v="4"/>
    <x v="43"/>
    <x v="0"/>
    <n v="25"/>
    <x v="1"/>
    <x v="16"/>
    <x v="3"/>
  </r>
  <r>
    <s v="ORD-1230"/>
    <d v="2025-11-04T00:00:00"/>
    <x v="5"/>
    <s v="CUST-012"/>
    <s v="PROD-128"/>
    <n v="6"/>
    <n v="8423.3000000000011"/>
    <n v="7159.8050000000012"/>
    <n v="50539.8"/>
    <n v="42958.830000000009"/>
    <n v="7580.9699999999939"/>
    <s v="Tracey"/>
    <x v="0"/>
    <x v="79"/>
    <x v="1"/>
    <n v="23"/>
    <x v="1"/>
    <x v="15"/>
    <x v="5"/>
  </r>
  <r>
    <s v="ORD-1231"/>
    <d v="2025-12-06T00:00:00"/>
    <x v="10"/>
    <s v="CUST-083"/>
    <s v="PROD-105"/>
    <n v="1"/>
    <n v="4103.5"/>
    <n v="3487.9749999999999"/>
    <n v="4103.5"/>
    <n v="3487.9749999999999"/>
    <n v="615.52500000000009"/>
    <s v="Joshua"/>
    <x v="3"/>
    <x v="14"/>
    <x v="1"/>
    <n v="23"/>
    <x v="1"/>
    <x v="3"/>
    <x v="3"/>
  </r>
  <r>
    <s v="ORD-1232"/>
    <d v="2025-10-26T00:00:00"/>
    <x v="3"/>
    <s v="CUST-126"/>
    <s v="PROD-103"/>
    <n v="1"/>
    <n v="3013.5"/>
    <n v="2561.4749999999999"/>
    <n v="3013.5"/>
    <n v="2561.4749999999999"/>
    <n v="452.02500000000009"/>
    <s v="Douglas"/>
    <x v="0"/>
    <x v="89"/>
    <x v="1"/>
    <n v="40"/>
    <x v="0"/>
    <x v="28"/>
    <x v="3"/>
  </r>
  <r>
    <s v="ORD-1233"/>
    <d v="2025-10-19T00:00:00"/>
    <x v="9"/>
    <s v="CUST-061"/>
    <s v="PROD-127"/>
    <n v="6"/>
    <n v="11914.400000000001"/>
    <n v="10127.240000000002"/>
    <n v="71486.400000000009"/>
    <n v="60763.44000000001"/>
    <n v="10722.96"/>
    <s v="Linda"/>
    <x v="0"/>
    <x v="31"/>
    <x v="0"/>
    <n v="28"/>
    <x v="1"/>
    <x v="17"/>
    <x v="5"/>
  </r>
  <r>
    <s v="ORD-1234"/>
    <d v="2025-10-27T00:00:00"/>
    <x v="3"/>
    <s v="CUST-132"/>
    <s v="PROD-113"/>
    <n v="4"/>
    <n v="13751"/>
    <n v="11688.35"/>
    <n v="55004"/>
    <n v="46753.4"/>
    <n v="8250.5999999999985"/>
    <s v="Caroline"/>
    <x v="1"/>
    <x v="90"/>
    <x v="1"/>
    <n v="27"/>
    <x v="1"/>
    <x v="19"/>
    <x v="1"/>
  </r>
  <r>
    <s v="ORD-1235"/>
    <d v="2025-12-16T00:00:00"/>
    <x v="4"/>
    <s v="CUST-104"/>
    <s v="PROD-130"/>
    <n v="8"/>
    <n v="8826.7999999999993"/>
    <n v="7502.78"/>
    <n v="70614.399999999994"/>
    <n v="60022.239999999998"/>
    <n v="10592.159999999996"/>
    <s v="Jonathan"/>
    <x v="0"/>
    <x v="91"/>
    <x v="1"/>
    <n v="32"/>
    <x v="1"/>
    <x v="29"/>
    <x v="2"/>
  </r>
  <r>
    <s v="ORD-1236"/>
    <d v="2025-11-27T00:00:00"/>
    <x v="0"/>
    <s v="CUST-097"/>
    <s v="PROD-107"/>
    <n v="9"/>
    <n v="15969.9"/>
    <n v="13574.415000000001"/>
    <n v="143729.1"/>
    <n v="122169.73500000002"/>
    <n v="21559.364999999991"/>
    <s v="Jonathan"/>
    <x v="5"/>
    <x v="1"/>
    <x v="0"/>
    <n v="23"/>
    <x v="1"/>
    <x v="12"/>
    <x v="4"/>
  </r>
  <r>
    <s v="ORD-1237"/>
    <d v="2025-10-11T00:00:00"/>
    <x v="1"/>
    <s v="CUST-127"/>
    <s v="PROD-105"/>
    <n v="4"/>
    <n v="10318.699999999999"/>
    <n v="8770.8949999999986"/>
    <n v="41274.799999999996"/>
    <n v="35083.579999999994"/>
    <n v="6191.2200000000012"/>
    <s v="Caroline"/>
    <x v="3"/>
    <x v="48"/>
    <x v="0"/>
    <n v="18"/>
    <x v="1"/>
    <x v="3"/>
    <x v="3"/>
  </r>
  <r>
    <s v="ORD-1238"/>
    <d v="2025-10-14T00:00:00"/>
    <x v="13"/>
    <s v="CUST-133"/>
    <s v="PROD-104"/>
    <n v="7"/>
    <n v="6897.7"/>
    <n v="5863.0450000000001"/>
    <n v="48283.9"/>
    <n v="41041.315000000002"/>
    <n v="7242.5849999999991"/>
    <s v="Jennifer"/>
    <x v="4"/>
    <x v="94"/>
    <x v="1"/>
    <n v="21"/>
    <x v="1"/>
    <x v="4"/>
    <x v="3"/>
  </r>
  <r>
    <s v="ORD-1239"/>
    <d v="2025-10-31T00:00:00"/>
    <x v="3"/>
    <s v="CUST-030"/>
    <s v="PROD-113"/>
    <n v="9"/>
    <n v="15284.9"/>
    <n v="12992.165000000001"/>
    <n v="137564.1"/>
    <n v="116929.48500000002"/>
    <n v="20634.614999999991"/>
    <s v="Aaron"/>
    <x v="3"/>
    <x v="4"/>
    <x v="1"/>
    <n v="24"/>
    <x v="1"/>
    <x v="19"/>
    <x v="1"/>
  </r>
  <r>
    <s v="ORD-1240"/>
    <d v="2025-12-01T00:00:00"/>
    <x v="10"/>
    <s v="CUST-009"/>
    <s v="PROD-114"/>
    <n v="1"/>
    <n v="19521.600000000002"/>
    <n v="16593.36"/>
    <n v="19521.600000000002"/>
    <n v="16593.36"/>
    <n v="2928.2400000000016"/>
    <s v="Brenda"/>
    <x v="1"/>
    <x v="63"/>
    <x v="1"/>
    <n v="18"/>
    <x v="1"/>
    <x v="18"/>
    <x v="1"/>
  </r>
  <r>
    <s v="ORD-1241"/>
    <d v="2025-12-13T00:00:00"/>
    <x v="7"/>
    <s v="CUST-036"/>
    <s v="PROD-114"/>
    <n v="8"/>
    <n v="5320.9000000000005"/>
    <n v="4522.7650000000003"/>
    <n v="42567.200000000004"/>
    <n v="36182.120000000003"/>
    <n v="6385.0800000000017"/>
    <s v="Jasmine"/>
    <x v="4"/>
    <x v="44"/>
    <x v="1"/>
    <n v="52"/>
    <x v="0"/>
    <x v="18"/>
    <x v="1"/>
  </r>
  <r>
    <s v="ORD-1242"/>
    <d v="2025-10-15T00:00:00"/>
    <x v="13"/>
    <s v="CUST-069"/>
    <s v="PROD-101"/>
    <n v="8"/>
    <n v="14048.800000000001"/>
    <n v="11941.480000000001"/>
    <n v="112390.40000000001"/>
    <n v="95531.840000000011"/>
    <n v="16858.559999999998"/>
    <s v="Jasmine"/>
    <x v="1"/>
    <x v="42"/>
    <x v="0"/>
    <n v="37"/>
    <x v="0"/>
    <x v="16"/>
    <x v="3"/>
  </r>
  <r>
    <s v="ORD-1243"/>
    <d v="2025-10-22T00:00:00"/>
    <x v="9"/>
    <s v="CUST-024"/>
    <s v="PROD-103"/>
    <n v="2"/>
    <n v="12063.4"/>
    <n v="10253.89"/>
    <n v="24126.799999999999"/>
    <n v="20507.78"/>
    <n v="3619.0200000000004"/>
    <s v="Katie"/>
    <x v="1"/>
    <x v="78"/>
    <x v="1"/>
    <n v="31"/>
    <x v="1"/>
    <x v="28"/>
    <x v="3"/>
  </r>
  <r>
    <s v="ORD-1244"/>
    <d v="2025-12-18T00:00:00"/>
    <x v="4"/>
    <s v="CUST-027"/>
    <s v="PROD-123"/>
    <n v="7"/>
    <n v="9720.5999999999985"/>
    <n v="8262.5099999999984"/>
    <n v="68044.199999999983"/>
    <n v="57837.569999999992"/>
    <n v="10206.62999999999"/>
    <s v="Daniel"/>
    <x v="1"/>
    <x v="55"/>
    <x v="0"/>
    <n v="19"/>
    <x v="1"/>
    <x v="32"/>
    <x v="0"/>
  </r>
  <r>
    <s v="ORD-1245"/>
    <d v="2025-10-03T00:00:00"/>
    <x v="11"/>
    <s v="CUST-068"/>
    <s v="PROD-124"/>
    <n v="5"/>
    <n v="8729"/>
    <n v="7419.65"/>
    <n v="43645"/>
    <n v="37098.25"/>
    <n v="6546.75"/>
    <s v="Jonathan"/>
    <x v="4"/>
    <x v="45"/>
    <x v="1"/>
    <n v="28"/>
    <x v="1"/>
    <x v="5"/>
    <x v="0"/>
  </r>
  <r>
    <s v="ORD-1246"/>
    <d v="2025-10-24T00:00:00"/>
    <x v="9"/>
    <s v="CUST-008"/>
    <s v="PROD-117"/>
    <n v="4"/>
    <n v="6057.9"/>
    <n v="5149.2150000000001"/>
    <n v="24231.599999999999"/>
    <n v="20596.86"/>
    <n v="3634.739999999998"/>
    <s v="Patrick"/>
    <x v="4"/>
    <x v="69"/>
    <x v="0"/>
    <n v="29"/>
    <x v="1"/>
    <x v="23"/>
    <x v="0"/>
  </r>
  <r>
    <s v="ORD-1247"/>
    <d v="2025-10-30T00:00:00"/>
    <x v="3"/>
    <s v="CUST-099"/>
    <s v="PROD-131"/>
    <n v="1"/>
    <n v="4969.3"/>
    <n v="4223.9050000000007"/>
    <n v="4969.3"/>
    <n v="4223.9050000000007"/>
    <n v="745.39499999999953"/>
    <s v="Cheyenne"/>
    <x v="1"/>
    <x v="5"/>
    <x v="0"/>
    <n v="52"/>
    <x v="0"/>
    <x v="2"/>
    <x v="2"/>
  </r>
  <r>
    <s v="ORD-1248"/>
    <d v="2025-10-29T00:00:00"/>
    <x v="3"/>
    <s v="CUST-096"/>
    <s v="PROD-103"/>
    <n v="7"/>
    <n v="3052.5"/>
    <n v="2594.625"/>
    <n v="21367.5"/>
    <n v="18162.375"/>
    <n v="3205.125"/>
    <s v="Cheyenne"/>
    <x v="4"/>
    <x v="13"/>
    <x v="1"/>
    <n v="26"/>
    <x v="1"/>
    <x v="28"/>
    <x v="3"/>
  </r>
  <r>
    <s v="ORD-1249"/>
    <d v="2025-10-19T00:00:00"/>
    <x v="9"/>
    <s v="CUST-111"/>
    <s v="PROD-129"/>
    <n v="9"/>
    <n v="12504.8"/>
    <n v="10629.08"/>
    <n v="112543.2"/>
    <n v="95661.72"/>
    <n v="16881.479999999996"/>
    <s v="Katie"/>
    <x v="4"/>
    <x v="10"/>
    <x v="0"/>
    <n v="20"/>
    <x v="1"/>
    <x v="21"/>
    <x v="5"/>
  </r>
  <r>
    <s v="ORD-1250"/>
    <d v="2025-11-15T00:00:00"/>
    <x v="12"/>
    <s v="CUST-126"/>
    <s v="PROD-114"/>
    <n v="7"/>
    <n v="2998.8999999999996"/>
    <n v="2549.0649999999996"/>
    <n v="20992.299999999996"/>
    <n v="17843.454999999998"/>
    <n v="3148.8449999999975"/>
    <s v="Tracey"/>
    <x v="0"/>
    <x v="89"/>
    <x v="1"/>
    <n v="40"/>
    <x v="0"/>
    <x v="18"/>
    <x v="1"/>
  </r>
  <r>
    <s v="ORD-1251"/>
    <d v="2025-12-30T00:00:00"/>
    <x v="2"/>
    <s v="CUST-120"/>
    <s v="PROD-125"/>
    <n v="9"/>
    <n v="4076.5"/>
    <n v="3465.0250000000001"/>
    <n v="36688.5"/>
    <n v="31185.225000000002"/>
    <n v="5503.2749999999978"/>
    <s v="Sean"/>
    <x v="0"/>
    <x v="95"/>
    <x v="1"/>
    <n v="18"/>
    <x v="1"/>
    <x v="13"/>
    <x v="0"/>
  </r>
  <r>
    <s v="ORD-1252"/>
    <d v="2025-12-15T00:00:00"/>
    <x v="4"/>
    <s v="CUST-008"/>
    <s v="PROD-111"/>
    <n v="8"/>
    <n v="14550"/>
    <n v="12367.5"/>
    <n v="116400"/>
    <n v="98940"/>
    <n v="17460"/>
    <s v="Anna"/>
    <x v="4"/>
    <x v="69"/>
    <x v="0"/>
    <n v="29"/>
    <x v="1"/>
    <x v="31"/>
    <x v="1"/>
  </r>
  <r>
    <s v="ORD-1253"/>
    <d v="2025-12-04T00:00:00"/>
    <x v="10"/>
    <s v="CUST-108"/>
    <s v="PROD-109"/>
    <n v="8"/>
    <n v="3006"/>
    <n v="2555.1"/>
    <n v="24048"/>
    <n v="20440.8"/>
    <n v="3607.2000000000007"/>
    <s v="Lisa"/>
    <x v="5"/>
    <x v="30"/>
    <x v="0"/>
    <n v="42"/>
    <x v="0"/>
    <x v="30"/>
    <x v="4"/>
  </r>
  <r>
    <s v="ORD-1254"/>
    <d v="2025-11-24T00:00:00"/>
    <x v="0"/>
    <s v="CUST-030"/>
    <s v="PROD-129"/>
    <n v="1"/>
    <n v="16237"/>
    <n v="13801.45"/>
    <n v="16237"/>
    <n v="13801.45"/>
    <n v="2435.5499999999993"/>
    <s v="Daniel"/>
    <x v="3"/>
    <x v="4"/>
    <x v="1"/>
    <n v="24"/>
    <x v="1"/>
    <x v="21"/>
    <x v="5"/>
  </r>
  <r>
    <s v="ORD-1255"/>
    <d v="2025-11-12T00:00:00"/>
    <x v="12"/>
    <s v="CUST-150"/>
    <s v="PROD-133"/>
    <n v="1"/>
    <n v="16327.1"/>
    <n v="13878.035"/>
    <n v="16327.1"/>
    <n v="13878.035"/>
    <n v="2449.0650000000005"/>
    <s v="Tracey"/>
    <x v="1"/>
    <x v="31"/>
    <x v="0"/>
    <n v="25"/>
    <x v="1"/>
    <x v="22"/>
    <x v="2"/>
  </r>
  <r>
    <s v="ORD-1256"/>
    <d v="2025-10-09T00:00:00"/>
    <x v="1"/>
    <s v="CUST-064"/>
    <s v="PROD-106"/>
    <n v="1"/>
    <n v="6805.7000000000007"/>
    <n v="5784.8450000000012"/>
    <n v="6805.7000000000007"/>
    <n v="5784.8450000000012"/>
    <n v="1020.8549999999996"/>
    <s v="Douglas"/>
    <x v="4"/>
    <x v="59"/>
    <x v="0"/>
    <n v="37"/>
    <x v="0"/>
    <x v="6"/>
    <x v="4"/>
  </r>
  <r>
    <s v="ORD-1257"/>
    <d v="2025-11-19T00:00:00"/>
    <x v="6"/>
    <s v="CUST-068"/>
    <s v="PROD-126"/>
    <n v="5"/>
    <n v="9592.2999999999993"/>
    <n v="8153.4549999999999"/>
    <n v="47961.5"/>
    <n v="40767.275000000001"/>
    <n v="7194.2249999999985"/>
    <s v="Ralph"/>
    <x v="4"/>
    <x v="45"/>
    <x v="1"/>
    <n v="28"/>
    <x v="1"/>
    <x v="9"/>
    <x v="5"/>
  </r>
  <r>
    <s v="ORD-1258"/>
    <d v="2025-12-12T00:00:00"/>
    <x v="7"/>
    <s v="CUST-036"/>
    <s v="PROD-128"/>
    <n v="1"/>
    <n v="7859"/>
    <n v="6680.15"/>
    <n v="7859"/>
    <n v="6680.15"/>
    <n v="1178.8500000000004"/>
    <s v="Ethan"/>
    <x v="4"/>
    <x v="44"/>
    <x v="1"/>
    <n v="52"/>
    <x v="0"/>
    <x v="15"/>
    <x v="5"/>
  </r>
  <r>
    <s v="ORD-1259"/>
    <d v="2025-11-17T00:00:00"/>
    <x v="6"/>
    <s v="CUST-022"/>
    <s v="PROD-110"/>
    <n v="5"/>
    <n v="12344.5"/>
    <n v="10492.825000000001"/>
    <n v="61722.5"/>
    <n v="52464.125"/>
    <n v="9258.375"/>
    <s v="David"/>
    <x v="5"/>
    <x v="46"/>
    <x v="1"/>
    <n v="31"/>
    <x v="1"/>
    <x v="14"/>
    <x v="4"/>
  </r>
  <r>
    <s v="ORD-1260"/>
    <d v="2025-11-22T00:00:00"/>
    <x v="6"/>
    <s v="CUST-096"/>
    <s v="PROD-114"/>
    <n v="1"/>
    <n v="19198"/>
    <n v="16318.3"/>
    <n v="19198"/>
    <n v="16318.3"/>
    <n v="2879.7000000000007"/>
    <s v="Daniel"/>
    <x v="4"/>
    <x v="13"/>
    <x v="1"/>
    <n v="26"/>
    <x v="1"/>
    <x v="18"/>
    <x v="1"/>
  </r>
  <r>
    <s v="ORD-1261"/>
    <d v="2025-11-22T00:00:00"/>
    <x v="6"/>
    <s v="CUST-090"/>
    <s v="PROD-123"/>
    <n v="9"/>
    <n v="14292.9"/>
    <n v="12148.965"/>
    <n v="128636.09999999999"/>
    <n v="109340.685"/>
    <n v="19295.414999999994"/>
    <s v="Caroline"/>
    <x v="1"/>
    <x v="16"/>
    <x v="0"/>
    <n v="29"/>
    <x v="1"/>
    <x v="32"/>
    <x v="0"/>
  </r>
  <r>
    <s v="ORD-1262"/>
    <d v="2025-10-28T00:00:00"/>
    <x v="3"/>
    <s v="CUST-059"/>
    <s v="PROD-102"/>
    <n v="9"/>
    <n v="11281.6"/>
    <n v="9589.36"/>
    <n v="101534.40000000001"/>
    <n v="86304.24"/>
    <n v="15230.160000000003"/>
    <s v="Cheyenne"/>
    <x v="1"/>
    <x v="6"/>
    <x v="1"/>
    <n v="25"/>
    <x v="1"/>
    <x v="20"/>
    <x v="3"/>
  </r>
  <r>
    <s v="ORD-1263"/>
    <d v="2025-11-05T00:00:00"/>
    <x v="5"/>
    <s v="CUST-032"/>
    <s v="PROD-121"/>
    <n v="9"/>
    <n v="15993.699999999999"/>
    <n v="13594.644999999999"/>
    <n v="143943.29999999999"/>
    <n v="122351.80499999999"/>
    <n v="21591.494999999995"/>
    <s v="Jonathan"/>
    <x v="4"/>
    <x v="15"/>
    <x v="0"/>
    <n v="26"/>
    <x v="1"/>
    <x v="8"/>
    <x v="0"/>
  </r>
  <r>
    <s v="ORD-1264"/>
    <d v="2025-10-29T00:00:00"/>
    <x v="3"/>
    <s v="CUST-018"/>
    <s v="PROD-125"/>
    <n v="3"/>
    <n v="17672.7"/>
    <n v="15021.795"/>
    <n v="53018.100000000006"/>
    <n v="45065.385000000002"/>
    <n v="7952.7150000000038"/>
    <s v="Lisa"/>
    <x v="0"/>
    <x v="103"/>
    <x v="0"/>
    <n v="35"/>
    <x v="0"/>
    <x v="13"/>
    <x v="0"/>
  </r>
  <r>
    <s v="ORD-1265"/>
    <d v="2025-11-11T00:00:00"/>
    <x v="12"/>
    <s v="CUST-142"/>
    <s v="PROD-105"/>
    <n v="5"/>
    <n v="18151.600000000002"/>
    <n v="15428.860000000002"/>
    <n v="90758.000000000015"/>
    <n v="77144.300000000017"/>
    <n v="13613.699999999997"/>
    <s v="Jennifer"/>
    <x v="0"/>
    <x v="0"/>
    <x v="0"/>
    <n v="38"/>
    <x v="0"/>
    <x v="3"/>
    <x v="3"/>
  </r>
  <r>
    <s v="ORD-1266"/>
    <d v="2025-10-06T00:00:00"/>
    <x v="1"/>
    <s v="CUST-103"/>
    <s v="PROD-125"/>
    <n v="4"/>
    <n v="1398.6000000000001"/>
    <n v="1188.8100000000002"/>
    <n v="5594.4000000000005"/>
    <n v="4755.2400000000007"/>
    <n v="839.15999999999985"/>
    <s v="Laura"/>
    <x v="2"/>
    <x v="85"/>
    <x v="1"/>
    <n v="23"/>
    <x v="1"/>
    <x v="13"/>
    <x v="0"/>
  </r>
  <r>
    <s v="ORD-1267"/>
    <d v="2025-10-16T00:00:00"/>
    <x v="13"/>
    <s v="CUST-045"/>
    <s v="PROD-133"/>
    <n v="5"/>
    <n v="18220.5"/>
    <n v="15487.424999999999"/>
    <n v="91102.5"/>
    <n v="77437.125"/>
    <n v="13665.375"/>
    <s v="Katie"/>
    <x v="1"/>
    <x v="36"/>
    <x v="0"/>
    <n v="22"/>
    <x v="1"/>
    <x v="22"/>
    <x v="2"/>
  </r>
  <r>
    <s v="ORD-1268"/>
    <d v="2025-10-05T00:00:00"/>
    <x v="1"/>
    <s v="CUST-144"/>
    <s v="PROD-114"/>
    <n v="7"/>
    <n v="2340.6"/>
    <n v="1989.51"/>
    <n v="16384.2"/>
    <n v="13926.57"/>
    <n v="2457.630000000001"/>
    <s v="Kayla"/>
    <x v="4"/>
    <x v="66"/>
    <x v="1"/>
    <n v="23"/>
    <x v="1"/>
    <x v="18"/>
    <x v="1"/>
  </r>
  <r>
    <s v="ORD-1269"/>
    <d v="2025-12-03T00:00:00"/>
    <x v="10"/>
    <s v="CUST-130"/>
    <s v="PROD-132"/>
    <n v="10"/>
    <n v="9493.9"/>
    <n v="8069.8149999999996"/>
    <n v="94939"/>
    <n v="80698.149999999994"/>
    <n v="14240.850000000006"/>
    <s v="Victoria"/>
    <x v="5"/>
    <x v="34"/>
    <x v="1"/>
    <n v="55"/>
    <x v="0"/>
    <x v="26"/>
    <x v="2"/>
  </r>
  <r>
    <s v="ORD-1270"/>
    <d v="2025-11-27T00:00:00"/>
    <x v="0"/>
    <s v="CUST-053"/>
    <s v="PROD-124"/>
    <n v="7"/>
    <n v="14133.4"/>
    <n v="12013.39"/>
    <n v="98933.8"/>
    <n v="84093.73"/>
    <n v="14840.070000000007"/>
    <s v="Jasmine"/>
    <x v="4"/>
    <x v="69"/>
    <x v="0"/>
    <n v="19"/>
    <x v="1"/>
    <x v="5"/>
    <x v="0"/>
  </r>
  <r>
    <s v="ORD-1271"/>
    <d v="2025-10-11T00:00:00"/>
    <x v="1"/>
    <s v="CUST-071"/>
    <s v="PROD-107"/>
    <n v="2"/>
    <n v="10874.9"/>
    <n v="9243.6649999999991"/>
    <n v="21749.8"/>
    <n v="18487.329999999998"/>
    <n v="3262.4700000000012"/>
    <s v="Lisa"/>
    <x v="2"/>
    <x v="6"/>
    <x v="1"/>
    <n v="32"/>
    <x v="1"/>
    <x v="12"/>
    <x v="4"/>
  </r>
  <r>
    <s v="ORD-1272"/>
    <d v="2025-11-21T00:00:00"/>
    <x v="6"/>
    <s v="CUST-129"/>
    <s v="PROD-121"/>
    <n v="2"/>
    <n v="15300.1"/>
    <n v="13005.085000000001"/>
    <n v="30600.2"/>
    <n v="26010.170000000002"/>
    <n v="4590.0299999999988"/>
    <s v="Jasmine"/>
    <x v="4"/>
    <x v="71"/>
    <x v="0"/>
    <n v="38"/>
    <x v="0"/>
    <x v="8"/>
    <x v="0"/>
  </r>
  <r>
    <s v="ORD-1273"/>
    <d v="2025-12-08T00:00:00"/>
    <x v="7"/>
    <s v="CUST-062"/>
    <s v="PROD-124"/>
    <n v="8"/>
    <n v="12665"/>
    <n v="10765.25"/>
    <n v="101320"/>
    <n v="86122"/>
    <n v="15198"/>
    <s v="Tara"/>
    <x v="3"/>
    <x v="61"/>
    <x v="0"/>
    <n v="20"/>
    <x v="1"/>
    <x v="5"/>
    <x v="0"/>
  </r>
  <r>
    <s v="ORD-1274"/>
    <d v="2025-10-16T00:00:00"/>
    <x v="13"/>
    <s v="CUST-133"/>
    <s v="PROD-134"/>
    <n v="3"/>
    <n v="17820.3"/>
    <n v="15147.254999999999"/>
    <n v="53460.899999999994"/>
    <n v="45441.764999999999"/>
    <n v="8019.1349999999948"/>
    <s v="Keith"/>
    <x v="4"/>
    <x v="94"/>
    <x v="1"/>
    <n v="21"/>
    <x v="1"/>
    <x v="7"/>
    <x v="2"/>
  </r>
  <r>
    <s v="ORD-1275"/>
    <d v="2025-12-01T00:00:00"/>
    <x v="10"/>
    <s v="CUST-099"/>
    <s v="PROD-109"/>
    <n v="3"/>
    <n v="16483.800000000003"/>
    <n v="14011.230000000003"/>
    <n v="49451.400000000009"/>
    <n v="42033.69000000001"/>
    <n v="7417.7099999999991"/>
    <s v="David"/>
    <x v="1"/>
    <x v="5"/>
    <x v="0"/>
    <n v="52"/>
    <x v="0"/>
    <x v="30"/>
    <x v="4"/>
  </r>
  <r>
    <s v="ORD-1276"/>
    <d v="2025-12-14T00:00:00"/>
    <x v="4"/>
    <s v="CUST-140"/>
    <s v="PROD-124"/>
    <n v="1"/>
    <n v="18074"/>
    <n v="15362.9"/>
    <n v="18074"/>
    <n v="15362.9"/>
    <n v="2711.1000000000004"/>
    <s v="Aaron"/>
    <x v="4"/>
    <x v="77"/>
    <x v="1"/>
    <n v="46"/>
    <x v="0"/>
    <x v="5"/>
    <x v="0"/>
  </r>
  <r>
    <s v="ORD-1277"/>
    <d v="2025-11-07T00:00:00"/>
    <x v="5"/>
    <s v="CUST-088"/>
    <s v="PROD-126"/>
    <n v="2"/>
    <n v="16049.2"/>
    <n v="13641.82"/>
    <n v="32098.400000000001"/>
    <n v="27283.64"/>
    <n v="4814.760000000002"/>
    <s v="Ethan"/>
    <x v="1"/>
    <x v="76"/>
    <x v="1"/>
    <n v="33"/>
    <x v="1"/>
    <x v="9"/>
    <x v="5"/>
  </r>
  <r>
    <s v="ORD-1278"/>
    <d v="2025-10-04T00:00:00"/>
    <x v="11"/>
    <s v="CUST-090"/>
    <s v="PROD-125"/>
    <n v="2"/>
    <n v="16874.100000000002"/>
    <n v="14342.985000000002"/>
    <n v="33748.200000000004"/>
    <n v="28685.970000000005"/>
    <n v="5062.2299999999996"/>
    <s v="Douglas"/>
    <x v="1"/>
    <x v="16"/>
    <x v="0"/>
    <n v="29"/>
    <x v="1"/>
    <x v="13"/>
    <x v="0"/>
  </r>
  <r>
    <s v="ORD-1279"/>
    <d v="2025-11-19T00:00:00"/>
    <x v="6"/>
    <s v="CUST-016"/>
    <s v="PROD-113"/>
    <n v="5"/>
    <n v="15723"/>
    <n v="13364.55"/>
    <n v="78615"/>
    <n v="66822.75"/>
    <n v="11792.25"/>
    <s v="Joshua"/>
    <x v="1"/>
    <x v="26"/>
    <x v="1"/>
    <n v="26"/>
    <x v="1"/>
    <x v="19"/>
    <x v="1"/>
  </r>
  <r>
    <s v="ORD-1280"/>
    <d v="2025-12-31T00:00:00"/>
    <x v="2"/>
    <s v="CUST-102"/>
    <s v="PROD-124"/>
    <n v="9"/>
    <n v="4682.7999999999993"/>
    <n v="3980.3799999999992"/>
    <n v="42145.2"/>
    <n v="35823.419999999991"/>
    <n v="6321.7800000000061"/>
    <s v="Douglas"/>
    <x v="1"/>
    <x v="40"/>
    <x v="1"/>
    <n v="27"/>
    <x v="1"/>
    <x v="5"/>
    <x v="0"/>
  </r>
  <r>
    <s v="ORD-1281"/>
    <d v="2025-11-15T00:00:00"/>
    <x v="12"/>
    <s v="CUST-078"/>
    <s v="PROD-105"/>
    <n v="7"/>
    <n v="3571.8"/>
    <n v="3036.03"/>
    <n v="25002.600000000002"/>
    <n v="21252.210000000003"/>
    <n v="3750.3899999999994"/>
    <s v="Thomas"/>
    <x v="4"/>
    <x v="43"/>
    <x v="0"/>
    <n v="25"/>
    <x v="1"/>
    <x v="3"/>
    <x v="3"/>
  </r>
  <r>
    <s v="ORD-1282"/>
    <d v="2025-12-08T00:00:00"/>
    <x v="7"/>
    <s v="CUST-140"/>
    <s v="PROD-133"/>
    <n v="8"/>
    <n v="6811.2"/>
    <n v="5789.5199999999995"/>
    <n v="54489.599999999999"/>
    <n v="46316.159999999996"/>
    <n v="8173.4400000000023"/>
    <s v="Patrick"/>
    <x v="4"/>
    <x v="77"/>
    <x v="1"/>
    <n v="46"/>
    <x v="0"/>
    <x v="22"/>
    <x v="2"/>
  </r>
  <r>
    <s v="ORD-1283"/>
    <d v="2025-12-23T00:00:00"/>
    <x v="8"/>
    <s v="CUST-089"/>
    <s v="PROD-132"/>
    <n v="4"/>
    <n v="6552.3"/>
    <n v="5569.4549999999999"/>
    <n v="26209.200000000001"/>
    <n v="22277.82"/>
    <n v="3931.380000000001"/>
    <s v="Jonathan"/>
    <x v="4"/>
    <x v="92"/>
    <x v="1"/>
    <n v="35"/>
    <x v="0"/>
    <x v="26"/>
    <x v="2"/>
  </r>
  <r>
    <s v="ORD-1284"/>
    <d v="2025-10-28T00:00:00"/>
    <x v="3"/>
    <s v="CUST-011"/>
    <s v="PROD-125"/>
    <n v="3"/>
    <n v="9228.7000000000007"/>
    <n v="7844.3950000000004"/>
    <n v="27686.100000000002"/>
    <n v="23533.185000000001"/>
    <n v="4152.9150000000009"/>
    <s v="Joshua"/>
    <x v="2"/>
    <x v="26"/>
    <x v="1"/>
    <n v="18"/>
    <x v="1"/>
    <x v="13"/>
    <x v="0"/>
  </r>
  <r>
    <s v="ORD-1285"/>
    <d v="2025-11-20T00:00:00"/>
    <x v="6"/>
    <s v="CUST-010"/>
    <s v="PROD-115"/>
    <n v="4"/>
    <n v="5235.1000000000004"/>
    <n v="4449.835"/>
    <n v="20940.400000000001"/>
    <n v="17799.34"/>
    <n v="3141.0600000000013"/>
    <s v="Douglas"/>
    <x v="1"/>
    <x v="93"/>
    <x v="1"/>
    <n v="21"/>
    <x v="1"/>
    <x v="10"/>
    <x v="1"/>
  </r>
  <r>
    <s v="ORD-1286"/>
    <d v="2025-12-12T00:00:00"/>
    <x v="7"/>
    <s v="CUST-020"/>
    <s v="PROD-126"/>
    <n v="5"/>
    <n v="17278.399999999998"/>
    <n v="14686.639999999998"/>
    <n v="86391.999999999985"/>
    <n v="73433.199999999983"/>
    <n v="12958.800000000003"/>
    <s v="Timothy"/>
    <x v="1"/>
    <x v="23"/>
    <x v="1"/>
    <n v="35"/>
    <x v="0"/>
    <x v="9"/>
    <x v="5"/>
  </r>
  <r>
    <s v="ORD-1287"/>
    <d v="2025-11-20T00:00:00"/>
    <x v="6"/>
    <s v="CUST-023"/>
    <s v="PROD-127"/>
    <n v="7"/>
    <n v="3832.1"/>
    <n v="3257.2849999999999"/>
    <n v="26824.7"/>
    <n v="22800.994999999999"/>
    <n v="4023.7050000000017"/>
    <s v="Linda"/>
    <x v="0"/>
    <x v="65"/>
    <x v="1"/>
    <n v="35"/>
    <x v="0"/>
    <x v="17"/>
    <x v="5"/>
  </r>
  <r>
    <s v="ORD-1288"/>
    <d v="2025-10-16T00:00:00"/>
    <x v="13"/>
    <s v="CUST-040"/>
    <s v="PROD-107"/>
    <n v="9"/>
    <n v="19531.900000000001"/>
    <n v="16602.115000000002"/>
    <n v="175787.1"/>
    <n v="149419.035"/>
    <n v="26368.065000000002"/>
    <s v="Caroline"/>
    <x v="0"/>
    <x v="72"/>
    <x v="0"/>
    <n v="52"/>
    <x v="0"/>
    <x v="12"/>
    <x v="4"/>
  </r>
  <r>
    <s v="ORD-1289"/>
    <d v="2025-11-19T00:00:00"/>
    <x v="6"/>
    <s v="CUST-079"/>
    <s v="PROD-132"/>
    <n v="2"/>
    <n v="1612.7"/>
    <n v="1370.7950000000001"/>
    <n v="3225.4"/>
    <n v="2741.59"/>
    <n v="483.80999999999995"/>
    <s v="Jonathan"/>
    <x v="1"/>
    <x v="97"/>
    <x v="0"/>
    <n v="50"/>
    <x v="0"/>
    <x v="26"/>
    <x v="2"/>
  </r>
  <r>
    <s v="ORD-1290"/>
    <d v="2025-10-02T00:00:00"/>
    <x v="11"/>
    <s v="CUST-051"/>
    <s v="PROD-117"/>
    <n v="10"/>
    <n v="8699.7000000000007"/>
    <n v="7394.7450000000008"/>
    <n v="86997"/>
    <n v="73947.450000000012"/>
    <n v="13049.549999999988"/>
    <s v="Tara"/>
    <x v="3"/>
    <x v="15"/>
    <x v="0"/>
    <n v="31"/>
    <x v="1"/>
    <x v="23"/>
    <x v="0"/>
  </r>
  <r>
    <s v="ORD-1291"/>
    <d v="2025-12-29T00:00:00"/>
    <x v="2"/>
    <s v="CUST-128"/>
    <s v="PROD-110"/>
    <n v="10"/>
    <n v="5888.5"/>
    <n v="5005.2250000000004"/>
    <n v="58885"/>
    <n v="50052.25"/>
    <n v="8832.75"/>
    <s v="Timothy"/>
    <x v="1"/>
    <x v="75"/>
    <x v="1"/>
    <n v="55"/>
    <x v="0"/>
    <x v="14"/>
    <x v="4"/>
  </r>
  <r>
    <s v="ORD-1292"/>
    <d v="2025-11-25T00:00:00"/>
    <x v="0"/>
    <s v="CUST-021"/>
    <s v="PROD-124"/>
    <n v="7"/>
    <n v="13935.599999999999"/>
    <n v="11845.259999999998"/>
    <n v="97549.199999999983"/>
    <n v="82916.819999999992"/>
    <n v="14632.37999999999"/>
    <s v="Cheyenne"/>
    <x v="4"/>
    <x v="67"/>
    <x v="1"/>
    <n v="28"/>
    <x v="1"/>
    <x v="5"/>
    <x v="0"/>
  </r>
  <r>
    <s v="ORD-1293"/>
    <d v="2025-12-29T00:00:00"/>
    <x v="2"/>
    <s v="CUST-028"/>
    <s v="PROD-104"/>
    <n v="7"/>
    <n v="10511.099999999999"/>
    <n v="8934.4349999999995"/>
    <n v="73577.699999999983"/>
    <n v="62541.044999999998"/>
    <n v="11036.654999999984"/>
    <s v="Caroline"/>
    <x v="2"/>
    <x v="98"/>
    <x v="1"/>
    <n v="33"/>
    <x v="1"/>
    <x v="4"/>
    <x v="3"/>
  </r>
  <r>
    <s v="ORD-1294"/>
    <d v="2025-10-09T00:00:00"/>
    <x v="1"/>
    <s v="CUST-129"/>
    <s v="PROD-130"/>
    <n v="9"/>
    <n v="13208.800000000001"/>
    <n v="11227.480000000001"/>
    <n v="118879.20000000001"/>
    <n v="101047.32"/>
    <n v="17831.880000000005"/>
    <s v="Timothy"/>
    <x v="4"/>
    <x v="71"/>
    <x v="0"/>
    <n v="38"/>
    <x v="0"/>
    <x v="29"/>
    <x v="2"/>
  </r>
  <r>
    <s v="ORD-1295"/>
    <d v="2025-12-10T00:00:00"/>
    <x v="7"/>
    <s v="CUST-133"/>
    <s v="PROD-105"/>
    <n v="7"/>
    <n v="2380.8000000000002"/>
    <n v="2023.6800000000003"/>
    <n v="16665.600000000002"/>
    <n v="14165.760000000002"/>
    <n v="2499.84"/>
    <s v="Joshua"/>
    <x v="4"/>
    <x v="94"/>
    <x v="1"/>
    <n v="21"/>
    <x v="1"/>
    <x v="3"/>
    <x v="3"/>
  </r>
  <r>
    <s v="ORD-1296"/>
    <d v="2025-10-04T00:00:00"/>
    <x v="11"/>
    <s v="CUST-026"/>
    <s v="PROD-106"/>
    <n v="5"/>
    <n v="16381.6"/>
    <n v="13924.36"/>
    <n v="81908"/>
    <n v="69621.8"/>
    <n v="12286.199999999997"/>
    <s v="Sean"/>
    <x v="1"/>
    <x v="104"/>
    <x v="1"/>
    <n v="26"/>
    <x v="1"/>
    <x v="6"/>
    <x v="4"/>
  </r>
  <r>
    <s v="ORD-1297"/>
    <d v="2025-11-05T00:00:00"/>
    <x v="5"/>
    <s v="CUST-007"/>
    <s v="PROD-106"/>
    <n v="3"/>
    <n v="14976.7"/>
    <n v="12730.195"/>
    <n v="44930.100000000006"/>
    <n v="38190.584999999999"/>
    <n v="6739.5150000000067"/>
    <s v="Jonathan"/>
    <x v="1"/>
    <x v="29"/>
    <x v="0"/>
    <n v="44"/>
    <x v="0"/>
    <x v="6"/>
    <x v="4"/>
  </r>
  <r>
    <s v="ORD-1298"/>
    <d v="2025-12-12T00:00:00"/>
    <x v="7"/>
    <s v="CUST-032"/>
    <s v="PROD-115"/>
    <n v="1"/>
    <n v="5041.1000000000004"/>
    <n v="4284.9350000000004"/>
    <n v="5041.1000000000004"/>
    <n v="4284.9350000000004"/>
    <n v="756.16499999999996"/>
    <s v="Timothy"/>
    <x v="4"/>
    <x v="15"/>
    <x v="0"/>
    <n v="26"/>
    <x v="1"/>
    <x v="10"/>
    <x v="1"/>
  </r>
  <r>
    <s v="ORD-1299"/>
    <d v="2025-12-07T00:00:00"/>
    <x v="7"/>
    <s v="CUST-088"/>
    <s v="PROD-125"/>
    <n v="2"/>
    <n v="13704.5"/>
    <n v="11648.825000000001"/>
    <n v="27409"/>
    <n v="23297.65"/>
    <n v="4111.3499999999985"/>
    <s v="Jonathan"/>
    <x v="1"/>
    <x v="76"/>
    <x v="1"/>
    <n v="33"/>
    <x v="1"/>
    <x v="13"/>
    <x v="0"/>
  </r>
  <r>
    <s v="ORD-1300"/>
    <d v="2025-12-06T00:00:00"/>
    <x v="10"/>
    <s v="CUST-094"/>
    <s v="PROD-131"/>
    <n v="7"/>
    <n v="13037"/>
    <n v="11081.45"/>
    <n v="91259"/>
    <n v="77570.150000000009"/>
    <n v="13688.849999999991"/>
    <s v="Aaron"/>
    <x v="3"/>
    <x v="21"/>
    <x v="1"/>
    <n v="40"/>
    <x v="0"/>
    <x v="2"/>
    <x v="2"/>
  </r>
  <r>
    <s v="ORD-1301"/>
    <d v="2025-12-28T00:00:00"/>
    <x v="2"/>
    <s v="CUST-150"/>
    <s v="PROD-121"/>
    <n v="8"/>
    <n v="7994.9"/>
    <n v="6795.665"/>
    <n v="63959.199999999997"/>
    <n v="54365.32"/>
    <n v="9593.8799999999974"/>
    <s v="Thomas"/>
    <x v="1"/>
    <x v="31"/>
    <x v="0"/>
    <n v="25"/>
    <x v="1"/>
    <x v="8"/>
    <x v="0"/>
  </r>
  <r>
    <s v="ORD-1302"/>
    <d v="2025-12-26T00:00:00"/>
    <x v="8"/>
    <s v="CUST-128"/>
    <s v="PROD-129"/>
    <n v="2"/>
    <n v="19086.8"/>
    <n v="16223.779999999999"/>
    <n v="38173.599999999999"/>
    <n v="32447.559999999998"/>
    <n v="5726.0400000000009"/>
    <s v="Jennifer"/>
    <x v="1"/>
    <x v="75"/>
    <x v="1"/>
    <n v="55"/>
    <x v="0"/>
    <x v="21"/>
    <x v="5"/>
  </r>
  <r>
    <s v="ORD-1303"/>
    <d v="2025-12-08T00:00:00"/>
    <x v="7"/>
    <s v="CUST-141"/>
    <s v="PROD-132"/>
    <n v="3"/>
    <n v="6254.6"/>
    <n v="5316.41"/>
    <n v="18763.800000000003"/>
    <n v="15949.23"/>
    <n v="2814.5700000000033"/>
    <s v="Tara"/>
    <x v="5"/>
    <x v="12"/>
    <x v="1"/>
    <n v="49"/>
    <x v="0"/>
    <x v="26"/>
    <x v="2"/>
  </r>
  <r>
    <s v="ORD-1304"/>
    <d v="2025-12-11T00:00:00"/>
    <x v="7"/>
    <s v="CUST-054"/>
    <s v="PROD-105"/>
    <n v="5"/>
    <n v="10222.5"/>
    <n v="8689.125"/>
    <n v="51112.5"/>
    <n v="43445.625"/>
    <n v="7666.875"/>
    <s v="Brenda"/>
    <x v="5"/>
    <x v="52"/>
    <x v="1"/>
    <n v="39"/>
    <x v="0"/>
    <x v="3"/>
    <x v="3"/>
  </r>
  <r>
    <s v="ORD-1305"/>
    <d v="2025-12-16T00:00:00"/>
    <x v="4"/>
    <s v="CUST-046"/>
    <s v="PROD-101"/>
    <n v="5"/>
    <n v="11055.699999999999"/>
    <n v="9397.3449999999993"/>
    <n v="55278.499999999993"/>
    <n v="46986.724999999999"/>
    <n v="8291.7749999999942"/>
    <s v="Ralph"/>
    <x v="4"/>
    <x v="4"/>
    <x v="1"/>
    <n v="31"/>
    <x v="1"/>
    <x v="16"/>
    <x v="3"/>
  </r>
  <r>
    <s v="ORD-1306"/>
    <d v="2025-10-22T00:00:00"/>
    <x v="9"/>
    <s v="CUST-136"/>
    <s v="PROD-110"/>
    <n v="3"/>
    <n v="4556.2"/>
    <n v="3872.77"/>
    <n v="13668.599999999999"/>
    <n v="11618.31"/>
    <n v="2050.2899999999991"/>
    <s v="Jonathan"/>
    <x v="2"/>
    <x v="24"/>
    <x v="0"/>
    <n v="34"/>
    <x v="1"/>
    <x v="14"/>
    <x v="4"/>
  </r>
  <r>
    <s v="ORD-1307"/>
    <d v="2025-12-16T00:00:00"/>
    <x v="4"/>
    <s v="CUST-143"/>
    <s v="PROD-110"/>
    <n v="1"/>
    <n v="750.69999999999993"/>
    <n v="638.09499999999991"/>
    <n v="750.69999999999993"/>
    <n v="638.09499999999991"/>
    <n v="112.60500000000002"/>
    <s v="Tara"/>
    <x v="1"/>
    <x v="19"/>
    <x v="0"/>
    <n v="36"/>
    <x v="0"/>
    <x v="14"/>
    <x v="4"/>
  </r>
  <r>
    <s v="ORD-1308"/>
    <d v="2025-10-02T00:00:00"/>
    <x v="11"/>
    <s v="CUST-058"/>
    <s v="PROD-107"/>
    <n v="6"/>
    <n v="5304.7000000000007"/>
    <n v="4508.9950000000008"/>
    <n v="31828.200000000004"/>
    <n v="27053.970000000005"/>
    <n v="4774.2299999999996"/>
    <s v="Kayla"/>
    <x v="1"/>
    <x v="17"/>
    <x v="0"/>
    <n v="18"/>
    <x v="1"/>
    <x v="12"/>
    <x v="4"/>
  </r>
  <r>
    <s v="ORD-1309"/>
    <d v="2025-11-10T00:00:00"/>
    <x v="12"/>
    <s v="CUST-009"/>
    <s v="PROD-121"/>
    <n v="4"/>
    <n v="1736.6999999999998"/>
    <n v="1476.1949999999999"/>
    <n v="6946.7999999999993"/>
    <n v="5904.78"/>
    <n v="1042.0199999999995"/>
    <s v="Brenda"/>
    <x v="1"/>
    <x v="63"/>
    <x v="1"/>
    <n v="18"/>
    <x v="1"/>
    <x v="8"/>
    <x v="0"/>
  </r>
  <r>
    <s v="ORD-1310"/>
    <d v="2025-12-15T00:00:00"/>
    <x v="4"/>
    <s v="CUST-032"/>
    <s v="PROD-129"/>
    <n v="8"/>
    <n v="10706.199999999999"/>
    <n v="9100.2699999999986"/>
    <n v="85649.599999999991"/>
    <n v="72802.159999999989"/>
    <n v="12847.440000000002"/>
    <s v="Victoria"/>
    <x v="4"/>
    <x v="15"/>
    <x v="0"/>
    <n v="26"/>
    <x v="1"/>
    <x v="21"/>
    <x v="5"/>
  </r>
  <r>
    <s v="ORD-1311"/>
    <d v="2025-11-24T00:00:00"/>
    <x v="0"/>
    <s v="CUST-131"/>
    <s v="PROD-105"/>
    <n v="8"/>
    <n v="8948.9"/>
    <n v="7606.5649999999996"/>
    <n v="71591.199999999997"/>
    <n v="60852.52"/>
    <n v="10738.68"/>
    <s v="Joshua"/>
    <x v="0"/>
    <x v="37"/>
    <x v="0"/>
    <n v="46"/>
    <x v="0"/>
    <x v="3"/>
    <x v="3"/>
  </r>
  <r>
    <s v="ORD-1312"/>
    <d v="2025-12-29T00:00:00"/>
    <x v="2"/>
    <s v="CUST-006"/>
    <s v="PROD-108"/>
    <n v="7"/>
    <n v="15191.6"/>
    <n v="12912.86"/>
    <n v="106341.2"/>
    <n v="90390.02"/>
    <n v="15951.179999999993"/>
    <s v="Jonathan"/>
    <x v="0"/>
    <x v="58"/>
    <x v="1"/>
    <n v="19"/>
    <x v="1"/>
    <x v="27"/>
    <x v="4"/>
  </r>
  <r>
    <s v="ORD-1313"/>
    <d v="2025-10-19T00:00:00"/>
    <x v="9"/>
    <s v="CUST-010"/>
    <s v="PROD-130"/>
    <n v="4"/>
    <n v="9706.2000000000007"/>
    <n v="8250.27"/>
    <n v="38824.800000000003"/>
    <n v="33001.08"/>
    <n v="5823.7200000000012"/>
    <s v="Katie"/>
    <x v="1"/>
    <x v="93"/>
    <x v="1"/>
    <n v="21"/>
    <x v="1"/>
    <x v="29"/>
    <x v="2"/>
  </r>
  <r>
    <s v="ORD-1314"/>
    <d v="2025-12-10T00:00:00"/>
    <x v="7"/>
    <s v="CUST-127"/>
    <s v="PROD-106"/>
    <n v="3"/>
    <n v="9306.4"/>
    <n v="7910.44"/>
    <n v="27919.199999999997"/>
    <n v="23731.32"/>
    <n v="4187.8799999999974"/>
    <s v="Patrick"/>
    <x v="3"/>
    <x v="48"/>
    <x v="0"/>
    <n v="18"/>
    <x v="1"/>
    <x v="6"/>
    <x v="4"/>
  </r>
  <r>
    <s v="ORD-1315"/>
    <d v="2025-11-16T00:00:00"/>
    <x v="6"/>
    <s v="CUST-086"/>
    <s v="PROD-134"/>
    <n v="3"/>
    <n v="1660.9"/>
    <n v="1411.7650000000001"/>
    <n v="4982.7000000000007"/>
    <n v="4235.2950000000001"/>
    <n v="747.40500000000065"/>
    <s v="Ethan"/>
    <x v="5"/>
    <x v="70"/>
    <x v="0"/>
    <n v="19"/>
    <x v="1"/>
    <x v="7"/>
    <x v="2"/>
  </r>
  <r>
    <s v="ORD-1316"/>
    <d v="2025-11-08T00:00:00"/>
    <x v="5"/>
    <s v="CUST-044"/>
    <s v="PROD-131"/>
    <n v="4"/>
    <n v="854.09999999999991"/>
    <n v="725.9849999999999"/>
    <n v="3416.3999999999996"/>
    <n v="2903.9399999999996"/>
    <n v="512.46"/>
    <s v="Ethan"/>
    <x v="5"/>
    <x v="28"/>
    <x v="0"/>
    <n v="31"/>
    <x v="1"/>
    <x v="2"/>
    <x v="2"/>
  </r>
  <r>
    <s v="ORD-1317"/>
    <d v="2025-10-18T00:00:00"/>
    <x v="13"/>
    <s v="CUST-056"/>
    <s v="PROD-125"/>
    <n v="5"/>
    <n v="4551.1000000000004"/>
    <n v="3868.4350000000004"/>
    <n v="22755.5"/>
    <n v="19342.175000000003"/>
    <n v="3413.3249999999971"/>
    <s v="Tracey"/>
    <x v="1"/>
    <x v="1"/>
    <x v="0"/>
    <n v="55"/>
    <x v="0"/>
    <x v="13"/>
    <x v="0"/>
  </r>
  <r>
    <s v="ORD-1318"/>
    <d v="2025-11-01T00:00:00"/>
    <x v="3"/>
    <s v="CUST-063"/>
    <s v="PROD-133"/>
    <n v="5"/>
    <n v="10172.9"/>
    <n v="8646.9650000000001"/>
    <n v="50864.5"/>
    <n v="43234.824999999997"/>
    <n v="7629.6750000000029"/>
    <s v="Sean"/>
    <x v="1"/>
    <x v="18"/>
    <x v="0"/>
    <n v="24"/>
    <x v="1"/>
    <x v="22"/>
    <x v="2"/>
  </r>
  <r>
    <s v="ORD-1319"/>
    <d v="2025-12-21T00:00:00"/>
    <x v="8"/>
    <s v="CUST-077"/>
    <s v="PROD-133"/>
    <n v="6"/>
    <n v="3939.7000000000003"/>
    <n v="3348.7450000000003"/>
    <n v="23638.2"/>
    <n v="20092.47"/>
    <n v="3545.7299999999996"/>
    <s v="Brenda"/>
    <x v="1"/>
    <x v="27"/>
    <x v="0"/>
    <n v="35"/>
    <x v="0"/>
    <x v="22"/>
    <x v="2"/>
  </r>
  <r>
    <s v="ORD-1320"/>
    <d v="2025-12-07T00:00:00"/>
    <x v="7"/>
    <s v="CUST-080"/>
    <s v="PROD-134"/>
    <n v="2"/>
    <n v="19224.400000000001"/>
    <n v="16340.740000000002"/>
    <n v="38448.800000000003"/>
    <n v="32681.480000000003"/>
    <n v="5767.32"/>
    <s v="Tara"/>
    <x v="1"/>
    <x v="33"/>
    <x v="1"/>
    <n v="21"/>
    <x v="1"/>
    <x v="7"/>
    <x v="2"/>
  </r>
  <r>
    <s v="ORD-1321"/>
    <d v="2025-12-31T00:00:00"/>
    <x v="2"/>
    <s v="CUST-052"/>
    <s v="PROD-121"/>
    <n v="1"/>
    <n v="8752.4"/>
    <n v="7439.54"/>
    <n v="8752.4"/>
    <n v="7439.54"/>
    <n v="1312.8599999999997"/>
    <s v="Jennifer"/>
    <x v="1"/>
    <x v="8"/>
    <x v="1"/>
    <n v="28"/>
    <x v="1"/>
    <x v="8"/>
    <x v="0"/>
  </r>
  <r>
    <s v="ORD-1322"/>
    <d v="2025-12-12T00:00:00"/>
    <x v="7"/>
    <s v="CUST-074"/>
    <s v="PROD-134"/>
    <n v="2"/>
    <n v="10856.300000000001"/>
    <n v="9227.8550000000014"/>
    <n v="21712.600000000002"/>
    <n v="18455.710000000003"/>
    <n v="3256.8899999999994"/>
    <s v="Keith"/>
    <x v="1"/>
    <x v="47"/>
    <x v="0"/>
    <n v="32"/>
    <x v="1"/>
    <x v="7"/>
    <x v="2"/>
  </r>
  <r>
    <s v="ORD-1323"/>
    <d v="2025-11-23T00:00:00"/>
    <x v="0"/>
    <s v="CUST-128"/>
    <s v="PROD-102"/>
    <n v="10"/>
    <n v="13324.300000000001"/>
    <n v="11325.655000000001"/>
    <n v="133243"/>
    <n v="113256.55"/>
    <n v="19986.449999999997"/>
    <s v="Thomas"/>
    <x v="1"/>
    <x v="75"/>
    <x v="1"/>
    <n v="55"/>
    <x v="0"/>
    <x v="20"/>
    <x v="3"/>
  </r>
  <r>
    <s v="ORD-1324"/>
    <d v="2025-11-18T00:00:00"/>
    <x v="6"/>
    <s v="CUST-085"/>
    <s v="PROD-133"/>
    <n v="10"/>
    <n v="11399"/>
    <n v="9689.15"/>
    <n v="113990"/>
    <n v="96891.5"/>
    <n v="17098.5"/>
    <s v="Lisa"/>
    <x v="4"/>
    <x v="41"/>
    <x v="0"/>
    <n v="29"/>
    <x v="1"/>
    <x v="22"/>
    <x v="2"/>
  </r>
  <r>
    <s v="ORD-1325"/>
    <d v="2025-12-24T00:00:00"/>
    <x v="8"/>
    <s v="CUST-140"/>
    <s v="PROD-104"/>
    <n v="6"/>
    <n v="12701.199999999999"/>
    <n v="10796.019999999999"/>
    <n v="76207.199999999997"/>
    <n v="64776.119999999995"/>
    <n v="11431.080000000002"/>
    <s v="Jennifer"/>
    <x v="4"/>
    <x v="77"/>
    <x v="1"/>
    <n v="46"/>
    <x v="0"/>
    <x v="4"/>
    <x v="3"/>
  </r>
  <r>
    <s v="ORD-1326"/>
    <d v="2025-10-02T00:00:00"/>
    <x v="11"/>
    <s v="CUST-084"/>
    <s v="PROD-124"/>
    <n v="5"/>
    <n v="8554"/>
    <n v="7270.9"/>
    <n v="42770"/>
    <n v="36354.5"/>
    <n v="6415.5"/>
    <s v="Joshua"/>
    <x v="4"/>
    <x v="45"/>
    <x v="1"/>
    <n v="49"/>
    <x v="0"/>
    <x v="5"/>
    <x v="0"/>
  </r>
  <r>
    <s v="ORD-1327"/>
    <d v="2025-12-19T00:00:00"/>
    <x v="4"/>
    <s v="CUST-037"/>
    <s v="PROD-125"/>
    <n v="8"/>
    <n v="14195.5"/>
    <n v="12066.174999999999"/>
    <n v="113564"/>
    <n v="96529.4"/>
    <n v="17034.600000000006"/>
    <s v="Aaron"/>
    <x v="1"/>
    <x v="73"/>
    <x v="0"/>
    <n v="26"/>
    <x v="1"/>
    <x v="13"/>
    <x v="0"/>
  </r>
  <r>
    <s v="ORD-1328"/>
    <d v="2025-10-19T00:00:00"/>
    <x v="9"/>
    <s v="CUST-028"/>
    <s v="PROD-133"/>
    <n v="10"/>
    <n v="19922.7"/>
    <n v="16934.295000000002"/>
    <n v="199227"/>
    <n v="169342.95"/>
    <n v="29884.049999999988"/>
    <s v="Lori"/>
    <x v="2"/>
    <x v="98"/>
    <x v="1"/>
    <n v="33"/>
    <x v="1"/>
    <x v="22"/>
    <x v="2"/>
  </r>
  <r>
    <s v="ORD-1329"/>
    <d v="2025-12-20T00:00:00"/>
    <x v="4"/>
    <s v="CUST-007"/>
    <s v="PROD-118"/>
    <n v="6"/>
    <n v="4124.3"/>
    <n v="3505.6550000000002"/>
    <n v="24745.800000000003"/>
    <n v="21033.93"/>
    <n v="3711.8700000000026"/>
    <s v="Victoria"/>
    <x v="1"/>
    <x v="29"/>
    <x v="0"/>
    <n v="44"/>
    <x v="0"/>
    <x v="25"/>
    <x v="0"/>
  </r>
  <r>
    <s v="ORD-1330"/>
    <d v="2025-12-22T00:00:00"/>
    <x v="8"/>
    <s v="CUST-028"/>
    <s v="PROD-107"/>
    <n v="7"/>
    <n v="16797.7"/>
    <n v="14278.045"/>
    <n v="117583.90000000001"/>
    <n v="99946.315000000002"/>
    <n v="17637.585000000006"/>
    <s v="Patrick"/>
    <x v="2"/>
    <x v="98"/>
    <x v="1"/>
    <n v="33"/>
    <x v="1"/>
    <x v="12"/>
    <x v="4"/>
  </r>
  <r>
    <s v="ORD-1331"/>
    <d v="2025-12-12T00:00:00"/>
    <x v="7"/>
    <s v="CUST-079"/>
    <s v="PROD-115"/>
    <n v="4"/>
    <n v="9334.1999999999989"/>
    <n v="7934.0699999999988"/>
    <n v="37336.799999999996"/>
    <n v="31736.279999999995"/>
    <n v="5600.52"/>
    <s v="Joshua"/>
    <x v="1"/>
    <x v="97"/>
    <x v="0"/>
    <n v="50"/>
    <x v="0"/>
    <x v="10"/>
    <x v="1"/>
  </r>
  <r>
    <s v="ORD-1332"/>
    <d v="2025-11-06T00:00:00"/>
    <x v="5"/>
    <s v="CUST-085"/>
    <s v="PROD-101"/>
    <n v="4"/>
    <n v="19007.5"/>
    <n v="16156.375"/>
    <n v="76030"/>
    <n v="64625.5"/>
    <n v="11404.5"/>
    <s v="Timothy"/>
    <x v="4"/>
    <x v="41"/>
    <x v="0"/>
    <n v="29"/>
    <x v="1"/>
    <x v="16"/>
    <x v="3"/>
  </r>
  <r>
    <s v="ORD-1333"/>
    <d v="2025-10-31T00:00:00"/>
    <x v="3"/>
    <s v="CUST-093"/>
    <s v="PROD-115"/>
    <n v="8"/>
    <n v="14051.300000000001"/>
    <n v="11943.605000000001"/>
    <n v="112410.40000000001"/>
    <n v="95548.840000000011"/>
    <n v="16861.559999999998"/>
    <s v="Aaron"/>
    <x v="0"/>
    <x v="25"/>
    <x v="0"/>
    <n v="19"/>
    <x v="1"/>
    <x v="10"/>
    <x v="1"/>
  </r>
  <r>
    <s v="ORD-1334"/>
    <d v="2025-11-02T00:00:00"/>
    <x v="5"/>
    <s v="CUST-055"/>
    <s v="PROD-109"/>
    <n v="6"/>
    <n v="18615.7"/>
    <n v="15823.345000000001"/>
    <n v="111694.20000000001"/>
    <n v="94940.07"/>
    <n v="16754.130000000005"/>
    <s v="Douglas"/>
    <x v="0"/>
    <x v="16"/>
    <x v="0"/>
    <n v="24"/>
    <x v="1"/>
    <x v="30"/>
    <x v="4"/>
  </r>
  <r>
    <s v="ORD-1335"/>
    <d v="2025-12-01T00:00:00"/>
    <x v="10"/>
    <s v="CUST-024"/>
    <s v="PROD-113"/>
    <n v="4"/>
    <n v="19406.600000000002"/>
    <n v="16495.61"/>
    <n v="77626.400000000009"/>
    <n v="65982.44"/>
    <n v="11643.960000000006"/>
    <s v="Jonathan"/>
    <x v="1"/>
    <x v="78"/>
    <x v="1"/>
    <n v="31"/>
    <x v="1"/>
    <x v="19"/>
    <x v="1"/>
  </r>
  <r>
    <s v="ORD-1336"/>
    <d v="2025-11-25T00:00:00"/>
    <x v="0"/>
    <s v="CUST-118"/>
    <s v="PROD-120"/>
    <n v="10"/>
    <n v="19176.099999999999"/>
    <n v="16299.684999999999"/>
    <n v="191761"/>
    <n v="162996.85"/>
    <n v="28764.149999999994"/>
    <s v="Ethan"/>
    <x v="4"/>
    <x v="62"/>
    <x v="0"/>
    <n v="48"/>
    <x v="0"/>
    <x v="0"/>
    <x v="0"/>
  </r>
  <r>
    <s v="ORD-1337"/>
    <d v="2025-12-16T00:00:00"/>
    <x v="4"/>
    <s v="CUST-136"/>
    <s v="PROD-112"/>
    <n v="6"/>
    <n v="16555.8"/>
    <n v="14072.43"/>
    <n v="99334.799999999988"/>
    <n v="84434.58"/>
    <n v="14900.219999999987"/>
    <s v="Laura"/>
    <x v="2"/>
    <x v="24"/>
    <x v="0"/>
    <n v="34"/>
    <x v="1"/>
    <x v="1"/>
    <x v="1"/>
  </r>
  <r>
    <s v="ORD-1338"/>
    <d v="2025-11-23T00:00:00"/>
    <x v="0"/>
    <s v="CUST-025"/>
    <s v="PROD-130"/>
    <n v="8"/>
    <n v="17494.100000000002"/>
    <n v="14869.985000000002"/>
    <n v="139952.80000000002"/>
    <n v="118959.88000000002"/>
    <n v="20992.92"/>
    <s v="Jasmine"/>
    <x v="4"/>
    <x v="50"/>
    <x v="1"/>
    <n v="19"/>
    <x v="1"/>
    <x v="29"/>
    <x v="2"/>
  </r>
  <r>
    <s v="ORD-1339"/>
    <d v="2025-12-31T00:00:00"/>
    <x v="2"/>
    <s v="CUST-114"/>
    <s v="PROD-109"/>
    <n v="6"/>
    <n v="8811.2999999999993"/>
    <n v="7489.6049999999996"/>
    <n v="52867.799999999996"/>
    <n v="44937.63"/>
    <n v="7930.1699999999983"/>
    <s v="Lori"/>
    <x v="2"/>
    <x v="42"/>
    <x v="0"/>
    <n v="25"/>
    <x v="1"/>
    <x v="30"/>
    <x v="4"/>
  </r>
  <r>
    <s v="ORD-1340"/>
    <d v="2025-11-03T00:00:00"/>
    <x v="5"/>
    <s v="CUST-010"/>
    <s v="PROD-132"/>
    <n v="7"/>
    <n v="6871.7"/>
    <n v="5840.9449999999997"/>
    <n v="48101.9"/>
    <n v="40886.614999999998"/>
    <n v="7215.2850000000035"/>
    <s v="Douglas"/>
    <x v="1"/>
    <x v="93"/>
    <x v="1"/>
    <n v="21"/>
    <x v="1"/>
    <x v="26"/>
    <x v="2"/>
  </r>
  <r>
    <s v="ORD-1341"/>
    <d v="2025-12-19T00:00:00"/>
    <x v="4"/>
    <s v="CUST-038"/>
    <s v="PROD-121"/>
    <n v="5"/>
    <n v="7412.1"/>
    <n v="6300.2849999999999"/>
    <n v="37060.5"/>
    <n v="31501.424999999999"/>
    <n v="5559.0750000000007"/>
    <s v="Timothy"/>
    <x v="1"/>
    <x v="59"/>
    <x v="0"/>
    <n v="32"/>
    <x v="1"/>
    <x v="8"/>
    <x v="0"/>
  </r>
  <r>
    <s v="ORD-1342"/>
    <d v="2025-12-19T00:00:00"/>
    <x v="4"/>
    <s v="CUST-046"/>
    <s v="PROD-113"/>
    <n v="4"/>
    <n v="16844.3"/>
    <n v="14317.654999999999"/>
    <n v="67377.2"/>
    <n v="57270.619999999995"/>
    <n v="10106.580000000002"/>
    <s v="Jonathan"/>
    <x v="4"/>
    <x v="4"/>
    <x v="1"/>
    <n v="31"/>
    <x v="1"/>
    <x v="19"/>
    <x v="1"/>
  </r>
  <r>
    <s v="ORD-1343"/>
    <d v="2025-11-16T00:00:00"/>
    <x v="6"/>
    <s v="CUST-066"/>
    <s v="PROD-118"/>
    <n v="8"/>
    <n v="11733.800000000001"/>
    <n v="9973.7300000000014"/>
    <n v="93870.400000000009"/>
    <n v="79789.840000000011"/>
    <n v="14080.559999999998"/>
    <s v="Jonathan"/>
    <x v="0"/>
    <x v="55"/>
    <x v="0"/>
    <n v="20"/>
    <x v="1"/>
    <x v="25"/>
    <x v="0"/>
  </r>
  <r>
    <s v="ORD-1344"/>
    <d v="2025-11-07T00:00:00"/>
    <x v="5"/>
    <s v="CUST-093"/>
    <s v="PROD-133"/>
    <n v="3"/>
    <n v="14033.599999999999"/>
    <n v="11928.56"/>
    <n v="42100.799999999996"/>
    <n v="35785.68"/>
    <n v="6315.1199999999953"/>
    <s v="Brenda"/>
    <x v="0"/>
    <x v="25"/>
    <x v="0"/>
    <n v="19"/>
    <x v="1"/>
    <x v="22"/>
    <x v="2"/>
  </r>
  <r>
    <s v="ORD-1345"/>
    <d v="2025-10-26T00:00:00"/>
    <x v="3"/>
    <s v="CUST-090"/>
    <s v="PROD-112"/>
    <n v="2"/>
    <n v="7435.4"/>
    <n v="6320.09"/>
    <n v="14870.8"/>
    <n v="12640.18"/>
    <n v="2230.619999999999"/>
    <s v="Linda"/>
    <x v="1"/>
    <x v="16"/>
    <x v="0"/>
    <n v="29"/>
    <x v="1"/>
    <x v="1"/>
    <x v="1"/>
  </r>
  <r>
    <s v="ORD-1346"/>
    <d v="2025-12-30T00:00:00"/>
    <x v="2"/>
    <s v="CUST-076"/>
    <s v="PROD-110"/>
    <n v="8"/>
    <n v="5267.3"/>
    <n v="4477.2049999999999"/>
    <n v="42138.400000000001"/>
    <n v="35817.64"/>
    <n v="6320.760000000002"/>
    <s v="Patrick"/>
    <x v="0"/>
    <x v="84"/>
    <x v="0"/>
    <n v="32"/>
    <x v="1"/>
    <x v="14"/>
    <x v="4"/>
  </r>
  <r>
    <s v="ORD-1347"/>
    <d v="2025-12-06T00:00:00"/>
    <x v="10"/>
    <s v="CUST-097"/>
    <s v="PROD-123"/>
    <n v="5"/>
    <n v="10178"/>
    <n v="8651.2999999999993"/>
    <n v="50890"/>
    <n v="43256.5"/>
    <n v="7633.5"/>
    <s v="Jonathan"/>
    <x v="5"/>
    <x v="1"/>
    <x v="0"/>
    <n v="23"/>
    <x v="1"/>
    <x v="32"/>
    <x v="0"/>
  </r>
  <r>
    <s v="ORD-1348"/>
    <d v="2025-10-24T00:00:00"/>
    <x v="9"/>
    <s v="CUST-102"/>
    <s v="PROD-126"/>
    <n v="9"/>
    <n v="2999.7000000000003"/>
    <n v="2549.7450000000003"/>
    <n v="26997.300000000003"/>
    <n v="22947.705000000002"/>
    <n v="4049.5950000000012"/>
    <s v="Lori"/>
    <x v="1"/>
    <x v="40"/>
    <x v="1"/>
    <n v="27"/>
    <x v="1"/>
    <x v="9"/>
    <x v="5"/>
  </r>
  <r>
    <s v="ORD-1349"/>
    <d v="2025-12-04T00:00:00"/>
    <x v="10"/>
    <s v="CUST-054"/>
    <s v="PROD-114"/>
    <n v="8"/>
    <n v="18094"/>
    <n v="15379.9"/>
    <n v="144752"/>
    <n v="123039.2"/>
    <n v="21712.800000000003"/>
    <s v="Patrick"/>
    <x v="5"/>
    <x v="52"/>
    <x v="1"/>
    <n v="39"/>
    <x v="0"/>
    <x v="18"/>
    <x v="1"/>
  </r>
  <r>
    <s v="ORD-1350"/>
    <d v="2025-12-04T00:00:00"/>
    <x v="10"/>
    <s v="CUST-123"/>
    <s v="PROD-107"/>
    <n v="4"/>
    <n v="6224.4000000000005"/>
    <n v="5290.7400000000007"/>
    <n v="24897.600000000002"/>
    <n v="21162.960000000003"/>
    <n v="3734.6399999999994"/>
    <s v="Douglas"/>
    <x v="1"/>
    <x v="28"/>
    <x v="0"/>
    <n v="20"/>
    <x v="1"/>
    <x v="12"/>
    <x v="4"/>
  </r>
  <r>
    <s v="ORD-1351"/>
    <d v="2025-11-20T00:00:00"/>
    <x v="6"/>
    <s v="CUST-119"/>
    <s v="PROD-103"/>
    <n v="4"/>
    <n v="1126.5"/>
    <n v="957.52499999999998"/>
    <n v="4506"/>
    <n v="3830.1"/>
    <n v="675.90000000000009"/>
    <s v="Caroline"/>
    <x v="5"/>
    <x v="56"/>
    <x v="1"/>
    <n v="20"/>
    <x v="1"/>
    <x v="28"/>
    <x v="3"/>
  </r>
  <r>
    <s v="ORD-1352"/>
    <d v="2025-11-11T00:00:00"/>
    <x v="12"/>
    <s v="CUST-120"/>
    <s v="PROD-115"/>
    <n v="3"/>
    <n v="12531.800000000001"/>
    <n v="10652.03"/>
    <n v="37595.4"/>
    <n v="31956.090000000004"/>
    <n v="5639.3099999999977"/>
    <s v="Brenda"/>
    <x v="0"/>
    <x v="95"/>
    <x v="1"/>
    <n v="18"/>
    <x v="1"/>
    <x v="10"/>
    <x v="1"/>
  </r>
  <r>
    <s v="ORD-1353"/>
    <d v="2025-11-07T00:00:00"/>
    <x v="5"/>
    <s v="CUST-128"/>
    <s v="PROD-125"/>
    <n v="7"/>
    <n v="1960.3"/>
    <n v="1666.2550000000001"/>
    <n v="13722.1"/>
    <n v="11663.785"/>
    <n v="2058.3150000000005"/>
    <s v="Cheyenne"/>
    <x v="1"/>
    <x v="75"/>
    <x v="1"/>
    <n v="55"/>
    <x v="0"/>
    <x v="13"/>
    <x v="0"/>
  </r>
  <r>
    <s v="ORD-1354"/>
    <d v="2025-10-07T00:00:00"/>
    <x v="1"/>
    <s v="CUST-144"/>
    <s v="PROD-107"/>
    <n v="5"/>
    <n v="14260.1"/>
    <n v="12121.085000000001"/>
    <n v="71300.5"/>
    <n v="60605.425000000003"/>
    <n v="10695.074999999997"/>
    <s v="Brenda"/>
    <x v="4"/>
    <x v="66"/>
    <x v="1"/>
    <n v="23"/>
    <x v="1"/>
    <x v="12"/>
    <x v="4"/>
  </r>
  <r>
    <s v="ORD-1355"/>
    <d v="2025-10-08T00:00:00"/>
    <x v="1"/>
    <s v="CUST-074"/>
    <s v="PROD-113"/>
    <n v="4"/>
    <n v="16027.1"/>
    <n v="13623.035"/>
    <n v="64108.4"/>
    <n v="54492.14"/>
    <n v="9616.260000000002"/>
    <s v="David"/>
    <x v="1"/>
    <x v="47"/>
    <x v="0"/>
    <n v="32"/>
    <x v="1"/>
    <x v="19"/>
    <x v="1"/>
  </r>
  <r>
    <s v="ORD-1356"/>
    <d v="2025-11-09T00:00:00"/>
    <x v="12"/>
    <s v="CUST-148"/>
    <s v="PROD-101"/>
    <n v="1"/>
    <n v="15685.5"/>
    <n v="13332.674999999999"/>
    <n v="15685.5"/>
    <n v="13332.674999999999"/>
    <n v="2352.8250000000007"/>
    <s v="Timothy"/>
    <x v="0"/>
    <x v="68"/>
    <x v="1"/>
    <n v="37"/>
    <x v="0"/>
    <x v="16"/>
    <x v="3"/>
  </r>
  <r>
    <s v="ORD-1357"/>
    <d v="2025-12-16T00:00:00"/>
    <x v="4"/>
    <s v="CUST-063"/>
    <s v="PROD-129"/>
    <n v="7"/>
    <n v="11617.6"/>
    <n v="9874.9600000000009"/>
    <n v="81323.199999999997"/>
    <n v="69124.72"/>
    <n v="12198.479999999996"/>
    <s v="Joshua"/>
    <x v="1"/>
    <x v="18"/>
    <x v="0"/>
    <n v="24"/>
    <x v="1"/>
    <x v="21"/>
    <x v="5"/>
  </r>
  <r>
    <s v="ORD-1358"/>
    <d v="2025-12-11T00:00:00"/>
    <x v="7"/>
    <s v="CUST-106"/>
    <s v="PROD-131"/>
    <n v="1"/>
    <n v="19357.8"/>
    <n v="16454.13"/>
    <n v="19357.8"/>
    <n v="16454.13"/>
    <n v="2903.6699999999983"/>
    <s v="Lisa"/>
    <x v="1"/>
    <x v="96"/>
    <x v="0"/>
    <n v="32"/>
    <x v="1"/>
    <x v="2"/>
    <x v="2"/>
  </r>
  <r>
    <s v="ORD-1359"/>
    <d v="2025-10-15T00:00:00"/>
    <x v="13"/>
    <s v="CUST-080"/>
    <s v="PROD-108"/>
    <n v="10"/>
    <n v="5665.5999999999995"/>
    <n v="4815.7599999999993"/>
    <n v="56655.999999999993"/>
    <n v="48157.599999999991"/>
    <n v="8498.4000000000015"/>
    <s v="Laura"/>
    <x v="1"/>
    <x v="33"/>
    <x v="1"/>
    <n v="21"/>
    <x v="1"/>
    <x v="27"/>
    <x v="4"/>
  </r>
  <r>
    <s v="ORD-1360"/>
    <d v="2025-11-10T00:00:00"/>
    <x v="12"/>
    <s v="CUST-074"/>
    <s v="PROD-107"/>
    <n v="8"/>
    <n v="16626.099999999999"/>
    <n v="14132.184999999999"/>
    <n v="133008.79999999999"/>
    <n v="113057.48"/>
    <n v="19951.319999999992"/>
    <s v="Laura"/>
    <x v="1"/>
    <x v="47"/>
    <x v="0"/>
    <n v="32"/>
    <x v="1"/>
    <x v="12"/>
    <x v="4"/>
  </r>
  <r>
    <s v="ORD-1361"/>
    <d v="2025-11-09T00:00:00"/>
    <x v="12"/>
    <s v="CUST-064"/>
    <s v="PROD-104"/>
    <n v="7"/>
    <n v="15899.8"/>
    <n v="13514.83"/>
    <n v="111298.59999999999"/>
    <n v="94603.81"/>
    <n v="16694.789999999994"/>
    <s v="Timothy"/>
    <x v="4"/>
    <x v="59"/>
    <x v="0"/>
    <n v="37"/>
    <x v="0"/>
    <x v="4"/>
    <x v="3"/>
  </r>
  <r>
    <s v="ORD-1362"/>
    <d v="2025-11-10T00:00:00"/>
    <x v="12"/>
    <s v="CUST-071"/>
    <s v="PROD-104"/>
    <n v="10"/>
    <n v="11943.900000000001"/>
    <n v="10152.315000000001"/>
    <n v="119439.00000000001"/>
    <n v="101523.15000000001"/>
    <n v="17915.850000000006"/>
    <s v="Timothy"/>
    <x v="2"/>
    <x v="6"/>
    <x v="1"/>
    <n v="32"/>
    <x v="1"/>
    <x v="4"/>
    <x v="3"/>
  </r>
  <r>
    <s v="ORD-1363"/>
    <d v="2025-12-23T00:00:00"/>
    <x v="8"/>
    <s v="CUST-037"/>
    <s v="PROD-119"/>
    <n v="1"/>
    <n v="17416.900000000001"/>
    <n v="14804.365000000002"/>
    <n v="17416.900000000001"/>
    <n v="14804.365000000002"/>
    <n v="2612.5349999999999"/>
    <s v="Timothy"/>
    <x v="1"/>
    <x v="73"/>
    <x v="0"/>
    <n v="26"/>
    <x v="1"/>
    <x v="33"/>
    <x v="0"/>
  </r>
  <r>
    <s v="ORD-1364"/>
    <d v="2025-10-17T00:00:00"/>
    <x v="13"/>
    <s v="CUST-126"/>
    <s v="PROD-115"/>
    <n v="8"/>
    <n v="16511.199999999997"/>
    <n v="14034.519999999997"/>
    <n v="132089.59999999998"/>
    <n v="112276.15999999997"/>
    <n v="19813.440000000002"/>
    <s v="Thomas"/>
    <x v="0"/>
    <x v="89"/>
    <x v="1"/>
    <n v="40"/>
    <x v="0"/>
    <x v="10"/>
    <x v="1"/>
  </r>
  <r>
    <s v="ORD-1365"/>
    <d v="2025-10-31T00:00:00"/>
    <x v="3"/>
    <s v="CUST-071"/>
    <s v="PROD-133"/>
    <n v="8"/>
    <n v="12877.9"/>
    <n v="10946.215"/>
    <n v="103023.2"/>
    <n v="87569.72"/>
    <n v="15453.479999999996"/>
    <s v="David"/>
    <x v="2"/>
    <x v="6"/>
    <x v="1"/>
    <n v="32"/>
    <x v="1"/>
    <x v="22"/>
    <x v="2"/>
  </r>
  <r>
    <s v="ORD-1366"/>
    <d v="2025-10-02T00:00:00"/>
    <x v="11"/>
    <s v="CUST-061"/>
    <s v="PROD-126"/>
    <n v="9"/>
    <n v="12107.6"/>
    <n v="10291.460000000001"/>
    <n v="108968.40000000001"/>
    <n v="92623.140000000014"/>
    <n v="16345.259999999995"/>
    <s v="Caroline"/>
    <x v="0"/>
    <x v="31"/>
    <x v="0"/>
    <n v="28"/>
    <x v="1"/>
    <x v="9"/>
    <x v="5"/>
  </r>
  <r>
    <s v="ORD-1367"/>
    <d v="2025-11-07T00:00:00"/>
    <x v="5"/>
    <s v="CUST-017"/>
    <s v="PROD-122"/>
    <n v="5"/>
    <n v="11181.6"/>
    <n v="9504.36"/>
    <n v="55908"/>
    <n v="47521.8"/>
    <n v="8386.1999999999971"/>
    <s v="Linda"/>
    <x v="2"/>
    <x v="60"/>
    <x v="0"/>
    <n v="27"/>
    <x v="1"/>
    <x v="11"/>
    <x v="0"/>
  </r>
  <r>
    <s v="ORD-1368"/>
    <d v="2025-12-27T00:00:00"/>
    <x v="8"/>
    <s v="CUST-053"/>
    <s v="PROD-123"/>
    <n v="4"/>
    <n v="2005.6"/>
    <n v="1704.76"/>
    <n v="8022.4"/>
    <n v="6819.04"/>
    <n v="1203.3599999999997"/>
    <s v="Victoria"/>
    <x v="4"/>
    <x v="69"/>
    <x v="0"/>
    <n v="19"/>
    <x v="1"/>
    <x v="32"/>
    <x v="0"/>
  </r>
  <r>
    <s v="ORD-1369"/>
    <d v="2025-10-19T00:00:00"/>
    <x v="9"/>
    <s v="CUST-124"/>
    <s v="PROD-126"/>
    <n v="1"/>
    <n v="9293.7999999999993"/>
    <n v="7899.73"/>
    <n v="9293.7999999999993"/>
    <n v="7899.73"/>
    <n v="1394.0699999999997"/>
    <s v="Ethan"/>
    <x v="1"/>
    <x v="32"/>
    <x v="1"/>
    <n v="35"/>
    <x v="0"/>
    <x v="9"/>
    <x v="5"/>
  </r>
  <r>
    <s v="ORD-1370"/>
    <d v="2025-11-30T00:00:00"/>
    <x v="10"/>
    <s v="CUST-080"/>
    <s v="PROD-132"/>
    <n v="8"/>
    <n v="10552.9"/>
    <n v="8969.9650000000001"/>
    <n v="84423.2"/>
    <n v="71759.72"/>
    <n v="12663.479999999996"/>
    <s v="Cheyenne"/>
    <x v="1"/>
    <x v="33"/>
    <x v="1"/>
    <n v="21"/>
    <x v="1"/>
    <x v="26"/>
    <x v="2"/>
  </r>
  <r>
    <s v="ORD-1371"/>
    <d v="2025-10-16T00:00:00"/>
    <x v="13"/>
    <s v="CUST-111"/>
    <s v="PROD-119"/>
    <n v="4"/>
    <n v="1429"/>
    <n v="1214.6500000000001"/>
    <n v="5716"/>
    <n v="4858.6000000000004"/>
    <n v="857.39999999999964"/>
    <s v="Jasmine"/>
    <x v="4"/>
    <x v="10"/>
    <x v="0"/>
    <n v="20"/>
    <x v="1"/>
    <x v="33"/>
    <x v="0"/>
  </r>
  <r>
    <s v="ORD-1372"/>
    <d v="2025-12-16T00:00:00"/>
    <x v="4"/>
    <s v="CUST-073"/>
    <s v="PROD-105"/>
    <n v="10"/>
    <n v="13957.7"/>
    <n v="11864.045"/>
    <n v="139577"/>
    <n v="118640.45"/>
    <n v="20936.550000000003"/>
    <s v="Jennifer"/>
    <x v="3"/>
    <x v="28"/>
    <x v="0"/>
    <n v="23"/>
    <x v="1"/>
    <x v="3"/>
    <x v="3"/>
  </r>
  <r>
    <s v="ORD-1373"/>
    <d v="2025-12-05T00:00:00"/>
    <x v="10"/>
    <s v="CUST-098"/>
    <s v="PROD-131"/>
    <n v="8"/>
    <n v="18453.5"/>
    <n v="15685.475"/>
    <n v="147628"/>
    <n v="125483.8"/>
    <n v="22144.199999999997"/>
    <s v="Patrick"/>
    <x v="0"/>
    <x v="22"/>
    <x v="1"/>
    <n v="38"/>
    <x v="0"/>
    <x v="2"/>
    <x v="2"/>
  </r>
  <r>
    <s v="ORD-1374"/>
    <d v="2025-11-11T00:00:00"/>
    <x v="12"/>
    <s v="CUST-127"/>
    <s v="PROD-117"/>
    <n v="1"/>
    <n v="6854.0999999999995"/>
    <n v="5825.9849999999997"/>
    <n v="6854.0999999999995"/>
    <n v="5825.9849999999997"/>
    <n v="1028.1149999999998"/>
    <s v="Timothy"/>
    <x v="3"/>
    <x v="48"/>
    <x v="0"/>
    <n v="18"/>
    <x v="1"/>
    <x v="23"/>
    <x v="0"/>
  </r>
  <r>
    <s v="ORD-1375"/>
    <d v="2025-11-21T00:00:00"/>
    <x v="6"/>
    <s v="CUST-140"/>
    <s v="PROD-127"/>
    <n v="1"/>
    <n v="1360.1"/>
    <n v="1156.085"/>
    <n v="1360.1"/>
    <n v="1156.085"/>
    <n v="204.01499999999987"/>
    <s v="Jonathan"/>
    <x v="4"/>
    <x v="77"/>
    <x v="1"/>
    <n v="46"/>
    <x v="0"/>
    <x v="17"/>
    <x v="5"/>
  </r>
  <r>
    <s v="ORD-1376"/>
    <d v="2025-10-22T00:00:00"/>
    <x v="9"/>
    <s v="CUST-023"/>
    <s v="PROD-103"/>
    <n v="4"/>
    <n v="7763.9"/>
    <n v="6599.3149999999996"/>
    <n v="31055.599999999999"/>
    <n v="26397.26"/>
    <n v="4658.34"/>
    <s v="Katie"/>
    <x v="0"/>
    <x v="65"/>
    <x v="1"/>
    <n v="35"/>
    <x v="0"/>
    <x v="28"/>
    <x v="3"/>
  </r>
  <r>
    <s v="ORD-1377"/>
    <d v="2025-12-06T00:00:00"/>
    <x v="10"/>
    <s v="CUST-123"/>
    <s v="PROD-125"/>
    <n v="1"/>
    <n v="18205.2"/>
    <n v="15474.42"/>
    <n v="18205.2"/>
    <n v="15474.42"/>
    <n v="2730.7800000000007"/>
    <s v="Daniel"/>
    <x v="1"/>
    <x v="28"/>
    <x v="0"/>
    <n v="20"/>
    <x v="1"/>
    <x v="13"/>
    <x v="0"/>
  </r>
  <r>
    <s v="ORD-1378"/>
    <d v="2025-12-02T00:00:00"/>
    <x v="10"/>
    <s v="CUST-141"/>
    <s v="PROD-126"/>
    <n v="7"/>
    <n v="18633.2"/>
    <n v="15838.220000000001"/>
    <n v="130432.40000000001"/>
    <n v="110867.54000000001"/>
    <n v="19564.86"/>
    <s v="Linda"/>
    <x v="5"/>
    <x v="12"/>
    <x v="1"/>
    <n v="49"/>
    <x v="0"/>
    <x v="9"/>
    <x v="5"/>
  </r>
  <r>
    <s v="ORD-1379"/>
    <d v="2025-11-16T00:00:00"/>
    <x v="6"/>
    <s v="CUST-057"/>
    <s v="PROD-133"/>
    <n v="8"/>
    <n v="19792.599999999999"/>
    <n v="16823.71"/>
    <n v="158340.79999999999"/>
    <n v="134589.68"/>
    <n v="23751.119999999995"/>
    <s v="Jonathan"/>
    <x v="4"/>
    <x v="49"/>
    <x v="1"/>
    <n v="26"/>
    <x v="1"/>
    <x v="22"/>
    <x v="2"/>
  </r>
  <r>
    <s v="ORD-1380"/>
    <d v="2025-11-09T00:00:00"/>
    <x v="12"/>
    <s v="CUST-118"/>
    <s v="PROD-123"/>
    <n v="5"/>
    <n v="6117.5"/>
    <n v="5199.875"/>
    <n v="30587.5"/>
    <n v="25999.375"/>
    <n v="4588.125"/>
    <s v="Thomas"/>
    <x v="4"/>
    <x v="62"/>
    <x v="0"/>
    <n v="48"/>
    <x v="0"/>
    <x v="32"/>
    <x v="0"/>
  </r>
  <r>
    <s v="ORD-1381"/>
    <d v="2025-12-21T00:00:00"/>
    <x v="8"/>
    <s v="CUST-111"/>
    <s v="PROD-109"/>
    <n v="4"/>
    <n v="2512.7000000000003"/>
    <n v="2135.7950000000001"/>
    <n v="10050.800000000001"/>
    <n v="8543.18"/>
    <n v="1507.6200000000008"/>
    <s v="Patrick"/>
    <x v="4"/>
    <x v="10"/>
    <x v="0"/>
    <n v="20"/>
    <x v="1"/>
    <x v="30"/>
    <x v="4"/>
  </r>
  <r>
    <s v="ORD-1382"/>
    <d v="2025-11-18T00:00:00"/>
    <x v="6"/>
    <s v="CUST-022"/>
    <s v="PROD-108"/>
    <n v="8"/>
    <n v="8401.6"/>
    <n v="7141.3600000000006"/>
    <n v="67212.800000000003"/>
    <n v="57130.880000000005"/>
    <n v="10081.919999999998"/>
    <s v="Linda"/>
    <x v="5"/>
    <x v="46"/>
    <x v="1"/>
    <n v="31"/>
    <x v="1"/>
    <x v="27"/>
    <x v="4"/>
  </r>
  <r>
    <s v="ORD-1383"/>
    <d v="2025-10-29T00:00:00"/>
    <x v="3"/>
    <s v="CUST-032"/>
    <s v="PROD-113"/>
    <n v="9"/>
    <n v="17700"/>
    <n v="15045"/>
    <n v="159300"/>
    <n v="135405"/>
    <n v="23895"/>
    <s v="Jennifer"/>
    <x v="4"/>
    <x v="15"/>
    <x v="0"/>
    <n v="26"/>
    <x v="1"/>
    <x v="19"/>
    <x v="1"/>
  </r>
  <r>
    <s v="ORD-1384"/>
    <d v="2025-10-18T00:00:00"/>
    <x v="13"/>
    <s v="CUST-082"/>
    <s v="PROD-117"/>
    <n v="8"/>
    <n v="12017.1"/>
    <n v="10214.535"/>
    <n v="96136.8"/>
    <n v="81716.28"/>
    <n v="14420.520000000004"/>
    <s v="Jennifer"/>
    <x v="0"/>
    <x v="73"/>
    <x v="0"/>
    <n v="18"/>
    <x v="1"/>
    <x v="23"/>
    <x v="0"/>
  </r>
  <r>
    <s v="ORD-1385"/>
    <d v="2025-10-04T00:00:00"/>
    <x v="11"/>
    <s v="CUST-110"/>
    <s v="PROD-125"/>
    <n v="4"/>
    <n v="12980"/>
    <n v="11033"/>
    <n v="51920"/>
    <n v="44132"/>
    <n v="7788"/>
    <s v="Jasmine"/>
    <x v="1"/>
    <x v="35"/>
    <x v="1"/>
    <n v="52"/>
    <x v="0"/>
    <x v="13"/>
    <x v="0"/>
  </r>
  <r>
    <s v="ORD-1386"/>
    <d v="2025-10-21T00:00:00"/>
    <x v="9"/>
    <s v="CUST-029"/>
    <s v="PROD-130"/>
    <n v="7"/>
    <n v="16890.599999999999"/>
    <n v="14357.009999999998"/>
    <n v="118234.19999999998"/>
    <n v="100499.06999999999"/>
    <n v="17735.12999999999"/>
    <s v="Anna"/>
    <x v="0"/>
    <x v="86"/>
    <x v="1"/>
    <n v="44"/>
    <x v="0"/>
    <x v="29"/>
    <x v="2"/>
  </r>
  <r>
    <s v="ORD-1387"/>
    <d v="2025-11-28T00:00:00"/>
    <x v="0"/>
    <s v="CUST-008"/>
    <s v="PROD-120"/>
    <n v="6"/>
    <n v="4505"/>
    <n v="3829.25"/>
    <n v="27030"/>
    <n v="22975.5"/>
    <n v="4054.5"/>
    <s v="Ethan"/>
    <x v="4"/>
    <x v="69"/>
    <x v="0"/>
    <n v="29"/>
    <x v="1"/>
    <x v="0"/>
    <x v="0"/>
  </r>
  <r>
    <s v="ORD-1388"/>
    <d v="2025-10-17T00:00:00"/>
    <x v="13"/>
    <s v="CUST-127"/>
    <s v="PROD-133"/>
    <n v="10"/>
    <n v="13333"/>
    <n v="11333.05"/>
    <n v="133330"/>
    <n v="113330.5"/>
    <n v="19999.5"/>
    <s v="Jonathan"/>
    <x v="3"/>
    <x v="48"/>
    <x v="0"/>
    <n v="18"/>
    <x v="1"/>
    <x v="22"/>
    <x v="2"/>
  </r>
  <r>
    <s v="ORD-1389"/>
    <d v="2025-10-31T00:00:00"/>
    <x v="3"/>
    <s v="CUST-057"/>
    <s v="PROD-104"/>
    <n v="1"/>
    <n v="6850.7000000000007"/>
    <n v="5823.0950000000012"/>
    <n v="6850.7000000000007"/>
    <n v="5823.0950000000012"/>
    <n v="1027.6049999999996"/>
    <s v="Lisa"/>
    <x v="4"/>
    <x v="49"/>
    <x v="1"/>
    <n v="26"/>
    <x v="1"/>
    <x v="4"/>
    <x v="3"/>
  </r>
  <r>
    <s v="ORD-1390"/>
    <d v="2025-12-08T00:00:00"/>
    <x v="7"/>
    <s v="CUST-068"/>
    <s v="PROD-106"/>
    <n v="8"/>
    <n v="16348.900000000001"/>
    <n v="13896.565000000002"/>
    <n v="130791.20000000001"/>
    <n v="111172.52000000002"/>
    <n v="19618.679999999993"/>
    <s v="Aaron"/>
    <x v="4"/>
    <x v="45"/>
    <x v="1"/>
    <n v="28"/>
    <x v="1"/>
    <x v="6"/>
    <x v="4"/>
  </r>
  <r>
    <s v="ORD-1391"/>
    <d v="2025-12-14T00:00:00"/>
    <x v="4"/>
    <s v="CUST-135"/>
    <s v="PROD-104"/>
    <n v="4"/>
    <n v="9352.1"/>
    <n v="7949.2849999999999"/>
    <n v="37408.400000000001"/>
    <n v="31797.14"/>
    <n v="5611.260000000002"/>
    <s v="Tracey"/>
    <x v="1"/>
    <x v="101"/>
    <x v="0"/>
    <n v="23"/>
    <x v="1"/>
    <x v="4"/>
    <x v="3"/>
  </r>
  <r>
    <s v="ORD-1392"/>
    <d v="2025-11-18T00:00:00"/>
    <x v="6"/>
    <s v="CUST-014"/>
    <s v="PROD-102"/>
    <n v="7"/>
    <n v="14422.6"/>
    <n v="12259.210000000001"/>
    <n v="100958.2"/>
    <n v="85814.47"/>
    <n v="15143.729999999996"/>
    <s v="Andrea"/>
    <x v="4"/>
    <x v="34"/>
    <x v="1"/>
    <n v="27"/>
    <x v="1"/>
    <x v="20"/>
    <x v="3"/>
  </r>
  <r>
    <s v="ORD-1393"/>
    <d v="2025-10-12T00:00:00"/>
    <x v="13"/>
    <s v="CUST-148"/>
    <s v="PROD-121"/>
    <n v="3"/>
    <n v="15600.699999999999"/>
    <n v="13260.594999999999"/>
    <n v="46802.1"/>
    <n v="39781.784999999996"/>
    <n v="7020.3150000000023"/>
    <s v="Jasmine"/>
    <x v="0"/>
    <x v="68"/>
    <x v="1"/>
    <n v="37"/>
    <x v="0"/>
    <x v="8"/>
    <x v="0"/>
  </r>
  <r>
    <s v="ORD-1394"/>
    <d v="2025-11-19T00:00:00"/>
    <x v="6"/>
    <s v="CUST-043"/>
    <s v="PROD-132"/>
    <n v="3"/>
    <n v="15289.1"/>
    <n v="12995.735000000001"/>
    <n v="45867.3"/>
    <n v="38987.205000000002"/>
    <n v="6880.0950000000012"/>
    <s v="Daniel"/>
    <x v="4"/>
    <x v="7"/>
    <x v="0"/>
    <n v="42"/>
    <x v="0"/>
    <x v="26"/>
    <x v="2"/>
  </r>
  <r>
    <s v="ORD-1395"/>
    <d v="2025-10-14T00:00:00"/>
    <x v="13"/>
    <s v="CUST-055"/>
    <s v="PROD-113"/>
    <n v="10"/>
    <n v="18004.2"/>
    <n v="15303.57"/>
    <n v="180042"/>
    <n v="153035.70000000001"/>
    <n v="27006.299999999988"/>
    <s v="Laura"/>
    <x v="0"/>
    <x v="16"/>
    <x v="0"/>
    <n v="24"/>
    <x v="1"/>
    <x v="19"/>
    <x v="1"/>
  </r>
  <r>
    <s v="ORD-1396"/>
    <d v="2025-10-24T00:00:00"/>
    <x v="9"/>
    <s v="CUST-126"/>
    <s v="PROD-130"/>
    <n v="6"/>
    <n v="8852.5"/>
    <n v="7524.625"/>
    <n v="53115"/>
    <n v="45147.75"/>
    <n v="7967.25"/>
    <s v="David"/>
    <x v="0"/>
    <x v="89"/>
    <x v="1"/>
    <n v="40"/>
    <x v="0"/>
    <x v="29"/>
    <x v="2"/>
  </r>
  <r>
    <s v="ORD-1397"/>
    <d v="2025-11-29T00:00:00"/>
    <x v="0"/>
    <s v="CUST-041"/>
    <s v="PROD-131"/>
    <n v="1"/>
    <n v="18982.8"/>
    <n v="16135.38"/>
    <n v="18982.8"/>
    <n v="16135.38"/>
    <n v="2847.42"/>
    <s v="Katie"/>
    <x v="3"/>
    <x v="19"/>
    <x v="0"/>
    <n v="20"/>
    <x v="1"/>
    <x v="2"/>
    <x v="2"/>
  </r>
  <r>
    <s v="ORD-1398"/>
    <d v="2025-10-04T00:00:00"/>
    <x v="11"/>
    <s v="CUST-033"/>
    <s v="PROD-127"/>
    <n v="6"/>
    <n v="13688.5"/>
    <n v="11635.225"/>
    <n v="82131"/>
    <n v="69811.350000000006"/>
    <n v="12319.649999999994"/>
    <s v="Brenda"/>
    <x v="5"/>
    <x v="29"/>
    <x v="0"/>
    <n v="19"/>
    <x v="1"/>
    <x v="17"/>
    <x v="5"/>
  </r>
  <r>
    <s v="ORD-1399"/>
    <d v="2025-10-31T00:00:00"/>
    <x v="3"/>
    <s v="CUST-049"/>
    <s v="PROD-103"/>
    <n v="4"/>
    <n v="1197.6000000000001"/>
    <n v="1017.9600000000002"/>
    <n v="4790.4000000000005"/>
    <n v="4071.8400000000006"/>
    <n v="718.56"/>
    <s v="Katie"/>
    <x v="2"/>
    <x v="38"/>
    <x v="1"/>
    <n v="36"/>
    <x v="0"/>
    <x v="28"/>
    <x v="3"/>
  </r>
  <r>
    <s v="ORD-1400"/>
    <d v="2025-11-28T00:00:00"/>
    <x v="0"/>
    <s v="CUST-005"/>
    <s v="PROD-108"/>
    <n v="2"/>
    <n v="2291.6"/>
    <n v="1947.86"/>
    <n v="4583.2"/>
    <n v="3895.72"/>
    <n v="687.48"/>
    <s v="Brenda"/>
    <x v="0"/>
    <x v="39"/>
    <x v="1"/>
    <n v="20"/>
    <x v="1"/>
    <x v="27"/>
    <x v="4"/>
  </r>
  <r>
    <s v="ORD-1401"/>
    <d v="2025-11-08T00:00:00"/>
    <x v="5"/>
    <s v="CUST-135"/>
    <s v="PROD-106"/>
    <n v="6"/>
    <n v="8947.2000000000007"/>
    <n v="7605.1200000000008"/>
    <n v="53683.200000000004"/>
    <n v="45630.720000000001"/>
    <n v="8052.4800000000032"/>
    <s v="Patrick"/>
    <x v="1"/>
    <x v="101"/>
    <x v="0"/>
    <n v="23"/>
    <x v="1"/>
    <x v="6"/>
    <x v="4"/>
  </r>
  <r>
    <s v="ORD-1402"/>
    <d v="2025-11-19T00:00:00"/>
    <x v="6"/>
    <s v="CUST-064"/>
    <s v="PROD-130"/>
    <n v="7"/>
    <n v="16676.400000000001"/>
    <n v="14174.940000000002"/>
    <n v="116734.80000000002"/>
    <n v="99224.580000000016"/>
    <n v="17510.22"/>
    <s v="Katie"/>
    <x v="4"/>
    <x v="59"/>
    <x v="0"/>
    <n v="37"/>
    <x v="0"/>
    <x v="29"/>
    <x v="2"/>
  </r>
  <r>
    <s v="ORD-1403"/>
    <d v="2025-11-29T00:00:00"/>
    <x v="0"/>
    <s v="CUST-146"/>
    <s v="PROD-113"/>
    <n v="4"/>
    <n v="1451.1000000000001"/>
    <n v="1233.4350000000002"/>
    <n v="5804.4000000000005"/>
    <n v="4933.7400000000007"/>
    <n v="870.65999999999985"/>
    <s v="Ralph"/>
    <x v="1"/>
    <x v="29"/>
    <x v="0"/>
    <n v="24"/>
    <x v="1"/>
    <x v="19"/>
    <x v="1"/>
  </r>
  <r>
    <s v="ORD-1404"/>
    <d v="2025-11-29T00:00:00"/>
    <x v="0"/>
    <s v="CUST-126"/>
    <s v="PROD-121"/>
    <n v="3"/>
    <n v="16218.800000000001"/>
    <n v="13785.980000000001"/>
    <n v="48656.4"/>
    <n v="41357.94"/>
    <n v="7298.4599999999991"/>
    <s v="Andrea"/>
    <x v="0"/>
    <x v="89"/>
    <x v="1"/>
    <n v="40"/>
    <x v="0"/>
    <x v="8"/>
    <x v="0"/>
  </r>
  <r>
    <s v="ORD-1405"/>
    <d v="2025-10-09T00:00:00"/>
    <x v="1"/>
    <s v="CUST-110"/>
    <s v="PROD-133"/>
    <n v="10"/>
    <n v="5885.9000000000005"/>
    <n v="5003.0150000000003"/>
    <n v="58859.000000000007"/>
    <n v="50030.15"/>
    <n v="8828.8500000000058"/>
    <s v="Lisa"/>
    <x v="1"/>
    <x v="35"/>
    <x v="1"/>
    <n v="52"/>
    <x v="0"/>
    <x v="22"/>
    <x v="2"/>
  </r>
  <r>
    <s v="ORD-1406"/>
    <d v="2025-12-24T00:00:00"/>
    <x v="8"/>
    <s v="CUST-085"/>
    <s v="PROD-119"/>
    <n v="6"/>
    <n v="16459.8"/>
    <n v="13990.83"/>
    <n v="98758.799999999988"/>
    <n v="83944.98"/>
    <n v="14813.819999999992"/>
    <s v="David"/>
    <x v="4"/>
    <x v="41"/>
    <x v="0"/>
    <n v="29"/>
    <x v="1"/>
    <x v="33"/>
    <x v="0"/>
  </r>
  <r>
    <s v="ORD-1407"/>
    <d v="2025-10-20T00:00:00"/>
    <x v="9"/>
    <s v="CUST-132"/>
    <s v="PROD-130"/>
    <n v="8"/>
    <n v="6879.2"/>
    <n v="5847.32"/>
    <n v="55033.599999999999"/>
    <n v="46778.559999999998"/>
    <n v="8255.0400000000009"/>
    <s v="Cheyenne"/>
    <x v="1"/>
    <x v="90"/>
    <x v="1"/>
    <n v="27"/>
    <x v="1"/>
    <x v="29"/>
    <x v="2"/>
  </r>
  <r>
    <s v="ORD-1408"/>
    <d v="2025-11-22T00:00:00"/>
    <x v="6"/>
    <s v="CUST-006"/>
    <s v="PROD-130"/>
    <n v="5"/>
    <n v="10690.5"/>
    <n v="9086.9249999999993"/>
    <n v="53452.5"/>
    <n v="45434.625"/>
    <n v="8017.875"/>
    <s v="Kayla"/>
    <x v="0"/>
    <x v="58"/>
    <x v="1"/>
    <n v="19"/>
    <x v="1"/>
    <x v="29"/>
    <x v="2"/>
  </r>
  <r>
    <s v="ORD-1409"/>
    <d v="2025-10-22T00:00:00"/>
    <x v="9"/>
    <s v="CUST-023"/>
    <s v="PROD-124"/>
    <n v="7"/>
    <n v="10819.2"/>
    <n v="9196.32"/>
    <n v="75734.400000000009"/>
    <n v="64374.239999999998"/>
    <n v="11360.160000000011"/>
    <s v="Jonathan"/>
    <x v="0"/>
    <x v="65"/>
    <x v="1"/>
    <n v="35"/>
    <x v="0"/>
    <x v="5"/>
    <x v="0"/>
  </r>
  <r>
    <s v="ORD-1410"/>
    <d v="2025-12-26T00:00:00"/>
    <x v="8"/>
    <s v="CUST-077"/>
    <s v="PROD-125"/>
    <n v="6"/>
    <n v="15791.400000000001"/>
    <n v="13422.690000000002"/>
    <n v="94748.400000000009"/>
    <n v="80536.140000000014"/>
    <n v="14212.259999999995"/>
    <s v="Tara"/>
    <x v="1"/>
    <x v="27"/>
    <x v="0"/>
    <n v="35"/>
    <x v="0"/>
    <x v="13"/>
    <x v="0"/>
  </r>
  <r>
    <s v="ORD-1411"/>
    <d v="2025-10-02T00:00:00"/>
    <x v="11"/>
    <s v="CUST-039"/>
    <s v="PROD-120"/>
    <n v="9"/>
    <n v="16183.099999999999"/>
    <n v="13755.634999999998"/>
    <n v="145647.9"/>
    <n v="123800.71499999998"/>
    <n v="21847.185000000012"/>
    <s v="Cheyenne"/>
    <x v="2"/>
    <x v="80"/>
    <x v="0"/>
    <n v="51"/>
    <x v="0"/>
    <x v="0"/>
    <x v="0"/>
  </r>
  <r>
    <s v="ORD-1412"/>
    <d v="2025-10-23T00:00:00"/>
    <x v="9"/>
    <s v="CUST-016"/>
    <s v="PROD-131"/>
    <n v="6"/>
    <n v="6847.4"/>
    <n v="5820.29"/>
    <n v="41084.399999999994"/>
    <n v="34921.74"/>
    <n v="6162.6599999999962"/>
    <s v="Patrick"/>
    <x v="1"/>
    <x v="26"/>
    <x v="1"/>
    <n v="26"/>
    <x v="1"/>
    <x v="2"/>
    <x v="2"/>
  </r>
  <r>
    <s v="ORD-1413"/>
    <d v="2025-12-18T00:00:00"/>
    <x v="4"/>
    <s v="CUST-139"/>
    <s v="PROD-104"/>
    <n v="9"/>
    <n v="8914.4000000000015"/>
    <n v="7577.2400000000016"/>
    <n v="80229.600000000006"/>
    <n v="68195.160000000018"/>
    <n v="12034.439999999988"/>
    <s v="Douglas"/>
    <x v="1"/>
    <x v="57"/>
    <x v="1"/>
    <n v="20"/>
    <x v="1"/>
    <x v="4"/>
    <x v="3"/>
  </r>
  <r>
    <s v="ORD-1414"/>
    <d v="2025-11-07T00:00:00"/>
    <x v="5"/>
    <s v="CUST-032"/>
    <s v="PROD-131"/>
    <n v="2"/>
    <n v="16141.7"/>
    <n v="13720.445"/>
    <n v="32283.4"/>
    <n v="27440.89"/>
    <n v="4842.510000000002"/>
    <s v="Linda"/>
    <x v="4"/>
    <x v="15"/>
    <x v="0"/>
    <n v="26"/>
    <x v="1"/>
    <x v="2"/>
    <x v="2"/>
  </r>
  <r>
    <s v="ORD-1415"/>
    <d v="2025-12-13T00:00:00"/>
    <x v="7"/>
    <s v="CUST-137"/>
    <s v="PROD-132"/>
    <n v="4"/>
    <n v="8022.1"/>
    <n v="6818.7849999999999"/>
    <n v="32088.400000000001"/>
    <n v="27275.14"/>
    <n v="4813.260000000002"/>
    <s v="Jonathan"/>
    <x v="0"/>
    <x v="81"/>
    <x v="0"/>
    <n v="36"/>
    <x v="0"/>
    <x v="26"/>
    <x v="2"/>
  </r>
  <r>
    <s v="ORD-1416"/>
    <d v="2025-12-21T00:00:00"/>
    <x v="8"/>
    <s v="CUST-110"/>
    <s v="PROD-105"/>
    <n v="6"/>
    <n v="17545.2"/>
    <n v="14913.42"/>
    <n v="105271.20000000001"/>
    <n v="89480.52"/>
    <n v="15790.680000000008"/>
    <s v="Katie"/>
    <x v="1"/>
    <x v="35"/>
    <x v="1"/>
    <n v="52"/>
    <x v="0"/>
    <x v="3"/>
    <x v="3"/>
  </r>
  <r>
    <s v="ORD-1417"/>
    <d v="2025-12-30T00:00:00"/>
    <x v="2"/>
    <s v="CUST-100"/>
    <s v="PROD-125"/>
    <n v="10"/>
    <n v="11937.1"/>
    <n v="10146.535"/>
    <n v="119371"/>
    <n v="101465.35"/>
    <n v="17905.649999999994"/>
    <s v="Katie"/>
    <x v="4"/>
    <x v="26"/>
    <x v="1"/>
    <n v="28"/>
    <x v="1"/>
    <x v="13"/>
    <x v="0"/>
  </r>
  <r>
    <s v="ORD-1418"/>
    <d v="2025-12-01T00:00:00"/>
    <x v="10"/>
    <s v="CUST-116"/>
    <s v="PROD-107"/>
    <n v="4"/>
    <n v="16399.7"/>
    <n v="13939.745000000001"/>
    <n v="65598.8"/>
    <n v="55758.98"/>
    <n v="9839.82"/>
    <s v="Laura"/>
    <x v="3"/>
    <x v="17"/>
    <x v="0"/>
    <n v="48"/>
    <x v="0"/>
    <x v="12"/>
    <x v="4"/>
  </r>
  <r>
    <s v="ORD-1419"/>
    <d v="2025-11-30T00:00:00"/>
    <x v="10"/>
    <s v="CUST-097"/>
    <s v="PROD-113"/>
    <n v="2"/>
    <n v="6521.7999999999993"/>
    <n v="5543.53"/>
    <n v="13043.599999999999"/>
    <n v="11087.06"/>
    <n v="1956.5399999999991"/>
    <s v="Anna"/>
    <x v="5"/>
    <x v="1"/>
    <x v="0"/>
    <n v="23"/>
    <x v="1"/>
    <x v="19"/>
    <x v="1"/>
  </r>
  <r>
    <s v="ORD-1420"/>
    <d v="2025-12-27T00:00:00"/>
    <x v="8"/>
    <s v="CUST-018"/>
    <s v="PROD-111"/>
    <n v="1"/>
    <n v="10020.4"/>
    <n v="8517.34"/>
    <n v="10020.4"/>
    <n v="8517.34"/>
    <n v="1503.0599999999995"/>
    <s v="Timothy"/>
    <x v="0"/>
    <x v="103"/>
    <x v="0"/>
    <n v="35"/>
    <x v="0"/>
    <x v="31"/>
    <x v="1"/>
  </r>
  <r>
    <s v="ORD-1421"/>
    <d v="2025-10-04T00:00:00"/>
    <x v="11"/>
    <s v="CUST-139"/>
    <s v="PROD-103"/>
    <n v="8"/>
    <n v="11599.9"/>
    <n v="9859.9149999999991"/>
    <n v="92799.2"/>
    <n v="78879.319999999992"/>
    <n v="13919.880000000005"/>
    <s v="Jonathan"/>
    <x v="1"/>
    <x v="57"/>
    <x v="1"/>
    <n v="20"/>
    <x v="1"/>
    <x v="28"/>
    <x v="3"/>
  </r>
  <r>
    <s v="ORD-1422"/>
    <d v="2025-11-02T00:00:00"/>
    <x v="5"/>
    <s v="CUST-090"/>
    <s v="PROD-113"/>
    <n v="3"/>
    <n v="7922.7999999999993"/>
    <n v="6734.3799999999992"/>
    <n v="23768.399999999998"/>
    <n v="20203.14"/>
    <n v="3565.2599999999984"/>
    <s v="Tara"/>
    <x v="1"/>
    <x v="16"/>
    <x v="0"/>
    <n v="29"/>
    <x v="1"/>
    <x v="19"/>
    <x v="1"/>
  </r>
  <r>
    <s v="ORD-1423"/>
    <d v="2025-12-25T00:00:00"/>
    <x v="8"/>
    <s v="CUST-058"/>
    <s v="PROD-109"/>
    <n v="7"/>
    <n v="17017.3"/>
    <n v="14464.705"/>
    <n v="119121.09999999999"/>
    <n v="101252.935"/>
    <n v="17868.164999999994"/>
    <s v="Ralph"/>
    <x v="1"/>
    <x v="17"/>
    <x v="0"/>
    <n v="18"/>
    <x v="1"/>
    <x v="30"/>
    <x v="4"/>
  </r>
  <r>
    <s v="ORD-1424"/>
    <d v="2025-10-01T00:00:00"/>
    <x v="11"/>
    <s v="CUST-045"/>
    <s v="PROD-112"/>
    <n v="10"/>
    <n v="5842.2000000000007"/>
    <n v="4965.8700000000008"/>
    <n v="58422.000000000007"/>
    <n v="49658.700000000012"/>
    <n v="8763.2999999999956"/>
    <s v="Lori"/>
    <x v="1"/>
    <x v="36"/>
    <x v="0"/>
    <n v="22"/>
    <x v="1"/>
    <x v="1"/>
    <x v="1"/>
  </r>
  <r>
    <s v="ORD-1425"/>
    <d v="2025-11-09T00:00:00"/>
    <x v="12"/>
    <s v="CUST-024"/>
    <s v="PROD-126"/>
    <n v="2"/>
    <n v="1049.3000000000002"/>
    <n v="891.9050000000002"/>
    <n v="2098.6000000000004"/>
    <n v="1783.8100000000004"/>
    <n v="314.78999999999996"/>
    <s v="Lori"/>
    <x v="1"/>
    <x v="78"/>
    <x v="1"/>
    <n v="31"/>
    <x v="1"/>
    <x v="9"/>
    <x v="5"/>
  </r>
  <r>
    <s v="ORD-1426"/>
    <d v="2025-10-21T00:00:00"/>
    <x v="9"/>
    <s v="CUST-060"/>
    <s v="PROD-109"/>
    <n v="4"/>
    <n v="17740.3"/>
    <n v="15079.254999999999"/>
    <n v="70961.2"/>
    <n v="60317.02"/>
    <n v="10644.18"/>
    <s v="Cheyenne"/>
    <x v="2"/>
    <x v="7"/>
    <x v="0"/>
    <n v="20"/>
    <x v="1"/>
    <x v="30"/>
    <x v="4"/>
  </r>
  <r>
    <s v="ORD-1427"/>
    <d v="2025-11-17T00:00:00"/>
    <x v="6"/>
    <s v="CUST-052"/>
    <s v="PROD-124"/>
    <n v="10"/>
    <n v="9631.2000000000007"/>
    <n v="8186.52"/>
    <n v="96312"/>
    <n v="81865.200000000012"/>
    <n v="14446.799999999988"/>
    <s v="Katie"/>
    <x v="1"/>
    <x v="8"/>
    <x v="1"/>
    <n v="28"/>
    <x v="1"/>
    <x v="5"/>
    <x v="0"/>
  </r>
  <r>
    <s v="ORD-1428"/>
    <d v="2025-12-01T00:00:00"/>
    <x v="10"/>
    <s v="CUST-137"/>
    <s v="PROD-112"/>
    <n v="1"/>
    <n v="12096.099999999999"/>
    <n v="10281.684999999999"/>
    <n v="12096.099999999999"/>
    <n v="10281.684999999999"/>
    <n v="1814.4149999999991"/>
    <s v="Anna"/>
    <x v="0"/>
    <x v="81"/>
    <x v="0"/>
    <n v="36"/>
    <x v="0"/>
    <x v="1"/>
    <x v="1"/>
  </r>
  <r>
    <s v="ORD-1429"/>
    <d v="2025-11-16T00:00:00"/>
    <x v="6"/>
    <s v="CUST-112"/>
    <s v="PROD-110"/>
    <n v="1"/>
    <n v="7967"/>
    <n v="6771.95"/>
    <n v="7967"/>
    <n v="6771.95"/>
    <n v="1195.0500000000002"/>
    <s v="Daniel"/>
    <x v="1"/>
    <x v="11"/>
    <x v="1"/>
    <n v="40"/>
    <x v="0"/>
    <x v="14"/>
    <x v="4"/>
  </r>
  <r>
    <s v="ORD-1430"/>
    <d v="2025-12-26T00:00:00"/>
    <x v="8"/>
    <s v="CUST-086"/>
    <s v="PROD-106"/>
    <n v="3"/>
    <n v="10831"/>
    <n v="9206.35"/>
    <n v="32493"/>
    <n v="27619.050000000003"/>
    <n v="4873.9499999999971"/>
    <s v="Jennifer"/>
    <x v="5"/>
    <x v="70"/>
    <x v="0"/>
    <n v="19"/>
    <x v="1"/>
    <x v="6"/>
    <x v="4"/>
  </r>
  <r>
    <s v="ORD-1431"/>
    <d v="2025-12-26T00:00:00"/>
    <x v="8"/>
    <s v="CUST-013"/>
    <s v="PROD-131"/>
    <n v="6"/>
    <n v="11102.2"/>
    <n v="9436.8700000000008"/>
    <n v="66613.200000000012"/>
    <n v="56621.22"/>
    <n v="9991.9800000000105"/>
    <s v="Daniel"/>
    <x v="1"/>
    <x v="94"/>
    <x v="1"/>
    <n v="26"/>
    <x v="1"/>
    <x v="2"/>
    <x v="2"/>
  </r>
  <r>
    <s v="ORD-1432"/>
    <d v="2025-10-11T00:00:00"/>
    <x v="1"/>
    <s v="CUST-093"/>
    <s v="PROD-113"/>
    <n v="2"/>
    <n v="4782.0999999999995"/>
    <n v="4064.7849999999994"/>
    <n v="9564.1999999999989"/>
    <n v="8129.5699999999988"/>
    <n v="1434.63"/>
    <s v="Daniel"/>
    <x v="0"/>
    <x v="25"/>
    <x v="0"/>
    <n v="19"/>
    <x v="1"/>
    <x v="19"/>
    <x v="1"/>
  </r>
  <r>
    <s v="ORD-1433"/>
    <d v="2025-11-07T00:00:00"/>
    <x v="5"/>
    <s v="CUST-015"/>
    <s v="PROD-134"/>
    <n v="4"/>
    <n v="17611.8"/>
    <n v="14970.029999999999"/>
    <n v="70447.199999999997"/>
    <n v="59880.119999999995"/>
    <n v="10567.080000000002"/>
    <s v="Jonathan"/>
    <x v="1"/>
    <x v="88"/>
    <x v="0"/>
    <n v="40"/>
    <x v="0"/>
    <x v="7"/>
    <x v="2"/>
  </r>
  <r>
    <s v="ORD-1434"/>
    <d v="2025-10-29T00:00:00"/>
    <x v="3"/>
    <s v="CUST-115"/>
    <s v="PROD-119"/>
    <n v="4"/>
    <n v="19560.8"/>
    <n v="16626.68"/>
    <n v="78243.199999999997"/>
    <n v="66506.720000000001"/>
    <n v="11736.479999999996"/>
    <s v="Keith"/>
    <x v="0"/>
    <x v="87"/>
    <x v="0"/>
    <n v="31"/>
    <x v="1"/>
    <x v="33"/>
    <x v="0"/>
  </r>
  <r>
    <s v="ORD-1435"/>
    <d v="2025-12-30T00:00:00"/>
    <x v="2"/>
    <s v="CUST-025"/>
    <s v="PROD-130"/>
    <n v="3"/>
    <n v="14864.400000000001"/>
    <n v="12634.740000000002"/>
    <n v="44593.200000000004"/>
    <n v="37904.22"/>
    <n v="6688.9800000000032"/>
    <s v="Victoria"/>
    <x v="4"/>
    <x v="50"/>
    <x v="1"/>
    <n v="19"/>
    <x v="1"/>
    <x v="29"/>
    <x v="2"/>
  </r>
  <r>
    <s v="ORD-1436"/>
    <d v="2025-10-30T00:00:00"/>
    <x v="3"/>
    <s v="CUST-045"/>
    <s v="PROD-105"/>
    <n v="7"/>
    <n v="6974.5"/>
    <n v="5928.3249999999998"/>
    <n v="48821.5"/>
    <n v="41498.275000000001"/>
    <n v="7323.2249999999985"/>
    <s v="Cheyenne"/>
    <x v="1"/>
    <x v="36"/>
    <x v="0"/>
    <n v="22"/>
    <x v="1"/>
    <x v="3"/>
    <x v="3"/>
  </r>
  <r>
    <s v="ORD-1437"/>
    <d v="2025-11-16T00:00:00"/>
    <x v="6"/>
    <s v="CUST-007"/>
    <s v="PROD-118"/>
    <n v="2"/>
    <n v="3289.9"/>
    <n v="2796.415"/>
    <n v="6579.8"/>
    <n v="5592.83"/>
    <n v="986.97000000000025"/>
    <s v="Daniel"/>
    <x v="1"/>
    <x v="29"/>
    <x v="0"/>
    <n v="44"/>
    <x v="0"/>
    <x v="25"/>
    <x v="0"/>
  </r>
  <r>
    <s v="ORD-1438"/>
    <d v="2025-12-19T00:00:00"/>
    <x v="4"/>
    <s v="CUST-035"/>
    <s v="PROD-115"/>
    <n v="4"/>
    <n v="11754.6"/>
    <n v="9991.41"/>
    <n v="47018.400000000001"/>
    <n v="39965.64"/>
    <n v="7052.760000000002"/>
    <s v="Laura"/>
    <x v="1"/>
    <x v="72"/>
    <x v="0"/>
    <n v="21"/>
    <x v="1"/>
    <x v="10"/>
    <x v="1"/>
  </r>
  <r>
    <s v="ORD-1439"/>
    <d v="2025-12-25T00:00:00"/>
    <x v="8"/>
    <s v="CUST-135"/>
    <s v="PROD-120"/>
    <n v="9"/>
    <n v="7581"/>
    <n v="6443.85"/>
    <n v="68229"/>
    <n v="57994.65"/>
    <n v="10234.349999999999"/>
    <s v="Keith"/>
    <x v="1"/>
    <x v="101"/>
    <x v="0"/>
    <n v="23"/>
    <x v="1"/>
    <x v="0"/>
    <x v="0"/>
  </r>
  <r>
    <s v="ORD-1440"/>
    <d v="2025-11-11T00:00:00"/>
    <x v="12"/>
    <s v="CUST-095"/>
    <s v="PROD-115"/>
    <n v="1"/>
    <n v="6979.0999999999995"/>
    <n v="5932.2349999999997"/>
    <n v="6979.0999999999995"/>
    <n v="5932.2349999999997"/>
    <n v="1046.8649999999998"/>
    <s v="Daniel"/>
    <x v="1"/>
    <x v="2"/>
    <x v="1"/>
    <n v="39"/>
    <x v="0"/>
    <x v="10"/>
    <x v="1"/>
  </r>
  <r>
    <s v="ORD-1441"/>
    <d v="2025-12-19T00:00:00"/>
    <x v="4"/>
    <s v="CUST-025"/>
    <s v="PROD-129"/>
    <n v="10"/>
    <n v="6651.2"/>
    <n v="5653.5199999999995"/>
    <n v="66512"/>
    <n v="56535.199999999997"/>
    <n v="9976.8000000000029"/>
    <s v="Caroline"/>
    <x v="4"/>
    <x v="50"/>
    <x v="1"/>
    <n v="19"/>
    <x v="1"/>
    <x v="21"/>
    <x v="5"/>
  </r>
  <r>
    <s v="ORD-1442"/>
    <d v="2025-10-19T00:00:00"/>
    <x v="9"/>
    <s v="CUST-077"/>
    <s v="PROD-109"/>
    <n v="3"/>
    <n v="13911"/>
    <n v="11824.35"/>
    <n v="41733"/>
    <n v="35473.050000000003"/>
    <n v="6259.9499999999971"/>
    <s v="Aaron"/>
    <x v="1"/>
    <x v="27"/>
    <x v="0"/>
    <n v="35"/>
    <x v="0"/>
    <x v="30"/>
    <x v="4"/>
  </r>
  <r>
    <s v="ORD-1443"/>
    <d v="2025-12-25T00:00:00"/>
    <x v="8"/>
    <s v="CUST-114"/>
    <s v="PROD-110"/>
    <n v="5"/>
    <n v="1525.3999999999999"/>
    <n v="1296.5899999999999"/>
    <n v="7626.9999999999991"/>
    <n v="6482.95"/>
    <n v="1144.0499999999993"/>
    <s v="Keith"/>
    <x v="2"/>
    <x v="42"/>
    <x v="0"/>
    <n v="25"/>
    <x v="1"/>
    <x v="14"/>
    <x v="4"/>
  </r>
  <r>
    <s v="ORD-1444"/>
    <d v="2025-12-07T00:00:00"/>
    <x v="7"/>
    <s v="CUST-041"/>
    <s v="PROD-112"/>
    <n v="7"/>
    <n v="2052.4"/>
    <n v="1744.54"/>
    <n v="14366.800000000001"/>
    <n v="12211.779999999999"/>
    <n v="2155.0200000000023"/>
    <s v="Kayla"/>
    <x v="3"/>
    <x v="19"/>
    <x v="0"/>
    <n v="20"/>
    <x v="1"/>
    <x v="1"/>
    <x v="1"/>
  </r>
  <r>
    <s v="ORD-1445"/>
    <d v="2025-10-24T00:00:00"/>
    <x v="9"/>
    <s v="CUST-024"/>
    <s v="PROD-127"/>
    <n v="2"/>
    <n v="5717.6"/>
    <n v="4859.96"/>
    <n v="11435.2"/>
    <n v="9719.92"/>
    <n v="1715.2800000000007"/>
    <s v="Tracey"/>
    <x v="1"/>
    <x v="78"/>
    <x v="1"/>
    <n v="31"/>
    <x v="1"/>
    <x v="17"/>
    <x v="5"/>
  </r>
  <r>
    <s v="ORD-1446"/>
    <d v="2025-11-21T00:00:00"/>
    <x v="6"/>
    <s v="CUST-076"/>
    <s v="PROD-134"/>
    <n v="6"/>
    <n v="5232.6000000000004"/>
    <n v="4447.71"/>
    <n v="31395.600000000002"/>
    <n v="26686.260000000002"/>
    <n v="4709.34"/>
    <s v="Laura"/>
    <x v="0"/>
    <x v="84"/>
    <x v="0"/>
    <n v="32"/>
    <x v="1"/>
    <x v="7"/>
    <x v="2"/>
  </r>
  <r>
    <s v="ORD-1447"/>
    <d v="2025-12-31T00:00:00"/>
    <x v="2"/>
    <s v="CUST-064"/>
    <s v="PROD-128"/>
    <n v="4"/>
    <n v="14938.800000000001"/>
    <n v="12697.980000000001"/>
    <n v="59755.200000000004"/>
    <n v="50791.920000000006"/>
    <n v="8963.2799999999988"/>
    <s v="Ralph"/>
    <x v="4"/>
    <x v="59"/>
    <x v="0"/>
    <n v="37"/>
    <x v="0"/>
    <x v="15"/>
    <x v="5"/>
  </r>
  <r>
    <s v="ORD-1448"/>
    <d v="2025-11-28T00:00:00"/>
    <x v="0"/>
    <s v="CUST-078"/>
    <s v="PROD-132"/>
    <n v="6"/>
    <n v="8740.2000000000007"/>
    <n v="7429.170000000001"/>
    <n v="52441.200000000004"/>
    <n v="44575.020000000004"/>
    <n v="7866.18"/>
    <s v="Daniel"/>
    <x v="4"/>
    <x v="43"/>
    <x v="0"/>
    <n v="25"/>
    <x v="1"/>
    <x v="26"/>
    <x v="2"/>
  </r>
  <r>
    <s v="ORD-1449"/>
    <d v="2025-12-26T00:00:00"/>
    <x v="8"/>
    <s v="CUST-100"/>
    <s v="PROD-113"/>
    <n v="10"/>
    <n v="9496.6999999999989"/>
    <n v="8072.1949999999988"/>
    <n v="94966.999999999985"/>
    <n v="80721.949999999983"/>
    <n v="14245.050000000003"/>
    <s v="Tracey"/>
    <x v="4"/>
    <x v="26"/>
    <x v="1"/>
    <n v="28"/>
    <x v="1"/>
    <x v="19"/>
    <x v="1"/>
  </r>
  <r>
    <s v="ORD-1450"/>
    <d v="2025-11-30T00:00:00"/>
    <x v="10"/>
    <s v="CUST-101"/>
    <s v="PROD-127"/>
    <n v="4"/>
    <n v="15876.5"/>
    <n v="13495.025"/>
    <n v="63506"/>
    <n v="53980.1"/>
    <n v="9525.9000000000015"/>
    <s v="Jonathan"/>
    <x v="1"/>
    <x v="85"/>
    <x v="1"/>
    <n v="25"/>
    <x v="1"/>
    <x v="17"/>
    <x v="5"/>
  </r>
  <r>
    <s v="ORD-1451"/>
    <d v="2025-10-03T00:00:00"/>
    <x v="11"/>
    <s v="CUST-048"/>
    <s v="PROD-107"/>
    <n v="3"/>
    <n v="11334.6"/>
    <n v="9634.41"/>
    <n v="34003.800000000003"/>
    <n v="28903.23"/>
    <n v="5100.5700000000033"/>
    <s v="Laura"/>
    <x v="1"/>
    <x v="16"/>
    <x v="0"/>
    <n v="19"/>
    <x v="1"/>
    <x v="12"/>
    <x v="4"/>
  </r>
  <r>
    <s v="ORD-1452"/>
    <d v="2025-11-28T00:00:00"/>
    <x v="0"/>
    <s v="CUST-130"/>
    <s v="PROD-114"/>
    <n v="1"/>
    <n v="1071.0999999999999"/>
    <n v="910.43499999999995"/>
    <n v="1071.0999999999999"/>
    <n v="910.43499999999995"/>
    <n v="160.66499999999996"/>
    <s v="David"/>
    <x v="5"/>
    <x v="34"/>
    <x v="1"/>
    <n v="55"/>
    <x v="0"/>
    <x v="18"/>
    <x v="1"/>
  </r>
  <r>
    <s v="ORD-1453"/>
    <d v="2025-11-10T00:00:00"/>
    <x v="12"/>
    <s v="CUST-075"/>
    <s v="PROD-111"/>
    <n v="6"/>
    <n v="7824.8"/>
    <n v="6651.08"/>
    <n v="46948.800000000003"/>
    <n v="39906.479999999996"/>
    <n v="7042.320000000007"/>
    <s v="Keith"/>
    <x v="5"/>
    <x v="82"/>
    <x v="0"/>
    <n v="31"/>
    <x v="1"/>
    <x v="31"/>
    <x v="1"/>
  </r>
  <r>
    <s v="ORD-1454"/>
    <d v="2025-12-15T00:00:00"/>
    <x v="4"/>
    <s v="CUST-149"/>
    <s v="PROD-121"/>
    <n v="5"/>
    <n v="7300.2999999999993"/>
    <n v="6205.2549999999992"/>
    <n v="36501.5"/>
    <n v="31026.274999999994"/>
    <n v="5475.2250000000058"/>
    <s v="Douglas"/>
    <x v="3"/>
    <x v="53"/>
    <x v="0"/>
    <n v="54"/>
    <x v="0"/>
    <x v="8"/>
    <x v="0"/>
  </r>
  <r>
    <s v="ORD-1455"/>
    <d v="2025-12-02T00:00:00"/>
    <x v="10"/>
    <s v="CUST-064"/>
    <s v="PROD-119"/>
    <n v="8"/>
    <n v="11419.8"/>
    <n v="9706.83"/>
    <n v="91358.399999999994"/>
    <n v="77654.64"/>
    <n v="13703.759999999995"/>
    <s v="Caroline"/>
    <x v="4"/>
    <x v="59"/>
    <x v="0"/>
    <n v="37"/>
    <x v="0"/>
    <x v="33"/>
    <x v="0"/>
  </r>
  <r>
    <s v="ORD-1456"/>
    <d v="2025-11-15T00:00:00"/>
    <x v="12"/>
    <s v="CUST-104"/>
    <s v="PROD-134"/>
    <n v="6"/>
    <n v="11460"/>
    <n v="9741"/>
    <n v="68760"/>
    <n v="58446"/>
    <n v="10314"/>
    <s v="Ethan"/>
    <x v="0"/>
    <x v="91"/>
    <x v="1"/>
    <n v="32"/>
    <x v="1"/>
    <x v="7"/>
    <x v="2"/>
  </r>
  <r>
    <s v="ORD-1457"/>
    <d v="2025-10-01T00:00:00"/>
    <x v="11"/>
    <s v="CUST-017"/>
    <s v="PROD-123"/>
    <n v="4"/>
    <n v="14283.4"/>
    <n v="12140.89"/>
    <n v="57133.599999999999"/>
    <n v="48563.56"/>
    <n v="8570.0400000000009"/>
    <s v="Lisa"/>
    <x v="2"/>
    <x v="60"/>
    <x v="0"/>
    <n v="27"/>
    <x v="1"/>
    <x v="32"/>
    <x v="0"/>
  </r>
  <r>
    <s v="ORD-1458"/>
    <d v="2025-12-30T00:00:00"/>
    <x v="2"/>
    <s v="CUST-149"/>
    <s v="PROD-122"/>
    <n v="9"/>
    <n v="10269.300000000001"/>
    <n v="8728.9050000000007"/>
    <n v="92423.700000000012"/>
    <n v="78560.145000000004"/>
    <n v="13863.555000000008"/>
    <s v="Victoria"/>
    <x v="3"/>
    <x v="53"/>
    <x v="0"/>
    <n v="54"/>
    <x v="0"/>
    <x v="11"/>
    <x v="0"/>
  </r>
  <r>
    <s v="ORD-1459"/>
    <d v="2025-12-31T00:00:00"/>
    <x v="2"/>
    <s v="CUST-014"/>
    <s v="PROD-132"/>
    <n v="1"/>
    <n v="17720.099999999999"/>
    <n v="15062.084999999999"/>
    <n v="17720.099999999999"/>
    <n v="15062.084999999999"/>
    <n v="2658.0149999999994"/>
    <s v="Aaron"/>
    <x v="4"/>
    <x v="34"/>
    <x v="1"/>
    <n v="27"/>
    <x v="1"/>
    <x v="26"/>
    <x v="2"/>
  </r>
  <r>
    <s v="ORD-1460"/>
    <d v="2025-12-16T00:00:00"/>
    <x v="4"/>
    <s v="CUST-069"/>
    <s v="PROD-131"/>
    <n v="3"/>
    <n v="12082.1"/>
    <n v="10269.785"/>
    <n v="36246.300000000003"/>
    <n v="30809.355"/>
    <n v="5436.9450000000033"/>
    <s v="Tara"/>
    <x v="1"/>
    <x v="42"/>
    <x v="0"/>
    <n v="37"/>
    <x v="0"/>
    <x v="2"/>
    <x v="2"/>
  </r>
  <r>
    <s v="ORD-1461"/>
    <d v="2025-10-16T00:00:00"/>
    <x v="13"/>
    <s v="CUST-093"/>
    <s v="PROD-105"/>
    <n v="4"/>
    <n v="19901.5"/>
    <n v="16916.275000000001"/>
    <n v="79606"/>
    <n v="67665.100000000006"/>
    <n v="11940.899999999994"/>
    <s v="Brenda"/>
    <x v="0"/>
    <x v="25"/>
    <x v="0"/>
    <n v="19"/>
    <x v="1"/>
    <x v="3"/>
    <x v="3"/>
  </r>
  <r>
    <s v="ORD-1462"/>
    <d v="2025-10-04T00:00:00"/>
    <x v="11"/>
    <s v="CUST-053"/>
    <s v="PROD-104"/>
    <n v="4"/>
    <n v="4117.7999999999993"/>
    <n v="3500.1299999999992"/>
    <n v="16471.199999999997"/>
    <n v="14000.519999999997"/>
    <n v="2470.6800000000003"/>
    <s v="Linda"/>
    <x v="4"/>
    <x v="69"/>
    <x v="0"/>
    <n v="19"/>
    <x v="1"/>
    <x v="4"/>
    <x v="3"/>
  </r>
  <r>
    <s v="ORD-1463"/>
    <d v="2025-11-09T00:00:00"/>
    <x v="12"/>
    <s v="CUST-124"/>
    <s v="PROD-114"/>
    <n v="7"/>
    <n v="14602.9"/>
    <n v="12412.465"/>
    <n v="102220.3"/>
    <n v="86887.255000000005"/>
    <n v="15333.044999999998"/>
    <s v="Lori"/>
    <x v="1"/>
    <x v="32"/>
    <x v="1"/>
    <n v="35"/>
    <x v="0"/>
    <x v="18"/>
    <x v="1"/>
  </r>
  <r>
    <s v="ORD-1464"/>
    <d v="2025-12-06T00:00:00"/>
    <x v="10"/>
    <s v="CUST-069"/>
    <s v="PROD-115"/>
    <n v="10"/>
    <n v="1682.2"/>
    <n v="1429.8700000000001"/>
    <n v="16822"/>
    <n v="14298.7"/>
    <n v="2523.2999999999993"/>
    <s v="Thomas"/>
    <x v="1"/>
    <x v="42"/>
    <x v="0"/>
    <n v="37"/>
    <x v="0"/>
    <x v="10"/>
    <x v="1"/>
  </r>
  <r>
    <s v="ORD-1465"/>
    <d v="2025-10-09T00:00:00"/>
    <x v="1"/>
    <s v="CUST-124"/>
    <s v="PROD-105"/>
    <n v="9"/>
    <n v="6977.4"/>
    <n v="5930.79"/>
    <n v="62796.6"/>
    <n v="53377.11"/>
    <n v="9419.489999999998"/>
    <s v="Victoria"/>
    <x v="1"/>
    <x v="32"/>
    <x v="1"/>
    <n v="35"/>
    <x v="0"/>
    <x v="3"/>
    <x v="3"/>
  </r>
  <r>
    <s v="ORD-1466"/>
    <d v="2025-12-13T00:00:00"/>
    <x v="7"/>
    <s v="CUST-088"/>
    <s v="PROD-114"/>
    <n v="3"/>
    <n v="8913.7999999999993"/>
    <n v="7576.73"/>
    <n v="26741.399999999998"/>
    <n v="22730.19"/>
    <n v="4011.2099999999991"/>
    <s v="Jennifer"/>
    <x v="1"/>
    <x v="76"/>
    <x v="1"/>
    <n v="33"/>
    <x v="1"/>
    <x v="18"/>
    <x v="1"/>
  </r>
  <r>
    <s v="ORD-1467"/>
    <d v="2025-11-21T00:00:00"/>
    <x v="6"/>
    <s v="CUST-004"/>
    <s v="PROD-134"/>
    <n v="6"/>
    <n v="7657.2000000000007"/>
    <n v="6508.6200000000008"/>
    <n v="45943.200000000004"/>
    <n v="39051.72"/>
    <n v="6891.4800000000032"/>
    <s v="Caroline"/>
    <x v="5"/>
    <x v="100"/>
    <x v="0"/>
    <n v="40"/>
    <x v="0"/>
    <x v="7"/>
    <x v="2"/>
  </r>
  <r>
    <s v="ORD-1468"/>
    <d v="2025-11-04T00:00:00"/>
    <x v="5"/>
    <s v="CUST-015"/>
    <s v="PROD-109"/>
    <n v="4"/>
    <n v="10333.199999999999"/>
    <n v="8783.2199999999993"/>
    <n v="41332.799999999996"/>
    <n v="35132.879999999997"/>
    <n v="6199.9199999999983"/>
    <s v="Sean"/>
    <x v="1"/>
    <x v="88"/>
    <x v="0"/>
    <n v="40"/>
    <x v="0"/>
    <x v="30"/>
    <x v="4"/>
  </r>
  <r>
    <s v="ORD-1469"/>
    <d v="2025-12-01T00:00:00"/>
    <x v="10"/>
    <s v="CUST-121"/>
    <s v="PROD-102"/>
    <n v="5"/>
    <n v="10015.5"/>
    <n v="8513.1749999999993"/>
    <n v="50077.5"/>
    <n v="42565.875"/>
    <n v="7511.625"/>
    <s v="Joshua"/>
    <x v="1"/>
    <x v="99"/>
    <x v="1"/>
    <n v="24"/>
    <x v="1"/>
    <x v="20"/>
    <x v="3"/>
  </r>
  <r>
    <s v="ORD-1470"/>
    <d v="2025-12-07T00:00:00"/>
    <x v="7"/>
    <s v="CUST-077"/>
    <s v="PROD-109"/>
    <n v="6"/>
    <n v="6234.4000000000005"/>
    <n v="5299.2400000000007"/>
    <n v="37406.400000000001"/>
    <n v="31795.440000000002"/>
    <n v="5610.9599999999991"/>
    <s v="Timothy"/>
    <x v="1"/>
    <x v="27"/>
    <x v="0"/>
    <n v="35"/>
    <x v="0"/>
    <x v="30"/>
    <x v="4"/>
  </r>
  <r>
    <s v="ORD-1471"/>
    <d v="2025-10-18T00:00:00"/>
    <x v="13"/>
    <s v="CUST-011"/>
    <s v="PROD-101"/>
    <n v="2"/>
    <n v="14664"/>
    <n v="12464.4"/>
    <n v="29328"/>
    <n v="24928.799999999999"/>
    <n v="4399.2000000000007"/>
    <s v="Lisa"/>
    <x v="2"/>
    <x v="26"/>
    <x v="1"/>
    <n v="18"/>
    <x v="1"/>
    <x v="16"/>
    <x v="3"/>
  </r>
  <r>
    <s v="ORD-1472"/>
    <d v="2025-11-27T00:00:00"/>
    <x v="0"/>
    <s v="CUST-040"/>
    <s v="PROD-127"/>
    <n v="3"/>
    <n v="5008.3999999999996"/>
    <n v="4257.1399999999994"/>
    <n v="15025.199999999999"/>
    <n v="12771.419999999998"/>
    <n v="2253.7800000000007"/>
    <s v="Kayla"/>
    <x v="0"/>
    <x v="72"/>
    <x v="0"/>
    <n v="52"/>
    <x v="0"/>
    <x v="17"/>
    <x v="5"/>
  </r>
  <r>
    <s v="ORD-1473"/>
    <d v="2025-12-12T00:00:00"/>
    <x v="7"/>
    <s v="CUST-117"/>
    <s v="PROD-131"/>
    <n v="7"/>
    <n v="11077.2"/>
    <n v="9415.6200000000008"/>
    <n v="77540.400000000009"/>
    <n v="65909.340000000011"/>
    <n v="11631.059999999998"/>
    <s v="Katie"/>
    <x v="1"/>
    <x v="20"/>
    <x v="1"/>
    <n v="29"/>
    <x v="1"/>
    <x v="2"/>
    <x v="2"/>
  </r>
  <r>
    <s v="ORD-1474"/>
    <d v="2025-11-16T00:00:00"/>
    <x v="6"/>
    <s v="CUST-140"/>
    <s v="PROD-129"/>
    <n v="1"/>
    <n v="16847.5"/>
    <n v="14320.375"/>
    <n v="16847.5"/>
    <n v="14320.375"/>
    <n v="2527.125"/>
    <s v="Jonathan"/>
    <x v="4"/>
    <x v="77"/>
    <x v="1"/>
    <n v="46"/>
    <x v="0"/>
    <x v="21"/>
    <x v="5"/>
  </r>
  <r>
    <s v="ORD-1475"/>
    <d v="2025-11-12T00:00:00"/>
    <x v="12"/>
    <s v="CUST-032"/>
    <s v="PROD-119"/>
    <n v="4"/>
    <n v="15100.599999999999"/>
    <n v="12835.509999999998"/>
    <n v="60402.399999999994"/>
    <n v="51342.039999999994"/>
    <n v="9060.36"/>
    <s v="Timothy"/>
    <x v="4"/>
    <x v="15"/>
    <x v="0"/>
    <n v="26"/>
    <x v="1"/>
    <x v="33"/>
    <x v="0"/>
  </r>
  <r>
    <s v="ORD-1476"/>
    <d v="2025-11-16T00:00:00"/>
    <x v="6"/>
    <s v="CUST-142"/>
    <s v="PROD-121"/>
    <n v="1"/>
    <n v="4373"/>
    <n v="3717.05"/>
    <n v="4373"/>
    <n v="3717.05"/>
    <n v="655.94999999999982"/>
    <s v="Kayla"/>
    <x v="0"/>
    <x v="0"/>
    <x v="0"/>
    <n v="38"/>
    <x v="0"/>
    <x v="8"/>
    <x v="0"/>
  </r>
  <r>
    <s v="ORD-1477"/>
    <d v="2025-12-20T00:00:00"/>
    <x v="4"/>
    <s v="CUST-123"/>
    <s v="PROD-126"/>
    <n v="10"/>
    <n v="4981.5"/>
    <n v="4234.2749999999996"/>
    <n v="49815"/>
    <n v="42342.75"/>
    <n v="7472.25"/>
    <s v="Timothy"/>
    <x v="1"/>
    <x v="28"/>
    <x v="0"/>
    <n v="20"/>
    <x v="1"/>
    <x v="9"/>
    <x v="5"/>
  </r>
  <r>
    <s v="ORD-1478"/>
    <d v="2025-12-04T00:00:00"/>
    <x v="10"/>
    <s v="CUST-149"/>
    <s v="PROD-121"/>
    <n v="2"/>
    <n v="11496.800000000001"/>
    <n v="9772.2800000000007"/>
    <n v="22993.600000000002"/>
    <n v="19544.560000000001"/>
    <n v="3449.0400000000009"/>
    <s v="Keith"/>
    <x v="3"/>
    <x v="53"/>
    <x v="0"/>
    <n v="54"/>
    <x v="0"/>
    <x v="8"/>
    <x v="0"/>
  </r>
  <r>
    <s v="ORD-1479"/>
    <d v="2025-10-02T00:00:00"/>
    <x v="11"/>
    <s v="CUST-086"/>
    <s v="PROD-125"/>
    <n v="1"/>
    <n v="2180.3000000000002"/>
    <n v="1853.2550000000001"/>
    <n v="2180.3000000000002"/>
    <n v="1853.2550000000001"/>
    <n v="327.04500000000007"/>
    <s v="Daniel"/>
    <x v="5"/>
    <x v="70"/>
    <x v="0"/>
    <n v="19"/>
    <x v="1"/>
    <x v="13"/>
    <x v="0"/>
  </r>
  <r>
    <s v="ORD-1480"/>
    <d v="2025-10-05T00:00:00"/>
    <x v="1"/>
    <s v="CUST-038"/>
    <s v="PROD-117"/>
    <n v="4"/>
    <n v="11262.4"/>
    <n v="9573.0399999999991"/>
    <n v="45049.599999999999"/>
    <n v="38292.159999999996"/>
    <n v="6757.4400000000023"/>
    <s v="Cheyenne"/>
    <x v="1"/>
    <x v="59"/>
    <x v="0"/>
    <n v="32"/>
    <x v="1"/>
    <x v="23"/>
    <x v="0"/>
  </r>
  <r>
    <s v="ORD-1481"/>
    <d v="2025-12-15T00:00:00"/>
    <x v="4"/>
    <s v="CUST-026"/>
    <s v="PROD-134"/>
    <n v="10"/>
    <n v="7041.2"/>
    <n v="5985.02"/>
    <n v="70412"/>
    <n v="59850.200000000004"/>
    <n v="10561.799999999996"/>
    <s v="Victoria"/>
    <x v="1"/>
    <x v="104"/>
    <x v="1"/>
    <n v="26"/>
    <x v="1"/>
    <x v="7"/>
    <x v="2"/>
  </r>
  <r>
    <s v="ORD-1482"/>
    <d v="2025-11-23T00:00:00"/>
    <x v="0"/>
    <s v="CUST-061"/>
    <s v="PROD-113"/>
    <n v="10"/>
    <n v="16935.5"/>
    <n v="14395.174999999999"/>
    <n v="169355"/>
    <n v="143951.75"/>
    <n v="25403.25"/>
    <s v="Sean"/>
    <x v="0"/>
    <x v="31"/>
    <x v="0"/>
    <n v="28"/>
    <x v="1"/>
    <x v="19"/>
    <x v="1"/>
  </r>
  <r>
    <s v="ORD-1483"/>
    <d v="2025-12-19T00:00:00"/>
    <x v="4"/>
    <s v="CUST-068"/>
    <s v="PROD-126"/>
    <n v="6"/>
    <n v="1803.4"/>
    <n v="1532.89"/>
    <n v="10820.400000000001"/>
    <n v="9197.34"/>
    <n v="1623.0600000000013"/>
    <s v="David"/>
    <x v="4"/>
    <x v="45"/>
    <x v="1"/>
    <n v="28"/>
    <x v="1"/>
    <x v="9"/>
    <x v="5"/>
  </r>
  <r>
    <s v="ORD-1484"/>
    <d v="2025-11-01T00:00:00"/>
    <x v="3"/>
    <s v="CUST-046"/>
    <s v="PROD-114"/>
    <n v="3"/>
    <n v="12926.7"/>
    <n v="10987.695"/>
    <n v="38780.100000000006"/>
    <n v="32963.084999999999"/>
    <n v="5817.0150000000067"/>
    <s v="Kayla"/>
    <x v="4"/>
    <x v="4"/>
    <x v="1"/>
    <n v="31"/>
    <x v="1"/>
    <x v="18"/>
    <x v="1"/>
  </r>
  <r>
    <s v="ORD-1485"/>
    <d v="2025-12-08T00:00:00"/>
    <x v="7"/>
    <s v="CUST-056"/>
    <s v="PROD-122"/>
    <n v="5"/>
    <n v="9098.0999999999985"/>
    <n v="7733.3849999999984"/>
    <n v="45490.499999999993"/>
    <n v="38666.924999999988"/>
    <n v="6823.5750000000044"/>
    <s v="Lori"/>
    <x v="1"/>
    <x v="1"/>
    <x v="0"/>
    <n v="55"/>
    <x v="0"/>
    <x v="11"/>
    <x v="0"/>
  </r>
  <r>
    <s v="ORD-1486"/>
    <d v="2025-10-01T00:00:00"/>
    <x v="11"/>
    <s v="CUST-147"/>
    <s v="PROD-120"/>
    <n v="10"/>
    <n v="16750.3"/>
    <n v="14237.754999999999"/>
    <n v="167503"/>
    <n v="142377.54999999999"/>
    <n v="25125.450000000012"/>
    <s v="Daniel"/>
    <x v="2"/>
    <x v="36"/>
    <x v="0"/>
    <n v="53"/>
    <x v="0"/>
    <x v="0"/>
    <x v="0"/>
  </r>
  <r>
    <s v="ORD-1487"/>
    <d v="2025-11-08T00:00:00"/>
    <x v="5"/>
    <s v="CUST-113"/>
    <s v="PROD-127"/>
    <n v="7"/>
    <n v="19976.900000000001"/>
    <n v="16980.365000000002"/>
    <n v="139838.30000000002"/>
    <n v="118862.55500000001"/>
    <n v="20975.74500000001"/>
    <s v="Daniel"/>
    <x v="1"/>
    <x v="21"/>
    <x v="1"/>
    <n v="47"/>
    <x v="0"/>
    <x v="17"/>
    <x v="5"/>
  </r>
  <r>
    <s v="ORD-1488"/>
    <d v="2025-10-17T00:00:00"/>
    <x v="13"/>
    <s v="CUST-105"/>
    <s v="PROD-134"/>
    <n v="2"/>
    <n v="13976.099999999999"/>
    <n v="11879.684999999999"/>
    <n v="27952.199999999997"/>
    <n v="23759.37"/>
    <n v="4192.8299999999981"/>
    <s v="Jasmine"/>
    <x v="3"/>
    <x v="31"/>
    <x v="0"/>
    <n v="30"/>
    <x v="1"/>
    <x v="7"/>
    <x v="2"/>
  </r>
  <r>
    <s v="ORD-1489"/>
    <d v="2025-11-21T00:00:00"/>
    <x v="6"/>
    <s v="CUST-013"/>
    <s v="PROD-124"/>
    <n v="6"/>
    <n v="1238.0999999999999"/>
    <n v="1052.385"/>
    <n v="7428.5999999999995"/>
    <n v="6314.3099999999995"/>
    <n v="1114.29"/>
    <s v="Tara"/>
    <x v="1"/>
    <x v="94"/>
    <x v="1"/>
    <n v="26"/>
    <x v="1"/>
    <x v="5"/>
    <x v="0"/>
  </r>
  <r>
    <s v="ORD-1490"/>
    <d v="2025-11-17T00:00:00"/>
    <x v="6"/>
    <s v="CUST-111"/>
    <s v="PROD-121"/>
    <n v="8"/>
    <n v="19584.599999999999"/>
    <n v="16646.91"/>
    <n v="156676.79999999999"/>
    <n v="133175.28"/>
    <n v="23501.51999999999"/>
    <s v="Ralph"/>
    <x v="4"/>
    <x v="10"/>
    <x v="0"/>
    <n v="20"/>
    <x v="1"/>
    <x v="8"/>
    <x v="0"/>
  </r>
  <r>
    <s v="ORD-1491"/>
    <d v="2025-10-03T00:00:00"/>
    <x v="11"/>
    <s v="CUST-077"/>
    <s v="PROD-110"/>
    <n v="2"/>
    <n v="8976.4"/>
    <n v="7629.94"/>
    <n v="17952.8"/>
    <n v="15259.88"/>
    <n v="2692.92"/>
    <s v="Keith"/>
    <x v="1"/>
    <x v="27"/>
    <x v="0"/>
    <n v="35"/>
    <x v="0"/>
    <x v="14"/>
    <x v="4"/>
  </r>
  <r>
    <s v="ORD-1492"/>
    <d v="2025-10-12T00:00:00"/>
    <x v="13"/>
    <s v="CUST-150"/>
    <s v="PROD-130"/>
    <n v="7"/>
    <n v="19809"/>
    <n v="16837.650000000001"/>
    <n v="138663"/>
    <n v="117863.55000000002"/>
    <n v="20799.449999999983"/>
    <s v="Linda"/>
    <x v="1"/>
    <x v="31"/>
    <x v="0"/>
    <n v="25"/>
    <x v="1"/>
    <x v="29"/>
    <x v="2"/>
  </r>
  <r>
    <s v="ORD-1493"/>
    <d v="2025-11-01T00:00:00"/>
    <x v="3"/>
    <s v="CUST-120"/>
    <s v="PROD-132"/>
    <n v="2"/>
    <n v="11506"/>
    <n v="9780.1"/>
    <n v="23012"/>
    <n v="19560.2"/>
    <n v="3451.7999999999993"/>
    <s v="David"/>
    <x v="0"/>
    <x v="95"/>
    <x v="1"/>
    <n v="18"/>
    <x v="1"/>
    <x v="26"/>
    <x v="2"/>
  </r>
  <r>
    <s v="ORD-1494"/>
    <d v="2025-10-09T00:00:00"/>
    <x v="1"/>
    <s v="CUST-116"/>
    <s v="PROD-124"/>
    <n v="10"/>
    <n v="17236.7"/>
    <n v="14651.195"/>
    <n v="172367"/>
    <n v="146511.95000000001"/>
    <n v="25855.049999999988"/>
    <s v="Patrick"/>
    <x v="3"/>
    <x v="17"/>
    <x v="0"/>
    <n v="48"/>
    <x v="0"/>
    <x v="5"/>
    <x v="0"/>
  </r>
  <r>
    <s v="ORD-1495"/>
    <d v="2025-11-10T00:00:00"/>
    <x v="12"/>
    <s v="CUST-043"/>
    <s v="PROD-115"/>
    <n v="5"/>
    <n v="17382.400000000001"/>
    <n v="14775.04"/>
    <n v="86912"/>
    <n v="73875.200000000012"/>
    <n v="13036.799999999988"/>
    <s v="Cheyenne"/>
    <x v="4"/>
    <x v="7"/>
    <x v="0"/>
    <n v="42"/>
    <x v="0"/>
    <x v="10"/>
    <x v="1"/>
  </r>
  <r>
    <s v="ORD-1496"/>
    <d v="2025-11-18T00:00:00"/>
    <x v="6"/>
    <s v="CUST-015"/>
    <s v="PROD-109"/>
    <n v="1"/>
    <n v="8394.7000000000007"/>
    <n v="7135.4950000000008"/>
    <n v="8394.7000000000007"/>
    <n v="7135.4950000000008"/>
    <n v="1259.2049999999999"/>
    <s v="Linda"/>
    <x v="1"/>
    <x v="88"/>
    <x v="0"/>
    <n v="40"/>
    <x v="0"/>
    <x v="30"/>
    <x v="4"/>
  </r>
  <r>
    <s v="ORD-1497"/>
    <d v="2025-11-26T00:00:00"/>
    <x v="0"/>
    <s v="CUST-063"/>
    <s v="PROD-128"/>
    <n v="2"/>
    <n v="10064.799999999999"/>
    <n v="8555.08"/>
    <n v="20129.599999999999"/>
    <n v="17110.16"/>
    <n v="3019.4399999999987"/>
    <s v="Jonathan"/>
    <x v="1"/>
    <x v="18"/>
    <x v="0"/>
    <n v="24"/>
    <x v="1"/>
    <x v="15"/>
    <x v="5"/>
  </r>
  <r>
    <s v="ORD-1498"/>
    <d v="2025-10-22T00:00:00"/>
    <x v="9"/>
    <s v="CUST-065"/>
    <s v="PROD-120"/>
    <n v="1"/>
    <n v="14226.400000000001"/>
    <n v="12092.440000000002"/>
    <n v="14226.400000000001"/>
    <n v="12092.440000000002"/>
    <n v="2133.9599999999991"/>
    <s v="Laura"/>
    <x v="5"/>
    <x v="42"/>
    <x v="0"/>
    <n v="23"/>
    <x v="1"/>
    <x v="0"/>
    <x v="0"/>
  </r>
  <r>
    <s v="ORD-1499"/>
    <d v="2025-11-28T00:00:00"/>
    <x v="0"/>
    <s v="CUST-091"/>
    <s v="PROD-117"/>
    <n v="8"/>
    <n v="9251.7999999999993"/>
    <n v="7864.03"/>
    <n v="74014.399999999994"/>
    <n v="62912.24"/>
    <n v="11102.159999999996"/>
    <s v="Cheyenne"/>
    <x v="1"/>
    <x v="102"/>
    <x v="0"/>
    <n v="44"/>
    <x v="0"/>
    <x v="23"/>
    <x v="0"/>
  </r>
  <r>
    <s v="ORD-1500"/>
    <d v="2025-10-10T00:00:00"/>
    <x v="1"/>
    <s v="CUST-014"/>
    <s v="PROD-130"/>
    <n v="3"/>
    <n v="2243.8999999999996"/>
    <n v="1907.3149999999996"/>
    <n v="6731.6999999999989"/>
    <n v="5721.9449999999988"/>
    <n v="1009.7550000000001"/>
    <s v="Jonathan"/>
    <x v="4"/>
    <x v="34"/>
    <x v="1"/>
    <n v="27"/>
    <x v="1"/>
    <x v="29"/>
    <x v="2"/>
  </r>
  <r>
    <s v="ORD-1501"/>
    <d v="2025-12-02T00:00:00"/>
    <x v="10"/>
    <s v="CUST-030"/>
    <s v="PROD-124"/>
    <n v="4"/>
    <n v="16427.400000000001"/>
    <n v="13963.29"/>
    <n v="65709.600000000006"/>
    <n v="55853.16"/>
    <n v="9856.4400000000023"/>
    <s v="Brenda"/>
    <x v="3"/>
    <x v="4"/>
    <x v="1"/>
    <n v="24"/>
    <x v="1"/>
    <x v="5"/>
    <x v="0"/>
  </r>
  <r>
    <s v="ORD-1502"/>
    <d v="2025-12-08T00:00:00"/>
    <x v="7"/>
    <s v="CUST-095"/>
    <s v="PROD-121"/>
    <n v="6"/>
    <n v="8714.2999999999993"/>
    <n v="7407.1549999999997"/>
    <n v="52285.799999999996"/>
    <n v="44442.93"/>
    <n v="7842.8699999999953"/>
    <s v="Caroline"/>
    <x v="1"/>
    <x v="2"/>
    <x v="1"/>
    <n v="39"/>
    <x v="0"/>
    <x v="8"/>
    <x v="0"/>
  </r>
  <r>
    <s v="ORD-1503"/>
    <d v="2025-10-27T00:00:00"/>
    <x v="3"/>
    <s v="CUST-057"/>
    <s v="PROD-128"/>
    <n v="9"/>
    <n v="6035.5"/>
    <n v="5130.1750000000002"/>
    <n v="54319.5"/>
    <n v="46171.575000000004"/>
    <n v="8147.9249999999956"/>
    <s v="Laura"/>
    <x v="4"/>
    <x v="49"/>
    <x v="1"/>
    <n v="26"/>
    <x v="1"/>
    <x v="15"/>
    <x v="5"/>
  </r>
  <r>
    <s v="ORD-1504"/>
    <d v="2025-12-27T00:00:00"/>
    <x v="8"/>
    <s v="CUST-124"/>
    <s v="PROD-110"/>
    <n v="7"/>
    <n v="15275.8"/>
    <n v="12984.43"/>
    <n v="106930.59999999999"/>
    <n v="90891.010000000009"/>
    <n v="16039.589999999982"/>
    <s v="Timothy"/>
    <x v="1"/>
    <x v="32"/>
    <x v="1"/>
    <n v="35"/>
    <x v="0"/>
    <x v="14"/>
    <x v="4"/>
  </r>
  <r>
    <s v="ORD-1505"/>
    <d v="2025-10-10T00:00:00"/>
    <x v="1"/>
    <s v="CUST-064"/>
    <s v="PROD-110"/>
    <n v="10"/>
    <n v="5309.4000000000005"/>
    <n v="4512.9900000000007"/>
    <n v="53094.000000000007"/>
    <n v="45129.900000000009"/>
    <n v="7964.0999999999985"/>
    <s v="Katie"/>
    <x v="4"/>
    <x v="59"/>
    <x v="0"/>
    <n v="37"/>
    <x v="0"/>
    <x v="14"/>
    <x v="4"/>
  </r>
  <r>
    <s v="ORD-1506"/>
    <d v="2025-12-11T00:00:00"/>
    <x v="7"/>
    <s v="CUST-017"/>
    <s v="PROD-119"/>
    <n v="7"/>
    <n v="10418.099999999999"/>
    <n v="8855.3849999999984"/>
    <n v="72926.699999999983"/>
    <n v="61987.694999999992"/>
    <n v="10939.00499999999"/>
    <s v="Patrick"/>
    <x v="2"/>
    <x v="60"/>
    <x v="0"/>
    <n v="27"/>
    <x v="1"/>
    <x v="33"/>
    <x v="0"/>
  </r>
  <r>
    <s v="ORD-1507"/>
    <d v="2025-10-25T00:00:00"/>
    <x v="9"/>
    <s v="CUST-127"/>
    <s v="PROD-104"/>
    <n v="7"/>
    <n v="5072"/>
    <n v="4311.2"/>
    <n v="35504"/>
    <n v="30178.399999999998"/>
    <n v="5325.6000000000022"/>
    <s v="Jonathan"/>
    <x v="3"/>
    <x v="48"/>
    <x v="0"/>
    <n v="18"/>
    <x v="1"/>
    <x v="4"/>
    <x v="3"/>
  </r>
  <r>
    <s v="ORD-1508"/>
    <d v="2025-10-20T00:00:00"/>
    <x v="9"/>
    <s v="CUST-061"/>
    <s v="PROD-117"/>
    <n v="7"/>
    <n v="4130.1000000000004"/>
    <n v="3510.5850000000005"/>
    <n v="28910.700000000004"/>
    <n v="24574.095000000005"/>
    <n v="4336.6049999999996"/>
    <s v="Sean"/>
    <x v="0"/>
    <x v="31"/>
    <x v="0"/>
    <n v="28"/>
    <x v="1"/>
    <x v="23"/>
    <x v="0"/>
  </r>
  <r>
    <s v="ORD-1509"/>
    <d v="2025-10-06T00:00:00"/>
    <x v="1"/>
    <s v="CUST-030"/>
    <s v="PROD-106"/>
    <n v="9"/>
    <n v="2750.7999999999997"/>
    <n v="2338.1799999999998"/>
    <n v="24757.199999999997"/>
    <n v="21043.62"/>
    <n v="3713.5799999999981"/>
    <s v="Jonathan"/>
    <x v="3"/>
    <x v="4"/>
    <x v="1"/>
    <n v="24"/>
    <x v="1"/>
    <x v="6"/>
    <x v="4"/>
  </r>
  <r>
    <s v="ORD-1510"/>
    <d v="2025-11-17T00:00:00"/>
    <x v="6"/>
    <s v="CUST-022"/>
    <s v="PROD-132"/>
    <n v="2"/>
    <n v="5895.5999999999995"/>
    <n v="5011.2599999999993"/>
    <n v="11791.199999999999"/>
    <n v="10022.519999999999"/>
    <n v="1768.6800000000003"/>
    <s v="Jonathan"/>
    <x v="5"/>
    <x v="46"/>
    <x v="1"/>
    <n v="31"/>
    <x v="1"/>
    <x v="26"/>
    <x v="2"/>
  </r>
  <r>
    <s v="ORD-1511"/>
    <d v="2025-11-30T00:00:00"/>
    <x v="10"/>
    <s v="CUST-108"/>
    <s v="PROD-115"/>
    <n v="9"/>
    <n v="18000.5"/>
    <n v="15300.424999999999"/>
    <n v="162004.5"/>
    <n v="137703.82499999998"/>
    <n v="24300.675000000017"/>
    <s v="Cheyenne"/>
    <x v="5"/>
    <x v="30"/>
    <x v="0"/>
    <n v="42"/>
    <x v="0"/>
    <x v="10"/>
    <x v="1"/>
  </r>
  <r>
    <s v="ORD-1512"/>
    <d v="2025-12-13T00:00:00"/>
    <x v="7"/>
    <s v="CUST-087"/>
    <s v="PROD-113"/>
    <n v="5"/>
    <n v="713.6"/>
    <n v="606.56000000000006"/>
    <n v="3568"/>
    <n v="3032.8"/>
    <n v="535.19999999999982"/>
    <s v="Tara"/>
    <x v="0"/>
    <x v="105"/>
    <x v="1"/>
    <n v="53"/>
    <x v="0"/>
    <x v="19"/>
    <x v="1"/>
  </r>
  <r>
    <s v="ORD-1513"/>
    <d v="2025-10-31T00:00:00"/>
    <x v="3"/>
    <s v="CUST-102"/>
    <s v="PROD-103"/>
    <n v="4"/>
    <n v="15565.8"/>
    <n v="13230.93"/>
    <n v="62263.199999999997"/>
    <n v="52923.72"/>
    <n v="9339.4799999999959"/>
    <s v="Tara"/>
    <x v="1"/>
    <x v="40"/>
    <x v="1"/>
    <n v="27"/>
    <x v="1"/>
    <x v="28"/>
    <x v="3"/>
  </r>
  <r>
    <s v="ORD-1514"/>
    <d v="2025-11-01T00:00:00"/>
    <x v="3"/>
    <s v="CUST-068"/>
    <s v="PROD-128"/>
    <n v="8"/>
    <n v="7081.5999999999995"/>
    <n v="6019.36"/>
    <n v="56652.799999999996"/>
    <n v="48154.879999999997"/>
    <n v="8497.9199999999983"/>
    <s v="Anna"/>
    <x v="4"/>
    <x v="45"/>
    <x v="1"/>
    <n v="28"/>
    <x v="1"/>
    <x v="15"/>
    <x v="5"/>
  </r>
  <r>
    <s v="ORD-1515"/>
    <d v="2025-10-06T00:00:00"/>
    <x v="1"/>
    <s v="CUST-001"/>
    <s v="PROD-110"/>
    <n v="10"/>
    <n v="3090.8999999999996"/>
    <n v="2627.2649999999999"/>
    <n v="30908.999999999996"/>
    <n v="26272.649999999998"/>
    <n v="4636.3499999999985"/>
    <s v="Victoria"/>
    <x v="3"/>
    <x v="74"/>
    <x v="1"/>
    <n v="27"/>
    <x v="1"/>
    <x v="14"/>
    <x v="4"/>
  </r>
  <r>
    <s v="ORD-1516"/>
    <d v="2025-11-02T00:00:00"/>
    <x v="5"/>
    <s v="CUST-092"/>
    <s v="PROD-125"/>
    <n v="6"/>
    <n v="15070"/>
    <n v="12809.5"/>
    <n v="90420"/>
    <n v="76857"/>
    <n v="13563"/>
    <s v="Brenda"/>
    <x v="2"/>
    <x v="3"/>
    <x v="0"/>
    <n v="48"/>
    <x v="0"/>
    <x v="13"/>
    <x v="0"/>
  </r>
  <r>
    <s v="ORD-1517"/>
    <d v="2025-11-04T00:00:00"/>
    <x v="5"/>
    <s v="CUST-017"/>
    <s v="PROD-132"/>
    <n v="4"/>
    <n v="5096.2"/>
    <n v="4331.7699999999995"/>
    <n v="20384.8"/>
    <n v="17327.079999999998"/>
    <n v="3057.7200000000012"/>
    <s v="Thomas"/>
    <x v="2"/>
    <x v="60"/>
    <x v="0"/>
    <n v="27"/>
    <x v="1"/>
    <x v="26"/>
    <x v="2"/>
  </r>
  <r>
    <s v="ORD-1518"/>
    <d v="2025-10-27T00:00:00"/>
    <x v="3"/>
    <s v="CUST-098"/>
    <s v="PROD-106"/>
    <n v="8"/>
    <n v="3925.2"/>
    <n v="3336.42"/>
    <n v="31401.599999999999"/>
    <n v="26691.360000000001"/>
    <n v="4710.239999999998"/>
    <s v="Jennifer"/>
    <x v="0"/>
    <x v="22"/>
    <x v="1"/>
    <n v="38"/>
    <x v="0"/>
    <x v="6"/>
    <x v="4"/>
  </r>
  <r>
    <s v="ORD-1519"/>
    <d v="2025-10-16T00:00:00"/>
    <x v="13"/>
    <s v="CUST-131"/>
    <s v="PROD-123"/>
    <n v="8"/>
    <n v="17750.099999999999"/>
    <n v="15087.584999999999"/>
    <n v="142000.79999999999"/>
    <n v="120700.68"/>
    <n v="21300.119999999995"/>
    <s v="Linda"/>
    <x v="0"/>
    <x v="37"/>
    <x v="0"/>
    <n v="46"/>
    <x v="0"/>
    <x v="32"/>
    <x v="0"/>
  </r>
  <r>
    <s v="ORD-1520"/>
    <d v="2025-12-07T00:00:00"/>
    <x v="7"/>
    <s v="CUST-049"/>
    <s v="PROD-124"/>
    <n v="9"/>
    <n v="6360.2999999999993"/>
    <n v="5406.2549999999992"/>
    <n v="57242.7"/>
    <n v="48656.294999999991"/>
    <n v="8586.4050000000061"/>
    <s v="Jonathan"/>
    <x v="2"/>
    <x v="38"/>
    <x v="1"/>
    <n v="36"/>
    <x v="0"/>
    <x v="5"/>
    <x v="0"/>
  </r>
  <r>
    <s v="ORD-1521"/>
    <d v="2025-11-19T00:00:00"/>
    <x v="6"/>
    <s v="CUST-037"/>
    <s v="PROD-117"/>
    <n v="8"/>
    <n v="5618.9"/>
    <n v="4776.0649999999996"/>
    <n v="44951.199999999997"/>
    <n v="38208.519999999997"/>
    <n v="6742.68"/>
    <s v="Thomas"/>
    <x v="1"/>
    <x v="73"/>
    <x v="0"/>
    <n v="26"/>
    <x v="1"/>
    <x v="23"/>
    <x v="0"/>
  </r>
  <r>
    <s v="ORD-1522"/>
    <d v="2025-10-23T00:00:00"/>
    <x v="9"/>
    <s v="CUST-017"/>
    <s v="PROD-112"/>
    <n v="2"/>
    <n v="17062.8"/>
    <n v="14503.38"/>
    <n v="34125.599999999999"/>
    <n v="29006.76"/>
    <n v="5118.84"/>
    <s v="Andrea"/>
    <x v="2"/>
    <x v="60"/>
    <x v="0"/>
    <n v="27"/>
    <x v="1"/>
    <x v="1"/>
    <x v="1"/>
  </r>
  <r>
    <s v="ORD-1523"/>
    <d v="2025-11-18T00:00:00"/>
    <x v="6"/>
    <s v="CUST-047"/>
    <s v="PROD-129"/>
    <n v="7"/>
    <n v="11519.300000000001"/>
    <n v="9791.4050000000007"/>
    <n v="80635.100000000006"/>
    <n v="68539.835000000006"/>
    <n v="12095.264999999999"/>
    <s v="Lisa"/>
    <x v="1"/>
    <x v="29"/>
    <x v="0"/>
    <n v="55"/>
    <x v="0"/>
    <x v="21"/>
    <x v="5"/>
  </r>
  <r>
    <s v="ORD-1524"/>
    <d v="2025-10-02T00:00:00"/>
    <x v="11"/>
    <s v="CUST-039"/>
    <s v="PROD-119"/>
    <n v="7"/>
    <n v="19271.400000000001"/>
    <n v="16380.690000000002"/>
    <n v="134899.80000000002"/>
    <n v="114664.83000000002"/>
    <n v="20234.97"/>
    <s v="Victoria"/>
    <x v="2"/>
    <x v="80"/>
    <x v="0"/>
    <n v="51"/>
    <x v="0"/>
    <x v="33"/>
    <x v="0"/>
  </r>
  <r>
    <s v="ORD-1525"/>
    <d v="2025-12-02T00:00:00"/>
    <x v="10"/>
    <s v="CUST-141"/>
    <s v="PROD-108"/>
    <n v="9"/>
    <n v="3463.3999999999996"/>
    <n v="2943.89"/>
    <n v="31170.6"/>
    <n v="26495.01"/>
    <n v="4675.59"/>
    <s v="Douglas"/>
    <x v="5"/>
    <x v="12"/>
    <x v="1"/>
    <n v="49"/>
    <x v="0"/>
    <x v="27"/>
    <x v="4"/>
  </r>
  <r>
    <s v="ORD-1526"/>
    <d v="2025-11-13T00:00:00"/>
    <x v="12"/>
    <s v="CUST-141"/>
    <s v="PROD-101"/>
    <n v="5"/>
    <n v="2928"/>
    <n v="2488.8000000000002"/>
    <n v="14640"/>
    <n v="12444"/>
    <n v="2196"/>
    <s v="Brenda"/>
    <x v="5"/>
    <x v="12"/>
    <x v="1"/>
    <n v="49"/>
    <x v="0"/>
    <x v="16"/>
    <x v="3"/>
  </r>
  <r>
    <s v="ORD-1527"/>
    <d v="2025-11-05T00:00:00"/>
    <x v="5"/>
    <s v="CUST-150"/>
    <s v="PROD-117"/>
    <n v="7"/>
    <n v="3484.9"/>
    <n v="2962.165"/>
    <n v="24394.3"/>
    <n v="20735.154999999999"/>
    <n v="3659.1450000000004"/>
    <s v="Jonathan"/>
    <x v="1"/>
    <x v="31"/>
    <x v="0"/>
    <n v="25"/>
    <x v="1"/>
    <x v="23"/>
    <x v="0"/>
  </r>
  <r>
    <s v="ORD-1528"/>
    <d v="2025-12-15T00:00:00"/>
    <x v="4"/>
    <s v="CUST-046"/>
    <s v="PROD-113"/>
    <n v="7"/>
    <n v="14923"/>
    <n v="12684.55"/>
    <n v="104461"/>
    <n v="88791.849999999991"/>
    <n v="15669.150000000009"/>
    <s v="Brenda"/>
    <x v="4"/>
    <x v="4"/>
    <x v="1"/>
    <n v="31"/>
    <x v="1"/>
    <x v="19"/>
    <x v="1"/>
  </r>
  <r>
    <s v="ORD-1529"/>
    <d v="2025-10-23T00:00:00"/>
    <x v="9"/>
    <s v="CUST-129"/>
    <s v="PROD-130"/>
    <n v="6"/>
    <n v="8942.7999999999993"/>
    <n v="7601.3799999999992"/>
    <n v="53656.799999999996"/>
    <n v="45608.28"/>
    <n v="8048.5199999999968"/>
    <s v="Jennifer"/>
    <x v="4"/>
    <x v="71"/>
    <x v="0"/>
    <n v="38"/>
    <x v="0"/>
    <x v="29"/>
    <x v="2"/>
  </r>
  <r>
    <s v="ORD-1530"/>
    <d v="2025-10-22T00:00:00"/>
    <x v="9"/>
    <s v="CUST-007"/>
    <s v="PROD-130"/>
    <n v="8"/>
    <n v="17175.5"/>
    <n v="14599.174999999999"/>
    <n v="137404"/>
    <n v="116793.4"/>
    <n v="20610.600000000006"/>
    <s v="Jonathan"/>
    <x v="1"/>
    <x v="29"/>
    <x v="0"/>
    <n v="44"/>
    <x v="0"/>
    <x v="29"/>
    <x v="2"/>
  </r>
  <r>
    <s v="ORD-1531"/>
    <d v="2025-10-18T00:00:00"/>
    <x v="13"/>
    <s v="CUST-061"/>
    <s v="PROD-130"/>
    <n v="6"/>
    <n v="14871.7"/>
    <n v="12640.945"/>
    <n v="89230.200000000012"/>
    <n v="75845.67"/>
    <n v="13384.530000000013"/>
    <s v="Ethan"/>
    <x v="0"/>
    <x v="31"/>
    <x v="0"/>
    <n v="28"/>
    <x v="1"/>
    <x v="29"/>
    <x v="2"/>
  </r>
  <r>
    <s v="ORD-1532"/>
    <d v="2025-11-15T00:00:00"/>
    <x v="12"/>
    <s v="CUST-089"/>
    <s v="PROD-121"/>
    <n v="10"/>
    <n v="11013.599999999999"/>
    <n v="9361.56"/>
    <n v="110135.99999999999"/>
    <n v="93615.599999999991"/>
    <n v="16520.399999999994"/>
    <s v="Thomas"/>
    <x v="4"/>
    <x v="92"/>
    <x v="1"/>
    <n v="35"/>
    <x v="0"/>
    <x v="8"/>
    <x v="0"/>
  </r>
  <r>
    <s v="ORD-1533"/>
    <d v="2025-12-10T00:00:00"/>
    <x v="7"/>
    <s v="CUST-078"/>
    <s v="PROD-125"/>
    <n v="1"/>
    <n v="18582.3"/>
    <n v="15794.955"/>
    <n v="18582.3"/>
    <n v="15794.955"/>
    <n v="2787.3449999999993"/>
    <s v="Keith"/>
    <x v="4"/>
    <x v="43"/>
    <x v="0"/>
    <n v="25"/>
    <x v="1"/>
    <x v="13"/>
    <x v="0"/>
  </r>
  <r>
    <s v="ORD-1534"/>
    <d v="2025-12-18T00:00:00"/>
    <x v="4"/>
    <s v="CUST-041"/>
    <s v="PROD-118"/>
    <n v="1"/>
    <n v="3680.5"/>
    <n v="3128.4250000000002"/>
    <n v="3680.5"/>
    <n v="3128.4250000000002"/>
    <n v="552.07499999999982"/>
    <s v="Lori"/>
    <x v="3"/>
    <x v="19"/>
    <x v="0"/>
    <n v="20"/>
    <x v="1"/>
    <x v="25"/>
    <x v="0"/>
  </r>
  <r>
    <s v="ORD-1535"/>
    <d v="2025-11-15T00:00:00"/>
    <x v="12"/>
    <s v="CUST-039"/>
    <s v="PROD-120"/>
    <n v="9"/>
    <n v="8589.5"/>
    <n v="7301.0749999999998"/>
    <n v="77305.5"/>
    <n v="65709.675000000003"/>
    <n v="11595.824999999997"/>
    <s v="Lisa"/>
    <x v="2"/>
    <x v="80"/>
    <x v="0"/>
    <n v="51"/>
    <x v="0"/>
    <x v="0"/>
    <x v="0"/>
  </r>
  <r>
    <s v="ORD-1536"/>
    <d v="2025-12-13T00:00:00"/>
    <x v="7"/>
    <s v="CUST-037"/>
    <s v="PROD-106"/>
    <n v="4"/>
    <n v="3544.5"/>
    <n v="3012.8249999999998"/>
    <n v="14178"/>
    <n v="12051.3"/>
    <n v="2126.7000000000007"/>
    <s v="Jonathan"/>
    <x v="1"/>
    <x v="73"/>
    <x v="0"/>
    <n v="26"/>
    <x v="1"/>
    <x v="6"/>
    <x v="4"/>
  </r>
  <r>
    <s v="ORD-1537"/>
    <d v="2025-10-13T00:00:00"/>
    <x v="13"/>
    <s v="CUST-060"/>
    <s v="PROD-112"/>
    <n v="2"/>
    <n v="19742.5"/>
    <n v="16781.125"/>
    <n v="39485"/>
    <n v="33562.25"/>
    <n v="5922.75"/>
    <s v="Tracey"/>
    <x v="2"/>
    <x v="7"/>
    <x v="0"/>
    <n v="20"/>
    <x v="1"/>
    <x v="1"/>
    <x v="1"/>
  </r>
  <r>
    <s v="ORD-1538"/>
    <d v="2025-12-10T00:00:00"/>
    <x v="7"/>
    <s v="CUST-010"/>
    <s v="PROD-104"/>
    <n v="3"/>
    <n v="3758.7"/>
    <n v="3194.895"/>
    <n v="11276.099999999999"/>
    <n v="9584.6849999999995"/>
    <n v="1691.4149999999991"/>
    <s v="Joshua"/>
    <x v="1"/>
    <x v="93"/>
    <x v="1"/>
    <n v="21"/>
    <x v="1"/>
    <x v="4"/>
    <x v="3"/>
  </r>
  <r>
    <s v="ORD-1539"/>
    <d v="2025-12-18T00:00:00"/>
    <x v="4"/>
    <s v="CUST-025"/>
    <s v="PROD-121"/>
    <n v="10"/>
    <n v="17372.400000000001"/>
    <n v="14766.54"/>
    <n v="173724"/>
    <n v="147665.40000000002"/>
    <n v="26058.599999999977"/>
    <s v="Kayla"/>
    <x v="4"/>
    <x v="50"/>
    <x v="1"/>
    <n v="19"/>
    <x v="1"/>
    <x v="8"/>
    <x v="0"/>
  </r>
  <r>
    <s v="ORD-1540"/>
    <d v="2025-11-10T00:00:00"/>
    <x v="12"/>
    <s v="CUST-022"/>
    <s v="PROD-114"/>
    <n v="8"/>
    <n v="6531"/>
    <n v="5551.35"/>
    <n v="52248"/>
    <n v="44410.8"/>
    <n v="7837.1999999999971"/>
    <s v="Keith"/>
    <x v="5"/>
    <x v="46"/>
    <x v="1"/>
    <n v="31"/>
    <x v="1"/>
    <x v="18"/>
    <x v="1"/>
  </r>
  <r>
    <s v="ORD-1541"/>
    <d v="2025-11-23T00:00:00"/>
    <x v="0"/>
    <s v="CUST-078"/>
    <s v="PROD-118"/>
    <n v="3"/>
    <n v="2546.3000000000002"/>
    <n v="2164.355"/>
    <n v="7638.9000000000005"/>
    <n v="6493.0650000000005"/>
    <n v="1145.835"/>
    <s v="Lisa"/>
    <x v="4"/>
    <x v="43"/>
    <x v="0"/>
    <n v="25"/>
    <x v="1"/>
    <x v="25"/>
    <x v="0"/>
  </r>
  <r>
    <s v="ORD-1542"/>
    <d v="2025-12-28T00:00:00"/>
    <x v="2"/>
    <s v="CUST-109"/>
    <s v="PROD-121"/>
    <n v="7"/>
    <n v="15050.2"/>
    <n v="12792.67"/>
    <n v="105351.40000000001"/>
    <n v="89548.69"/>
    <n v="15802.710000000006"/>
    <s v="Thomas"/>
    <x v="0"/>
    <x v="10"/>
    <x v="0"/>
    <n v="22"/>
    <x v="1"/>
    <x v="8"/>
    <x v="0"/>
  </r>
  <r>
    <s v="ORD-1543"/>
    <d v="2025-11-04T00:00:00"/>
    <x v="5"/>
    <s v="CUST-094"/>
    <s v="PROD-105"/>
    <n v="2"/>
    <n v="13629.400000000001"/>
    <n v="11584.990000000002"/>
    <n v="27258.800000000003"/>
    <n v="23169.980000000003"/>
    <n v="4088.8199999999997"/>
    <s v="Brenda"/>
    <x v="3"/>
    <x v="21"/>
    <x v="1"/>
    <n v="40"/>
    <x v="0"/>
    <x v="3"/>
    <x v="3"/>
  </r>
  <r>
    <s v="ORD-1544"/>
    <d v="2025-12-06T00:00:00"/>
    <x v="10"/>
    <s v="CUST-035"/>
    <s v="PROD-112"/>
    <n v="7"/>
    <n v="5429.2"/>
    <n v="4614.82"/>
    <n v="38004.400000000001"/>
    <n v="32303.739999999998"/>
    <n v="5700.6600000000035"/>
    <s v="Tara"/>
    <x v="1"/>
    <x v="72"/>
    <x v="0"/>
    <n v="21"/>
    <x v="1"/>
    <x v="1"/>
    <x v="1"/>
  </r>
  <r>
    <s v="ORD-1545"/>
    <d v="2025-11-16T00:00:00"/>
    <x v="6"/>
    <s v="CUST-049"/>
    <s v="PROD-103"/>
    <n v="4"/>
    <n v="3337.7"/>
    <n v="2837.0450000000001"/>
    <n v="13350.8"/>
    <n v="11348.18"/>
    <n v="2002.619999999999"/>
    <s v="Jennifer"/>
    <x v="2"/>
    <x v="38"/>
    <x v="1"/>
    <n v="36"/>
    <x v="0"/>
    <x v="28"/>
    <x v="3"/>
  </r>
  <r>
    <s v="ORD-1546"/>
    <d v="2025-12-21T00:00:00"/>
    <x v="8"/>
    <s v="CUST-003"/>
    <s v="PROD-116"/>
    <n v="2"/>
    <n v="17396.300000000003"/>
    <n v="14786.855000000003"/>
    <n v="34792.600000000006"/>
    <n v="29573.710000000006"/>
    <n v="5218.8899999999994"/>
    <s v="Jennifer"/>
    <x v="4"/>
    <x v="10"/>
    <x v="0"/>
    <n v="25"/>
    <x v="1"/>
    <x v="24"/>
    <x v="1"/>
  </r>
  <r>
    <s v="ORD-1547"/>
    <d v="2025-10-05T00:00:00"/>
    <x v="1"/>
    <s v="CUST-060"/>
    <s v="PROD-125"/>
    <n v="6"/>
    <n v="6137.1"/>
    <n v="5216.5349999999999"/>
    <n v="36822.600000000006"/>
    <n v="31299.21"/>
    <n v="5523.3900000000067"/>
    <s v="Cheyenne"/>
    <x v="2"/>
    <x v="7"/>
    <x v="0"/>
    <n v="20"/>
    <x v="1"/>
    <x v="13"/>
    <x v="0"/>
  </r>
  <r>
    <s v="ORD-1548"/>
    <d v="2025-12-06T00:00:00"/>
    <x v="10"/>
    <s v="CUST-147"/>
    <s v="PROD-117"/>
    <n v="5"/>
    <n v="14149.5"/>
    <n v="12027.075000000001"/>
    <n v="70747.5"/>
    <n v="60135.375"/>
    <n v="10612.125"/>
    <s v="Joshua"/>
    <x v="2"/>
    <x v="36"/>
    <x v="0"/>
    <n v="53"/>
    <x v="0"/>
    <x v="23"/>
    <x v="0"/>
  </r>
  <r>
    <s v="ORD-1549"/>
    <d v="2025-11-17T00:00:00"/>
    <x v="6"/>
    <s v="CUST-021"/>
    <s v="PROD-110"/>
    <n v="7"/>
    <n v="14510.8"/>
    <n v="12334.18"/>
    <n v="101575.59999999999"/>
    <n v="86339.260000000009"/>
    <n v="15236.339999999982"/>
    <s v="Douglas"/>
    <x v="4"/>
    <x v="67"/>
    <x v="1"/>
    <n v="28"/>
    <x v="1"/>
    <x v="14"/>
    <x v="4"/>
  </r>
  <r>
    <s v="ORD-1550"/>
    <d v="2025-12-04T00:00:00"/>
    <x v="10"/>
    <s v="CUST-032"/>
    <s v="PROD-129"/>
    <n v="6"/>
    <n v="18509.8"/>
    <n v="15733.33"/>
    <n v="111058.79999999999"/>
    <n v="94399.98"/>
    <n v="16658.819999999992"/>
    <s v="Jennifer"/>
    <x v="4"/>
    <x v="15"/>
    <x v="0"/>
    <n v="26"/>
    <x v="1"/>
    <x v="21"/>
    <x v="5"/>
  </r>
  <r>
    <s v="ORD-1551"/>
    <d v="2025-10-14T00:00:00"/>
    <x v="13"/>
    <s v="CUST-076"/>
    <s v="PROD-121"/>
    <n v="1"/>
    <n v="14136.400000000001"/>
    <n v="12015.940000000002"/>
    <n v="14136.400000000001"/>
    <n v="12015.940000000002"/>
    <n v="2120.4599999999991"/>
    <s v="Linda"/>
    <x v="0"/>
    <x v="84"/>
    <x v="0"/>
    <n v="32"/>
    <x v="1"/>
    <x v="8"/>
    <x v="0"/>
  </r>
  <r>
    <s v="ORD-1552"/>
    <d v="2025-12-18T00:00:00"/>
    <x v="4"/>
    <s v="CUST-099"/>
    <s v="PROD-126"/>
    <n v="7"/>
    <n v="18692.7"/>
    <n v="15888.795"/>
    <n v="130848.90000000001"/>
    <n v="111221.565"/>
    <n v="19627.335000000006"/>
    <s v="Tara"/>
    <x v="1"/>
    <x v="5"/>
    <x v="0"/>
    <n v="52"/>
    <x v="0"/>
    <x v="9"/>
    <x v="5"/>
  </r>
  <r>
    <s v="ORD-1553"/>
    <d v="2025-12-12T00:00:00"/>
    <x v="7"/>
    <s v="CUST-047"/>
    <s v="PROD-131"/>
    <n v="8"/>
    <n v="4412.3"/>
    <n v="3750.4549999999999"/>
    <n v="35298.400000000001"/>
    <n v="30003.64"/>
    <n v="5294.760000000002"/>
    <s v="Jonathan"/>
    <x v="1"/>
    <x v="29"/>
    <x v="0"/>
    <n v="55"/>
    <x v="0"/>
    <x v="2"/>
    <x v="2"/>
  </r>
  <r>
    <s v="ORD-1554"/>
    <d v="2025-10-24T00:00:00"/>
    <x v="9"/>
    <s v="CUST-133"/>
    <s v="PROD-105"/>
    <n v="4"/>
    <n v="7292.1"/>
    <n v="6198.2849999999999"/>
    <n v="29168.400000000001"/>
    <n v="24793.14"/>
    <n v="4375.260000000002"/>
    <s v="Tracey"/>
    <x v="4"/>
    <x v="94"/>
    <x v="1"/>
    <n v="21"/>
    <x v="1"/>
    <x v="3"/>
    <x v="3"/>
  </r>
  <r>
    <s v="ORD-1555"/>
    <d v="2025-11-06T00:00:00"/>
    <x v="5"/>
    <s v="CUST-034"/>
    <s v="PROD-129"/>
    <n v="9"/>
    <n v="9786.6999999999989"/>
    <n v="8318.6949999999997"/>
    <n v="88080.299999999988"/>
    <n v="74868.255000000005"/>
    <n v="13212.044999999984"/>
    <s v="Lisa"/>
    <x v="0"/>
    <x v="53"/>
    <x v="0"/>
    <n v="32"/>
    <x v="1"/>
    <x v="21"/>
    <x v="5"/>
  </r>
  <r>
    <s v="ORD-1556"/>
    <d v="2025-12-19T00:00:00"/>
    <x v="4"/>
    <s v="CUST-142"/>
    <s v="PROD-107"/>
    <n v="5"/>
    <n v="6753.5"/>
    <n v="5740.4750000000004"/>
    <n v="33767.5"/>
    <n v="28702.375"/>
    <n v="5065.125"/>
    <s v="Jennifer"/>
    <x v="0"/>
    <x v="0"/>
    <x v="0"/>
    <n v="38"/>
    <x v="0"/>
    <x v="12"/>
    <x v="4"/>
  </r>
  <r>
    <s v="ORD-1557"/>
    <d v="2025-10-14T00:00:00"/>
    <x v="13"/>
    <s v="CUST-038"/>
    <s v="PROD-126"/>
    <n v="4"/>
    <n v="14178.5"/>
    <n v="12051.725"/>
    <n v="56714"/>
    <n v="48206.9"/>
    <n v="8507.0999999999985"/>
    <s v="Joshua"/>
    <x v="1"/>
    <x v="59"/>
    <x v="0"/>
    <n v="32"/>
    <x v="1"/>
    <x v="9"/>
    <x v="5"/>
  </r>
  <r>
    <s v="ORD-1558"/>
    <d v="2025-11-03T00:00:00"/>
    <x v="5"/>
    <s v="CUST-022"/>
    <s v="PROD-131"/>
    <n v="9"/>
    <n v="9200.8000000000011"/>
    <n v="7820.6800000000012"/>
    <n v="82807.200000000012"/>
    <n v="70386.12000000001"/>
    <n v="12421.080000000002"/>
    <s v="Andrea"/>
    <x v="5"/>
    <x v="46"/>
    <x v="1"/>
    <n v="31"/>
    <x v="1"/>
    <x v="2"/>
    <x v="2"/>
  </r>
  <r>
    <s v="ORD-1559"/>
    <d v="2025-11-17T00:00:00"/>
    <x v="6"/>
    <s v="CUST-126"/>
    <s v="PROD-124"/>
    <n v="6"/>
    <n v="3321.9"/>
    <n v="2823.6150000000002"/>
    <n v="19931.400000000001"/>
    <n v="16941.690000000002"/>
    <n v="2989.7099999999991"/>
    <s v="Timothy"/>
    <x v="0"/>
    <x v="89"/>
    <x v="1"/>
    <n v="40"/>
    <x v="0"/>
    <x v="5"/>
    <x v="0"/>
  </r>
  <r>
    <s v="ORD-1560"/>
    <d v="2025-12-19T00:00:00"/>
    <x v="4"/>
    <s v="CUST-066"/>
    <s v="PROD-106"/>
    <n v="8"/>
    <n v="2147.6"/>
    <n v="1825.46"/>
    <n v="17180.8"/>
    <n v="14603.68"/>
    <n v="2577.119999999999"/>
    <s v="Anna"/>
    <x v="0"/>
    <x v="55"/>
    <x v="0"/>
    <n v="20"/>
    <x v="1"/>
    <x v="6"/>
    <x v="4"/>
  </r>
  <r>
    <s v="ORD-1561"/>
    <d v="2025-12-05T00:00:00"/>
    <x v="10"/>
    <s v="CUST-054"/>
    <s v="PROD-105"/>
    <n v="8"/>
    <n v="9266.6999999999989"/>
    <n v="7876.6949999999988"/>
    <n v="74133.599999999991"/>
    <n v="63013.55999999999"/>
    <n v="11120.04"/>
    <s v="Cheyenne"/>
    <x v="5"/>
    <x v="52"/>
    <x v="1"/>
    <n v="39"/>
    <x v="0"/>
    <x v="3"/>
    <x v="3"/>
  </r>
  <r>
    <s v="ORD-1562"/>
    <d v="2025-10-31T00:00:00"/>
    <x v="3"/>
    <s v="CUST-041"/>
    <s v="PROD-116"/>
    <n v="1"/>
    <n v="9993"/>
    <n v="8494.0499999999993"/>
    <n v="9993"/>
    <n v="8494.0499999999993"/>
    <n v="1498.9500000000007"/>
    <s v="Aaron"/>
    <x v="3"/>
    <x v="19"/>
    <x v="0"/>
    <n v="20"/>
    <x v="1"/>
    <x v="24"/>
    <x v="1"/>
  </r>
  <r>
    <s v="ORD-1563"/>
    <d v="2025-11-21T00:00:00"/>
    <x v="6"/>
    <s v="CUST-003"/>
    <s v="PROD-112"/>
    <n v="6"/>
    <n v="7331"/>
    <n v="6231.35"/>
    <n v="43986"/>
    <n v="37388.100000000006"/>
    <n v="6597.8999999999942"/>
    <s v="Joshua"/>
    <x v="4"/>
    <x v="10"/>
    <x v="0"/>
    <n v="25"/>
    <x v="1"/>
    <x v="1"/>
    <x v="1"/>
  </r>
  <r>
    <s v="ORD-1564"/>
    <d v="2025-10-09T00:00:00"/>
    <x v="1"/>
    <s v="CUST-101"/>
    <s v="PROD-108"/>
    <n v="3"/>
    <n v="18032.8"/>
    <n v="15327.88"/>
    <n v="54098.399999999994"/>
    <n v="45983.64"/>
    <n v="8114.7599999999948"/>
    <s v="David"/>
    <x v="1"/>
    <x v="85"/>
    <x v="1"/>
    <n v="25"/>
    <x v="1"/>
    <x v="27"/>
    <x v="4"/>
  </r>
  <r>
    <s v="ORD-1565"/>
    <d v="2025-11-12T00:00:00"/>
    <x v="12"/>
    <s v="CUST-005"/>
    <s v="PROD-131"/>
    <n v="6"/>
    <n v="11642.4"/>
    <n v="9896.0399999999991"/>
    <n v="69854.399999999994"/>
    <n v="59376.239999999991"/>
    <n v="10478.160000000003"/>
    <s v="Jennifer"/>
    <x v="0"/>
    <x v="39"/>
    <x v="1"/>
    <n v="20"/>
    <x v="1"/>
    <x v="2"/>
    <x v="2"/>
  </r>
  <r>
    <s v="ORD-1566"/>
    <d v="2025-11-18T00:00:00"/>
    <x v="6"/>
    <s v="CUST-051"/>
    <s v="PROD-109"/>
    <n v="8"/>
    <n v="14781.900000000001"/>
    <n v="12564.615000000002"/>
    <n v="118255.20000000001"/>
    <n v="100516.92000000001"/>
    <n v="17738.28"/>
    <s v="Ethan"/>
    <x v="3"/>
    <x v="15"/>
    <x v="0"/>
    <n v="31"/>
    <x v="1"/>
    <x v="30"/>
    <x v="4"/>
  </r>
  <r>
    <s v="ORD-1567"/>
    <d v="2025-11-07T00:00:00"/>
    <x v="5"/>
    <s v="CUST-016"/>
    <s v="PROD-132"/>
    <n v="6"/>
    <n v="9316.5"/>
    <n v="7919.0249999999996"/>
    <n v="55899"/>
    <n v="47514.149999999994"/>
    <n v="8384.8500000000058"/>
    <s v="Jonathan"/>
    <x v="1"/>
    <x v="26"/>
    <x v="1"/>
    <n v="26"/>
    <x v="1"/>
    <x v="26"/>
    <x v="2"/>
  </r>
  <r>
    <s v="ORD-1568"/>
    <d v="2025-10-16T00:00:00"/>
    <x v="13"/>
    <s v="CUST-003"/>
    <s v="PROD-128"/>
    <n v="5"/>
    <n v="15792.2"/>
    <n v="13423.37"/>
    <n v="78961"/>
    <n v="67116.850000000006"/>
    <n v="11844.149999999994"/>
    <s v="Caroline"/>
    <x v="4"/>
    <x v="10"/>
    <x v="0"/>
    <n v="25"/>
    <x v="1"/>
    <x v="15"/>
    <x v="5"/>
  </r>
  <r>
    <s v="ORD-1569"/>
    <d v="2025-10-09T00:00:00"/>
    <x v="1"/>
    <s v="CUST-035"/>
    <s v="PROD-124"/>
    <n v="2"/>
    <n v="12018"/>
    <n v="10215.299999999999"/>
    <n v="24036"/>
    <n v="20430.599999999999"/>
    <n v="3605.4000000000015"/>
    <s v="Cheyenne"/>
    <x v="1"/>
    <x v="72"/>
    <x v="0"/>
    <n v="21"/>
    <x v="1"/>
    <x v="5"/>
    <x v="0"/>
  </r>
  <r>
    <s v="ORD-1570"/>
    <d v="2025-10-21T00:00:00"/>
    <x v="9"/>
    <s v="CUST-081"/>
    <s v="PROD-107"/>
    <n v="6"/>
    <n v="4762.7999999999993"/>
    <n v="4048.3799999999992"/>
    <n v="28576.799999999996"/>
    <n v="24290.279999999995"/>
    <n v="4286.5200000000004"/>
    <s v="Brenda"/>
    <x v="2"/>
    <x v="43"/>
    <x v="0"/>
    <n v="46"/>
    <x v="0"/>
    <x v="12"/>
    <x v="4"/>
  </r>
  <r>
    <s v="ORD-1571"/>
    <d v="2025-11-17T00:00:00"/>
    <x v="6"/>
    <s v="CUST-007"/>
    <s v="PROD-122"/>
    <n v="9"/>
    <n v="5066.5"/>
    <n v="4306.5249999999996"/>
    <n v="45598.5"/>
    <n v="38758.724999999999"/>
    <n v="6839.7750000000015"/>
    <s v="Lori"/>
    <x v="1"/>
    <x v="29"/>
    <x v="0"/>
    <n v="44"/>
    <x v="0"/>
    <x v="11"/>
    <x v="0"/>
  </r>
  <r>
    <s v="ORD-1572"/>
    <d v="2025-12-27T00:00:00"/>
    <x v="8"/>
    <s v="CUST-018"/>
    <s v="PROD-122"/>
    <n v="10"/>
    <n v="14947.5"/>
    <n v="12705.375"/>
    <n v="149475"/>
    <n v="127053.75"/>
    <n v="22421.25"/>
    <s v="Lisa"/>
    <x v="0"/>
    <x v="103"/>
    <x v="0"/>
    <n v="35"/>
    <x v="0"/>
    <x v="11"/>
    <x v="0"/>
  </r>
  <r>
    <s v="ORD-1573"/>
    <d v="2025-10-28T00:00:00"/>
    <x v="3"/>
    <s v="CUST-126"/>
    <s v="PROD-103"/>
    <n v="8"/>
    <n v="1352.2"/>
    <n v="1149.3700000000001"/>
    <n v="10817.6"/>
    <n v="9194.9600000000009"/>
    <n v="1622.6399999999994"/>
    <s v="Kayla"/>
    <x v="0"/>
    <x v="89"/>
    <x v="1"/>
    <n v="40"/>
    <x v="0"/>
    <x v="28"/>
    <x v="3"/>
  </r>
  <r>
    <s v="ORD-1574"/>
    <d v="2025-12-25T00:00:00"/>
    <x v="8"/>
    <s v="CUST-133"/>
    <s v="PROD-115"/>
    <n v="3"/>
    <n v="5808.8"/>
    <n v="4937.4800000000005"/>
    <n v="17426.400000000001"/>
    <n v="14812.440000000002"/>
    <n v="2613.9599999999991"/>
    <s v="Jonathan"/>
    <x v="4"/>
    <x v="94"/>
    <x v="1"/>
    <n v="21"/>
    <x v="1"/>
    <x v="10"/>
    <x v="1"/>
  </r>
  <r>
    <s v="ORD-1575"/>
    <d v="2025-12-02T00:00:00"/>
    <x v="10"/>
    <s v="CUST-061"/>
    <s v="PROD-115"/>
    <n v="10"/>
    <n v="16440.3"/>
    <n v="13974.254999999999"/>
    <n v="164403"/>
    <n v="139742.54999999999"/>
    <n v="24660.450000000012"/>
    <s v="Tara"/>
    <x v="0"/>
    <x v="31"/>
    <x v="0"/>
    <n v="28"/>
    <x v="1"/>
    <x v="10"/>
    <x v="1"/>
  </r>
  <r>
    <s v="ORD-1576"/>
    <d v="2025-10-18T00:00:00"/>
    <x v="13"/>
    <s v="CUST-095"/>
    <s v="PROD-110"/>
    <n v="1"/>
    <n v="10036.799999999999"/>
    <n v="8531.2799999999988"/>
    <n v="10036.799999999999"/>
    <n v="8531.2799999999988"/>
    <n v="1505.5200000000004"/>
    <s v="Cheyenne"/>
    <x v="1"/>
    <x v="2"/>
    <x v="1"/>
    <n v="39"/>
    <x v="0"/>
    <x v="14"/>
    <x v="4"/>
  </r>
  <r>
    <s v="ORD-1577"/>
    <d v="2025-10-25T00:00:00"/>
    <x v="9"/>
    <s v="CUST-148"/>
    <s v="PROD-131"/>
    <n v="3"/>
    <n v="12742.9"/>
    <n v="10831.465"/>
    <n v="38228.699999999997"/>
    <n v="32494.395"/>
    <n v="5734.3049999999967"/>
    <s v="Joshua"/>
    <x v="0"/>
    <x v="68"/>
    <x v="1"/>
    <n v="37"/>
    <x v="0"/>
    <x v="2"/>
    <x v="2"/>
  </r>
  <r>
    <s v="ORD-1578"/>
    <d v="2025-11-06T00:00:00"/>
    <x v="5"/>
    <s v="CUST-071"/>
    <s v="PROD-127"/>
    <n v="6"/>
    <n v="5172.2000000000007"/>
    <n v="4396.3700000000008"/>
    <n v="31033.200000000004"/>
    <n v="26378.220000000005"/>
    <n v="4654.9799999999996"/>
    <s v="Aaron"/>
    <x v="2"/>
    <x v="6"/>
    <x v="1"/>
    <n v="32"/>
    <x v="1"/>
    <x v="17"/>
    <x v="5"/>
  </r>
  <r>
    <s v="ORD-1579"/>
    <d v="2025-10-23T00:00:00"/>
    <x v="9"/>
    <s v="CUST-130"/>
    <s v="PROD-103"/>
    <n v="2"/>
    <n v="6154.7000000000007"/>
    <n v="5231.4950000000008"/>
    <n v="12309.400000000001"/>
    <n v="10462.990000000002"/>
    <n v="1846.4099999999999"/>
    <s v="Ralph"/>
    <x v="5"/>
    <x v="34"/>
    <x v="1"/>
    <n v="55"/>
    <x v="0"/>
    <x v="28"/>
    <x v="3"/>
  </r>
  <r>
    <s v="ORD-1580"/>
    <d v="2025-12-01T00:00:00"/>
    <x v="10"/>
    <s v="CUST-039"/>
    <s v="PROD-126"/>
    <n v="9"/>
    <n v="8995.9"/>
    <n v="7646.5149999999994"/>
    <n v="80963.099999999991"/>
    <n v="68818.634999999995"/>
    <n v="12144.464999999997"/>
    <s v="Cheyenne"/>
    <x v="2"/>
    <x v="80"/>
    <x v="0"/>
    <n v="51"/>
    <x v="0"/>
    <x v="9"/>
    <x v="5"/>
  </r>
  <r>
    <s v="ORD-1581"/>
    <d v="2025-12-19T00:00:00"/>
    <x v="4"/>
    <s v="CUST-045"/>
    <s v="PROD-119"/>
    <n v="7"/>
    <n v="17205.5"/>
    <n v="14624.674999999999"/>
    <n v="120438.5"/>
    <n v="102372.72499999999"/>
    <n v="18065.775000000009"/>
    <s v="Lisa"/>
    <x v="1"/>
    <x v="36"/>
    <x v="0"/>
    <n v="22"/>
    <x v="1"/>
    <x v="33"/>
    <x v="0"/>
  </r>
  <r>
    <s v="ORD-1582"/>
    <d v="2025-11-15T00:00:00"/>
    <x v="12"/>
    <s v="CUST-132"/>
    <s v="PROD-110"/>
    <n v="6"/>
    <n v="13966.199999999999"/>
    <n v="11871.269999999999"/>
    <n v="83797.2"/>
    <n v="71227.62"/>
    <n v="12569.580000000002"/>
    <s v="Kayla"/>
    <x v="1"/>
    <x v="90"/>
    <x v="1"/>
    <n v="27"/>
    <x v="1"/>
    <x v="14"/>
    <x v="4"/>
  </r>
  <r>
    <s v="ORD-1583"/>
    <d v="2025-11-20T00:00:00"/>
    <x v="6"/>
    <s v="CUST-049"/>
    <s v="PROD-105"/>
    <n v="8"/>
    <n v="4897.7999999999993"/>
    <n v="4163.1299999999992"/>
    <n v="39182.399999999994"/>
    <n v="33305.039999999994"/>
    <n v="5877.3600000000006"/>
    <s v="Jennifer"/>
    <x v="2"/>
    <x v="38"/>
    <x v="1"/>
    <n v="36"/>
    <x v="0"/>
    <x v="3"/>
    <x v="3"/>
  </r>
  <r>
    <s v="ORD-1584"/>
    <d v="2025-11-05T00:00:00"/>
    <x v="5"/>
    <s v="CUST-150"/>
    <s v="PROD-128"/>
    <n v="7"/>
    <n v="16316.400000000001"/>
    <n v="13868.940000000002"/>
    <n v="114214.80000000002"/>
    <n v="97082.580000000016"/>
    <n v="17132.22"/>
    <s v="Brenda"/>
    <x v="1"/>
    <x v="31"/>
    <x v="0"/>
    <n v="25"/>
    <x v="1"/>
    <x v="15"/>
    <x v="5"/>
  </r>
  <r>
    <s v="ORD-1585"/>
    <d v="2025-12-23T00:00:00"/>
    <x v="8"/>
    <s v="CUST-001"/>
    <s v="PROD-132"/>
    <n v="3"/>
    <n v="10472.1"/>
    <n v="8901.2849999999999"/>
    <n v="31416.300000000003"/>
    <n v="26703.855"/>
    <n v="4712.4450000000033"/>
    <s v="Keith"/>
    <x v="3"/>
    <x v="74"/>
    <x v="1"/>
    <n v="27"/>
    <x v="1"/>
    <x v="26"/>
    <x v="2"/>
  </r>
  <r>
    <s v="ORD-1586"/>
    <d v="2025-12-08T00:00:00"/>
    <x v="7"/>
    <s v="CUST-059"/>
    <s v="PROD-101"/>
    <n v="10"/>
    <n v="13563.699999999999"/>
    <n v="11529.144999999999"/>
    <n v="135637"/>
    <n v="115291.44999999998"/>
    <n v="20345.550000000017"/>
    <s v="Tracey"/>
    <x v="1"/>
    <x v="6"/>
    <x v="1"/>
    <n v="25"/>
    <x v="1"/>
    <x v="16"/>
    <x v="3"/>
  </r>
  <r>
    <s v="ORD-1587"/>
    <d v="2025-11-19T00:00:00"/>
    <x v="6"/>
    <s v="CUST-053"/>
    <s v="PROD-116"/>
    <n v="9"/>
    <n v="7705.2999999999993"/>
    <n v="6549.5049999999992"/>
    <n v="69347.7"/>
    <n v="58945.544999999991"/>
    <n v="10402.155000000006"/>
    <s v="Caroline"/>
    <x v="4"/>
    <x v="69"/>
    <x v="0"/>
    <n v="19"/>
    <x v="1"/>
    <x v="24"/>
    <x v="1"/>
  </r>
  <r>
    <s v="ORD-1588"/>
    <d v="2025-10-09T00:00:00"/>
    <x v="1"/>
    <s v="CUST-076"/>
    <s v="PROD-105"/>
    <n v="2"/>
    <n v="6483.0999999999995"/>
    <n v="5510.6349999999993"/>
    <n v="12966.199999999999"/>
    <n v="11021.269999999999"/>
    <n v="1944.9300000000003"/>
    <s v="Joshua"/>
    <x v="0"/>
    <x v="84"/>
    <x v="0"/>
    <n v="32"/>
    <x v="1"/>
    <x v="3"/>
    <x v="3"/>
  </r>
  <r>
    <s v="ORD-1589"/>
    <d v="2025-10-02T00:00:00"/>
    <x v="11"/>
    <s v="CUST-045"/>
    <s v="PROD-132"/>
    <n v="10"/>
    <n v="3540.2"/>
    <n v="3009.17"/>
    <n v="35402"/>
    <n v="30091.7"/>
    <n v="5310.2999999999993"/>
    <s v="Caroline"/>
    <x v="1"/>
    <x v="36"/>
    <x v="0"/>
    <n v="22"/>
    <x v="1"/>
    <x v="26"/>
    <x v="2"/>
  </r>
  <r>
    <s v="ORD-1590"/>
    <d v="2025-10-24T00:00:00"/>
    <x v="9"/>
    <s v="CUST-075"/>
    <s v="PROD-105"/>
    <n v="6"/>
    <n v="4954.3"/>
    <n v="4211.1550000000007"/>
    <n v="29725.800000000003"/>
    <n v="25266.930000000004"/>
    <n v="4458.869999999999"/>
    <s v="Joshua"/>
    <x v="5"/>
    <x v="82"/>
    <x v="0"/>
    <n v="31"/>
    <x v="1"/>
    <x v="3"/>
    <x v="3"/>
  </r>
  <r>
    <s v="ORD-1591"/>
    <d v="2025-12-26T00:00:00"/>
    <x v="8"/>
    <s v="CUST-072"/>
    <s v="PROD-124"/>
    <n v="6"/>
    <n v="8515.2000000000007"/>
    <n v="7237.920000000001"/>
    <n v="51091.200000000004"/>
    <n v="43427.520000000004"/>
    <n v="7663.68"/>
    <s v="Tara"/>
    <x v="0"/>
    <x v="54"/>
    <x v="0"/>
    <n v="45"/>
    <x v="0"/>
    <x v="5"/>
    <x v="0"/>
  </r>
  <r>
    <s v="ORD-1592"/>
    <d v="2025-11-17T00:00:00"/>
    <x v="6"/>
    <s v="CUST-011"/>
    <s v="PROD-132"/>
    <n v="10"/>
    <n v="14967.2"/>
    <n v="12722.12"/>
    <n v="149672"/>
    <n v="127221.20000000001"/>
    <n v="22450.799999999988"/>
    <s v="Victoria"/>
    <x v="2"/>
    <x v="26"/>
    <x v="1"/>
    <n v="18"/>
    <x v="1"/>
    <x v="26"/>
    <x v="2"/>
  </r>
  <r>
    <s v="ORD-1593"/>
    <d v="2025-11-10T00:00:00"/>
    <x v="12"/>
    <s v="CUST-071"/>
    <s v="PROD-105"/>
    <n v="9"/>
    <n v="11160.4"/>
    <n v="9486.34"/>
    <n v="100443.59999999999"/>
    <n v="85377.06"/>
    <n v="15066.539999999994"/>
    <s v="Jonathan"/>
    <x v="2"/>
    <x v="6"/>
    <x v="1"/>
    <n v="32"/>
    <x v="1"/>
    <x v="3"/>
    <x v="3"/>
  </r>
  <r>
    <s v="ORD-1594"/>
    <d v="2025-10-29T00:00:00"/>
    <x v="3"/>
    <s v="CUST-140"/>
    <s v="PROD-128"/>
    <n v="6"/>
    <n v="12113.599999999999"/>
    <n v="10296.56"/>
    <n v="72681.599999999991"/>
    <n v="61779.360000000001"/>
    <n v="10902.239999999991"/>
    <s v="Laura"/>
    <x v="4"/>
    <x v="77"/>
    <x v="1"/>
    <n v="46"/>
    <x v="0"/>
    <x v="15"/>
    <x v="5"/>
  </r>
  <r>
    <s v="ORD-1595"/>
    <d v="2025-10-15T00:00:00"/>
    <x v="13"/>
    <s v="CUST-011"/>
    <s v="PROD-101"/>
    <n v="1"/>
    <n v="13545.599999999999"/>
    <n v="11513.759999999998"/>
    <n v="13545.599999999999"/>
    <n v="11513.759999999998"/>
    <n v="2031.8400000000001"/>
    <s v="Lori"/>
    <x v="2"/>
    <x v="26"/>
    <x v="1"/>
    <n v="18"/>
    <x v="1"/>
    <x v="16"/>
    <x v="3"/>
  </r>
  <r>
    <s v="ORD-1596"/>
    <d v="2025-12-17T00:00:00"/>
    <x v="4"/>
    <s v="CUST-131"/>
    <s v="PROD-130"/>
    <n v="6"/>
    <n v="4986.6000000000004"/>
    <n v="4238.6100000000006"/>
    <n v="29919.600000000002"/>
    <n v="25431.660000000003"/>
    <n v="4487.9399999999987"/>
    <s v="David"/>
    <x v="0"/>
    <x v="37"/>
    <x v="0"/>
    <n v="46"/>
    <x v="0"/>
    <x v="29"/>
    <x v="2"/>
  </r>
  <r>
    <s v="ORD-1597"/>
    <d v="2025-12-02T00:00:00"/>
    <x v="10"/>
    <s v="CUST-038"/>
    <s v="PROD-107"/>
    <n v="2"/>
    <n v="9149.6"/>
    <n v="7777.16"/>
    <n v="18299.2"/>
    <n v="15554.32"/>
    <n v="2744.880000000001"/>
    <s v="Kayla"/>
    <x v="1"/>
    <x v="59"/>
    <x v="0"/>
    <n v="32"/>
    <x v="1"/>
    <x v="12"/>
    <x v="4"/>
  </r>
  <r>
    <s v="ORD-1598"/>
    <d v="2025-11-04T00:00:00"/>
    <x v="5"/>
    <s v="CUST-047"/>
    <s v="PROD-113"/>
    <n v="8"/>
    <n v="1795.2"/>
    <n v="1525.92"/>
    <n v="14361.6"/>
    <n v="12207.36"/>
    <n v="2154.2399999999998"/>
    <s v="Andrea"/>
    <x v="1"/>
    <x v="29"/>
    <x v="0"/>
    <n v="55"/>
    <x v="0"/>
    <x v="19"/>
    <x v="1"/>
  </r>
  <r>
    <s v="ORD-1599"/>
    <d v="2025-10-07T00:00:00"/>
    <x v="1"/>
    <s v="CUST-087"/>
    <s v="PROD-106"/>
    <n v="3"/>
    <n v="16096.300000000001"/>
    <n v="13681.855000000001"/>
    <n v="48288.9"/>
    <n v="41045.565000000002"/>
    <n v="7243.3349999999991"/>
    <s v="Ethan"/>
    <x v="0"/>
    <x v="105"/>
    <x v="1"/>
    <n v="53"/>
    <x v="0"/>
    <x v="6"/>
    <x v="4"/>
  </r>
  <r>
    <s v="ORD-1600"/>
    <d v="2025-10-23T00:00:00"/>
    <x v="9"/>
    <s v="CUST-081"/>
    <s v="PROD-129"/>
    <n v="6"/>
    <n v="5024.3"/>
    <n v="4270.6550000000007"/>
    <n v="30145.800000000003"/>
    <n v="25623.930000000004"/>
    <n v="4521.869999999999"/>
    <s v="Joshua"/>
    <x v="2"/>
    <x v="43"/>
    <x v="0"/>
    <n v="46"/>
    <x v="0"/>
    <x v="21"/>
    <x v="5"/>
  </r>
  <r>
    <s v="ORD-1601"/>
    <d v="2025-11-25T00:00:00"/>
    <x v="0"/>
    <s v="CUST-069"/>
    <s v="PROD-109"/>
    <n v="1"/>
    <n v="18589.5"/>
    <n v="15801.075000000001"/>
    <n v="18589.5"/>
    <n v="15801.075000000001"/>
    <n v="2788.4249999999993"/>
    <s v="Lisa"/>
    <x v="1"/>
    <x v="42"/>
    <x v="0"/>
    <n v="37"/>
    <x v="0"/>
    <x v="30"/>
    <x v="4"/>
  </r>
  <r>
    <s v="ORD-1602"/>
    <d v="2025-12-03T00:00:00"/>
    <x v="10"/>
    <s v="CUST-075"/>
    <s v="PROD-117"/>
    <n v="8"/>
    <n v="4104.3"/>
    <n v="3488.6550000000002"/>
    <n v="32834.400000000001"/>
    <n v="27909.24"/>
    <n v="4925.16"/>
    <s v="Jonathan"/>
    <x v="5"/>
    <x v="82"/>
    <x v="0"/>
    <n v="31"/>
    <x v="1"/>
    <x v="23"/>
    <x v="0"/>
  </r>
  <r>
    <s v="ORD-1603"/>
    <d v="2025-12-16T00:00:00"/>
    <x v="4"/>
    <s v="CUST-016"/>
    <s v="PROD-113"/>
    <n v="2"/>
    <n v="5003.3999999999996"/>
    <n v="4252.8899999999994"/>
    <n v="10006.799999999999"/>
    <n v="8505.7799999999988"/>
    <n v="1501.0200000000004"/>
    <s v="Brenda"/>
    <x v="1"/>
    <x v="26"/>
    <x v="1"/>
    <n v="26"/>
    <x v="1"/>
    <x v="19"/>
    <x v="1"/>
  </r>
  <r>
    <s v="ORD-1604"/>
    <d v="2025-12-19T00:00:00"/>
    <x v="4"/>
    <s v="CUST-063"/>
    <s v="PROD-116"/>
    <n v="8"/>
    <n v="18249"/>
    <n v="15511.65"/>
    <n v="145992"/>
    <n v="124093.2"/>
    <n v="21898.800000000003"/>
    <s v="Linda"/>
    <x v="1"/>
    <x v="18"/>
    <x v="0"/>
    <n v="24"/>
    <x v="1"/>
    <x v="24"/>
    <x v="1"/>
  </r>
  <r>
    <s v="ORD-1605"/>
    <d v="2025-12-11T00:00:00"/>
    <x v="7"/>
    <s v="CUST-117"/>
    <s v="PROD-128"/>
    <n v="9"/>
    <n v="7236.9000000000005"/>
    <n v="6151.3650000000007"/>
    <n v="65132.100000000006"/>
    <n v="55362.285000000003"/>
    <n v="9769.8150000000023"/>
    <s v="Jonathan"/>
    <x v="1"/>
    <x v="20"/>
    <x v="1"/>
    <n v="29"/>
    <x v="1"/>
    <x v="15"/>
    <x v="5"/>
  </r>
  <r>
    <s v="ORD-1606"/>
    <d v="2025-10-13T00:00:00"/>
    <x v="13"/>
    <s v="CUST-059"/>
    <s v="PROD-130"/>
    <n v="6"/>
    <n v="11455.599999999999"/>
    <n v="9737.2599999999984"/>
    <n v="68733.599999999991"/>
    <n v="58423.55999999999"/>
    <n v="10310.040000000001"/>
    <s v="Andrea"/>
    <x v="1"/>
    <x v="6"/>
    <x v="1"/>
    <n v="25"/>
    <x v="1"/>
    <x v="29"/>
    <x v="2"/>
  </r>
  <r>
    <s v="ORD-1607"/>
    <d v="2025-12-11T00:00:00"/>
    <x v="7"/>
    <s v="CUST-068"/>
    <s v="PROD-121"/>
    <n v="10"/>
    <n v="16297"/>
    <n v="13852.45"/>
    <n v="162970"/>
    <n v="138524.5"/>
    <n v="24445.5"/>
    <s v="Joshua"/>
    <x v="4"/>
    <x v="45"/>
    <x v="1"/>
    <n v="28"/>
    <x v="1"/>
    <x v="8"/>
    <x v="0"/>
  </r>
  <r>
    <s v="ORD-1608"/>
    <d v="2025-10-03T00:00:00"/>
    <x v="11"/>
    <s v="CUST-074"/>
    <s v="PROD-130"/>
    <n v="4"/>
    <n v="6366.7999999999993"/>
    <n v="5411.78"/>
    <n v="25467.199999999997"/>
    <n v="21647.119999999999"/>
    <n v="3820.0799999999981"/>
    <s v="Patrick"/>
    <x v="1"/>
    <x v="47"/>
    <x v="0"/>
    <n v="32"/>
    <x v="1"/>
    <x v="29"/>
    <x v="2"/>
  </r>
  <r>
    <s v="ORD-1609"/>
    <d v="2025-12-10T00:00:00"/>
    <x v="7"/>
    <s v="CUST-034"/>
    <s v="PROD-119"/>
    <n v="1"/>
    <n v="10508.199999999999"/>
    <n v="8931.9699999999993"/>
    <n v="10508.199999999999"/>
    <n v="8931.9699999999993"/>
    <n v="1576.2299999999996"/>
    <s v="Anna"/>
    <x v="0"/>
    <x v="53"/>
    <x v="0"/>
    <n v="32"/>
    <x v="1"/>
    <x v="33"/>
    <x v="0"/>
  </r>
  <r>
    <s v="ORD-1610"/>
    <d v="2025-10-23T00:00:00"/>
    <x v="9"/>
    <s v="CUST-066"/>
    <s v="PROD-106"/>
    <n v="4"/>
    <n v="2102.1"/>
    <n v="1786.7849999999999"/>
    <n v="8408.4"/>
    <n v="7147.1399999999994"/>
    <n v="1261.2600000000002"/>
    <s v="Katie"/>
    <x v="0"/>
    <x v="55"/>
    <x v="0"/>
    <n v="20"/>
    <x v="1"/>
    <x v="6"/>
    <x v="4"/>
  </r>
  <r>
    <s v="ORD-1611"/>
    <d v="2025-11-01T00:00:00"/>
    <x v="3"/>
    <s v="CUST-030"/>
    <s v="PROD-103"/>
    <n v="7"/>
    <n v="9157.4"/>
    <n v="7783.79"/>
    <n v="64101.799999999996"/>
    <n v="54486.53"/>
    <n v="9615.2699999999968"/>
    <s v="Tara"/>
    <x v="3"/>
    <x v="4"/>
    <x v="1"/>
    <n v="24"/>
    <x v="1"/>
    <x v="28"/>
    <x v="3"/>
  </r>
  <r>
    <s v="ORD-1612"/>
    <d v="2025-11-26T00:00:00"/>
    <x v="0"/>
    <s v="CUST-019"/>
    <s v="PROD-134"/>
    <n v="7"/>
    <n v="14922.4"/>
    <n v="12684.04"/>
    <n v="104456.8"/>
    <n v="88788.28"/>
    <n v="15668.520000000004"/>
    <s v="Caroline"/>
    <x v="3"/>
    <x v="9"/>
    <x v="1"/>
    <n v="21"/>
    <x v="1"/>
    <x v="7"/>
    <x v="2"/>
  </r>
  <r>
    <s v="ORD-1613"/>
    <d v="2025-10-22T00:00:00"/>
    <x v="9"/>
    <s v="CUST-075"/>
    <s v="PROD-134"/>
    <n v="4"/>
    <n v="4492.6000000000004"/>
    <n v="3818.7100000000005"/>
    <n v="17970.400000000001"/>
    <n v="15274.840000000002"/>
    <n v="2695.5599999999995"/>
    <s v="Ralph"/>
    <x v="5"/>
    <x v="82"/>
    <x v="0"/>
    <n v="31"/>
    <x v="1"/>
    <x v="7"/>
    <x v="2"/>
  </r>
  <r>
    <s v="ORD-1614"/>
    <d v="2025-10-10T00:00:00"/>
    <x v="1"/>
    <s v="CUST-027"/>
    <s v="PROD-115"/>
    <n v="7"/>
    <n v="16557.599999999999"/>
    <n v="14073.96"/>
    <n v="115903.19999999998"/>
    <n v="98517.72"/>
    <n v="17385.479999999981"/>
    <s v="Kayla"/>
    <x v="1"/>
    <x v="55"/>
    <x v="0"/>
    <n v="19"/>
    <x v="1"/>
    <x v="10"/>
    <x v="1"/>
  </r>
  <r>
    <s v="ORD-1615"/>
    <d v="2025-12-31T00:00:00"/>
    <x v="2"/>
    <s v="CUST-068"/>
    <s v="PROD-126"/>
    <n v="4"/>
    <n v="12520.4"/>
    <n v="10642.34"/>
    <n v="50081.599999999999"/>
    <n v="42569.36"/>
    <n v="7512.239999999998"/>
    <s v="Cheyenne"/>
    <x v="4"/>
    <x v="45"/>
    <x v="1"/>
    <n v="28"/>
    <x v="1"/>
    <x v="9"/>
    <x v="5"/>
  </r>
  <r>
    <s v="ORD-1616"/>
    <d v="2025-11-07T00:00:00"/>
    <x v="5"/>
    <s v="CUST-077"/>
    <s v="PROD-131"/>
    <n v="10"/>
    <n v="13887.5"/>
    <n v="11804.375"/>
    <n v="138875"/>
    <n v="118043.75"/>
    <n v="20831.25"/>
    <s v="Daniel"/>
    <x v="1"/>
    <x v="27"/>
    <x v="0"/>
    <n v="35"/>
    <x v="0"/>
    <x v="2"/>
    <x v="2"/>
  </r>
  <r>
    <s v="ORD-1617"/>
    <d v="2025-12-23T00:00:00"/>
    <x v="8"/>
    <s v="CUST-146"/>
    <s v="PROD-124"/>
    <n v="2"/>
    <n v="15737.3"/>
    <n v="13376.705"/>
    <n v="31474.6"/>
    <n v="26753.41"/>
    <n v="4721.1899999999987"/>
    <s v="Linda"/>
    <x v="1"/>
    <x v="29"/>
    <x v="0"/>
    <n v="24"/>
    <x v="1"/>
    <x v="5"/>
    <x v="0"/>
  </r>
  <r>
    <s v="ORD-1618"/>
    <d v="2025-10-24T00:00:00"/>
    <x v="9"/>
    <s v="CUST-141"/>
    <s v="PROD-103"/>
    <n v="4"/>
    <n v="17682.8"/>
    <n v="15030.38"/>
    <n v="70731.199999999997"/>
    <n v="60121.52"/>
    <n v="10609.68"/>
    <s v="Sean"/>
    <x v="5"/>
    <x v="12"/>
    <x v="1"/>
    <n v="49"/>
    <x v="0"/>
    <x v="28"/>
    <x v="3"/>
  </r>
  <r>
    <s v="ORD-1619"/>
    <d v="2025-12-23T00:00:00"/>
    <x v="8"/>
    <s v="CUST-095"/>
    <s v="PROD-104"/>
    <n v="7"/>
    <n v="17460.599999999999"/>
    <n v="14841.509999999998"/>
    <n v="122224.19999999998"/>
    <n v="103890.56999999999"/>
    <n v="18333.62999999999"/>
    <s v="Jasmine"/>
    <x v="1"/>
    <x v="2"/>
    <x v="1"/>
    <n v="39"/>
    <x v="0"/>
    <x v="4"/>
    <x v="3"/>
  </r>
  <r>
    <s v="ORD-1620"/>
    <d v="2025-10-01T00:00:00"/>
    <x v="11"/>
    <s v="CUST-067"/>
    <s v="PROD-125"/>
    <n v="7"/>
    <n v="8163.5"/>
    <n v="6938.9750000000004"/>
    <n v="57144.5"/>
    <n v="48572.825000000004"/>
    <n v="8571.6749999999956"/>
    <s v="Cheyenne"/>
    <x v="1"/>
    <x v="64"/>
    <x v="1"/>
    <n v="45"/>
    <x v="0"/>
    <x v="13"/>
    <x v="0"/>
  </r>
  <r>
    <s v="ORD-1621"/>
    <d v="2025-12-09T00:00:00"/>
    <x v="7"/>
    <s v="CUST-119"/>
    <s v="PROD-133"/>
    <n v="3"/>
    <n v="16476.400000000001"/>
    <n v="14004.940000000002"/>
    <n v="49429.200000000004"/>
    <n v="42014.820000000007"/>
    <n v="7414.3799999999974"/>
    <s v="Ethan"/>
    <x v="5"/>
    <x v="56"/>
    <x v="1"/>
    <n v="20"/>
    <x v="1"/>
    <x v="22"/>
    <x v="2"/>
  </r>
  <r>
    <s v="ORD-1622"/>
    <d v="2025-11-30T00:00:00"/>
    <x v="10"/>
    <s v="CUST-060"/>
    <s v="PROD-111"/>
    <n v="4"/>
    <n v="8378.4"/>
    <n v="7121.6399999999994"/>
    <n v="33513.599999999999"/>
    <n v="28486.559999999998"/>
    <n v="5027.0400000000009"/>
    <s v="Keith"/>
    <x v="2"/>
    <x v="7"/>
    <x v="0"/>
    <n v="20"/>
    <x v="1"/>
    <x v="31"/>
    <x v="1"/>
  </r>
  <r>
    <s v="ORD-1623"/>
    <d v="2025-10-21T00:00:00"/>
    <x v="9"/>
    <s v="CUST-147"/>
    <s v="PROD-121"/>
    <n v="4"/>
    <n v="11698.900000000001"/>
    <n v="9944.0650000000005"/>
    <n v="46795.600000000006"/>
    <n v="39776.26"/>
    <n v="7019.3400000000038"/>
    <s v="Tracey"/>
    <x v="2"/>
    <x v="36"/>
    <x v="0"/>
    <n v="53"/>
    <x v="0"/>
    <x v="8"/>
    <x v="0"/>
  </r>
  <r>
    <s v="ORD-1624"/>
    <d v="2025-12-30T00:00:00"/>
    <x v="2"/>
    <s v="CUST-007"/>
    <s v="PROD-121"/>
    <n v="2"/>
    <n v="12608.599999999999"/>
    <n v="10717.31"/>
    <n v="25217.199999999997"/>
    <n v="21434.62"/>
    <n v="3782.5799999999981"/>
    <s v="Kayla"/>
    <x v="1"/>
    <x v="29"/>
    <x v="0"/>
    <n v="44"/>
    <x v="0"/>
    <x v="8"/>
    <x v="0"/>
  </r>
  <r>
    <s v="ORD-1625"/>
    <d v="2025-11-04T00:00:00"/>
    <x v="5"/>
    <s v="CUST-052"/>
    <s v="PROD-134"/>
    <n v="6"/>
    <n v="10593.900000000001"/>
    <n v="9004.8150000000005"/>
    <n v="63563.400000000009"/>
    <n v="54028.89"/>
    <n v="9534.5100000000093"/>
    <s v="Jasmine"/>
    <x v="1"/>
    <x v="8"/>
    <x v="1"/>
    <n v="28"/>
    <x v="1"/>
    <x v="7"/>
    <x v="2"/>
  </r>
  <r>
    <s v="ORD-1626"/>
    <d v="2025-12-20T00:00:00"/>
    <x v="4"/>
    <s v="CUST-048"/>
    <s v="PROD-121"/>
    <n v="7"/>
    <n v="8807.7000000000007"/>
    <n v="7486.545000000001"/>
    <n v="61653.900000000009"/>
    <n v="52405.81500000001"/>
    <n v="9248.0849999999991"/>
    <s v="Patrick"/>
    <x v="1"/>
    <x v="16"/>
    <x v="0"/>
    <n v="19"/>
    <x v="1"/>
    <x v="8"/>
    <x v="0"/>
  </r>
  <r>
    <s v="ORD-1627"/>
    <d v="2025-10-27T00:00:00"/>
    <x v="3"/>
    <s v="CUST-121"/>
    <s v="PROD-103"/>
    <n v="7"/>
    <n v="10564.9"/>
    <n v="8980.1649999999991"/>
    <n v="73954.3"/>
    <n v="62861.154999999992"/>
    <n v="11093.145000000011"/>
    <s v="Timothy"/>
    <x v="1"/>
    <x v="99"/>
    <x v="1"/>
    <n v="24"/>
    <x v="1"/>
    <x v="28"/>
    <x v="3"/>
  </r>
  <r>
    <s v="ORD-1628"/>
    <d v="2025-11-05T00:00:00"/>
    <x v="5"/>
    <s v="CUST-007"/>
    <s v="PROD-131"/>
    <n v="9"/>
    <n v="11162.6"/>
    <n v="9488.2100000000009"/>
    <n v="100463.40000000001"/>
    <n v="85393.890000000014"/>
    <n v="15069.509999999995"/>
    <s v="Caroline"/>
    <x v="1"/>
    <x v="29"/>
    <x v="0"/>
    <n v="44"/>
    <x v="0"/>
    <x v="2"/>
    <x v="2"/>
  </r>
  <r>
    <s v="ORD-1629"/>
    <d v="2025-11-26T00:00:00"/>
    <x v="0"/>
    <s v="CUST-141"/>
    <s v="PROD-107"/>
    <n v="6"/>
    <n v="8802.2999999999993"/>
    <n v="7481.9549999999999"/>
    <n v="52813.799999999996"/>
    <n v="44891.729999999996"/>
    <n v="7922.07"/>
    <s v="Timothy"/>
    <x v="5"/>
    <x v="12"/>
    <x v="1"/>
    <n v="49"/>
    <x v="0"/>
    <x v="12"/>
    <x v="4"/>
  </r>
  <r>
    <s v="ORD-1630"/>
    <d v="2025-10-01T00:00:00"/>
    <x v="11"/>
    <s v="CUST-111"/>
    <s v="PROD-121"/>
    <n v="10"/>
    <n v="19341.199999999997"/>
    <n v="16440.019999999997"/>
    <n v="193411.99999999997"/>
    <n v="164400.19999999995"/>
    <n v="29011.800000000017"/>
    <s v="Jonathan"/>
    <x v="4"/>
    <x v="10"/>
    <x v="0"/>
    <n v="20"/>
    <x v="1"/>
    <x v="8"/>
    <x v="0"/>
  </r>
  <r>
    <s v="ORD-1631"/>
    <d v="2025-11-12T00:00:00"/>
    <x v="12"/>
    <s v="CUST-127"/>
    <s v="PROD-123"/>
    <n v="3"/>
    <n v="9814.2999999999993"/>
    <n v="8342.1549999999988"/>
    <n v="29442.899999999998"/>
    <n v="25026.464999999997"/>
    <n v="4416.4350000000013"/>
    <s v="Douglas"/>
    <x v="3"/>
    <x v="48"/>
    <x v="0"/>
    <n v="18"/>
    <x v="1"/>
    <x v="32"/>
    <x v="0"/>
  </r>
  <r>
    <s v="ORD-1632"/>
    <d v="2025-11-30T00:00:00"/>
    <x v="10"/>
    <s v="CUST-116"/>
    <s v="PROD-120"/>
    <n v="5"/>
    <n v="924.2"/>
    <n v="785.57"/>
    <n v="4621"/>
    <n v="3927.8500000000004"/>
    <n v="693.14999999999964"/>
    <s v="Ethan"/>
    <x v="3"/>
    <x v="17"/>
    <x v="0"/>
    <n v="48"/>
    <x v="0"/>
    <x v="0"/>
    <x v="0"/>
  </r>
  <r>
    <s v="ORD-1633"/>
    <d v="2025-11-16T00:00:00"/>
    <x v="6"/>
    <s v="CUST-125"/>
    <s v="PROD-117"/>
    <n v="9"/>
    <n v="13720"/>
    <n v="11662"/>
    <n v="123480"/>
    <n v="104958"/>
    <n v="18522"/>
    <s v="Anna"/>
    <x v="2"/>
    <x v="28"/>
    <x v="0"/>
    <n v="23"/>
    <x v="1"/>
    <x v="23"/>
    <x v="0"/>
  </r>
  <r>
    <s v="ORD-1634"/>
    <d v="2025-10-06T00:00:00"/>
    <x v="1"/>
    <s v="CUST-109"/>
    <s v="PROD-115"/>
    <n v="7"/>
    <n v="5721.9000000000005"/>
    <n v="4863.6150000000007"/>
    <n v="40053.300000000003"/>
    <n v="34045.305000000008"/>
    <n v="6007.9949999999953"/>
    <s v="Patrick"/>
    <x v="0"/>
    <x v="10"/>
    <x v="0"/>
    <n v="22"/>
    <x v="1"/>
    <x v="10"/>
    <x v="1"/>
  </r>
  <r>
    <s v="ORD-1635"/>
    <d v="2025-12-10T00:00:00"/>
    <x v="7"/>
    <s v="CUST-015"/>
    <s v="PROD-129"/>
    <n v="5"/>
    <n v="6749"/>
    <n v="5736.65"/>
    <n v="33745"/>
    <n v="28683.25"/>
    <n v="5061.75"/>
    <s v="Andrea"/>
    <x v="1"/>
    <x v="88"/>
    <x v="0"/>
    <n v="40"/>
    <x v="0"/>
    <x v="21"/>
    <x v="5"/>
  </r>
  <r>
    <s v="ORD-1636"/>
    <d v="2025-12-02T00:00:00"/>
    <x v="10"/>
    <s v="CUST-045"/>
    <s v="PROD-128"/>
    <n v="3"/>
    <n v="18297.400000000001"/>
    <n v="15552.79"/>
    <n v="54892.200000000004"/>
    <n v="46658.37"/>
    <n v="8233.8300000000017"/>
    <s v="Daniel"/>
    <x v="1"/>
    <x v="36"/>
    <x v="0"/>
    <n v="22"/>
    <x v="1"/>
    <x v="15"/>
    <x v="5"/>
  </r>
  <r>
    <s v="ORD-1637"/>
    <d v="2025-12-04T00:00:00"/>
    <x v="10"/>
    <s v="CUST-079"/>
    <s v="PROD-133"/>
    <n v="9"/>
    <n v="750.3"/>
    <n v="637.755"/>
    <n v="6752.7"/>
    <n v="5739.7950000000001"/>
    <n v="1012.9049999999997"/>
    <s v="Ethan"/>
    <x v="1"/>
    <x v="97"/>
    <x v="0"/>
    <n v="50"/>
    <x v="0"/>
    <x v="22"/>
    <x v="2"/>
  </r>
  <r>
    <s v="ORD-1638"/>
    <d v="2025-11-12T00:00:00"/>
    <x v="12"/>
    <s v="CUST-090"/>
    <s v="PROD-124"/>
    <n v="7"/>
    <n v="18620.3"/>
    <n v="15827.254999999999"/>
    <n v="130342.09999999999"/>
    <n v="110790.78499999999"/>
    <n v="19551.315000000002"/>
    <s v="Keith"/>
    <x v="1"/>
    <x v="16"/>
    <x v="0"/>
    <n v="29"/>
    <x v="1"/>
    <x v="5"/>
    <x v="0"/>
  </r>
  <r>
    <s v="ORD-1639"/>
    <d v="2025-10-02T00:00:00"/>
    <x v="11"/>
    <s v="CUST-061"/>
    <s v="PROD-107"/>
    <n v="7"/>
    <n v="4019.4"/>
    <n v="3416.4900000000002"/>
    <n v="28135.8"/>
    <n v="23915.43"/>
    <n v="4220.369999999999"/>
    <s v="Linda"/>
    <x v="0"/>
    <x v="31"/>
    <x v="0"/>
    <n v="28"/>
    <x v="1"/>
    <x v="12"/>
    <x v="4"/>
  </r>
  <r>
    <s v="ORD-1640"/>
    <d v="2025-10-09T00:00:00"/>
    <x v="1"/>
    <s v="CUST-126"/>
    <s v="PROD-107"/>
    <n v="8"/>
    <n v="6430.8"/>
    <n v="5466.18"/>
    <n v="51446.400000000001"/>
    <n v="43729.440000000002"/>
    <n v="7716.9599999999991"/>
    <s v="Joshua"/>
    <x v="0"/>
    <x v="89"/>
    <x v="1"/>
    <n v="40"/>
    <x v="0"/>
    <x v="12"/>
    <x v="4"/>
  </r>
  <r>
    <s v="ORD-1641"/>
    <d v="2025-10-17T00:00:00"/>
    <x v="13"/>
    <s v="CUST-059"/>
    <s v="PROD-127"/>
    <n v="10"/>
    <n v="3378.1"/>
    <n v="2871.3849999999998"/>
    <n v="33781"/>
    <n v="28713.85"/>
    <n v="5067.1500000000015"/>
    <s v="Lori"/>
    <x v="1"/>
    <x v="6"/>
    <x v="1"/>
    <n v="25"/>
    <x v="1"/>
    <x v="17"/>
    <x v="5"/>
  </r>
  <r>
    <s v="ORD-1642"/>
    <d v="2025-12-30T00:00:00"/>
    <x v="2"/>
    <s v="CUST-106"/>
    <s v="PROD-131"/>
    <n v="8"/>
    <n v="9708.2000000000007"/>
    <n v="8251.9700000000012"/>
    <n v="77665.600000000006"/>
    <n v="66015.760000000009"/>
    <n v="11649.839999999997"/>
    <s v="Cheyenne"/>
    <x v="1"/>
    <x v="96"/>
    <x v="0"/>
    <n v="32"/>
    <x v="1"/>
    <x v="2"/>
    <x v="2"/>
  </r>
  <r>
    <s v="ORD-1643"/>
    <d v="2025-12-14T00:00:00"/>
    <x v="4"/>
    <s v="CUST-016"/>
    <s v="PROD-105"/>
    <n v="10"/>
    <n v="4984.2"/>
    <n v="4236.57"/>
    <n v="49842"/>
    <n v="42365.7"/>
    <n v="7476.3000000000029"/>
    <s v="Ethan"/>
    <x v="1"/>
    <x v="26"/>
    <x v="1"/>
    <n v="26"/>
    <x v="1"/>
    <x v="3"/>
    <x v="3"/>
  </r>
  <r>
    <s v="ORD-1644"/>
    <d v="2025-11-28T00:00:00"/>
    <x v="0"/>
    <s v="CUST-109"/>
    <s v="PROD-111"/>
    <n v="9"/>
    <n v="19248.599999999999"/>
    <n v="16361.31"/>
    <n v="173237.4"/>
    <n v="147251.79"/>
    <n v="25985.609999999986"/>
    <s v="Jonathan"/>
    <x v="0"/>
    <x v="10"/>
    <x v="0"/>
    <n v="22"/>
    <x v="1"/>
    <x v="31"/>
    <x v="1"/>
  </r>
  <r>
    <s v="ORD-1645"/>
    <d v="2025-10-31T00:00:00"/>
    <x v="3"/>
    <s v="CUST-045"/>
    <s v="PROD-132"/>
    <n v="2"/>
    <n v="7434.6"/>
    <n v="6319.41"/>
    <n v="14869.2"/>
    <n v="12638.82"/>
    <n v="2230.380000000001"/>
    <s v="Thomas"/>
    <x v="1"/>
    <x v="36"/>
    <x v="0"/>
    <n v="22"/>
    <x v="1"/>
    <x v="26"/>
    <x v="2"/>
  </r>
  <r>
    <s v="ORD-1646"/>
    <d v="2025-12-02T00:00:00"/>
    <x v="10"/>
    <s v="CUST-086"/>
    <s v="PROD-128"/>
    <n v="9"/>
    <n v="9245.9"/>
    <n v="7859.0149999999994"/>
    <n v="83213.099999999991"/>
    <n v="70731.134999999995"/>
    <n v="12481.964999999997"/>
    <s v="Ralph"/>
    <x v="5"/>
    <x v="70"/>
    <x v="0"/>
    <n v="19"/>
    <x v="1"/>
    <x v="15"/>
    <x v="5"/>
  </r>
  <r>
    <s v="ORD-1647"/>
    <d v="2025-11-01T00:00:00"/>
    <x v="3"/>
    <s v="CUST-095"/>
    <s v="PROD-106"/>
    <n v="9"/>
    <n v="11389"/>
    <n v="9680.65"/>
    <n v="102501"/>
    <n v="87125.849999999991"/>
    <n v="15375.150000000009"/>
    <s v="Andrea"/>
    <x v="1"/>
    <x v="2"/>
    <x v="1"/>
    <n v="39"/>
    <x v="0"/>
    <x v="6"/>
    <x v="4"/>
  </r>
  <r>
    <s v="ORD-1648"/>
    <d v="2025-10-16T00:00:00"/>
    <x v="13"/>
    <s v="CUST-147"/>
    <s v="PROD-115"/>
    <n v="4"/>
    <n v="11200.699999999999"/>
    <n v="9520.5949999999993"/>
    <n v="44802.799999999996"/>
    <n v="38082.379999999997"/>
    <n v="6720.4199999999983"/>
    <s v="Joshua"/>
    <x v="2"/>
    <x v="36"/>
    <x v="0"/>
    <n v="53"/>
    <x v="0"/>
    <x v="10"/>
    <x v="1"/>
  </r>
  <r>
    <s v="ORD-1649"/>
    <d v="2025-11-27T00:00:00"/>
    <x v="0"/>
    <s v="CUST-135"/>
    <s v="PROD-124"/>
    <n v="1"/>
    <n v="17867.400000000001"/>
    <n v="15187.29"/>
    <n v="17867.400000000001"/>
    <n v="15187.29"/>
    <n v="2680.1100000000006"/>
    <s v="Jonathan"/>
    <x v="1"/>
    <x v="101"/>
    <x v="0"/>
    <n v="23"/>
    <x v="1"/>
    <x v="5"/>
    <x v="0"/>
  </r>
  <r>
    <s v="ORD-1650"/>
    <d v="2025-11-15T00:00:00"/>
    <x v="12"/>
    <s v="CUST-136"/>
    <s v="PROD-118"/>
    <n v="9"/>
    <n v="7057.2000000000007"/>
    <n v="5998.6200000000008"/>
    <n v="63514.8"/>
    <n v="53987.580000000009"/>
    <n v="9527.2199999999939"/>
    <s v="Brenda"/>
    <x v="2"/>
    <x v="24"/>
    <x v="0"/>
    <n v="34"/>
    <x v="1"/>
    <x v="25"/>
    <x v="0"/>
  </r>
  <r>
    <s v="ORD-1651"/>
    <d v="2025-10-23T00:00:00"/>
    <x v="9"/>
    <s v="CUST-034"/>
    <s v="PROD-126"/>
    <n v="3"/>
    <n v="19644.5"/>
    <n v="16697.825000000001"/>
    <n v="58933.5"/>
    <n v="50093.475000000006"/>
    <n v="8840.0249999999942"/>
    <s v="Daniel"/>
    <x v="0"/>
    <x v="53"/>
    <x v="0"/>
    <n v="32"/>
    <x v="1"/>
    <x v="9"/>
    <x v="5"/>
  </r>
  <r>
    <s v="ORD-1652"/>
    <d v="2025-10-24T00:00:00"/>
    <x v="9"/>
    <s v="CUST-088"/>
    <s v="PROD-129"/>
    <n v="7"/>
    <n v="10525"/>
    <n v="8946.25"/>
    <n v="73675"/>
    <n v="62623.75"/>
    <n v="11051.25"/>
    <s v="Jonathan"/>
    <x v="1"/>
    <x v="76"/>
    <x v="1"/>
    <n v="33"/>
    <x v="1"/>
    <x v="21"/>
    <x v="5"/>
  </r>
  <r>
    <s v="ORD-1653"/>
    <d v="2025-10-27T00:00:00"/>
    <x v="3"/>
    <s v="CUST-139"/>
    <s v="PROD-125"/>
    <n v="7"/>
    <n v="13701.6"/>
    <n v="11646.36"/>
    <n v="95911.2"/>
    <n v="81524.52"/>
    <n v="14386.679999999993"/>
    <s v="Tara"/>
    <x v="1"/>
    <x v="57"/>
    <x v="1"/>
    <n v="20"/>
    <x v="1"/>
    <x v="13"/>
    <x v="0"/>
  </r>
  <r>
    <s v="ORD-1654"/>
    <d v="2025-11-03T00:00:00"/>
    <x v="5"/>
    <s v="CUST-074"/>
    <s v="PROD-121"/>
    <n v="8"/>
    <n v="4532.7999999999993"/>
    <n v="3852.8799999999992"/>
    <n v="36262.399999999994"/>
    <n v="30823.039999999994"/>
    <n v="5439.3600000000006"/>
    <s v="Keith"/>
    <x v="1"/>
    <x v="47"/>
    <x v="0"/>
    <n v="32"/>
    <x v="1"/>
    <x v="8"/>
    <x v="0"/>
  </r>
  <r>
    <s v="ORD-1655"/>
    <d v="2025-10-12T00:00:00"/>
    <x v="13"/>
    <s v="CUST-092"/>
    <s v="PROD-120"/>
    <n v="9"/>
    <n v="7810"/>
    <n v="6638.5"/>
    <n v="70290"/>
    <n v="59746.5"/>
    <n v="10543.5"/>
    <s v="Anna"/>
    <x v="2"/>
    <x v="3"/>
    <x v="0"/>
    <n v="48"/>
    <x v="0"/>
    <x v="0"/>
    <x v="0"/>
  </r>
  <r>
    <s v="ORD-1656"/>
    <d v="2025-11-04T00:00:00"/>
    <x v="5"/>
    <s v="CUST-015"/>
    <s v="PROD-130"/>
    <n v="9"/>
    <n v="11970.9"/>
    <n v="10175.264999999999"/>
    <n v="107738.09999999999"/>
    <n v="91577.384999999995"/>
    <n v="16160.714999999997"/>
    <s v="Aaron"/>
    <x v="1"/>
    <x v="88"/>
    <x v="0"/>
    <n v="40"/>
    <x v="0"/>
    <x v="29"/>
    <x v="2"/>
  </r>
  <r>
    <s v="ORD-1657"/>
    <d v="2025-10-16T00:00:00"/>
    <x v="13"/>
    <s v="CUST-007"/>
    <s v="PROD-101"/>
    <n v="1"/>
    <n v="12970.4"/>
    <n v="11024.84"/>
    <n v="12970.4"/>
    <n v="11024.84"/>
    <n v="1945.5599999999995"/>
    <s v="Linda"/>
    <x v="1"/>
    <x v="29"/>
    <x v="0"/>
    <n v="44"/>
    <x v="0"/>
    <x v="16"/>
    <x v="3"/>
  </r>
  <r>
    <s v="ORD-1658"/>
    <d v="2025-10-04T00:00:00"/>
    <x v="11"/>
    <s v="CUST-013"/>
    <s v="PROD-115"/>
    <n v="4"/>
    <n v="11575.4"/>
    <n v="9839.09"/>
    <n v="46301.599999999999"/>
    <n v="39356.36"/>
    <n v="6945.239999999998"/>
    <s v="Jonathan"/>
    <x v="1"/>
    <x v="94"/>
    <x v="1"/>
    <n v="26"/>
    <x v="1"/>
    <x v="10"/>
    <x v="1"/>
  </r>
  <r>
    <s v="ORD-1659"/>
    <d v="2025-12-30T00:00:00"/>
    <x v="2"/>
    <s v="CUST-138"/>
    <s v="PROD-110"/>
    <n v="6"/>
    <n v="10882.8"/>
    <n v="9250.3799999999992"/>
    <n v="65296.799999999996"/>
    <n v="55502.28"/>
    <n v="9794.5199999999968"/>
    <s v="Keith"/>
    <x v="3"/>
    <x v="22"/>
    <x v="1"/>
    <n v="27"/>
    <x v="1"/>
    <x v="14"/>
    <x v="4"/>
  </r>
  <r>
    <s v="ORD-1660"/>
    <d v="2025-10-08T00:00:00"/>
    <x v="1"/>
    <s v="CUST-142"/>
    <s v="PROD-105"/>
    <n v="6"/>
    <n v="2471.1000000000004"/>
    <n v="2100.4350000000004"/>
    <n v="14826.600000000002"/>
    <n v="12602.610000000002"/>
    <n v="2223.9899999999998"/>
    <s v="Aaron"/>
    <x v="0"/>
    <x v="0"/>
    <x v="0"/>
    <n v="38"/>
    <x v="0"/>
    <x v="3"/>
    <x v="3"/>
  </r>
  <r>
    <s v="ORD-1661"/>
    <d v="2025-10-28T00:00:00"/>
    <x v="3"/>
    <s v="CUST-039"/>
    <s v="PROD-132"/>
    <n v="4"/>
    <n v="5189.7000000000007"/>
    <n v="4411.2450000000008"/>
    <n v="20758.800000000003"/>
    <n v="17644.980000000003"/>
    <n v="3113.8199999999997"/>
    <s v="Jonathan"/>
    <x v="2"/>
    <x v="80"/>
    <x v="0"/>
    <n v="51"/>
    <x v="0"/>
    <x v="26"/>
    <x v="2"/>
  </r>
  <r>
    <s v="ORD-1662"/>
    <d v="2025-12-20T00:00:00"/>
    <x v="4"/>
    <s v="CUST-149"/>
    <s v="PROD-116"/>
    <n v="1"/>
    <n v="11709.2"/>
    <n v="9952.82"/>
    <n v="11709.2"/>
    <n v="9952.82"/>
    <n v="1756.380000000001"/>
    <s v="Lisa"/>
    <x v="3"/>
    <x v="53"/>
    <x v="0"/>
    <n v="54"/>
    <x v="0"/>
    <x v="24"/>
    <x v="1"/>
  </r>
  <r>
    <s v="ORD-1663"/>
    <d v="2025-10-24T00:00:00"/>
    <x v="9"/>
    <s v="CUST-048"/>
    <s v="PROD-117"/>
    <n v="8"/>
    <n v="16947.5"/>
    <n v="14405.375"/>
    <n v="135580"/>
    <n v="115243"/>
    <n v="20337"/>
    <s v="Aaron"/>
    <x v="1"/>
    <x v="16"/>
    <x v="0"/>
    <n v="19"/>
    <x v="1"/>
    <x v="23"/>
    <x v="0"/>
  </r>
  <r>
    <s v="ORD-1664"/>
    <d v="2025-11-22T00:00:00"/>
    <x v="6"/>
    <s v="CUST-076"/>
    <s v="PROD-127"/>
    <n v="7"/>
    <n v="17842.2"/>
    <n v="15165.87"/>
    <n v="124895.40000000001"/>
    <n v="106161.09000000001"/>
    <n v="18734.309999999998"/>
    <s v="Kayla"/>
    <x v="0"/>
    <x v="84"/>
    <x v="0"/>
    <n v="32"/>
    <x v="1"/>
    <x v="17"/>
    <x v="5"/>
  </r>
  <r>
    <s v="ORD-1665"/>
    <d v="2025-12-27T00:00:00"/>
    <x v="8"/>
    <s v="CUST-141"/>
    <s v="PROD-106"/>
    <n v="10"/>
    <n v="9004.7999999999993"/>
    <n v="7654.08"/>
    <n v="90048"/>
    <n v="76540.800000000003"/>
    <n v="13507.199999999997"/>
    <s v="Cheyenne"/>
    <x v="5"/>
    <x v="12"/>
    <x v="1"/>
    <n v="49"/>
    <x v="0"/>
    <x v="6"/>
    <x v="4"/>
  </r>
  <r>
    <s v="ORD-1666"/>
    <d v="2025-10-21T00:00:00"/>
    <x v="9"/>
    <s v="CUST-037"/>
    <s v="PROD-124"/>
    <n v="8"/>
    <n v="17752.2"/>
    <n v="15089.37"/>
    <n v="142017.60000000001"/>
    <n v="120714.96"/>
    <n v="21302.639999999999"/>
    <s v="Tracey"/>
    <x v="1"/>
    <x v="73"/>
    <x v="0"/>
    <n v="26"/>
    <x v="1"/>
    <x v="5"/>
    <x v="0"/>
  </r>
  <r>
    <s v="ORD-1667"/>
    <d v="2025-12-11T00:00:00"/>
    <x v="7"/>
    <s v="CUST-009"/>
    <s v="PROD-104"/>
    <n v="7"/>
    <n v="5471.5999999999995"/>
    <n v="4650.8599999999997"/>
    <n v="38301.199999999997"/>
    <n v="32556.019999999997"/>
    <n v="5745.18"/>
    <s v="Katie"/>
    <x v="1"/>
    <x v="63"/>
    <x v="1"/>
    <n v="18"/>
    <x v="1"/>
    <x v="4"/>
    <x v="3"/>
  </r>
  <r>
    <s v="ORD-1668"/>
    <d v="2025-11-21T00:00:00"/>
    <x v="6"/>
    <s v="CUST-003"/>
    <s v="PROD-118"/>
    <n v="5"/>
    <n v="19738.900000000001"/>
    <n v="16778.065000000002"/>
    <n v="98694.5"/>
    <n v="83890.325000000012"/>
    <n v="14804.174999999988"/>
    <s v="Victoria"/>
    <x v="4"/>
    <x v="10"/>
    <x v="0"/>
    <n v="25"/>
    <x v="1"/>
    <x v="25"/>
    <x v="0"/>
  </r>
  <r>
    <s v="ORD-1669"/>
    <d v="2025-10-08T00:00:00"/>
    <x v="1"/>
    <s v="CUST-112"/>
    <s v="PROD-102"/>
    <n v="2"/>
    <n v="17842.400000000001"/>
    <n v="15166.04"/>
    <n v="35684.800000000003"/>
    <n v="30332.080000000002"/>
    <n v="5352.7200000000012"/>
    <s v="Daniel"/>
    <x v="1"/>
    <x v="11"/>
    <x v="1"/>
    <n v="40"/>
    <x v="0"/>
    <x v="20"/>
    <x v="3"/>
  </r>
  <r>
    <s v="ORD-1670"/>
    <d v="2025-11-04T00:00:00"/>
    <x v="5"/>
    <s v="CUST-095"/>
    <s v="PROD-125"/>
    <n v="10"/>
    <n v="2044.5"/>
    <n v="1737.825"/>
    <n v="20445"/>
    <n v="17378.25"/>
    <n v="3066.75"/>
    <s v="Daniel"/>
    <x v="1"/>
    <x v="2"/>
    <x v="1"/>
    <n v="39"/>
    <x v="0"/>
    <x v="13"/>
    <x v="0"/>
  </r>
  <r>
    <s v="ORD-1671"/>
    <d v="2025-12-15T00:00:00"/>
    <x v="4"/>
    <s v="CUST-122"/>
    <s v="PROD-103"/>
    <n v="2"/>
    <n v="6495.8"/>
    <n v="5521.43"/>
    <n v="12991.6"/>
    <n v="11042.86"/>
    <n v="1948.7399999999998"/>
    <s v="Kayla"/>
    <x v="4"/>
    <x v="26"/>
    <x v="1"/>
    <n v="43"/>
    <x v="0"/>
    <x v="28"/>
    <x v="3"/>
  </r>
  <r>
    <s v="ORD-1672"/>
    <d v="2025-11-06T00:00:00"/>
    <x v="5"/>
    <s v="CUST-112"/>
    <s v="PROD-128"/>
    <n v="2"/>
    <n v="19100"/>
    <n v="16235"/>
    <n v="38200"/>
    <n v="32470"/>
    <n v="5730"/>
    <s v="Linda"/>
    <x v="1"/>
    <x v="11"/>
    <x v="1"/>
    <n v="40"/>
    <x v="0"/>
    <x v="15"/>
    <x v="5"/>
  </r>
  <r>
    <s v="ORD-1673"/>
    <d v="2025-10-14T00:00:00"/>
    <x v="13"/>
    <s v="CUST-119"/>
    <s v="PROD-127"/>
    <n v="2"/>
    <n v="16852.099999999999"/>
    <n v="14324.285"/>
    <n v="33704.199999999997"/>
    <n v="28648.57"/>
    <n v="5055.6299999999974"/>
    <s v="Andrea"/>
    <x v="5"/>
    <x v="56"/>
    <x v="1"/>
    <n v="20"/>
    <x v="1"/>
    <x v="17"/>
    <x v="5"/>
  </r>
  <r>
    <s v="ORD-1674"/>
    <d v="2025-10-07T00:00:00"/>
    <x v="1"/>
    <s v="CUST-015"/>
    <s v="PROD-120"/>
    <n v="2"/>
    <n v="1314.7"/>
    <n v="1117.4950000000001"/>
    <n v="2629.4"/>
    <n v="2234.9900000000002"/>
    <n v="394.40999999999985"/>
    <s v="Victoria"/>
    <x v="1"/>
    <x v="88"/>
    <x v="0"/>
    <n v="40"/>
    <x v="0"/>
    <x v="0"/>
    <x v="0"/>
  </r>
  <r>
    <s v="ORD-1675"/>
    <d v="2025-12-07T00:00:00"/>
    <x v="7"/>
    <s v="CUST-026"/>
    <s v="PROD-102"/>
    <n v="7"/>
    <n v="10502"/>
    <n v="8926.7000000000007"/>
    <n v="73514"/>
    <n v="62486.900000000009"/>
    <n v="11027.099999999991"/>
    <s v="Patrick"/>
    <x v="1"/>
    <x v="104"/>
    <x v="1"/>
    <n v="26"/>
    <x v="1"/>
    <x v="20"/>
    <x v="3"/>
  </r>
  <r>
    <s v="ORD-1676"/>
    <d v="2025-12-14T00:00:00"/>
    <x v="4"/>
    <s v="CUST-119"/>
    <s v="PROD-115"/>
    <n v="4"/>
    <n v="11007.8"/>
    <n v="9356.6299999999992"/>
    <n v="44031.199999999997"/>
    <n v="37426.519999999997"/>
    <n v="6604.68"/>
    <s v="Timothy"/>
    <x v="5"/>
    <x v="56"/>
    <x v="1"/>
    <n v="20"/>
    <x v="1"/>
    <x v="10"/>
    <x v="1"/>
  </r>
  <r>
    <s v="ORD-1677"/>
    <d v="2025-11-27T00:00:00"/>
    <x v="0"/>
    <s v="CUST-028"/>
    <s v="PROD-102"/>
    <n v="1"/>
    <n v="10926.300000000001"/>
    <n v="9287.3550000000014"/>
    <n v="10926.300000000001"/>
    <n v="9287.3550000000014"/>
    <n v="1638.9449999999997"/>
    <s v="Laura"/>
    <x v="2"/>
    <x v="98"/>
    <x v="1"/>
    <n v="33"/>
    <x v="1"/>
    <x v="20"/>
    <x v="3"/>
  </r>
  <r>
    <s v="ORD-1678"/>
    <d v="2025-10-27T00:00:00"/>
    <x v="3"/>
    <s v="CUST-064"/>
    <s v="PROD-126"/>
    <n v="7"/>
    <n v="8524.2999999999993"/>
    <n v="7245.6549999999997"/>
    <n v="59670.099999999991"/>
    <n v="50719.584999999999"/>
    <n v="8950.5149999999921"/>
    <s v="Lisa"/>
    <x v="4"/>
    <x v="59"/>
    <x v="0"/>
    <n v="37"/>
    <x v="0"/>
    <x v="9"/>
    <x v="5"/>
  </r>
  <r>
    <s v="ORD-1679"/>
    <d v="2025-11-10T00:00:00"/>
    <x v="12"/>
    <s v="CUST-060"/>
    <s v="PROD-126"/>
    <n v="6"/>
    <n v="17728"/>
    <n v="15068.8"/>
    <n v="106368"/>
    <n v="90412.799999999988"/>
    <n v="15955.200000000012"/>
    <s v="Brenda"/>
    <x v="2"/>
    <x v="7"/>
    <x v="0"/>
    <n v="20"/>
    <x v="1"/>
    <x v="9"/>
    <x v="5"/>
  </r>
  <r>
    <s v="ORD-1680"/>
    <d v="2025-10-31T00:00:00"/>
    <x v="3"/>
    <s v="CUST-042"/>
    <s v="PROD-125"/>
    <n v="10"/>
    <n v="2455.8000000000002"/>
    <n v="2087.4300000000003"/>
    <n v="24558"/>
    <n v="20874.300000000003"/>
    <n v="3683.6999999999971"/>
    <s v="Tracey"/>
    <x v="1"/>
    <x v="41"/>
    <x v="0"/>
    <n v="33"/>
    <x v="1"/>
    <x v="13"/>
    <x v="0"/>
  </r>
  <r>
    <s v="ORD-1681"/>
    <d v="2025-12-12T00:00:00"/>
    <x v="7"/>
    <s v="CUST-082"/>
    <s v="PROD-121"/>
    <n v="2"/>
    <n v="10616.099999999999"/>
    <n v="9023.6849999999995"/>
    <n v="21232.199999999997"/>
    <n v="18047.37"/>
    <n v="3184.8299999999981"/>
    <s v="Sean"/>
    <x v="0"/>
    <x v="73"/>
    <x v="0"/>
    <n v="18"/>
    <x v="1"/>
    <x v="8"/>
    <x v="0"/>
  </r>
  <r>
    <s v="ORD-1682"/>
    <d v="2025-12-06T00:00:00"/>
    <x v="10"/>
    <s v="CUST-037"/>
    <s v="PROD-126"/>
    <n v="7"/>
    <n v="3662.2000000000003"/>
    <n v="3112.8700000000003"/>
    <n v="25635.4"/>
    <n v="21790.090000000004"/>
    <n v="3845.3099999999977"/>
    <s v="Thomas"/>
    <x v="1"/>
    <x v="73"/>
    <x v="0"/>
    <n v="26"/>
    <x v="1"/>
    <x v="9"/>
    <x v="5"/>
  </r>
  <r>
    <s v="ORD-1683"/>
    <d v="2025-11-03T00:00:00"/>
    <x v="5"/>
    <s v="CUST-077"/>
    <s v="PROD-131"/>
    <n v="1"/>
    <n v="7582.6"/>
    <n v="6445.21"/>
    <n v="7582.6"/>
    <n v="6445.21"/>
    <n v="1137.3900000000003"/>
    <s v="Joshua"/>
    <x v="1"/>
    <x v="27"/>
    <x v="0"/>
    <n v="35"/>
    <x v="0"/>
    <x v="2"/>
    <x v="2"/>
  </r>
  <r>
    <s v="ORD-1684"/>
    <d v="2025-12-29T00:00:00"/>
    <x v="2"/>
    <s v="CUST-040"/>
    <s v="PROD-118"/>
    <n v="10"/>
    <n v="13949.400000000001"/>
    <n v="11856.990000000002"/>
    <n v="139494"/>
    <n v="118569.90000000002"/>
    <n v="20924.099999999977"/>
    <s v="Jonathan"/>
    <x v="0"/>
    <x v="72"/>
    <x v="0"/>
    <n v="52"/>
    <x v="0"/>
    <x v="25"/>
    <x v="0"/>
  </r>
  <r>
    <s v="ORD-1685"/>
    <d v="2025-10-25T00:00:00"/>
    <x v="9"/>
    <s v="CUST-091"/>
    <s v="PROD-126"/>
    <n v="1"/>
    <n v="13783.900000000001"/>
    <n v="11716.315000000002"/>
    <n v="13783.900000000001"/>
    <n v="11716.315000000002"/>
    <n v="2067.5849999999991"/>
    <s v="Brenda"/>
    <x v="1"/>
    <x v="102"/>
    <x v="0"/>
    <n v="44"/>
    <x v="0"/>
    <x v="9"/>
    <x v="5"/>
  </r>
  <r>
    <s v="ORD-1686"/>
    <d v="2025-12-10T00:00:00"/>
    <x v="7"/>
    <s v="CUST-024"/>
    <s v="PROD-134"/>
    <n v="8"/>
    <n v="13239"/>
    <n v="11253.15"/>
    <n v="105912"/>
    <n v="90025.2"/>
    <n v="15886.800000000003"/>
    <s v="Laura"/>
    <x v="1"/>
    <x v="78"/>
    <x v="1"/>
    <n v="31"/>
    <x v="1"/>
    <x v="7"/>
    <x v="2"/>
  </r>
  <r>
    <s v="ORD-1687"/>
    <d v="2025-11-09T00:00:00"/>
    <x v="12"/>
    <s v="CUST-121"/>
    <s v="PROD-129"/>
    <n v="5"/>
    <n v="9201.2000000000007"/>
    <n v="7821.02"/>
    <n v="46006"/>
    <n v="39105.100000000006"/>
    <n v="6900.8999999999942"/>
    <s v="Daniel"/>
    <x v="1"/>
    <x v="99"/>
    <x v="1"/>
    <n v="24"/>
    <x v="1"/>
    <x v="21"/>
    <x v="5"/>
  </r>
  <r>
    <s v="ORD-1688"/>
    <d v="2025-12-23T00:00:00"/>
    <x v="8"/>
    <s v="CUST-149"/>
    <s v="PROD-105"/>
    <n v="4"/>
    <n v="10145.9"/>
    <n v="8624.0149999999994"/>
    <n v="40583.599999999999"/>
    <n v="34496.06"/>
    <n v="6087.5400000000009"/>
    <s v="Tara"/>
    <x v="3"/>
    <x v="53"/>
    <x v="0"/>
    <n v="54"/>
    <x v="0"/>
    <x v="3"/>
    <x v="3"/>
  </r>
  <r>
    <s v="ORD-1689"/>
    <d v="2025-12-30T00:00:00"/>
    <x v="2"/>
    <s v="CUST-028"/>
    <s v="PROD-103"/>
    <n v="1"/>
    <n v="2717.1"/>
    <n v="2309.5349999999999"/>
    <n v="2717.1"/>
    <n v="2309.5349999999999"/>
    <n v="407.56500000000005"/>
    <s v="Douglas"/>
    <x v="2"/>
    <x v="98"/>
    <x v="1"/>
    <n v="33"/>
    <x v="1"/>
    <x v="28"/>
    <x v="3"/>
  </r>
  <r>
    <s v="ORD-1690"/>
    <d v="2025-12-02T00:00:00"/>
    <x v="10"/>
    <s v="CUST-010"/>
    <s v="PROD-132"/>
    <n v="7"/>
    <n v="6955"/>
    <n v="5911.75"/>
    <n v="48685"/>
    <n v="41382.25"/>
    <n v="7302.75"/>
    <s v="Laura"/>
    <x v="1"/>
    <x v="93"/>
    <x v="1"/>
    <n v="21"/>
    <x v="1"/>
    <x v="26"/>
    <x v="2"/>
  </r>
  <r>
    <s v="ORD-1691"/>
    <d v="2025-11-03T00:00:00"/>
    <x v="5"/>
    <s v="CUST-138"/>
    <s v="PROD-105"/>
    <n v="7"/>
    <n v="3817.5"/>
    <n v="3244.875"/>
    <n v="26722.5"/>
    <n v="22714.125"/>
    <n v="4008.375"/>
    <s v="Daniel"/>
    <x v="3"/>
    <x v="22"/>
    <x v="1"/>
    <n v="27"/>
    <x v="1"/>
    <x v="3"/>
    <x v="3"/>
  </r>
  <r>
    <s v="ORD-1692"/>
    <d v="2025-10-05T00:00:00"/>
    <x v="1"/>
    <s v="CUST-061"/>
    <s v="PROD-112"/>
    <n v="5"/>
    <n v="16785.2"/>
    <n v="14267.42"/>
    <n v="83926"/>
    <n v="71337.100000000006"/>
    <n v="12588.899999999994"/>
    <s v="Jonathan"/>
    <x v="0"/>
    <x v="31"/>
    <x v="0"/>
    <n v="28"/>
    <x v="1"/>
    <x v="1"/>
    <x v="1"/>
  </r>
  <r>
    <s v="ORD-1693"/>
    <d v="2025-12-19T00:00:00"/>
    <x v="4"/>
    <s v="CUST-082"/>
    <s v="PROD-118"/>
    <n v="9"/>
    <n v="10105"/>
    <n v="8589.25"/>
    <n v="90945"/>
    <n v="77303.25"/>
    <n v="13641.75"/>
    <s v="Katie"/>
    <x v="0"/>
    <x v="73"/>
    <x v="0"/>
    <n v="18"/>
    <x v="1"/>
    <x v="25"/>
    <x v="0"/>
  </r>
  <r>
    <s v="ORD-1694"/>
    <d v="2025-10-11T00:00:00"/>
    <x v="1"/>
    <s v="CUST-131"/>
    <s v="PROD-133"/>
    <n v="4"/>
    <n v="8557"/>
    <n v="7273.45"/>
    <n v="34228"/>
    <n v="29093.8"/>
    <n v="5134.2000000000007"/>
    <s v="Patrick"/>
    <x v="0"/>
    <x v="37"/>
    <x v="0"/>
    <n v="46"/>
    <x v="0"/>
    <x v="22"/>
    <x v="2"/>
  </r>
  <r>
    <s v="ORD-1695"/>
    <d v="2025-10-13T00:00:00"/>
    <x v="13"/>
    <s v="CUST-065"/>
    <s v="PROD-131"/>
    <n v="8"/>
    <n v="12643.099999999999"/>
    <n v="10746.634999999998"/>
    <n v="101144.79999999999"/>
    <n v="85973.079999999987"/>
    <n v="15171.720000000001"/>
    <s v="Joshua"/>
    <x v="5"/>
    <x v="42"/>
    <x v="0"/>
    <n v="23"/>
    <x v="1"/>
    <x v="2"/>
    <x v="2"/>
  </r>
  <r>
    <s v="ORD-1696"/>
    <d v="2025-10-25T00:00:00"/>
    <x v="9"/>
    <s v="CUST-142"/>
    <s v="PROD-117"/>
    <n v="4"/>
    <n v="15133.199999999999"/>
    <n v="12863.22"/>
    <n v="60532.799999999996"/>
    <n v="51452.88"/>
    <n v="9079.9199999999983"/>
    <s v="Thomas"/>
    <x v="0"/>
    <x v="0"/>
    <x v="0"/>
    <n v="38"/>
    <x v="0"/>
    <x v="23"/>
    <x v="0"/>
  </r>
  <r>
    <s v="ORD-1697"/>
    <d v="2025-11-18T00:00:00"/>
    <x v="6"/>
    <s v="CUST-070"/>
    <s v="PROD-110"/>
    <n v="6"/>
    <n v="1296.5999999999999"/>
    <n v="1102.1099999999999"/>
    <n v="7779.5999999999995"/>
    <n v="6612.66"/>
    <n v="1166.9399999999996"/>
    <s v="Sean"/>
    <x v="1"/>
    <x v="51"/>
    <x v="1"/>
    <n v="25"/>
    <x v="1"/>
    <x v="14"/>
    <x v="4"/>
  </r>
  <r>
    <s v="ORD-1698"/>
    <d v="2025-10-18T00:00:00"/>
    <x v="13"/>
    <s v="CUST-049"/>
    <s v="PROD-102"/>
    <n v="9"/>
    <n v="15306.5"/>
    <n v="13010.525"/>
    <n v="137758.5"/>
    <n v="117094.72499999999"/>
    <n v="20663.775000000009"/>
    <s v="Victoria"/>
    <x v="2"/>
    <x v="38"/>
    <x v="1"/>
    <n v="36"/>
    <x v="0"/>
    <x v="20"/>
    <x v="3"/>
  </r>
  <r>
    <s v="ORD-1699"/>
    <d v="2025-11-30T00:00:00"/>
    <x v="10"/>
    <s v="CUST-048"/>
    <s v="PROD-132"/>
    <n v="7"/>
    <n v="14968.699999999999"/>
    <n v="12723.394999999999"/>
    <n v="104780.9"/>
    <n v="89063.764999999985"/>
    <n v="15717.135000000009"/>
    <s v="Jennifer"/>
    <x v="1"/>
    <x v="16"/>
    <x v="0"/>
    <n v="19"/>
    <x v="1"/>
    <x v="26"/>
    <x v="2"/>
  </r>
  <r>
    <s v="ORD-1700"/>
    <d v="2025-10-24T00:00:00"/>
    <x v="9"/>
    <s v="CUST-137"/>
    <s v="PROD-107"/>
    <n v="8"/>
    <n v="14251.900000000001"/>
    <n v="12114.115000000002"/>
    <n v="114015.20000000001"/>
    <n v="96912.920000000013"/>
    <n v="17102.28"/>
    <s v="Sean"/>
    <x v="0"/>
    <x v="81"/>
    <x v="0"/>
    <n v="36"/>
    <x v="0"/>
    <x v="12"/>
    <x v="4"/>
  </r>
  <r>
    <s v="ORD-1701"/>
    <d v="2025-10-10T00:00:00"/>
    <x v="1"/>
    <s v="CUST-117"/>
    <s v="PROD-107"/>
    <n v="4"/>
    <n v="4574.1000000000004"/>
    <n v="3887.9850000000006"/>
    <n v="18296.400000000001"/>
    <n v="15551.940000000002"/>
    <n v="2744.4599999999991"/>
    <s v="Jennifer"/>
    <x v="1"/>
    <x v="20"/>
    <x v="1"/>
    <n v="29"/>
    <x v="1"/>
    <x v="12"/>
    <x v="4"/>
  </r>
  <r>
    <s v="ORD-1702"/>
    <d v="2025-12-01T00:00:00"/>
    <x v="10"/>
    <s v="CUST-105"/>
    <s v="PROD-130"/>
    <n v="1"/>
    <n v="16713"/>
    <n v="14206.05"/>
    <n v="16713"/>
    <n v="14206.05"/>
    <n v="2506.9500000000007"/>
    <s v="Brenda"/>
    <x v="3"/>
    <x v="31"/>
    <x v="0"/>
    <n v="30"/>
    <x v="1"/>
    <x v="29"/>
    <x v="2"/>
  </r>
  <r>
    <s v="ORD-1703"/>
    <d v="2025-11-09T00:00:00"/>
    <x v="12"/>
    <s v="CUST-108"/>
    <s v="PROD-110"/>
    <n v="2"/>
    <n v="13880.599999999999"/>
    <n v="11798.509999999998"/>
    <n v="27761.199999999997"/>
    <n v="23597.019999999997"/>
    <n v="4164.18"/>
    <s v="Timothy"/>
    <x v="5"/>
    <x v="30"/>
    <x v="0"/>
    <n v="42"/>
    <x v="0"/>
    <x v="14"/>
    <x v="4"/>
  </r>
  <r>
    <s v="ORD-1704"/>
    <d v="2025-11-01T00:00:00"/>
    <x v="3"/>
    <s v="CUST-068"/>
    <s v="PROD-105"/>
    <n v="6"/>
    <n v="11688.800000000001"/>
    <n v="9935.4800000000014"/>
    <n v="70132.800000000003"/>
    <n v="59612.880000000005"/>
    <n v="10519.919999999998"/>
    <s v="Patrick"/>
    <x v="4"/>
    <x v="45"/>
    <x v="1"/>
    <n v="28"/>
    <x v="1"/>
    <x v="3"/>
    <x v="3"/>
  </r>
  <r>
    <s v="ORD-1705"/>
    <d v="2025-12-15T00:00:00"/>
    <x v="4"/>
    <s v="CUST-092"/>
    <s v="PROD-115"/>
    <n v="7"/>
    <n v="3844.2000000000003"/>
    <n v="3267.57"/>
    <n v="26909.4"/>
    <n v="22872.99"/>
    <n v="4036.41"/>
    <s v="Thomas"/>
    <x v="2"/>
    <x v="3"/>
    <x v="0"/>
    <n v="48"/>
    <x v="0"/>
    <x v="10"/>
    <x v="1"/>
  </r>
  <r>
    <s v="ORD-1706"/>
    <d v="2025-10-08T00:00:00"/>
    <x v="1"/>
    <s v="CUST-088"/>
    <s v="PROD-103"/>
    <n v="1"/>
    <n v="17057.900000000001"/>
    <n v="14499.215000000002"/>
    <n v="17057.900000000001"/>
    <n v="14499.215000000002"/>
    <n v="2558.6849999999995"/>
    <s v="Ralph"/>
    <x v="1"/>
    <x v="76"/>
    <x v="1"/>
    <n v="33"/>
    <x v="1"/>
    <x v="28"/>
    <x v="3"/>
  </r>
  <r>
    <s v="ORD-1707"/>
    <d v="2025-11-16T00:00:00"/>
    <x v="6"/>
    <s v="CUST-107"/>
    <s v="PROD-113"/>
    <n v="7"/>
    <n v="6633"/>
    <n v="5638.05"/>
    <n v="46431"/>
    <n v="39466.35"/>
    <n v="6964.6500000000015"/>
    <s v="Lori"/>
    <x v="4"/>
    <x v="36"/>
    <x v="0"/>
    <n v="18"/>
    <x v="1"/>
    <x v="19"/>
    <x v="1"/>
  </r>
  <r>
    <s v="ORD-1708"/>
    <d v="2025-11-02T00:00:00"/>
    <x v="5"/>
    <s v="CUST-023"/>
    <s v="PROD-131"/>
    <n v="7"/>
    <n v="18868.699999999997"/>
    <n v="16038.394999999997"/>
    <n v="132080.89999999997"/>
    <n v="112268.76499999998"/>
    <n v="19812.13499999998"/>
    <s v="Brenda"/>
    <x v="0"/>
    <x v="65"/>
    <x v="1"/>
    <n v="35"/>
    <x v="0"/>
    <x v="2"/>
    <x v="2"/>
  </r>
  <r>
    <s v="ORD-1709"/>
    <d v="2025-11-24T00:00:00"/>
    <x v="0"/>
    <s v="CUST-059"/>
    <s v="PROD-101"/>
    <n v="9"/>
    <n v="4330.2"/>
    <n v="3680.67"/>
    <n v="38971.799999999996"/>
    <n v="33126.03"/>
    <n v="5845.7699999999968"/>
    <s v="Lisa"/>
    <x v="1"/>
    <x v="6"/>
    <x v="1"/>
    <n v="25"/>
    <x v="1"/>
    <x v="16"/>
    <x v="3"/>
  </r>
  <r>
    <s v="ORD-1710"/>
    <d v="2025-12-01T00:00:00"/>
    <x v="10"/>
    <s v="CUST-105"/>
    <s v="PROD-120"/>
    <n v="2"/>
    <n v="13971.300000000001"/>
    <n v="11875.605000000001"/>
    <n v="27942.600000000002"/>
    <n v="23751.210000000003"/>
    <n v="4191.3899999999994"/>
    <s v="Aaron"/>
    <x v="3"/>
    <x v="31"/>
    <x v="0"/>
    <n v="30"/>
    <x v="1"/>
    <x v="0"/>
    <x v="0"/>
  </r>
  <r>
    <s v="ORD-1711"/>
    <d v="2025-12-20T00:00:00"/>
    <x v="4"/>
    <s v="CUST-072"/>
    <s v="PROD-129"/>
    <n v="3"/>
    <n v="18499.100000000002"/>
    <n v="15724.235000000002"/>
    <n v="55497.3"/>
    <n v="47172.705000000009"/>
    <n v="8324.5949999999939"/>
    <s v="Kayla"/>
    <x v="0"/>
    <x v="54"/>
    <x v="0"/>
    <n v="45"/>
    <x v="0"/>
    <x v="21"/>
    <x v="5"/>
  </r>
  <r>
    <s v="ORD-1712"/>
    <d v="2025-10-01T00:00:00"/>
    <x v="11"/>
    <s v="CUST-121"/>
    <s v="PROD-126"/>
    <n v="1"/>
    <n v="8909.9"/>
    <n v="7573.415"/>
    <n v="8909.9"/>
    <n v="7573.415"/>
    <n v="1336.4849999999997"/>
    <s v="Cheyenne"/>
    <x v="1"/>
    <x v="99"/>
    <x v="1"/>
    <n v="24"/>
    <x v="1"/>
    <x v="9"/>
    <x v="5"/>
  </r>
  <r>
    <s v="ORD-1713"/>
    <d v="2025-11-27T00:00:00"/>
    <x v="0"/>
    <s v="CUST-071"/>
    <s v="PROD-104"/>
    <n v="6"/>
    <n v="16603.900000000001"/>
    <n v="14113.315000000002"/>
    <n v="99623.400000000009"/>
    <n v="84679.890000000014"/>
    <n v="14943.509999999995"/>
    <s v="Victoria"/>
    <x v="2"/>
    <x v="6"/>
    <x v="1"/>
    <n v="32"/>
    <x v="1"/>
    <x v="4"/>
    <x v="3"/>
  </r>
  <r>
    <s v="ORD-1714"/>
    <d v="2025-12-12T00:00:00"/>
    <x v="7"/>
    <s v="CUST-091"/>
    <s v="PROD-134"/>
    <n v="10"/>
    <n v="13422.8"/>
    <n v="11409.38"/>
    <n v="134228"/>
    <n v="114093.79999999999"/>
    <n v="20134.200000000012"/>
    <s v="Caroline"/>
    <x v="1"/>
    <x v="102"/>
    <x v="0"/>
    <n v="44"/>
    <x v="0"/>
    <x v="7"/>
    <x v="2"/>
  </r>
  <r>
    <s v="ORD-1715"/>
    <d v="2025-11-11T00:00:00"/>
    <x v="12"/>
    <s v="CUST-036"/>
    <s v="PROD-121"/>
    <n v="2"/>
    <n v="4825.2"/>
    <n v="4101.42"/>
    <n v="9650.4"/>
    <n v="8202.84"/>
    <n v="1447.5599999999995"/>
    <s v="Laura"/>
    <x v="4"/>
    <x v="44"/>
    <x v="1"/>
    <n v="52"/>
    <x v="0"/>
    <x v="8"/>
    <x v="0"/>
  </r>
  <r>
    <s v="ORD-1716"/>
    <d v="2025-10-15T00:00:00"/>
    <x v="13"/>
    <s v="CUST-126"/>
    <s v="PROD-125"/>
    <n v="4"/>
    <n v="573"/>
    <n v="487.05"/>
    <n v="2292"/>
    <n v="1948.2"/>
    <n v="343.79999999999995"/>
    <s v="Daniel"/>
    <x v="0"/>
    <x v="89"/>
    <x v="1"/>
    <n v="40"/>
    <x v="0"/>
    <x v="13"/>
    <x v="0"/>
  </r>
  <r>
    <s v="ORD-1717"/>
    <d v="2025-12-05T00:00:00"/>
    <x v="10"/>
    <s v="CUST-062"/>
    <s v="PROD-101"/>
    <n v="6"/>
    <n v="7744.2999999999993"/>
    <n v="6582.6549999999997"/>
    <n v="46465.799999999996"/>
    <n v="39495.93"/>
    <n v="6969.8699999999953"/>
    <s v="Patrick"/>
    <x v="3"/>
    <x v="61"/>
    <x v="0"/>
    <n v="20"/>
    <x v="1"/>
    <x v="16"/>
    <x v="3"/>
  </r>
  <r>
    <s v="ORD-1718"/>
    <d v="2025-12-19T00:00:00"/>
    <x v="4"/>
    <s v="CUST-095"/>
    <s v="PROD-114"/>
    <n v="8"/>
    <n v="17805.400000000001"/>
    <n v="15134.590000000002"/>
    <n v="142443.20000000001"/>
    <n v="121076.72000000002"/>
    <n v="21366.479999999996"/>
    <s v="Patrick"/>
    <x v="1"/>
    <x v="2"/>
    <x v="1"/>
    <n v="39"/>
    <x v="0"/>
    <x v="18"/>
    <x v="1"/>
  </r>
  <r>
    <s v="ORD-1719"/>
    <d v="2025-12-11T00:00:00"/>
    <x v="7"/>
    <s v="CUST-044"/>
    <s v="PROD-122"/>
    <n v="9"/>
    <n v="11548.900000000001"/>
    <n v="9816.5650000000005"/>
    <n v="103940.1"/>
    <n v="88349.085000000006"/>
    <n v="15591.014999999999"/>
    <s v="Timothy"/>
    <x v="5"/>
    <x v="28"/>
    <x v="0"/>
    <n v="31"/>
    <x v="1"/>
    <x v="11"/>
    <x v="0"/>
  </r>
  <r>
    <s v="ORD-1720"/>
    <d v="2025-11-15T00:00:00"/>
    <x v="12"/>
    <s v="CUST-076"/>
    <s v="PROD-130"/>
    <n v="3"/>
    <n v="8829.1"/>
    <n v="7504.7350000000006"/>
    <n v="26487.300000000003"/>
    <n v="22514.205000000002"/>
    <n v="3973.0950000000012"/>
    <s v="Jasmine"/>
    <x v="0"/>
    <x v="84"/>
    <x v="0"/>
    <n v="32"/>
    <x v="1"/>
    <x v="29"/>
    <x v="2"/>
  </r>
  <r>
    <s v="ORD-1721"/>
    <d v="2025-12-13T00:00:00"/>
    <x v="7"/>
    <s v="CUST-008"/>
    <s v="PROD-120"/>
    <n v="1"/>
    <n v="10053.9"/>
    <n v="8545.8150000000005"/>
    <n v="10053.9"/>
    <n v="8545.8150000000005"/>
    <n v="1508.0849999999991"/>
    <s v="Daniel"/>
    <x v="4"/>
    <x v="69"/>
    <x v="0"/>
    <n v="29"/>
    <x v="1"/>
    <x v="0"/>
    <x v="0"/>
  </r>
  <r>
    <s v="ORD-1722"/>
    <d v="2025-11-23T00:00:00"/>
    <x v="0"/>
    <s v="CUST-069"/>
    <s v="PROD-110"/>
    <n v="3"/>
    <n v="10341.099999999999"/>
    <n v="8789.9349999999995"/>
    <n v="31023.299999999996"/>
    <n v="26369.805"/>
    <n v="4653.4949999999953"/>
    <s v="Lisa"/>
    <x v="1"/>
    <x v="42"/>
    <x v="0"/>
    <n v="37"/>
    <x v="0"/>
    <x v="14"/>
    <x v="4"/>
  </r>
  <r>
    <s v="ORD-1723"/>
    <d v="2025-11-28T00:00:00"/>
    <x v="0"/>
    <s v="CUST-027"/>
    <s v="PROD-104"/>
    <n v="9"/>
    <n v="14356.7"/>
    <n v="12203.195"/>
    <n v="129210.3"/>
    <n v="109828.755"/>
    <n v="19381.544999999998"/>
    <s v="Linda"/>
    <x v="1"/>
    <x v="55"/>
    <x v="0"/>
    <n v="19"/>
    <x v="1"/>
    <x v="4"/>
    <x v="3"/>
  </r>
  <r>
    <s v="ORD-1724"/>
    <d v="2025-12-28T00:00:00"/>
    <x v="2"/>
    <s v="CUST-100"/>
    <s v="PROD-131"/>
    <n v="7"/>
    <n v="15724.7"/>
    <n v="13365.995000000001"/>
    <n v="110072.90000000001"/>
    <n v="93561.965000000011"/>
    <n v="16510.934999999998"/>
    <s v="Keith"/>
    <x v="4"/>
    <x v="26"/>
    <x v="1"/>
    <n v="28"/>
    <x v="1"/>
    <x v="2"/>
    <x v="2"/>
  </r>
  <r>
    <s v="ORD-1725"/>
    <d v="2025-10-04T00:00:00"/>
    <x v="11"/>
    <s v="CUST-097"/>
    <s v="PROD-106"/>
    <n v="5"/>
    <n v="9115.8000000000011"/>
    <n v="7748.4300000000012"/>
    <n v="45579.000000000007"/>
    <n v="38742.150000000009"/>
    <n v="6836.8499999999985"/>
    <s v="Brenda"/>
    <x v="5"/>
    <x v="1"/>
    <x v="0"/>
    <n v="23"/>
    <x v="1"/>
    <x v="6"/>
    <x v="4"/>
  </r>
  <r>
    <s v="ORD-1726"/>
    <d v="2025-10-13T00:00:00"/>
    <x v="13"/>
    <s v="CUST-066"/>
    <s v="PROD-126"/>
    <n v="1"/>
    <n v="12308.5"/>
    <n v="10462.225"/>
    <n v="12308.5"/>
    <n v="10462.225"/>
    <n v="1846.2749999999996"/>
    <s v="Linda"/>
    <x v="0"/>
    <x v="55"/>
    <x v="0"/>
    <n v="20"/>
    <x v="1"/>
    <x v="9"/>
    <x v="5"/>
  </r>
  <r>
    <s v="ORD-1727"/>
    <d v="2025-12-26T00:00:00"/>
    <x v="8"/>
    <s v="CUST-149"/>
    <s v="PROD-126"/>
    <n v="6"/>
    <n v="14127.4"/>
    <n v="12008.29"/>
    <n v="84764.4"/>
    <n v="72049.740000000005"/>
    <n v="12714.659999999989"/>
    <s v="Aaron"/>
    <x v="3"/>
    <x v="53"/>
    <x v="0"/>
    <n v="54"/>
    <x v="0"/>
    <x v="9"/>
    <x v="5"/>
  </r>
  <r>
    <s v="ORD-1728"/>
    <d v="2025-12-22T00:00:00"/>
    <x v="8"/>
    <s v="CUST-049"/>
    <s v="PROD-124"/>
    <n v="8"/>
    <n v="6176.5"/>
    <n v="5250.0249999999996"/>
    <n v="49412"/>
    <n v="42000.2"/>
    <n v="7411.8000000000029"/>
    <s v="Linda"/>
    <x v="2"/>
    <x v="38"/>
    <x v="1"/>
    <n v="36"/>
    <x v="0"/>
    <x v="5"/>
    <x v="0"/>
  </r>
  <r>
    <s v="ORD-1729"/>
    <d v="2025-12-09T00:00:00"/>
    <x v="7"/>
    <s v="CUST-123"/>
    <s v="PROD-115"/>
    <n v="2"/>
    <n v="4335"/>
    <n v="3684.75"/>
    <n v="8670"/>
    <n v="7369.5"/>
    <n v="1300.5"/>
    <s v="Douglas"/>
    <x v="1"/>
    <x v="28"/>
    <x v="0"/>
    <n v="20"/>
    <x v="1"/>
    <x v="10"/>
    <x v="1"/>
  </r>
  <r>
    <s v="ORD-1730"/>
    <d v="2025-12-01T00:00:00"/>
    <x v="10"/>
    <s v="CUST-044"/>
    <s v="PROD-106"/>
    <n v="9"/>
    <n v="8100.5"/>
    <n v="6885.4250000000002"/>
    <n v="72904.5"/>
    <n v="61968.825000000004"/>
    <n v="10935.674999999996"/>
    <s v="Caroline"/>
    <x v="5"/>
    <x v="28"/>
    <x v="0"/>
    <n v="31"/>
    <x v="1"/>
    <x v="6"/>
    <x v="4"/>
  </r>
  <r>
    <s v="ORD-1731"/>
    <d v="2025-11-24T00:00:00"/>
    <x v="0"/>
    <s v="CUST-033"/>
    <s v="PROD-117"/>
    <n v="9"/>
    <n v="927.90000000000009"/>
    <n v="788.71500000000015"/>
    <n v="8351.1"/>
    <n v="7098.4350000000013"/>
    <n v="1252.6649999999991"/>
    <s v="Sean"/>
    <x v="5"/>
    <x v="29"/>
    <x v="0"/>
    <n v="19"/>
    <x v="1"/>
    <x v="23"/>
    <x v="0"/>
  </r>
  <r>
    <s v="ORD-1732"/>
    <d v="2025-11-03T00:00:00"/>
    <x v="5"/>
    <s v="CUST-014"/>
    <s v="PROD-129"/>
    <n v="4"/>
    <n v="10863.3"/>
    <n v="9233.8050000000003"/>
    <n v="43453.2"/>
    <n v="36935.22"/>
    <n v="6517.9799999999959"/>
    <s v="Katie"/>
    <x v="4"/>
    <x v="34"/>
    <x v="1"/>
    <n v="27"/>
    <x v="1"/>
    <x v="21"/>
    <x v="5"/>
  </r>
  <r>
    <s v="ORD-1733"/>
    <d v="2025-12-20T00:00:00"/>
    <x v="4"/>
    <s v="CUST-120"/>
    <s v="PROD-102"/>
    <n v="7"/>
    <n v="18110.2"/>
    <n v="15393.67"/>
    <n v="126771.40000000001"/>
    <n v="107755.69"/>
    <n v="19015.710000000006"/>
    <s v="Ethan"/>
    <x v="0"/>
    <x v="95"/>
    <x v="1"/>
    <n v="18"/>
    <x v="1"/>
    <x v="20"/>
    <x v="3"/>
  </r>
  <r>
    <s v="ORD-1734"/>
    <d v="2025-10-25T00:00:00"/>
    <x v="9"/>
    <s v="CUST-087"/>
    <s v="PROD-132"/>
    <n v="8"/>
    <n v="7613.0999999999995"/>
    <n v="6471.1349999999993"/>
    <n v="60904.799999999996"/>
    <n v="51769.079999999994"/>
    <n v="9135.7200000000012"/>
    <s v="Tara"/>
    <x v="0"/>
    <x v="105"/>
    <x v="1"/>
    <n v="53"/>
    <x v="0"/>
    <x v="26"/>
    <x v="2"/>
  </r>
  <r>
    <s v="ORD-1735"/>
    <d v="2025-12-10T00:00:00"/>
    <x v="7"/>
    <s v="CUST-139"/>
    <s v="PROD-121"/>
    <n v="10"/>
    <n v="16479.900000000001"/>
    <n v="14007.915000000001"/>
    <n v="164799"/>
    <n v="140079.15000000002"/>
    <n v="24719.849999999977"/>
    <s v="Douglas"/>
    <x v="1"/>
    <x v="57"/>
    <x v="1"/>
    <n v="20"/>
    <x v="1"/>
    <x v="8"/>
    <x v="0"/>
  </r>
  <r>
    <s v="ORD-1736"/>
    <d v="2025-12-18T00:00:00"/>
    <x v="4"/>
    <s v="CUST-056"/>
    <s v="PROD-121"/>
    <n v="3"/>
    <n v="1324.5"/>
    <n v="1125.825"/>
    <n v="3973.5"/>
    <n v="3377.4750000000004"/>
    <n v="596.02499999999964"/>
    <s v="Joshua"/>
    <x v="1"/>
    <x v="1"/>
    <x v="0"/>
    <n v="55"/>
    <x v="0"/>
    <x v="8"/>
    <x v="0"/>
  </r>
  <r>
    <s v="ORD-1737"/>
    <d v="2025-11-27T00:00:00"/>
    <x v="0"/>
    <s v="CUST-108"/>
    <s v="PROD-130"/>
    <n v="6"/>
    <n v="15448.4"/>
    <n v="13131.14"/>
    <n v="92690.4"/>
    <n v="78786.84"/>
    <n v="13903.559999999998"/>
    <s v="Linda"/>
    <x v="5"/>
    <x v="30"/>
    <x v="0"/>
    <n v="42"/>
    <x v="0"/>
    <x v="29"/>
    <x v="2"/>
  </r>
  <r>
    <s v="ORD-1738"/>
    <d v="2025-11-23T00:00:00"/>
    <x v="0"/>
    <s v="CUST-136"/>
    <s v="PROD-121"/>
    <n v="7"/>
    <n v="8704.2999999999993"/>
    <n v="7398.6549999999997"/>
    <n v="60930.099999999991"/>
    <n v="51790.584999999999"/>
    <n v="9139.5149999999921"/>
    <s v="Kayla"/>
    <x v="2"/>
    <x v="24"/>
    <x v="0"/>
    <n v="34"/>
    <x v="1"/>
    <x v="8"/>
    <x v="0"/>
  </r>
  <r>
    <s v="ORD-1739"/>
    <d v="2025-10-20T00:00:00"/>
    <x v="9"/>
    <s v="CUST-055"/>
    <s v="PROD-121"/>
    <n v="6"/>
    <n v="3547.9"/>
    <n v="3015.7150000000001"/>
    <n v="21287.4"/>
    <n v="18094.29"/>
    <n v="3193.1100000000006"/>
    <s v="Thomas"/>
    <x v="0"/>
    <x v="16"/>
    <x v="0"/>
    <n v="24"/>
    <x v="1"/>
    <x v="8"/>
    <x v="0"/>
  </r>
  <r>
    <s v="ORD-1740"/>
    <d v="2025-12-12T00:00:00"/>
    <x v="7"/>
    <s v="CUST-039"/>
    <s v="PROD-104"/>
    <n v="1"/>
    <n v="13105.1"/>
    <n v="11139.335000000001"/>
    <n v="13105.1"/>
    <n v="11139.335000000001"/>
    <n v="1965.7649999999994"/>
    <s v="Timothy"/>
    <x v="2"/>
    <x v="80"/>
    <x v="0"/>
    <n v="51"/>
    <x v="0"/>
    <x v="4"/>
    <x v="3"/>
  </r>
  <r>
    <s v="ORD-1741"/>
    <d v="2025-10-18T00:00:00"/>
    <x v="13"/>
    <s v="CUST-078"/>
    <s v="PROD-128"/>
    <n v="3"/>
    <n v="9276.9000000000015"/>
    <n v="7885.3650000000016"/>
    <n v="27830.700000000004"/>
    <n v="23656.095000000005"/>
    <n v="4174.6049999999996"/>
    <s v="Andrea"/>
    <x v="4"/>
    <x v="43"/>
    <x v="0"/>
    <n v="25"/>
    <x v="1"/>
    <x v="15"/>
    <x v="5"/>
  </r>
  <r>
    <s v="ORD-1742"/>
    <d v="2025-10-07T00:00:00"/>
    <x v="1"/>
    <s v="CUST-018"/>
    <s v="PROD-105"/>
    <n v="8"/>
    <n v="13237.2"/>
    <n v="11251.62"/>
    <n v="105897.60000000001"/>
    <n v="90012.96"/>
    <n v="15884.64"/>
    <s v="Aaron"/>
    <x v="0"/>
    <x v="103"/>
    <x v="0"/>
    <n v="35"/>
    <x v="0"/>
    <x v="3"/>
    <x v="3"/>
  </r>
  <r>
    <s v="ORD-1743"/>
    <d v="2025-11-06T00:00:00"/>
    <x v="5"/>
    <s v="CUST-132"/>
    <s v="PROD-126"/>
    <n v="9"/>
    <n v="17426.099999999999"/>
    <n v="14812.184999999999"/>
    <n v="156834.9"/>
    <n v="133309.66500000001"/>
    <n v="23525.234999999986"/>
    <s v="Keith"/>
    <x v="1"/>
    <x v="90"/>
    <x v="1"/>
    <n v="27"/>
    <x v="1"/>
    <x v="9"/>
    <x v="5"/>
  </r>
  <r>
    <s v="ORD-1744"/>
    <d v="2025-11-10T00:00:00"/>
    <x v="12"/>
    <s v="CUST-016"/>
    <s v="PROD-103"/>
    <n v="1"/>
    <n v="2626.3"/>
    <n v="2232.355"/>
    <n v="2626.3"/>
    <n v="2232.355"/>
    <n v="393.94500000000016"/>
    <s v="Anna"/>
    <x v="1"/>
    <x v="26"/>
    <x v="1"/>
    <n v="26"/>
    <x v="1"/>
    <x v="28"/>
    <x v="3"/>
  </r>
  <r>
    <s v="ORD-1745"/>
    <d v="2025-12-22T00:00:00"/>
    <x v="8"/>
    <s v="CUST-062"/>
    <s v="PROD-101"/>
    <n v="10"/>
    <n v="16608.800000000003"/>
    <n v="14117.480000000003"/>
    <n v="166088.00000000003"/>
    <n v="141174.80000000005"/>
    <n v="24913.199999999983"/>
    <s v="Keith"/>
    <x v="3"/>
    <x v="61"/>
    <x v="0"/>
    <n v="20"/>
    <x v="1"/>
    <x v="16"/>
    <x v="3"/>
  </r>
  <r>
    <s v="ORD-1746"/>
    <d v="2025-10-14T00:00:00"/>
    <x v="13"/>
    <s v="CUST-036"/>
    <s v="PROD-129"/>
    <n v="1"/>
    <n v="1943.8999999999999"/>
    <n v="1652.3149999999998"/>
    <n v="1943.8999999999999"/>
    <n v="1652.3149999999998"/>
    <n v="291.58500000000004"/>
    <s v="Katie"/>
    <x v="4"/>
    <x v="44"/>
    <x v="1"/>
    <n v="52"/>
    <x v="0"/>
    <x v="21"/>
    <x v="5"/>
  </r>
  <r>
    <s v="ORD-1747"/>
    <d v="2025-12-03T00:00:00"/>
    <x v="10"/>
    <s v="CUST-038"/>
    <s v="PROD-131"/>
    <n v="9"/>
    <n v="17531.199999999997"/>
    <n v="14901.519999999997"/>
    <n v="157780.79999999999"/>
    <n v="134113.67999999996"/>
    <n v="23667.120000000024"/>
    <s v="Aaron"/>
    <x v="1"/>
    <x v="59"/>
    <x v="0"/>
    <n v="32"/>
    <x v="1"/>
    <x v="2"/>
    <x v="2"/>
  </r>
  <r>
    <s v="ORD-1748"/>
    <d v="2025-12-08T00:00:00"/>
    <x v="7"/>
    <s v="CUST-094"/>
    <s v="PROD-103"/>
    <n v="8"/>
    <n v="3644.1000000000004"/>
    <n v="3097.4850000000006"/>
    <n v="29152.800000000003"/>
    <n v="24779.880000000005"/>
    <n v="4372.9199999999983"/>
    <s v="Timothy"/>
    <x v="3"/>
    <x v="21"/>
    <x v="1"/>
    <n v="40"/>
    <x v="0"/>
    <x v="28"/>
    <x v="3"/>
  </r>
  <r>
    <s v="ORD-1749"/>
    <d v="2025-12-05T00:00:00"/>
    <x v="10"/>
    <s v="CUST-095"/>
    <s v="PROD-130"/>
    <n v="5"/>
    <n v="7277.9"/>
    <n v="6186.2150000000001"/>
    <n v="36389.5"/>
    <n v="30931.075000000001"/>
    <n v="5458.4249999999993"/>
    <s v="Jasmine"/>
    <x v="1"/>
    <x v="2"/>
    <x v="1"/>
    <n v="39"/>
    <x v="0"/>
    <x v="29"/>
    <x v="2"/>
  </r>
  <r>
    <s v="ORD-1750"/>
    <d v="2025-12-05T00:00:00"/>
    <x v="10"/>
    <s v="CUST-056"/>
    <s v="PROD-131"/>
    <n v="3"/>
    <n v="14565.699999999999"/>
    <n v="12380.844999999999"/>
    <n v="43697.1"/>
    <n v="37142.534999999996"/>
    <n v="6554.5650000000023"/>
    <s v="Tara"/>
    <x v="1"/>
    <x v="1"/>
    <x v="0"/>
    <n v="55"/>
    <x v="0"/>
    <x v="2"/>
    <x v="2"/>
  </r>
  <r>
    <s v="ORD-1751"/>
    <d v="2025-11-19T00:00:00"/>
    <x v="6"/>
    <s v="CUST-024"/>
    <s v="PROD-131"/>
    <n v="9"/>
    <n v="18679"/>
    <n v="15877.15"/>
    <n v="168111"/>
    <n v="142894.35"/>
    <n v="25216.649999999994"/>
    <s v="Jonathan"/>
    <x v="1"/>
    <x v="78"/>
    <x v="1"/>
    <n v="31"/>
    <x v="1"/>
    <x v="2"/>
    <x v="2"/>
  </r>
  <r>
    <s v="ORD-1752"/>
    <d v="2025-10-17T00:00:00"/>
    <x v="13"/>
    <s v="CUST-052"/>
    <s v="PROD-130"/>
    <n v="6"/>
    <n v="13533.199999999999"/>
    <n v="11503.22"/>
    <n v="81199.199999999997"/>
    <n v="69019.319999999992"/>
    <n v="12179.880000000005"/>
    <s v="Douglas"/>
    <x v="1"/>
    <x v="8"/>
    <x v="1"/>
    <n v="28"/>
    <x v="1"/>
    <x v="29"/>
    <x v="2"/>
  </r>
  <r>
    <s v="ORD-1753"/>
    <d v="2025-11-05T00:00:00"/>
    <x v="5"/>
    <s v="CUST-036"/>
    <s v="PROD-104"/>
    <n v="7"/>
    <n v="16552.099999999999"/>
    <n v="14069.285"/>
    <n v="115864.69999999998"/>
    <n v="98484.994999999995"/>
    <n v="17379.704999999987"/>
    <s v="Cheyenne"/>
    <x v="4"/>
    <x v="44"/>
    <x v="1"/>
    <n v="52"/>
    <x v="0"/>
    <x v="4"/>
    <x v="3"/>
  </r>
  <r>
    <s v="ORD-1754"/>
    <d v="2025-12-02T00:00:00"/>
    <x v="10"/>
    <s v="CUST-028"/>
    <s v="PROD-102"/>
    <n v="9"/>
    <n v="1088.5999999999999"/>
    <n v="925.31"/>
    <n v="9797.4"/>
    <n v="8327.7899999999991"/>
    <n v="1469.6100000000006"/>
    <s v="Katie"/>
    <x v="2"/>
    <x v="98"/>
    <x v="1"/>
    <n v="33"/>
    <x v="1"/>
    <x v="20"/>
    <x v="3"/>
  </r>
  <r>
    <s v="ORD-1755"/>
    <d v="2025-12-24T00:00:00"/>
    <x v="8"/>
    <s v="CUST-050"/>
    <s v="PROD-119"/>
    <n v="7"/>
    <n v="19405.7"/>
    <n v="16494.845000000001"/>
    <n v="135839.9"/>
    <n v="115463.91500000001"/>
    <n v="20375.984999999986"/>
    <s v="Ethan"/>
    <x v="0"/>
    <x v="83"/>
    <x v="0"/>
    <n v="35"/>
    <x v="0"/>
    <x v="33"/>
    <x v="0"/>
  </r>
  <r>
    <s v="ORD-1756"/>
    <d v="2025-12-08T00:00:00"/>
    <x v="7"/>
    <s v="CUST-149"/>
    <s v="PROD-134"/>
    <n v="1"/>
    <n v="5878"/>
    <n v="4996.3"/>
    <n v="5878"/>
    <n v="4996.3"/>
    <n v="881.69999999999982"/>
    <s v="Tracey"/>
    <x v="3"/>
    <x v="53"/>
    <x v="0"/>
    <n v="54"/>
    <x v="0"/>
    <x v="7"/>
    <x v="2"/>
  </r>
  <r>
    <s v="ORD-1757"/>
    <d v="2025-12-04T00:00:00"/>
    <x v="10"/>
    <s v="CUST-028"/>
    <s v="PROD-108"/>
    <n v="2"/>
    <n v="13272.2"/>
    <n v="11281.37"/>
    <n v="26544.400000000001"/>
    <n v="22562.74"/>
    <n v="3981.66"/>
    <s v="Caroline"/>
    <x v="2"/>
    <x v="98"/>
    <x v="1"/>
    <n v="33"/>
    <x v="1"/>
    <x v="27"/>
    <x v="4"/>
  </r>
  <r>
    <s v="ORD-1758"/>
    <d v="2025-10-18T00:00:00"/>
    <x v="13"/>
    <s v="CUST-095"/>
    <s v="PROD-104"/>
    <n v="3"/>
    <n v="6691.5"/>
    <n v="5687.7749999999996"/>
    <n v="20074.5"/>
    <n v="17063.324999999997"/>
    <n v="3011.1750000000029"/>
    <s v="Lisa"/>
    <x v="1"/>
    <x v="2"/>
    <x v="1"/>
    <n v="39"/>
    <x v="0"/>
    <x v="4"/>
    <x v="3"/>
  </r>
  <r>
    <s v="ORD-1759"/>
    <d v="2025-11-30T00:00:00"/>
    <x v="10"/>
    <s v="CUST-141"/>
    <s v="PROD-110"/>
    <n v="7"/>
    <n v="8496.6999999999989"/>
    <n v="7222.1949999999988"/>
    <n v="59476.899999999994"/>
    <n v="50555.364999999991"/>
    <n v="8921.5350000000035"/>
    <s v="Joshua"/>
    <x v="5"/>
    <x v="12"/>
    <x v="1"/>
    <n v="49"/>
    <x v="0"/>
    <x v="14"/>
    <x v="4"/>
  </r>
  <r>
    <s v="ORD-1760"/>
    <d v="2025-10-12T00:00:00"/>
    <x v="13"/>
    <s v="CUST-036"/>
    <s v="PROD-126"/>
    <n v="5"/>
    <n v="6338.5"/>
    <n v="5387.7250000000004"/>
    <n v="31692.5"/>
    <n v="26938.625"/>
    <n v="4753.875"/>
    <s v="Jonathan"/>
    <x v="4"/>
    <x v="44"/>
    <x v="1"/>
    <n v="52"/>
    <x v="0"/>
    <x v="9"/>
    <x v="5"/>
  </r>
  <r>
    <s v="ORD-1761"/>
    <d v="2025-10-31T00:00:00"/>
    <x v="3"/>
    <s v="CUST-115"/>
    <s v="PROD-107"/>
    <n v="2"/>
    <n v="19507.400000000001"/>
    <n v="16581.29"/>
    <n v="39014.800000000003"/>
    <n v="33162.58"/>
    <n v="5852.2200000000012"/>
    <s v="Daniel"/>
    <x v="0"/>
    <x v="87"/>
    <x v="0"/>
    <n v="31"/>
    <x v="1"/>
    <x v="12"/>
    <x v="4"/>
  </r>
  <r>
    <s v="ORD-1762"/>
    <d v="2025-12-31T00:00:00"/>
    <x v="2"/>
    <s v="CUST-135"/>
    <s v="PROD-118"/>
    <n v="4"/>
    <n v="13948.699999999999"/>
    <n v="11856.394999999999"/>
    <n v="55794.799999999996"/>
    <n v="47425.579999999994"/>
    <n v="8369.2200000000012"/>
    <s v="Victoria"/>
    <x v="1"/>
    <x v="101"/>
    <x v="0"/>
    <n v="23"/>
    <x v="1"/>
    <x v="25"/>
    <x v="0"/>
  </r>
  <r>
    <s v="ORD-1763"/>
    <d v="2025-11-08T00:00:00"/>
    <x v="5"/>
    <s v="CUST-097"/>
    <s v="PROD-123"/>
    <n v="5"/>
    <n v="14214.1"/>
    <n v="12081.985000000001"/>
    <n v="71070.5"/>
    <n v="60409.925000000003"/>
    <n v="10660.574999999997"/>
    <s v="Katie"/>
    <x v="5"/>
    <x v="1"/>
    <x v="0"/>
    <n v="23"/>
    <x v="1"/>
    <x v="32"/>
    <x v="0"/>
  </r>
  <r>
    <s v="ORD-1764"/>
    <d v="2025-10-10T00:00:00"/>
    <x v="1"/>
    <s v="CUST-091"/>
    <s v="PROD-112"/>
    <n v="3"/>
    <n v="3677.3"/>
    <n v="3125.7049999999999"/>
    <n v="11031.900000000001"/>
    <n v="9377.1149999999998"/>
    <n v="1654.7850000000017"/>
    <s v="Daniel"/>
    <x v="1"/>
    <x v="102"/>
    <x v="0"/>
    <n v="44"/>
    <x v="0"/>
    <x v="1"/>
    <x v="1"/>
  </r>
  <r>
    <s v="ORD-1765"/>
    <d v="2025-12-12T00:00:00"/>
    <x v="7"/>
    <s v="CUST-079"/>
    <s v="PROD-123"/>
    <n v="8"/>
    <n v="15971.199999999999"/>
    <n v="13575.519999999999"/>
    <n v="127769.59999999999"/>
    <n v="108604.15999999999"/>
    <n v="19165.440000000002"/>
    <s v="Tara"/>
    <x v="1"/>
    <x v="97"/>
    <x v="0"/>
    <n v="50"/>
    <x v="0"/>
    <x v="32"/>
    <x v="0"/>
  </r>
  <r>
    <s v="ORD-1766"/>
    <d v="2025-11-14T00:00:00"/>
    <x v="12"/>
    <s v="CUST-066"/>
    <s v="PROD-127"/>
    <n v="9"/>
    <n v="7497.9"/>
    <n v="6373.2150000000001"/>
    <n v="67481.099999999991"/>
    <n v="57358.934999999998"/>
    <n v="10122.164999999994"/>
    <s v="Sean"/>
    <x v="0"/>
    <x v="55"/>
    <x v="0"/>
    <n v="20"/>
    <x v="1"/>
    <x v="17"/>
    <x v="5"/>
  </r>
  <r>
    <s v="ORD-1767"/>
    <d v="2025-10-21T00:00:00"/>
    <x v="9"/>
    <s v="CUST-050"/>
    <s v="PROD-127"/>
    <n v="5"/>
    <n v="5828.3"/>
    <n v="4954.0550000000003"/>
    <n v="29141.5"/>
    <n v="24770.275000000001"/>
    <n v="4371.2249999999985"/>
    <s v="Sean"/>
    <x v="0"/>
    <x v="83"/>
    <x v="0"/>
    <n v="35"/>
    <x v="0"/>
    <x v="17"/>
    <x v="5"/>
  </r>
  <r>
    <s v="ORD-1768"/>
    <d v="2025-12-05T00:00:00"/>
    <x v="10"/>
    <s v="CUST-082"/>
    <s v="PROD-132"/>
    <n v="8"/>
    <n v="17776.199999999997"/>
    <n v="15109.769999999997"/>
    <n v="142209.59999999998"/>
    <n v="120878.15999999997"/>
    <n v="21331.440000000002"/>
    <s v="Aaron"/>
    <x v="0"/>
    <x v="73"/>
    <x v="0"/>
    <n v="18"/>
    <x v="1"/>
    <x v="26"/>
    <x v="2"/>
  </r>
  <r>
    <s v="ORD-1769"/>
    <d v="2025-12-14T00:00:00"/>
    <x v="4"/>
    <s v="CUST-047"/>
    <s v="PROD-132"/>
    <n v="7"/>
    <n v="11138.599999999999"/>
    <n v="9467.81"/>
    <n v="77970.199999999983"/>
    <n v="66274.67"/>
    <n v="11695.529999999984"/>
    <s v="Lori"/>
    <x v="1"/>
    <x v="29"/>
    <x v="0"/>
    <n v="55"/>
    <x v="0"/>
    <x v="26"/>
    <x v="2"/>
  </r>
  <r>
    <s v="ORD-1770"/>
    <d v="2025-10-04T00:00:00"/>
    <x v="11"/>
    <s v="CUST-145"/>
    <s v="PROD-107"/>
    <n v="5"/>
    <n v="2700"/>
    <n v="2295"/>
    <n v="13500"/>
    <n v="11475"/>
    <n v="2025"/>
    <s v="Daniel"/>
    <x v="1"/>
    <x v="83"/>
    <x v="0"/>
    <n v="31"/>
    <x v="1"/>
    <x v="12"/>
    <x v="4"/>
  </r>
  <r>
    <s v="ORD-1771"/>
    <d v="2025-11-11T00:00:00"/>
    <x v="12"/>
    <s v="CUST-102"/>
    <s v="PROD-128"/>
    <n v="3"/>
    <n v="16466.400000000001"/>
    <n v="13996.440000000002"/>
    <n v="49399.200000000004"/>
    <n v="41989.320000000007"/>
    <n v="7409.8799999999974"/>
    <s v="Kayla"/>
    <x v="1"/>
    <x v="40"/>
    <x v="1"/>
    <n v="27"/>
    <x v="1"/>
    <x v="15"/>
    <x v="5"/>
  </r>
  <r>
    <s v="ORD-1772"/>
    <d v="2025-12-04T00:00:00"/>
    <x v="10"/>
    <s v="CUST-044"/>
    <s v="PROD-134"/>
    <n v="5"/>
    <n v="1333.8999999999999"/>
    <n v="1133.8149999999998"/>
    <n v="6669.4999999999991"/>
    <n v="5669.0749999999989"/>
    <n v="1000.4250000000002"/>
    <s v="Jasmine"/>
    <x v="5"/>
    <x v="28"/>
    <x v="0"/>
    <n v="31"/>
    <x v="1"/>
    <x v="7"/>
    <x v="2"/>
  </r>
  <r>
    <s v="ORD-1773"/>
    <d v="2025-10-24T00:00:00"/>
    <x v="9"/>
    <s v="CUST-065"/>
    <s v="PROD-115"/>
    <n v="10"/>
    <n v="1981.5"/>
    <n v="1684.2750000000001"/>
    <n v="19815"/>
    <n v="16842.75"/>
    <n v="2972.25"/>
    <s v="Sean"/>
    <x v="5"/>
    <x v="42"/>
    <x v="0"/>
    <n v="23"/>
    <x v="1"/>
    <x v="10"/>
    <x v="1"/>
  </r>
  <r>
    <s v="ORD-1774"/>
    <d v="2025-11-25T00:00:00"/>
    <x v="0"/>
    <s v="CUST-145"/>
    <s v="PROD-120"/>
    <n v="6"/>
    <n v="14836.099999999999"/>
    <n v="12610.684999999999"/>
    <n v="89016.599999999991"/>
    <n v="75664.11"/>
    <n v="13352.489999999991"/>
    <s v="Linda"/>
    <x v="1"/>
    <x v="83"/>
    <x v="0"/>
    <n v="31"/>
    <x v="1"/>
    <x v="0"/>
    <x v="0"/>
  </r>
  <r>
    <s v="ORD-1775"/>
    <d v="2025-11-09T00:00:00"/>
    <x v="12"/>
    <s v="CUST-033"/>
    <s v="PROD-122"/>
    <n v="7"/>
    <n v="1143.3"/>
    <n v="971.80499999999995"/>
    <n v="8003.0999999999995"/>
    <n v="6802.6349999999993"/>
    <n v="1200.4650000000001"/>
    <s v="Joshua"/>
    <x v="5"/>
    <x v="29"/>
    <x v="0"/>
    <n v="19"/>
    <x v="1"/>
    <x v="11"/>
    <x v="0"/>
  </r>
  <r>
    <s v="ORD-1776"/>
    <d v="2025-12-29T00:00:00"/>
    <x v="2"/>
    <s v="CUST-104"/>
    <s v="PROD-128"/>
    <n v="1"/>
    <n v="19724.2"/>
    <n v="16765.57"/>
    <n v="19724.2"/>
    <n v="16765.57"/>
    <n v="2958.630000000001"/>
    <s v="Jennifer"/>
    <x v="0"/>
    <x v="91"/>
    <x v="1"/>
    <n v="32"/>
    <x v="1"/>
    <x v="15"/>
    <x v="5"/>
  </r>
  <r>
    <s v="ORD-1777"/>
    <d v="2025-11-20T00:00:00"/>
    <x v="6"/>
    <s v="CUST-078"/>
    <s v="PROD-107"/>
    <n v="9"/>
    <n v="11726.800000000001"/>
    <n v="9967.7800000000007"/>
    <n v="105541.20000000001"/>
    <n v="89710.02"/>
    <n v="15831.180000000008"/>
    <s v="Patrick"/>
    <x v="4"/>
    <x v="43"/>
    <x v="0"/>
    <n v="25"/>
    <x v="1"/>
    <x v="12"/>
    <x v="4"/>
  </r>
  <r>
    <s v="ORD-1778"/>
    <d v="2025-11-21T00:00:00"/>
    <x v="6"/>
    <s v="CUST-060"/>
    <s v="PROD-134"/>
    <n v="9"/>
    <n v="16132.6"/>
    <n v="13712.710000000001"/>
    <n v="145193.4"/>
    <n v="123414.39000000001"/>
    <n v="21779.00999999998"/>
    <s v="Linda"/>
    <x v="2"/>
    <x v="7"/>
    <x v="0"/>
    <n v="20"/>
    <x v="1"/>
    <x v="7"/>
    <x v="2"/>
  </r>
  <r>
    <s v="ORD-1779"/>
    <d v="2025-10-07T00:00:00"/>
    <x v="1"/>
    <s v="CUST-057"/>
    <s v="PROD-108"/>
    <n v="3"/>
    <n v="11282.3"/>
    <n v="9589.9549999999999"/>
    <n v="33846.899999999994"/>
    <n v="28769.864999999998"/>
    <n v="5077.0349999999962"/>
    <s v="David"/>
    <x v="4"/>
    <x v="49"/>
    <x v="1"/>
    <n v="26"/>
    <x v="1"/>
    <x v="27"/>
    <x v="4"/>
  </r>
  <r>
    <s v="ORD-1780"/>
    <d v="2025-11-24T00:00:00"/>
    <x v="0"/>
    <s v="CUST-138"/>
    <s v="PROD-106"/>
    <n v="8"/>
    <n v="7732"/>
    <n v="6572.2"/>
    <n v="61856"/>
    <n v="52577.599999999999"/>
    <n v="9278.4000000000015"/>
    <s v="Kayla"/>
    <x v="3"/>
    <x v="22"/>
    <x v="1"/>
    <n v="27"/>
    <x v="1"/>
    <x v="6"/>
    <x v="4"/>
  </r>
  <r>
    <s v="ORD-1781"/>
    <d v="2025-11-08T00:00:00"/>
    <x v="5"/>
    <s v="CUST-056"/>
    <s v="PROD-129"/>
    <n v="3"/>
    <n v="1582.4"/>
    <n v="1345.04"/>
    <n v="4747.2000000000007"/>
    <n v="4035.12"/>
    <n v="712.08000000000084"/>
    <s v="Linda"/>
    <x v="1"/>
    <x v="1"/>
    <x v="0"/>
    <n v="55"/>
    <x v="0"/>
    <x v="21"/>
    <x v="5"/>
  </r>
  <r>
    <s v="ORD-1782"/>
    <d v="2025-10-21T00:00:00"/>
    <x v="9"/>
    <s v="CUST-105"/>
    <s v="PROD-134"/>
    <n v="4"/>
    <n v="4613.8999999999996"/>
    <n v="3921.8149999999996"/>
    <n v="18455.599999999999"/>
    <n v="15687.259999999998"/>
    <n v="2768.34"/>
    <s v="Daniel"/>
    <x v="3"/>
    <x v="31"/>
    <x v="0"/>
    <n v="30"/>
    <x v="1"/>
    <x v="7"/>
    <x v="2"/>
  </r>
  <r>
    <s v="ORD-1783"/>
    <d v="2025-12-12T00:00:00"/>
    <x v="7"/>
    <s v="CUST-090"/>
    <s v="PROD-130"/>
    <n v="10"/>
    <n v="6132.7"/>
    <n v="5212.7950000000001"/>
    <n v="61327"/>
    <n v="52127.95"/>
    <n v="9199.0500000000029"/>
    <s v="Victoria"/>
    <x v="1"/>
    <x v="16"/>
    <x v="0"/>
    <n v="29"/>
    <x v="1"/>
    <x v="29"/>
    <x v="2"/>
  </r>
  <r>
    <s v="ORD-1784"/>
    <d v="2025-12-07T00:00:00"/>
    <x v="7"/>
    <s v="CUST-104"/>
    <s v="PROD-131"/>
    <n v="4"/>
    <n v="11724.8"/>
    <n v="9966.08"/>
    <n v="46899.199999999997"/>
    <n v="39864.32"/>
    <n v="7034.8799999999974"/>
    <s v="Aaron"/>
    <x v="0"/>
    <x v="91"/>
    <x v="1"/>
    <n v="32"/>
    <x v="1"/>
    <x v="2"/>
    <x v="2"/>
  </r>
  <r>
    <s v="ORD-1785"/>
    <d v="2025-11-05T00:00:00"/>
    <x v="5"/>
    <s v="CUST-015"/>
    <s v="PROD-134"/>
    <n v="5"/>
    <n v="6084.5"/>
    <n v="5171.8249999999998"/>
    <n v="30422.5"/>
    <n v="25859.125"/>
    <n v="4563.375"/>
    <s v="Linda"/>
    <x v="1"/>
    <x v="88"/>
    <x v="0"/>
    <n v="40"/>
    <x v="0"/>
    <x v="7"/>
    <x v="2"/>
  </r>
  <r>
    <s v="ORD-1786"/>
    <d v="2025-10-25T00:00:00"/>
    <x v="9"/>
    <s v="CUST-070"/>
    <s v="PROD-133"/>
    <n v="6"/>
    <n v="6050"/>
    <n v="5142.5"/>
    <n v="36300"/>
    <n v="30855"/>
    <n v="5445"/>
    <s v="Ethan"/>
    <x v="1"/>
    <x v="51"/>
    <x v="1"/>
    <n v="25"/>
    <x v="1"/>
    <x v="22"/>
    <x v="2"/>
  </r>
  <r>
    <s v="ORD-1787"/>
    <d v="2025-10-05T00:00:00"/>
    <x v="1"/>
    <s v="CUST-002"/>
    <s v="PROD-125"/>
    <n v="4"/>
    <n v="2733.5"/>
    <n v="2323.4749999999999"/>
    <n v="10934"/>
    <n v="9293.9"/>
    <n v="1640.1000000000004"/>
    <s v="Tracey"/>
    <x v="1"/>
    <x v="8"/>
    <x v="1"/>
    <n v="20"/>
    <x v="1"/>
    <x v="13"/>
    <x v="0"/>
  </r>
  <r>
    <s v="ORD-1788"/>
    <d v="2025-11-21T00:00:00"/>
    <x v="6"/>
    <s v="CUST-096"/>
    <s v="PROD-129"/>
    <n v="7"/>
    <n v="19395"/>
    <n v="16485.75"/>
    <n v="135765"/>
    <n v="115400.25"/>
    <n v="20364.75"/>
    <s v="David"/>
    <x v="4"/>
    <x v="13"/>
    <x v="1"/>
    <n v="26"/>
    <x v="1"/>
    <x v="21"/>
    <x v="5"/>
  </r>
  <r>
    <s v="ORD-1789"/>
    <d v="2025-12-30T00:00:00"/>
    <x v="2"/>
    <s v="CUST-136"/>
    <s v="PROD-120"/>
    <n v="1"/>
    <n v="9789.2999999999993"/>
    <n v="8320.9049999999988"/>
    <n v="9789.2999999999993"/>
    <n v="8320.9049999999988"/>
    <n v="1468.3950000000004"/>
    <s v="Keith"/>
    <x v="2"/>
    <x v="24"/>
    <x v="0"/>
    <n v="34"/>
    <x v="1"/>
    <x v="0"/>
    <x v="0"/>
  </r>
  <r>
    <s v="ORD-1790"/>
    <d v="2025-10-15T00:00:00"/>
    <x v="13"/>
    <s v="CUST-117"/>
    <s v="PROD-131"/>
    <n v="1"/>
    <n v="2943"/>
    <n v="2501.5500000000002"/>
    <n v="2943"/>
    <n v="2501.5500000000002"/>
    <n v="441.44999999999982"/>
    <s v="Brenda"/>
    <x v="1"/>
    <x v="20"/>
    <x v="1"/>
    <n v="29"/>
    <x v="1"/>
    <x v="2"/>
    <x v="2"/>
  </r>
  <r>
    <s v="ORD-1791"/>
    <d v="2025-12-02T00:00:00"/>
    <x v="10"/>
    <s v="CUST-030"/>
    <s v="PROD-128"/>
    <n v="5"/>
    <n v="680.19999999999993"/>
    <n v="578.16999999999996"/>
    <n v="3400.9999999999995"/>
    <n v="2890.85"/>
    <n v="510.14999999999964"/>
    <s v="Timothy"/>
    <x v="3"/>
    <x v="4"/>
    <x v="1"/>
    <n v="24"/>
    <x v="1"/>
    <x v="15"/>
    <x v="5"/>
  </r>
  <r>
    <s v="ORD-1792"/>
    <d v="2025-10-26T00:00:00"/>
    <x v="3"/>
    <s v="CUST-032"/>
    <s v="PROD-105"/>
    <n v="3"/>
    <n v="4022.7"/>
    <n v="3419.2950000000001"/>
    <n v="12068.099999999999"/>
    <n v="10257.885"/>
    <n v="1810.2149999999983"/>
    <s v="Douglas"/>
    <x v="4"/>
    <x v="15"/>
    <x v="0"/>
    <n v="26"/>
    <x v="1"/>
    <x v="3"/>
    <x v="3"/>
  </r>
  <r>
    <s v="ORD-1793"/>
    <d v="2025-12-21T00:00:00"/>
    <x v="8"/>
    <s v="CUST-086"/>
    <s v="PROD-126"/>
    <n v="10"/>
    <n v="5967.3"/>
    <n v="5072.2049999999999"/>
    <n v="59673"/>
    <n v="50722.05"/>
    <n v="8950.9499999999971"/>
    <s v="Caroline"/>
    <x v="5"/>
    <x v="70"/>
    <x v="0"/>
    <n v="19"/>
    <x v="1"/>
    <x v="9"/>
    <x v="5"/>
  </r>
  <r>
    <s v="ORD-1794"/>
    <d v="2025-12-26T00:00:00"/>
    <x v="8"/>
    <s v="CUST-069"/>
    <s v="PROD-113"/>
    <n v="4"/>
    <n v="3908.8999999999996"/>
    <n v="3322.5649999999996"/>
    <n v="15635.599999999999"/>
    <n v="13290.259999999998"/>
    <n v="2345.34"/>
    <s v="Daniel"/>
    <x v="1"/>
    <x v="42"/>
    <x v="0"/>
    <n v="37"/>
    <x v="0"/>
    <x v="19"/>
    <x v="1"/>
  </r>
  <r>
    <s v="ORD-1795"/>
    <d v="2025-12-20T00:00:00"/>
    <x v="4"/>
    <s v="CUST-080"/>
    <s v="PROD-113"/>
    <n v="8"/>
    <n v="4588.8999999999996"/>
    <n v="3900.5649999999996"/>
    <n v="36711.199999999997"/>
    <n v="31204.519999999997"/>
    <n v="5506.68"/>
    <s v="Laura"/>
    <x v="1"/>
    <x v="33"/>
    <x v="1"/>
    <n v="21"/>
    <x v="1"/>
    <x v="19"/>
    <x v="1"/>
  </r>
  <r>
    <s v="ORD-1796"/>
    <d v="2025-10-09T00:00:00"/>
    <x v="1"/>
    <s v="CUST-089"/>
    <s v="PROD-106"/>
    <n v="5"/>
    <n v="9785.9"/>
    <n v="8318.0149999999994"/>
    <n v="48929.5"/>
    <n v="41590.074999999997"/>
    <n v="7339.4250000000029"/>
    <s v="Cheyenne"/>
    <x v="4"/>
    <x v="92"/>
    <x v="1"/>
    <n v="35"/>
    <x v="0"/>
    <x v="6"/>
    <x v="4"/>
  </r>
  <r>
    <s v="ORD-1797"/>
    <d v="2025-10-06T00:00:00"/>
    <x v="1"/>
    <s v="CUST-075"/>
    <s v="PROD-129"/>
    <n v="1"/>
    <n v="8986.9000000000015"/>
    <n v="7638.8650000000016"/>
    <n v="8986.9000000000015"/>
    <n v="7638.8650000000016"/>
    <n v="1348.0349999999999"/>
    <s v="Keith"/>
    <x v="5"/>
    <x v="82"/>
    <x v="0"/>
    <n v="31"/>
    <x v="1"/>
    <x v="21"/>
    <x v="5"/>
  </r>
  <r>
    <s v="ORD-1798"/>
    <d v="2025-10-28T00:00:00"/>
    <x v="3"/>
    <s v="CUST-065"/>
    <s v="PROD-107"/>
    <n v="6"/>
    <n v="8627.5"/>
    <n v="7333.375"/>
    <n v="51765"/>
    <n v="44000.25"/>
    <n v="7764.75"/>
    <s v="Daniel"/>
    <x v="5"/>
    <x v="42"/>
    <x v="0"/>
    <n v="23"/>
    <x v="1"/>
    <x v="12"/>
    <x v="4"/>
  </r>
  <r>
    <s v="ORD-1799"/>
    <d v="2025-12-08T00:00:00"/>
    <x v="7"/>
    <s v="CUST-141"/>
    <s v="PROD-106"/>
    <n v="5"/>
    <n v="7773.6"/>
    <n v="6607.56"/>
    <n v="38868"/>
    <n v="33037.800000000003"/>
    <n v="5830.1999999999971"/>
    <s v="Joshua"/>
    <x v="5"/>
    <x v="12"/>
    <x v="1"/>
    <n v="49"/>
    <x v="0"/>
    <x v="6"/>
    <x v="4"/>
  </r>
  <r>
    <s v="ORD-1800"/>
    <d v="2025-10-25T00:00:00"/>
    <x v="9"/>
    <s v="CUST-041"/>
    <s v="PROD-107"/>
    <n v="9"/>
    <n v="3251.2"/>
    <n v="2763.52"/>
    <n v="29260.799999999999"/>
    <n v="24871.68"/>
    <n v="4389.119999999999"/>
    <s v="Victoria"/>
    <x v="3"/>
    <x v="19"/>
    <x v="0"/>
    <n v="20"/>
    <x v="1"/>
    <x v="12"/>
    <x v="4"/>
  </r>
  <r>
    <s v="ORD-1801"/>
    <d v="2025-12-10T00:00:00"/>
    <x v="7"/>
    <s v="CUST-040"/>
    <s v="PROD-104"/>
    <n v="4"/>
    <n v="8476.7999999999993"/>
    <n v="7205.28"/>
    <n v="33907.199999999997"/>
    <n v="28821.119999999999"/>
    <n v="5086.0799999999981"/>
    <s v="Thomas"/>
    <x v="0"/>
    <x v="72"/>
    <x v="0"/>
    <n v="52"/>
    <x v="0"/>
    <x v="4"/>
    <x v="3"/>
  </r>
  <r>
    <s v="ORD-1802"/>
    <d v="2025-12-28T00:00:00"/>
    <x v="2"/>
    <s v="CUST-074"/>
    <s v="PROD-116"/>
    <n v="8"/>
    <n v="15481.5"/>
    <n v="13159.275"/>
    <n v="123852"/>
    <n v="105274.2"/>
    <n v="18577.800000000003"/>
    <s v="Lori"/>
    <x v="1"/>
    <x v="47"/>
    <x v="0"/>
    <n v="32"/>
    <x v="1"/>
    <x v="24"/>
    <x v="1"/>
  </r>
  <r>
    <s v="ORD-1803"/>
    <d v="2025-12-23T00:00:00"/>
    <x v="8"/>
    <s v="CUST-037"/>
    <s v="PROD-113"/>
    <n v="1"/>
    <n v="15793.5"/>
    <n v="13424.475"/>
    <n v="15793.5"/>
    <n v="13424.475"/>
    <n v="2369.0249999999996"/>
    <s v="David"/>
    <x v="1"/>
    <x v="73"/>
    <x v="0"/>
    <n v="26"/>
    <x v="1"/>
    <x v="19"/>
    <x v="1"/>
  </r>
  <r>
    <s v="ORD-1804"/>
    <d v="2025-12-06T00:00:00"/>
    <x v="10"/>
    <s v="CUST-146"/>
    <s v="PROD-117"/>
    <n v="4"/>
    <n v="6742.3"/>
    <n v="5730.9549999999999"/>
    <n v="26969.200000000001"/>
    <n v="22923.82"/>
    <n v="4045.380000000001"/>
    <s v="Lisa"/>
    <x v="1"/>
    <x v="29"/>
    <x v="0"/>
    <n v="24"/>
    <x v="1"/>
    <x v="23"/>
    <x v="0"/>
  </r>
  <r>
    <s v="ORD-1805"/>
    <d v="2025-10-08T00:00:00"/>
    <x v="1"/>
    <s v="CUST-119"/>
    <s v="PROD-106"/>
    <n v="2"/>
    <n v="8047.6"/>
    <n v="6840.46"/>
    <n v="16095.2"/>
    <n v="13680.92"/>
    <n v="2414.2800000000007"/>
    <s v="Caroline"/>
    <x v="5"/>
    <x v="56"/>
    <x v="1"/>
    <n v="20"/>
    <x v="1"/>
    <x v="6"/>
    <x v="4"/>
  </r>
  <r>
    <s v="ORD-1806"/>
    <d v="2025-11-25T00:00:00"/>
    <x v="0"/>
    <s v="CUST-136"/>
    <s v="PROD-131"/>
    <n v="10"/>
    <n v="4187.5"/>
    <n v="3559.375"/>
    <n v="41875"/>
    <n v="35593.75"/>
    <n v="6281.25"/>
    <s v="Ralph"/>
    <x v="2"/>
    <x v="24"/>
    <x v="0"/>
    <n v="34"/>
    <x v="1"/>
    <x v="2"/>
    <x v="2"/>
  </r>
  <r>
    <s v="ORD-1807"/>
    <d v="2025-11-07T00:00:00"/>
    <x v="5"/>
    <s v="CUST-077"/>
    <s v="PROD-121"/>
    <n v="1"/>
    <n v="4498"/>
    <n v="3823.3"/>
    <n v="4498"/>
    <n v="3823.3"/>
    <n v="674.69999999999982"/>
    <s v="Tara"/>
    <x v="1"/>
    <x v="27"/>
    <x v="0"/>
    <n v="35"/>
    <x v="0"/>
    <x v="8"/>
    <x v="0"/>
  </r>
  <r>
    <s v="ORD-1808"/>
    <d v="2025-10-01T00:00:00"/>
    <x v="11"/>
    <s v="CUST-100"/>
    <s v="PROD-124"/>
    <n v="6"/>
    <n v="2045.6"/>
    <n v="1738.76"/>
    <n v="12273.599999999999"/>
    <n v="10432.56"/>
    <n v="1841.0399999999991"/>
    <s v="Douglas"/>
    <x v="4"/>
    <x v="26"/>
    <x v="1"/>
    <n v="28"/>
    <x v="1"/>
    <x v="5"/>
    <x v="0"/>
  </r>
  <r>
    <s v="ORD-1809"/>
    <d v="2025-10-09T00:00:00"/>
    <x v="1"/>
    <s v="CUST-065"/>
    <s v="PROD-109"/>
    <n v="2"/>
    <n v="19719.2"/>
    <n v="16761.32"/>
    <n v="39438.400000000001"/>
    <n v="33522.639999999999"/>
    <n v="5915.760000000002"/>
    <s v="Sean"/>
    <x v="5"/>
    <x v="42"/>
    <x v="0"/>
    <n v="23"/>
    <x v="1"/>
    <x v="30"/>
    <x v="4"/>
  </r>
  <r>
    <s v="ORD-1810"/>
    <d v="2025-10-22T00:00:00"/>
    <x v="9"/>
    <s v="CUST-003"/>
    <s v="PROD-119"/>
    <n v="9"/>
    <n v="2694.4"/>
    <n v="2290.2400000000002"/>
    <n v="24249.600000000002"/>
    <n v="20612.160000000003"/>
    <n v="3637.4399999999987"/>
    <s v="Caroline"/>
    <x v="4"/>
    <x v="10"/>
    <x v="0"/>
    <n v="25"/>
    <x v="1"/>
    <x v="33"/>
    <x v="0"/>
  </r>
  <r>
    <s v="ORD-1811"/>
    <d v="2025-12-03T00:00:00"/>
    <x v="10"/>
    <s v="CUST-024"/>
    <s v="PROD-115"/>
    <n v="1"/>
    <n v="5800.4"/>
    <n v="4930.34"/>
    <n v="5800.4"/>
    <n v="4930.34"/>
    <n v="870.05999999999949"/>
    <s v="Brenda"/>
    <x v="1"/>
    <x v="78"/>
    <x v="1"/>
    <n v="31"/>
    <x v="1"/>
    <x v="10"/>
    <x v="1"/>
  </r>
  <r>
    <s v="ORD-1812"/>
    <d v="2025-12-03T00:00:00"/>
    <x v="10"/>
    <s v="CUST-006"/>
    <s v="PROD-108"/>
    <n v="6"/>
    <n v="13454.6"/>
    <n v="11436.41"/>
    <n v="80727.600000000006"/>
    <n v="68618.459999999992"/>
    <n v="12109.140000000014"/>
    <s v="David"/>
    <x v="0"/>
    <x v="58"/>
    <x v="1"/>
    <n v="19"/>
    <x v="1"/>
    <x v="27"/>
    <x v="4"/>
  </r>
  <r>
    <s v="ORD-1813"/>
    <d v="2025-11-09T00:00:00"/>
    <x v="12"/>
    <s v="CUST-132"/>
    <s v="PROD-125"/>
    <n v="2"/>
    <n v="15255.1"/>
    <n v="12966.835000000001"/>
    <n v="30510.2"/>
    <n v="25933.670000000002"/>
    <n v="4576.5299999999988"/>
    <s v="Timothy"/>
    <x v="1"/>
    <x v="90"/>
    <x v="1"/>
    <n v="27"/>
    <x v="1"/>
    <x v="13"/>
    <x v="0"/>
  </r>
  <r>
    <s v="ORD-1814"/>
    <d v="2025-12-19T00:00:00"/>
    <x v="4"/>
    <s v="CUST-112"/>
    <s v="PROD-107"/>
    <n v="3"/>
    <n v="16229.6"/>
    <n v="13795.16"/>
    <n v="48688.800000000003"/>
    <n v="41385.479999999996"/>
    <n v="7303.320000000007"/>
    <s v="Patrick"/>
    <x v="1"/>
    <x v="11"/>
    <x v="1"/>
    <n v="40"/>
    <x v="0"/>
    <x v="12"/>
    <x v="4"/>
  </r>
  <r>
    <s v="ORD-1815"/>
    <d v="2025-12-30T00:00:00"/>
    <x v="2"/>
    <s v="CUST-043"/>
    <s v="PROD-119"/>
    <n v="4"/>
    <n v="13582.4"/>
    <n v="11545.039999999999"/>
    <n v="54329.599999999999"/>
    <n v="46180.159999999996"/>
    <n v="8149.4400000000023"/>
    <s v="Cheyenne"/>
    <x v="4"/>
    <x v="7"/>
    <x v="0"/>
    <n v="42"/>
    <x v="0"/>
    <x v="33"/>
    <x v="0"/>
  </r>
  <r>
    <s v="ORD-1816"/>
    <d v="2025-10-24T00:00:00"/>
    <x v="9"/>
    <s v="CUST-127"/>
    <s v="PROD-132"/>
    <n v="7"/>
    <n v="2542.1"/>
    <n v="2160.7849999999999"/>
    <n v="17794.7"/>
    <n v="15125.494999999999"/>
    <n v="2669.2050000000017"/>
    <s v="Kayla"/>
    <x v="3"/>
    <x v="48"/>
    <x v="0"/>
    <n v="18"/>
    <x v="1"/>
    <x v="26"/>
    <x v="2"/>
  </r>
  <r>
    <s v="ORD-1817"/>
    <d v="2025-11-13T00:00:00"/>
    <x v="12"/>
    <s v="CUST-105"/>
    <s v="PROD-104"/>
    <n v="4"/>
    <n v="596.70000000000005"/>
    <n v="507.19500000000005"/>
    <n v="2386.8000000000002"/>
    <n v="2028.7800000000002"/>
    <n v="358.02"/>
    <s v="Daniel"/>
    <x v="3"/>
    <x v="31"/>
    <x v="0"/>
    <n v="30"/>
    <x v="1"/>
    <x v="4"/>
    <x v="3"/>
  </r>
  <r>
    <s v="ORD-1818"/>
    <d v="2025-11-08T00:00:00"/>
    <x v="5"/>
    <s v="CUST-083"/>
    <s v="PROD-115"/>
    <n v="1"/>
    <n v="15025.9"/>
    <n v="12772.014999999999"/>
    <n v="15025.9"/>
    <n v="12772.014999999999"/>
    <n v="2253.8850000000002"/>
    <s v="Brenda"/>
    <x v="3"/>
    <x v="14"/>
    <x v="1"/>
    <n v="23"/>
    <x v="1"/>
    <x v="10"/>
    <x v="1"/>
  </r>
  <r>
    <s v="ORD-1819"/>
    <d v="2025-10-17T00:00:00"/>
    <x v="13"/>
    <s v="CUST-113"/>
    <s v="PROD-121"/>
    <n v="7"/>
    <n v="4592.6000000000004"/>
    <n v="3903.7100000000005"/>
    <n v="32148.200000000004"/>
    <n v="27325.970000000005"/>
    <n v="4822.2299999999996"/>
    <s v="Thomas"/>
    <x v="1"/>
    <x v="21"/>
    <x v="1"/>
    <n v="47"/>
    <x v="0"/>
    <x v="8"/>
    <x v="0"/>
  </r>
  <r>
    <s v="ORD-1820"/>
    <d v="2025-11-02T00:00:00"/>
    <x v="5"/>
    <s v="CUST-063"/>
    <s v="PROD-133"/>
    <n v="1"/>
    <n v="8259.1"/>
    <n v="7020.2350000000006"/>
    <n v="8259.1"/>
    <n v="7020.2350000000006"/>
    <n v="1238.8649999999998"/>
    <s v="Andrea"/>
    <x v="1"/>
    <x v="18"/>
    <x v="0"/>
    <n v="24"/>
    <x v="1"/>
    <x v="22"/>
    <x v="2"/>
  </r>
  <r>
    <s v="ORD-1821"/>
    <d v="2025-12-06T00:00:00"/>
    <x v="10"/>
    <s v="CUST-080"/>
    <s v="PROD-113"/>
    <n v="9"/>
    <n v="7929.2"/>
    <n v="6739.82"/>
    <n v="71362.8"/>
    <n v="60658.38"/>
    <n v="10704.420000000006"/>
    <s v="Andrea"/>
    <x v="1"/>
    <x v="33"/>
    <x v="1"/>
    <n v="21"/>
    <x v="1"/>
    <x v="19"/>
    <x v="1"/>
  </r>
  <r>
    <s v="ORD-1822"/>
    <d v="2025-11-23T00:00:00"/>
    <x v="0"/>
    <s v="CUST-090"/>
    <s v="PROD-127"/>
    <n v="9"/>
    <n v="2598.2999999999997"/>
    <n v="2208.5549999999998"/>
    <n v="23384.699999999997"/>
    <n v="19876.994999999999"/>
    <n v="3507.7049999999981"/>
    <s v="Andrea"/>
    <x v="1"/>
    <x v="16"/>
    <x v="0"/>
    <n v="29"/>
    <x v="1"/>
    <x v="17"/>
    <x v="5"/>
  </r>
  <r>
    <s v="ORD-1823"/>
    <d v="2025-10-19T00:00:00"/>
    <x v="9"/>
    <s v="CUST-013"/>
    <s v="PROD-113"/>
    <n v="9"/>
    <n v="11035.9"/>
    <n v="9380.5149999999994"/>
    <n v="99323.099999999991"/>
    <n v="84424.634999999995"/>
    <n v="14898.464999999997"/>
    <s v="Cheyenne"/>
    <x v="1"/>
    <x v="94"/>
    <x v="1"/>
    <n v="26"/>
    <x v="1"/>
    <x v="19"/>
    <x v="1"/>
  </r>
  <r>
    <s v="ORD-1824"/>
    <d v="2025-10-18T00:00:00"/>
    <x v="13"/>
    <s v="CUST-120"/>
    <s v="PROD-110"/>
    <n v="9"/>
    <n v="14402.7"/>
    <n v="12242.295"/>
    <n v="129624.3"/>
    <n v="110180.655"/>
    <n v="19443.645000000004"/>
    <s v="David"/>
    <x v="0"/>
    <x v="95"/>
    <x v="1"/>
    <n v="18"/>
    <x v="1"/>
    <x v="14"/>
    <x v="4"/>
  </r>
  <r>
    <s v="ORD-1825"/>
    <d v="2025-11-07T00:00:00"/>
    <x v="5"/>
    <s v="CUST-038"/>
    <s v="PROD-119"/>
    <n v="10"/>
    <n v="10520"/>
    <n v="8942"/>
    <n v="105200"/>
    <n v="89420"/>
    <n v="15780"/>
    <s v="Victoria"/>
    <x v="1"/>
    <x v="59"/>
    <x v="0"/>
    <n v="32"/>
    <x v="1"/>
    <x v="33"/>
    <x v="0"/>
  </r>
  <r>
    <s v="ORD-1826"/>
    <d v="2025-11-02T00:00:00"/>
    <x v="5"/>
    <s v="CUST-009"/>
    <s v="PROD-132"/>
    <n v="10"/>
    <n v="632.4"/>
    <n v="537.54"/>
    <n v="6324"/>
    <n v="5375.4"/>
    <n v="948.60000000000036"/>
    <s v="Aaron"/>
    <x v="1"/>
    <x v="63"/>
    <x v="1"/>
    <n v="18"/>
    <x v="1"/>
    <x v="26"/>
    <x v="2"/>
  </r>
  <r>
    <s v="ORD-1827"/>
    <d v="2025-11-22T00:00:00"/>
    <x v="6"/>
    <s v="CUST-050"/>
    <s v="PROD-120"/>
    <n v="6"/>
    <n v="6269.5"/>
    <n v="5329.0749999999998"/>
    <n v="37617"/>
    <n v="31974.449999999997"/>
    <n v="5642.5500000000029"/>
    <s v="Tracey"/>
    <x v="0"/>
    <x v="83"/>
    <x v="0"/>
    <n v="35"/>
    <x v="0"/>
    <x v="0"/>
    <x v="0"/>
  </r>
  <r>
    <s v="ORD-1828"/>
    <d v="2025-10-05T00:00:00"/>
    <x v="1"/>
    <s v="CUST-101"/>
    <s v="PROD-103"/>
    <n v="2"/>
    <n v="19009.400000000001"/>
    <n v="16157.990000000002"/>
    <n v="38018.800000000003"/>
    <n v="32315.980000000003"/>
    <n v="5702.82"/>
    <s v="Jasmine"/>
    <x v="1"/>
    <x v="85"/>
    <x v="1"/>
    <n v="25"/>
    <x v="1"/>
    <x v="28"/>
    <x v="3"/>
  </r>
  <r>
    <s v="ORD-1829"/>
    <d v="2025-11-29T00:00:00"/>
    <x v="0"/>
    <s v="CUST-029"/>
    <s v="PROD-102"/>
    <n v="10"/>
    <n v="6514.2999999999993"/>
    <n v="5537.1549999999997"/>
    <n v="65142.999999999993"/>
    <n v="55371.549999999996"/>
    <n v="9771.4499999999971"/>
    <s v="Kayla"/>
    <x v="0"/>
    <x v="86"/>
    <x v="1"/>
    <n v="44"/>
    <x v="0"/>
    <x v="20"/>
    <x v="3"/>
  </r>
  <r>
    <s v="ORD-1830"/>
    <d v="2025-11-12T00:00:00"/>
    <x v="12"/>
    <s v="CUST-085"/>
    <s v="PROD-128"/>
    <n v="9"/>
    <n v="5381.1"/>
    <n v="4573.9350000000004"/>
    <n v="48429.9"/>
    <n v="41165.415000000001"/>
    <n v="7264.4850000000006"/>
    <s v="Joshua"/>
    <x v="4"/>
    <x v="41"/>
    <x v="0"/>
    <n v="29"/>
    <x v="1"/>
    <x v="15"/>
    <x v="5"/>
  </r>
  <r>
    <s v="ORD-1831"/>
    <d v="2025-10-06T00:00:00"/>
    <x v="1"/>
    <s v="CUST-044"/>
    <s v="PROD-134"/>
    <n v="7"/>
    <n v="13148.800000000001"/>
    <n v="11176.480000000001"/>
    <n v="92041.600000000006"/>
    <n v="78235.360000000015"/>
    <n v="13806.239999999991"/>
    <s v="Sean"/>
    <x v="5"/>
    <x v="28"/>
    <x v="0"/>
    <n v="31"/>
    <x v="1"/>
    <x v="7"/>
    <x v="2"/>
  </r>
  <r>
    <s v="ORD-1832"/>
    <d v="2025-10-06T00:00:00"/>
    <x v="1"/>
    <s v="CUST-091"/>
    <s v="PROD-125"/>
    <n v="1"/>
    <n v="17144.5"/>
    <n v="14572.825000000001"/>
    <n v="17144.5"/>
    <n v="14572.825000000001"/>
    <n v="2571.6749999999993"/>
    <s v="Kayla"/>
    <x v="1"/>
    <x v="102"/>
    <x v="0"/>
    <n v="44"/>
    <x v="0"/>
    <x v="13"/>
    <x v="0"/>
  </r>
  <r>
    <s v="ORD-1833"/>
    <d v="2025-11-11T00:00:00"/>
    <x v="12"/>
    <s v="CUST-062"/>
    <s v="PROD-106"/>
    <n v="3"/>
    <n v="6902.5"/>
    <n v="5867.125"/>
    <n v="20707.5"/>
    <n v="17601.375"/>
    <n v="3106.125"/>
    <s v="Laura"/>
    <x v="3"/>
    <x v="61"/>
    <x v="0"/>
    <n v="20"/>
    <x v="1"/>
    <x v="6"/>
    <x v="4"/>
  </r>
  <r>
    <s v="ORD-1834"/>
    <d v="2025-10-10T00:00:00"/>
    <x v="1"/>
    <s v="CUST-005"/>
    <s v="PROD-132"/>
    <n v="5"/>
    <n v="15253.4"/>
    <n v="12965.39"/>
    <n v="76267"/>
    <n v="64826.95"/>
    <n v="11440.050000000003"/>
    <s v="Victoria"/>
    <x v="0"/>
    <x v="39"/>
    <x v="1"/>
    <n v="20"/>
    <x v="1"/>
    <x v="26"/>
    <x v="2"/>
  </r>
  <r>
    <s v="ORD-1835"/>
    <d v="2025-10-20T00:00:00"/>
    <x v="9"/>
    <s v="CUST-111"/>
    <s v="PROD-131"/>
    <n v="1"/>
    <n v="9583.3000000000011"/>
    <n v="8145.8050000000012"/>
    <n v="9583.3000000000011"/>
    <n v="8145.8050000000012"/>
    <n v="1437.4949999999999"/>
    <s v="Jonathan"/>
    <x v="4"/>
    <x v="10"/>
    <x v="0"/>
    <n v="20"/>
    <x v="1"/>
    <x v="2"/>
    <x v="2"/>
  </r>
  <r>
    <s v="ORD-1836"/>
    <d v="2025-10-19T00:00:00"/>
    <x v="9"/>
    <s v="CUST-103"/>
    <s v="PROD-104"/>
    <n v="4"/>
    <n v="12502.8"/>
    <n v="10627.38"/>
    <n v="50011.199999999997"/>
    <n v="42509.52"/>
    <n v="7501.68"/>
    <s v="Ralph"/>
    <x v="2"/>
    <x v="85"/>
    <x v="1"/>
    <n v="23"/>
    <x v="1"/>
    <x v="4"/>
    <x v="3"/>
  </r>
  <r>
    <s v="ORD-1837"/>
    <d v="2025-11-01T00:00:00"/>
    <x v="3"/>
    <s v="CUST-029"/>
    <s v="PROD-114"/>
    <n v="4"/>
    <n v="10287.4"/>
    <n v="8744.2899999999991"/>
    <n v="41149.599999999999"/>
    <n v="34977.159999999996"/>
    <n v="6172.4400000000023"/>
    <s v="Lori"/>
    <x v="0"/>
    <x v="86"/>
    <x v="1"/>
    <n v="44"/>
    <x v="0"/>
    <x v="18"/>
    <x v="1"/>
  </r>
  <r>
    <s v="ORD-1838"/>
    <d v="2025-12-25T00:00:00"/>
    <x v="8"/>
    <s v="CUST-116"/>
    <s v="PROD-106"/>
    <n v="5"/>
    <n v="17578.099999999999"/>
    <n v="14941.384999999998"/>
    <n v="87890.5"/>
    <n v="74706.924999999988"/>
    <n v="13183.575000000012"/>
    <s v="Jonathan"/>
    <x v="3"/>
    <x v="17"/>
    <x v="0"/>
    <n v="48"/>
    <x v="0"/>
    <x v="6"/>
    <x v="4"/>
  </r>
  <r>
    <s v="ORD-1839"/>
    <d v="2025-11-13T00:00:00"/>
    <x v="12"/>
    <s v="CUST-058"/>
    <s v="PROD-113"/>
    <n v="6"/>
    <n v="12909.1"/>
    <n v="10972.735000000001"/>
    <n v="77454.600000000006"/>
    <n v="65836.41"/>
    <n v="11618.190000000002"/>
    <s v="Timothy"/>
    <x v="1"/>
    <x v="17"/>
    <x v="0"/>
    <n v="18"/>
    <x v="1"/>
    <x v="19"/>
    <x v="1"/>
  </r>
  <r>
    <s v="ORD-1840"/>
    <d v="2025-11-03T00:00:00"/>
    <x v="5"/>
    <s v="CUST-045"/>
    <s v="PROD-127"/>
    <n v="9"/>
    <n v="14561.5"/>
    <n v="12377.275"/>
    <n v="131053.5"/>
    <n v="111395.47499999999"/>
    <n v="19658.025000000009"/>
    <s v="Ethan"/>
    <x v="1"/>
    <x v="36"/>
    <x v="0"/>
    <n v="22"/>
    <x v="1"/>
    <x v="17"/>
    <x v="5"/>
  </r>
  <r>
    <s v="ORD-1841"/>
    <d v="2025-11-21T00:00:00"/>
    <x v="6"/>
    <s v="CUST-139"/>
    <s v="PROD-106"/>
    <n v="7"/>
    <n v="1584"/>
    <n v="1346.4"/>
    <n v="11088"/>
    <n v="9424.8000000000011"/>
    <n v="1663.1999999999989"/>
    <s v="Katie"/>
    <x v="1"/>
    <x v="57"/>
    <x v="1"/>
    <n v="20"/>
    <x v="1"/>
    <x v="6"/>
    <x v="4"/>
  </r>
  <r>
    <s v="ORD-1842"/>
    <d v="2025-12-18T00:00:00"/>
    <x v="4"/>
    <s v="CUST-135"/>
    <s v="PROD-125"/>
    <n v="1"/>
    <n v="9452.2000000000007"/>
    <n v="8034.3700000000008"/>
    <n v="9452.2000000000007"/>
    <n v="8034.3700000000008"/>
    <n v="1417.83"/>
    <s v="Aaron"/>
    <x v="1"/>
    <x v="101"/>
    <x v="0"/>
    <n v="23"/>
    <x v="1"/>
    <x v="13"/>
    <x v="0"/>
  </r>
  <r>
    <s v="ORD-1843"/>
    <d v="2025-12-08T00:00:00"/>
    <x v="7"/>
    <s v="CUST-016"/>
    <s v="PROD-131"/>
    <n v="5"/>
    <n v="5137.2000000000007"/>
    <n v="4366.6200000000008"/>
    <n v="25686.000000000004"/>
    <n v="21833.100000000006"/>
    <n v="3852.8999999999978"/>
    <s v="Tara"/>
    <x v="1"/>
    <x v="26"/>
    <x v="1"/>
    <n v="26"/>
    <x v="1"/>
    <x v="2"/>
    <x v="2"/>
  </r>
  <r>
    <s v="ORD-1844"/>
    <d v="2025-10-05T00:00:00"/>
    <x v="1"/>
    <s v="CUST-147"/>
    <s v="PROD-110"/>
    <n v="4"/>
    <n v="17488.5"/>
    <n v="14865.225"/>
    <n v="69954"/>
    <n v="59460.9"/>
    <n v="10493.099999999999"/>
    <s v="Andrea"/>
    <x v="2"/>
    <x v="36"/>
    <x v="0"/>
    <n v="53"/>
    <x v="0"/>
    <x v="14"/>
    <x v="4"/>
  </r>
  <r>
    <s v="ORD-1845"/>
    <d v="2025-11-26T00:00:00"/>
    <x v="0"/>
    <s v="CUST-105"/>
    <s v="PROD-119"/>
    <n v="1"/>
    <n v="7401.4"/>
    <n v="6291.19"/>
    <n v="7401.4"/>
    <n v="6291.19"/>
    <n v="1110.21"/>
    <s v="David"/>
    <x v="3"/>
    <x v="31"/>
    <x v="0"/>
    <n v="30"/>
    <x v="1"/>
    <x v="33"/>
    <x v="0"/>
  </r>
  <r>
    <s v="ORD-1846"/>
    <d v="2025-11-13T00:00:00"/>
    <x v="12"/>
    <s v="CUST-104"/>
    <s v="PROD-104"/>
    <n v="7"/>
    <n v="11948.4"/>
    <n v="10156.14"/>
    <n v="83638.8"/>
    <n v="71092.98"/>
    <n v="12545.820000000007"/>
    <s v="Linda"/>
    <x v="0"/>
    <x v="91"/>
    <x v="1"/>
    <n v="32"/>
    <x v="1"/>
    <x v="4"/>
    <x v="3"/>
  </r>
  <r>
    <s v="ORD-1847"/>
    <d v="2025-10-13T00:00:00"/>
    <x v="13"/>
    <s v="CUST-147"/>
    <s v="PROD-101"/>
    <n v="3"/>
    <n v="16956.199999999997"/>
    <n v="14412.769999999997"/>
    <n v="50868.599999999991"/>
    <n v="43238.30999999999"/>
    <n v="7630.2900000000009"/>
    <s v="Lisa"/>
    <x v="2"/>
    <x v="36"/>
    <x v="0"/>
    <n v="53"/>
    <x v="0"/>
    <x v="16"/>
    <x v="3"/>
  </r>
  <r>
    <s v="ORD-1848"/>
    <d v="2025-11-05T00:00:00"/>
    <x v="5"/>
    <s v="CUST-026"/>
    <s v="PROD-126"/>
    <n v="7"/>
    <n v="18986.400000000001"/>
    <n v="16138.440000000002"/>
    <n v="132904.80000000002"/>
    <n v="112969.08000000002"/>
    <n v="19935.72"/>
    <s v="Lori"/>
    <x v="1"/>
    <x v="104"/>
    <x v="1"/>
    <n v="26"/>
    <x v="1"/>
    <x v="9"/>
    <x v="5"/>
  </r>
  <r>
    <s v="ORD-1849"/>
    <d v="2025-11-10T00:00:00"/>
    <x v="12"/>
    <s v="CUST-103"/>
    <s v="PROD-103"/>
    <n v="1"/>
    <n v="8721.1"/>
    <n v="7412.9350000000004"/>
    <n v="8721.1"/>
    <n v="7412.9350000000004"/>
    <n v="1308.165"/>
    <s v="Lisa"/>
    <x v="2"/>
    <x v="85"/>
    <x v="1"/>
    <n v="23"/>
    <x v="1"/>
    <x v="28"/>
    <x v="3"/>
  </r>
  <r>
    <s v="ORD-1850"/>
    <d v="2025-10-09T00:00:00"/>
    <x v="1"/>
    <s v="CUST-023"/>
    <s v="PROD-102"/>
    <n v="4"/>
    <n v="19279.7"/>
    <n v="16387.745000000003"/>
    <n v="77118.8"/>
    <n v="65550.98000000001"/>
    <n v="11567.819999999992"/>
    <s v="Patrick"/>
    <x v="0"/>
    <x v="65"/>
    <x v="1"/>
    <n v="35"/>
    <x v="0"/>
    <x v="20"/>
    <x v="3"/>
  </r>
  <r>
    <s v="ORD-1851"/>
    <d v="2025-12-23T00:00:00"/>
    <x v="8"/>
    <s v="CUST-042"/>
    <s v="PROD-131"/>
    <n v="5"/>
    <n v="15935.599999999999"/>
    <n v="13545.259999999998"/>
    <n v="79678"/>
    <n v="67726.299999999988"/>
    <n v="11951.700000000012"/>
    <s v="Brenda"/>
    <x v="1"/>
    <x v="41"/>
    <x v="0"/>
    <n v="33"/>
    <x v="1"/>
    <x v="2"/>
    <x v="2"/>
  </r>
  <r>
    <s v="ORD-1852"/>
    <d v="2025-10-09T00:00:00"/>
    <x v="1"/>
    <s v="CUST-107"/>
    <s v="PROD-110"/>
    <n v="4"/>
    <n v="12514.5"/>
    <n v="10637.325000000001"/>
    <n v="50058"/>
    <n v="42549.3"/>
    <n v="7508.6999999999971"/>
    <s v="Tara"/>
    <x v="4"/>
    <x v="36"/>
    <x v="0"/>
    <n v="18"/>
    <x v="1"/>
    <x v="14"/>
    <x v="4"/>
  </r>
  <r>
    <s v="ORD-1853"/>
    <d v="2025-11-10T00:00:00"/>
    <x v="12"/>
    <s v="CUST-138"/>
    <s v="PROD-110"/>
    <n v="1"/>
    <n v="9855.1"/>
    <n v="8376.8350000000009"/>
    <n v="9855.1"/>
    <n v="8376.8350000000009"/>
    <n v="1478.2649999999994"/>
    <s v="Lori"/>
    <x v="3"/>
    <x v="22"/>
    <x v="1"/>
    <n v="27"/>
    <x v="1"/>
    <x v="14"/>
    <x v="4"/>
  </r>
  <r>
    <s v="ORD-1854"/>
    <d v="2025-11-22T00:00:00"/>
    <x v="6"/>
    <s v="CUST-041"/>
    <s v="PROD-112"/>
    <n v="9"/>
    <n v="14449.400000000001"/>
    <n v="12281.990000000002"/>
    <n v="130044.6"/>
    <n v="110537.91000000002"/>
    <n v="19506.689999999988"/>
    <s v="Aaron"/>
    <x v="3"/>
    <x v="19"/>
    <x v="0"/>
    <n v="20"/>
    <x v="1"/>
    <x v="1"/>
    <x v="1"/>
  </r>
  <r>
    <s v="ORD-1855"/>
    <d v="2025-10-08T00:00:00"/>
    <x v="1"/>
    <s v="CUST-131"/>
    <s v="PROD-106"/>
    <n v="2"/>
    <n v="1394.7"/>
    <n v="1185.4950000000001"/>
    <n v="2789.4"/>
    <n v="2370.9900000000002"/>
    <n v="418.40999999999985"/>
    <s v="Joshua"/>
    <x v="0"/>
    <x v="37"/>
    <x v="0"/>
    <n v="46"/>
    <x v="0"/>
    <x v="6"/>
    <x v="4"/>
  </r>
  <r>
    <s v="ORD-1856"/>
    <d v="2025-12-10T00:00:00"/>
    <x v="7"/>
    <s v="CUST-137"/>
    <s v="PROD-118"/>
    <n v="8"/>
    <n v="17642.400000000001"/>
    <n v="14996.04"/>
    <n v="141139.20000000001"/>
    <n v="119968.32000000001"/>
    <n v="21170.880000000005"/>
    <s v="Aaron"/>
    <x v="0"/>
    <x v="81"/>
    <x v="0"/>
    <n v="36"/>
    <x v="0"/>
    <x v="25"/>
    <x v="0"/>
  </r>
  <r>
    <s v="ORD-1857"/>
    <d v="2025-10-15T00:00:00"/>
    <x v="13"/>
    <s v="CUST-132"/>
    <s v="PROD-106"/>
    <n v="6"/>
    <n v="16924.900000000001"/>
    <n v="14386.165000000001"/>
    <n v="101549.40000000001"/>
    <n v="86316.99"/>
    <n v="15232.410000000003"/>
    <s v="Thomas"/>
    <x v="1"/>
    <x v="90"/>
    <x v="1"/>
    <n v="27"/>
    <x v="1"/>
    <x v="6"/>
    <x v="4"/>
  </r>
  <r>
    <s v="ORD-1858"/>
    <d v="2025-11-22T00:00:00"/>
    <x v="6"/>
    <s v="CUST-139"/>
    <s v="PROD-101"/>
    <n v="9"/>
    <n v="1585.5"/>
    <n v="1347.675"/>
    <n v="14269.5"/>
    <n v="12129.074999999999"/>
    <n v="2140.4250000000011"/>
    <s v="Jonathan"/>
    <x v="1"/>
    <x v="57"/>
    <x v="1"/>
    <n v="20"/>
    <x v="1"/>
    <x v="16"/>
    <x v="3"/>
  </r>
  <r>
    <s v="ORD-1859"/>
    <d v="2025-11-18T00:00:00"/>
    <x v="6"/>
    <s v="CUST-076"/>
    <s v="PROD-112"/>
    <n v="8"/>
    <n v="12379.300000000001"/>
    <n v="10522.405000000001"/>
    <n v="99034.400000000009"/>
    <n v="84179.24"/>
    <n v="14855.160000000003"/>
    <s v="Katie"/>
    <x v="0"/>
    <x v="84"/>
    <x v="0"/>
    <n v="32"/>
    <x v="1"/>
    <x v="1"/>
    <x v="1"/>
  </r>
  <r>
    <s v="ORD-1860"/>
    <d v="2025-11-03T00:00:00"/>
    <x v="5"/>
    <s v="CUST-035"/>
    <s v="PROD-115"/>
    <n v="9"/>
    <n v="12789.1"/>
    <n v="10870.735000000001"/>
    <n v="115101.90000000001"/>
    <n v="97836.615000000005"/>
    <n v="17265.285000000003"/>
    <s v="Tracey"/>
    <x v="1"/>
    <x v="72"/>
    <x v="0"/>
    <n v="21"/>
    <x v="1"/>
    <x v="10"/>
    <x v="1"/>
  </r>
  <r>
    <s v="ORD-1861"/>
    <d v="2025-12-15T00:00:00"/>
    <x v="4"/>
    <s v="CUST-125"/>
    <s v="PROD-128"/>
    <n v="3"/>
    <n v="3562.9"/>
    <n v="3028.4650000000001"/>
    <n v="10688.7"/>
    <n v="9085.3950000000004"/>
    <n v="1603.3050000000003"/>
    <s v="Daniel"/>
    <x v="2"/>
    <x v="28"/>
    <x v="0"/>
    <n v="23"/>
    <x v="1"/>
    <x v="15"/>
    <x v="5"/>
  </r>
  <r>
    <s v="ORD-1862"/>
    <d v="2025-11-05T00:00:00"/>
    <x v="5"/>
    <s v="CUST-100"/>
    <s v="PROD-114"/>
    <n v="4"/>
    <n v="19309.3"/>
    <n v="16412.904999999999"/>
    <n v="77237.2"/>
    <n v="65651.62"/>
    <n v="11585.580000000002"/>
    <s v="Joshua"/>
    <x v="4"/>
    <x v="26"/>
    <x v="1"/>
    <n v="28"/>
    <x v="1"/>
    <x v="18"/>
    <x v="1"/>
  </r>
  <r>
    <s v="ORD-1863"/>
    <d v="2025-12-30T00:00:00"/>
    <x v="2"/>
    <s v="CUST-147"/>
    <s v="PROD-128"/>
    <n v="9"/>
    <n v="2328.8000000000002"/>
    <n v="1979.4800000000002"/>
    <n v="20959.2"/>
    <n v="17815.320000000003"/>
    <n v="3143.8799999999974"/>
    <s v="Tara"/>
    <x v="2"/>
    <x v="36"/>
    <x v="0"/>
    <n v="53"/>
    <x v="0"/>
    <x v="15"/>
    <x v="5"/>
  </r>
  <r>
    <s v="ORD-1864"/>
    <d v="2025-11-26T00:00:00"/>
    <x v="0"/>
    <s v="CUST-001"/>
    <s v="PROD-124"/>
    <n v="2"/>
    <n v="9725.5"/>
    <n v="8266.6749999999993"/>
    <n v="19451"/>
    <n v="16533.349999999999"/>
    <n v="2917.6500000000015"/>
    <s v="Jennifer"/>
    <x v="3"/>
    <x v="74"/>
    <x v="1"/>
    <n v="27"/>
    <x v="1"/>
    <x v="5"/>
    <x v="0"/>
  </r>
  <r>
    <s v="ORD-1865"/>
    <d v="2025-11-29T00:00:00"/>
    <x v="0"/>
    <s v="CUST-031"/>
    <s v="PROD-123"/>
    <n v="7"/>
    <n v="14132.8"/>
    <n v="12012.88"/>
    <n v="98929.599999999991"/>
    <n v="84090.159999999989"/>
    <n v="14839.440000000002"/>
    <s v="Jennifer"/>
    <x v="1"/>
    <x v="47"/>
    <x v="0"/>
    <n v="28"/>
    <x v="1"/>
    <x v="32"/>
    <x v="0"/>
  </r>
  <r>
    <s v="ORD-1866"/>
    <d v="2025-10-19T00:00:00"/>
    <x v="9"/>
    <s v="CUST-047"/>
    <s v="PROD-109"/>
    <n v="9"/>
    <n v="698.9"/>
    <n v="594.06499999999994"/>
    <n v="6290.0999999999995"/>
    <n v="5346.5849999999991"/>
    <n v="943.51500000000033"/>
    <s v="Lisa"/>
    <x v="1"/>
    <x v="29"/>
    <x v="0"/>
    <n v="55"/>
    <x v="0"/>
    <x v="30"/>
    <x v="4"/>
  </r>
  <r>
    <s v="ORD-1867"/>
    <d v="2025-12-10T00:00:00"/>
    <x v="7"/>
    <s v="CUST-134"/>
    <s v="PROD-113"/>
    <n v="3"/>
    <n v="8960.5999999999985"/>
    <n v="7616.5099999999984"/>
    <n v="26881.799999999996"/>
    <n v="22849.529999999995"/>
    <n v="4032.2700000000004"/>
    <s v="Jonathan"/>
    <x v="1"/>
    <x v="25"/>
    <x v="0"/>
    <n v="26"/>
    <x v="1"/>
    <x v="19"/>
    <x v="1"/>
  </r>
  <r>
    <s v="ORD-1868"/>
    <d v="2025-11-02T00:00:00"/>
    <x v="5"/>
    <s v="CUST-139"/>
    <s v="PROD-115"/>
    <n v="5"/>
    <n v="7575.7000000000007"/>
    <n v="6439.3450000000012"/>
    <n v="37878.5"/>
    <n v="32196.725000000006"/>
    <n v="5681.7749999999942"/>
    <s v="David"/>
    <x v="1"/>
    <x v="57"/>
    <x v="1"/>
    <n v="20"/>
    <x v="1"/>
    <x v="10"/>
    <x v="1"/>
  </r>
  <r>
    <s v="ORD-1869"/>
    <d v="2025-11-20T00:00:00"/>
    <x v="6"/>
    <s v="CUST-139"/>
    <s v="PROD-127"/>
    <n v="8"/>
    <n v="11383.699999999999"/>
    <n v="9676.1449999999986"/>
    <n v="91069.599999999991"/>
    <n v="77409.159999999989"/>
    <n v="13660.440000000002"/>
    <s v="Cheyenne"/>
    <x v="1"/>
    <x v="57"/>
    <x v="1"/>
    <n v="20"/>
    <x v="1"/>
    <x v="17"/>
    <x v="5"/>
  </r>
  <r>
    <s v="ORD-1870"/>
    <d v="2025-12-25T00:00:00"/>
    <x v="8"/>
    <s v="CUST-091"/>
    <s v="PROD-123"/>
    <n v="4"/>
    <n v="5067.7999999999993"/>
    <n v="4307.6299999999992"/>
    <n v="20271.199999999997"/>
    <n v="17230.519999999997"/>
    <n v="3040.6800000000003"/>
    <s v="David"/>
    <x v="1"/>
    <x v="102"/>
    <x v="0"/>
    <n v="44"/>
    <x v="0"/>
    <x v="32"/>
    <x v="0"/>
  </r>
  <r>
    <s v="ORD-1871"/>
    <d v="2025-10-07T00:00:00"/>
    <x v="1"/>
    <s v="CUST-069"/>
    <s v="PROD-116"/>
    <n v="4"/>
    <n v="14140"/>
    <n v="12019"/>
    <n v="56560"/>
    <n v="48076"/>
    <n v="8484"/>
    <s v="Linda"/>
    <x v="1"/>
    <x v="42"/>
    <x v="0"/>
    <n v="37"/>
    <x v="0"/>
    <x v="24"/>
    <x v="1"/>
  </r>
  <r>
    <s v="ORD-1872"/>
    <d v="2025-11-03T00:00:00"/>
    <x v="5"/>
    <s v="CUST-082"/>
    <s v="PROD-110"/>
    <n v="1"/>
    <n v="4532.7999999999993"/>
    <n v="3852.8799999999992"/>
    <n v="4532.7999999999993"/>
    <n v="3852.8799999999992"/>
    <n v="679.92000000000007"/>
    <s v="David"/>
    <x v="0"/>
    <x v="73"/>
    <x v="0"/>
    <n v="18"/>
    <x v="1"/>
    <x v="14"/>
    <x v="4"/>
  </r>
  <r>
    <s v="ORD-1873"/>
    <d v="2025-12-21T00:00:00"/>
    <x v="8"/>
    <s v="CUST-133"/>
    <s v="PROD-108"/>
    <n v="1"/>
    <n v="18804.400000000001"/>
    <n v="15983.740000000002"/>
    <n v="18804.400000000001"/>
    <n v="15983.740000000002"/>
    <n v="2820.66"/>
    <s v="Linda"/>
    <x v="4"/>
    <x v="94"/>
    <x v="1"/>
    <n v="21"/>
    <x v="1"/>
    <x v="27"/>
    <x v="4"/>
  </r>
  <r>
    <s v="ORD-1874"/>
    <d v="2025-12-05T00:00:00"/>
    <x v="10"/>
    <s v="CUST-083"/>
    <s v="PROD-104"/>
    <n v="10"/>
    <n v="8543.2000000000007"/>
    <n v="7261.7200000000012"/>
    <n v="85432"/>
    <n v="72617.200000000012"/>
    <n v="12814.799999999988"/>
    <s v="Jasmine"/>
    <x v="3"/>
    <x v="14"/>
    <x v="1"/>
    <n v="23"/>
    <x v="1"/>
    <x v="4"/>
    <x v="3"/>
  </r>
  <r>
    <s v="ORD-1875"/>
    <d v="2025-10-29T00:00:00"/>
    <x v="3"/>
    <s v="CUST-004"/>
    <s v="PROD-133"/>
    <n v="6"/>
    <n v="15817.6"/>
    <n v="13444.960000000001"/>
    <n v="94905.600000000006"/>
    <n v="80669.760000000009"/>
    <n v="14235.839999999997"/>
    <s v="Daniel"/>
    <x v="5"/>
    <x v="100"/>
    <x v="0"/>
    <n v="40"/>
    <x v="0"/>
    <x v="22"/>
    <x v="2"/>
  </r>
  <r>
    <s v="ORD-1876"/>
    <d v="2025-11-25T00:00:00"/>
    <x v="0"/>
    <s v="CUST-003"/>
    <s v="PROD-113"/>
    <n v="1"/>
    <n v="1404.9"/>
    <n v="1194.165"/>
    <n v="1404.9"/>
    <n v="1194.165"/>
    <n v="210.73500000000013"/>
    <s v="Lisa"/>
    <x v="4"/>
    <x v="10"/>
    <x v="0"/>
    <n v="25"/>
    <x v="1"/>
    <x v="19"/>
    <x v="1"/>
  </r>
  <r>
    <s v="ORD-1877"/>
    <d v="2025-11-20T00:00:00"/>
    <x v="6"/>
    <s v="CUST-035"/>
    <s v="PROD-116"/>
    <n v="3"/>
    <n v="19033.599999999999"/>
    <n v="16178.56"/>
    <n v="57100.799999999996"/>
    <n v="48535.68"/>
    <n v="8565.1199999999953"/>
    <s v="Linda"/>
    <x v="1"/>
    <x v="72"/>
    <x v="0"/>
    <n v="21"/>
    <x v="1"/>
    <x v="24"/>
    <x v="1"/>
  </r>
  <r>
    <s v="ORD-1878"/>
    <d v="2025-11-21T00:00:00"/>
    <x v="6"/>
    <s v="CUST-113"/>
    <s v="PROD-113"/>
    <n v="2"/>
    <n v="15568.599999999999"/>
    <n v="13233.31"/>
    <n v="31137.199999999997"/>
    <n v="26466.62"/>
    <n v="4670.5799999999981"/>
    <s v="Jonathan"/>
    <x v="1"/>
    <x v="21"/>
    <x v="1"/>
    <n v="47"/>
    <x v="0"/>
    <x v="19"/>
    <x v="1"/>
  </r>
  <r>
    <s v="ORD-1879"/>
    <d v="2025-12-18T00:00:00"/>
    <x v="4"/>
    <s v="CUST-068"/>
    <s v="PROD-114"/>
    <n v="2"/>
    <n v="18439.100000000002"/>
    <n v="15673.235000000002"/>
    <n v="36878.200000000004"/>
    <n v="31346.470000000005"/>
    <n v="5531.73"/>
    <s v="Lori"/>
    <x v="4"/>
    <x v="45"/>
    <x v="1"/>
    <n v="28"/>
    <x v="1"/>
    <x v="18"/>
    <x v="1"/>
  </r>
  <r>
    <s v="ORD-1880"/>
    <d v="2025-10-15T00:00:00"/>
    <x v="13"/>
    <s v="CUST-110"/>
    <s v="PROD-121"/>
    <n v="1"/>
    <n v="13412.3"/>
    <n v="11400.455"/>
    <n v="13412.3"/>
    <n v="11400.455"/>
    <n v="2011.8449999999993"/>
    <s v="Anna"/>
    <x v="1"/>
    <x v="35"/>
    <x v="1"/>
    <n v="52"/>
    <x v="0"/>
    <x v="8"/>
    <x v="0"/>
  </r>
  <r>
    <s v="ORD-1881"/>
    <d v="2025-10-16T00:00:00"/>
    <x v="13"/>
    <s v="CUST-138"/>
    <s v="PROD-104"/>
    <n v="4"/>
    <n v="14572"/>
    <n v="12386.2"/>
    <n v="58288"/>
    <n v="49544.800000000003"/>
    <n v="8743.1999999999971"/>
    <s v="Anna"/>
    <x v="3"/>
    <x v="22"/>
    <x v="1"/>
    <n v="27"/>
    <x v="1"/>
    <x v="4"/>
    <x v="3"/>
  </r>
  <r>
    <s v="ORD-1882"/>
    <d v="2025-12-29T00:00:00"/>
    <x v="2"/>
    <s v="CUST-037"/>
    <s v="PROD-101"/>
    <n v="3"/>
    <n v="14855.9"/>
    <n v="12627.514999999999"/>
    <n v="44567.7"/>
    <n v="37882.544999999998"/>
    <n v="6685.1549999999988"/>
    <s v="Lori"/>
    <x v="1"/>
    <x v="73"/>
    <x v="0"/>
    <n v="26"/>
    <x v="1"/>
    <x v="16"/>
    <x v="3"/>
  </r>
  <r>
    <s v="ORD-1883"/>
    <d v="2025-10-23T00:00:00"/>
    <x v="9"/>
    <s v="CUST-081"/>
    <s v="PROD-104"/>
    <n v="8"/>
    <n v="16424.5"/>
    <n v="13960.825000000001"/>
    <n v="131396"/>
    <n v="111686.6"/>
    <n v="19709.399999999994"/>
    <s v="Jonathan"/>
    <x v="2"/>
    <x v="43"/>
    <x v="0"/>
    <n v="46"/>
    <x v="0"/>
    <x v="4"/>
    <x v="3"/>
  </r>
  <r>
    <s v="ORD-1884"/>
    <d v="2025-12-26T00:00:00"/>
    <x v="8"/>
    <s v="CUST-142"/>
    <s v="PROD-124"/>
    <n v="5"/>
    <n v="6719.2"/>
    <n v="5711.32"/>
    <n v="33596"/>
    <n v="28556.6"/>
    <n v="5039.4000000000015"/>
    <s v="Kayla"/>
    <x v="0"/>
    <x v="0"/>
    <x v="0"/>
    <n v="38"/>
    <x v="0"/>
    <x v="5"/>
    <x v="0"/>
  </r>
  <r>
    <s v="ORD-1885"/>
    <d v="2025-11-25T00:00:00"/>
    <x v="0"/>
    <s v="CUST-054"/>
    <s v="PROD-134"/>
    <n v="10"/>
    <n v="13252.8"/>
    <n v="11264.88"/>
    <n v="132528"/>
    <n v="112648.79999999999"/>
    <n v="19879.200000000012"/>
    <s v="Linda"/>
    <x v="5"/>
    <x v="52"/>
    <x v="1"/>
    <n v="39"/>
    <x v="0"/>
    <x v="7"/>
    <x v="2"/>
  </r>
  <r>
    <s v="ORD-1886"/>
    <d v="2025-10-05T00:00:00"/>
    <x v="1"/>
    <s v="CUST-150"/>
    <s v="PROD-110"/>
    <n v="2"/>
    <n v="12147.9"/>
    <n v="10325.715"/>
    <n v="24295.8"/>
    <n v="20651.43"/>
    <n v="3644.369999999999"/>
    <s v="Laura"/>
    <x v="1"/>
    <x v="31"/>
    <x v="0"/>
    <n v="25"/>
    <x v="1"/>
    <x v="14"/>
    <x v="4"/>
  </r>
  <r>
    <s v="ORD-1887"/>
    <d v="2025-10-20T00:00:00"/>
    <x v="9"/>
    <s v="CUST-133"/>
    <s v="PROD-126"/>
    <n v="5"/>
    <n v="15509.400000000001"/>
    <n v="13182.990000000002"/>
    <n v="77547"/>
    <n v="65914.950000000012"/>
    <n v="11632.049999999988"/>
    <s v="Jennifer"/>
    <x v="4"/>
    <x v="94"/>
    <x v="1"/>
    <n v="21"/>
    <x v="1"/>
    <x v="9"/>
    <x v="5"/>
  </r>
  <r>
    <s v="ORD-1888"/>
    <d v="2025-10-25T00:00:00"/>
    <x v="9"/>
    <s v="CUST-017"/>
    <s v="PROD-107"/>
    <n v="6"/>
    <n v="1647.5"/>
    <n v="1400.375"/>
    <n v="9885"/>
    <n v="8402.25"/>
    <n v="1482.75"/>
    <s v="Sean"/>
    <x v="2"/>
    <x v="60"/>
    <x v="0"/>
    <n v="27"/>
    <x v="1"/>
    <x v="12"/>
    <x v="4"/>
  </r>
  <r>
    <s v="ORD-1889"/>
    <d v="2025-11-18T00:00:00"/>
    <x v="6"/>
    <s v="CUST-091"/>
    <s v="PROD-134"/>
    <n v="4"/>
    <n v="3904.2000000000003"/>
    <n v="3318.57"/>
    <n v="15616.800000000001"/>
    <n v="13274.28"/>
    <n v="2342.5200000000004"/>
    <s v="Ralph"/>
    <x v="1"/>
    <x v="102"/>
    <x v="0"/>
    <n v="44"/>
    <x v="0"/>
    <x v="7"/>
    <x v="2"/>
  </r>
  <r>
    <s v="ORD-1890"/>
    <d v="2025-11-28T00:00:00"/>
    <x v="0"/>
    <s v="CUST-095"/>
    <s v="PROD-124"/>
    <n v="5"/>
    <n v="14747.1"/>
    <n v="12535.035"/>
    <n v="73735.5"/>
    <n v="62675.175000000003"/>
    <n v="11060.324999999997"/>
    <s v="Linda"/>
    <x v="1"/>
    <x v="2"/>
    <x v="1"/>
    <n v="39"/>
    <x v="0"/>
    <x v="5"/>
    <x v="0"/>
  </r>
  <r>
    <s v="ORD-1891"/>
    <d v="2025-12-15T00:00:00"/>
    <x v="4"/>
    <s v="CUST-019"/>
    <s v="PROD-133"/>
    <n v="6"/>
    <n v="19398.699999999997"/>
    <n v="16488.894999999997"/>
    <n v="116392.19999999998"/>
    <n v="98933.369999999981"/>
    <n v="17458.830000000002"/>
    <s v="Tara"/>
    <x v="3"/>
    <x v="9"/>
    <x v="1"/>
    <n v="21"/>
    <x v="1"/>
    <x v="22"/>
    <x v="2"/>
  </r>
  <r>
    <s v="ORD-1892"/>
    <d v="2025-12-25T00:00:00"/>
    <x v="8"/>
    <s v="CUST-134"/>
    <s v="PROD-121"/>
    <n v="9"/>
    <n v="6682.5"/>
    <n v="5680.125"/>
    <n v="60142.5"/>
    <n v="51121.125"/>
    <n v="9021.375"/>
    <s v="Anna"/>
    <x v="1"/>
    <x v="25"/>
    <x v="0"/>
    <n v="26"/>
    <x v="1"/>
    <x v="8"/>
    <x v="0"/>
  </r>
  <r>
    <s v="ORD-1893"/>
    <d v="2025-10-17T00:00:00"/>
    <x v="13"/>
    <s v="CUST-146"/>
    <s v="PROD-104"/>
    <n v="6"/>
    <n v="10317.700000000001"/>
    <n v="8770.0450000000001"/>
    <n v="61906.200000000004"/>
    <n v="52620.270000000004"/>
    <n v="9285.93"/>
    <s v="Lisa"/>
    <x v="1"/>
    <x v="29"/>
    <x v="0"/>
    <n v="24"/>
    <x v="1"/>
    <x v="4"/>
    <x v="3"/>
  </r>
  <r>
    <s v="ORD-1894"/>
    <d v="2025-12-03T00:00:00"/>
    <x v="10"/>
    <s v="CUST-037"/>
    <s v="PROD-124"/>
    <n v="10"/>
    <n v="11089"/>
    <n v="9425.65"/>
    <n v="110890"/>
    <n v="94256.5"/>
    <n v="16633.5"/>
    <s v="Joshua"/>
    <x v="1"/>
    <x v="73"/>
    <x v="0"/>
    <n v="26"/>
    <x v="1"/>
    <x v="5"/>
    <x v="0"/>
  </r>
  <r>
    <s v="ORD-1895"/>
    <d v="2025-12-07T00:00:00"/>
    <x v="7"/>
    <s v="CUST-097"/>
    <s v="PROD-126"/>
    <n v="2"/>
    <n v="16729.7"/>
    <n v="14220.245000000001"/>
    <n v="33459.4"/>
    <n v="28440.49"/>
    <n v="5018.91"/>
    <s v="Kayla"/>
    <x v="5"/>
    <x v="1"/>
    <x v="0"/>
    <n v="23"/>
    <x v="1"/>
    <x v="9"/>
    <x v="5"/>
  </r>
  <r>
    <s v="ORD-1896"/>
    <d v="2025-12-15T00:00:00"/>
    <x v="4"/>
    <s v="CUST-006"/>
    <s v="PROD-129"/>
    <n v="1"/>
    <n v="9660.9"/>
    <n v="8211.7649999999994"/>
    <n v="9660.9"/>
    <n v="8211.7649999999994"/>
    <n v="1449.1350000000002"/>
    <s v="Joshua"/>
    <x v="0"/>
    <x v="58"/>
    <x v="1"/>
    <n v="19"/>
    <x v="1"/>
    <x v="21"/>
    <x v="5"/>
  </r>
  <r>
    <s v="ORD-1897"/>
    <d v="2025-11-16T00:00:00"/>
    <x v="6"/>
    <s v="CUST-074"/>
    <s v="PROD-107"/>
    <n v="10"/>
    <n v="14186.6"/>
    <n v="12058.61"/>
    <n v="141866"/>
    <n v="120586.1"/>
    <n v="21279.899999999994"/>
    <s v="Laura"/>
    <x v="1"/>
    <x v="47"/>
    <x v="0"/>
    <n v="32"/>
    <x v="1"/>
    <x v="12"/>
    <x v="4"/>
  </r>
  <r>
    <s v="ORD-1898"/>
    <d v="2025-12-21T00:00:00"/>
    <x v="8"/>
    <s v="CUST-011"/>
    <s v="PROD-127"/>
    <n v="5"/>
    <n v="6997.1"/>
    <n v="5947.5349999999999"/>
    <n v="34985.5"/>
    <n v="29737.674999999999"/>
    <n v="5247.8250000000007"/>
    <s v="Linda"/>
    <x v="2"/>
    <x v="26"/>
    <x v="1"/>
    <n v="18"/>
    <x v="1"/>
    <x v="17"/>
    <x v="5"/>
  </r>
  <r>
    <s v="ORD-1899"/>
    <d v="2025-12-01T00:00:00"/>
    <x v="10"/>
    <s v="CUST-079"/>
    <s v="PROD-107"/>
    <n v="2"/>
    <n v="6485.5999999999995"/>
    <n v="5512.7599999999993"/>
    <n v="12971.199999999999"/>
    <n v="11025.519999999999"/>
    <n v="1945.6800000000003"/>
    <s v="Patrick"/>
    <x v="1"/>
    <x v="97"/>
    <x v="0"/>
    <n v="50"/>
    <x v="0"/>
    <x v="12"/>
    <x v="4"/>
  </r>
  <r>
    <s v="ORD-1900"/>
    <d v="2025-10-14T00:00:00"/>
    <x v="13"/>
    <s v="CUST-046"/>
    <s v="PROD-129"/>
    <n v="10"/>
    <n v="15863.4"/>
    <n v="13483.89"/>
    <n v="158634"/>
    <n v="134838.9"/>
    <n v="23795.100000000006"/>
    <s v="Ethan"/>
    <x v="4"/>
    <x v="4"/>
    <x v="1"/>
    <n v="31"/>
    <x v="1"/>
    <x v="21"/>
    <x v="5"/>
  </r>
  <r>
    <s v="ORD-1901"/>
    <d v="2025-11-30T00:00:00"/>
    <x v="10"/>
    <s v="CUST-015"/>
    <s v="PROD-104"/>
    <n v="9"/>
    <n v="15372.1"/>
    <n v="13066.285"/>
    <n v="138348.9"/>
    <n v="117596.565"/>
    <n v="20752.334999999992"/>
    <s v="Victoria"/>
    <x v="1"/>
    <x v="88"/>
    <x v="0"/>
    <n v="40"/>
    <x v="0"/>
    <x v="4"/>
    <x v="3"/>
  </r>
  <r>
    <s v="ORD-1902"/>
    <d v="2025-11-22T00:00:00"/>
    <x v="6"/>
    <s v="CUST-086"/>
    <s v="PROD-107"/>
    <n v="3"/>
    <n v="12312"/>
    <n v="10465.200000000001"/>
    <n v="36936"/>
    <n v="31395.600000000002"/>
    <n v="5540.3999999999978"/>
    <s v="Andrea"/>
    <x v="5"/>
    <x v="70"/>
    <x v="0"/>
    <n v="19"/>
    <x v="1"/>
    <x v="12"/>
    <x v="4"/>
  </r>
  <r>
    <s v="ORD-1903"/>
    <d v="2025-12-07T00:00:00"/>
    <x v="7"/>
    <s v="CUST-020"/>
    <s v="PROD-121"/>
    <n v="7"/>
    <n v="14308.4"/>
    <n v="12162.14"/>
    <n v="100158.8"/>
    <n v="85134.98"/>
    <n v="15023.820000000007"/>
    <s v="Anna"/>
    <x v="1"/>
    <x v="23"/>
    <x v="1"/>
    <n v="35"/>
    <x v="0"/>
    <x v="8"/>
    <x v="0"/>
  </r>
  <r>
    <s v="ORD-1904"/>
    <d v="2025-11-16T00:00:00"/>
    <x v="6"/>
    <s v="CUST-118"/>
    <s v="PROD-118"/>
    <n v="1"/>
    <n v="13421.800000000001"/>
    <n v="11408.53"/>
    <n v="13421.800000000001"/>
    <n v="11408.53"/>
    <n v="2013.2700000000004"/>
    <s v="David"/>
    <x v="4"/>
    <x v="62"/>
    <x v="0"/>
    <n v="48"/>
    <x v="0"/>
    <x v="25"/>
    <x v="0"/>
  </r>
  <r>
    <s v="ORD-1905"/>
    <d v="2025-11-16T00:00:00"/>
    <x v="6"/>
    <s v="CUST-075"/>
    <s v="PROD-133"/>
    <n v="8"/>
    <n v="5163.4000000000005"/>
    <n v="4388.8900000000003"/>
    <n v="41307.200000000004"/>
    <n v="35111.120000000003"/>
    <n v="6196.0800000000017"/>
    <s v="Ethan"/>
    <x v="5"/>
    <x v="82"/>
    <x v="0"/>
    <n v="31"/>
    <x v="1"/>
    <x v="22"/>
    <x v="2"/>
  </r>
  <r>
    <s v="ORD-1906"/>
    <d v="2025-12-12T00:00:00"/>
    <x v="7"/>
    <s v="CUST-014"/>
    <s v="PROD-107"/>
    <n v="2"/>
    <n v="14591.6"/>
    <n v="12402.86"/>
    <n v="29183.200000000001"/>
    <n v="24805.72"/>
    <n v="4377.4799999999996"/>
    <s v="Ethan"/>
    <x v="4"/>
    <x v="34"/>
    <x v="1"/>
    <n v="27"/>
    <x v="1"/>
    <x v="12"/>
    <x v="4"/>
  </r>
  <r>
    <s v="ORD-1907"/>
    <d v="2025-10-28T00:00:00"/>
    <x v="3"/>
    <s v="CUST-087"/>
    <s v="PROD-113"/>
    <n v="7"/>
    <n v="16331.199999999999"/>
    <n v="13881.519999999999"/>
    <n v="114318.39999999999"/>
    <n v="97170.639999999985"/>
    <n v="17147.760000000009"/>
    <s v="Tara"/>
    <x v="0"/>
    <x v="105"/>
    <x v="1"/>
    <n v="53"/>
    <x v="0"/>
    <x v="19"/>
    <x v="1"/>
  </r>
  <r>
    <s v="ORD-1908"/>
    <d v="2025-12-19T00:00:00"/>
    <x v="4"/>
    <s v="CUST-141"/>
    <s v="PROD-133"/>
    <n v="8"/>
    <n v="2059.3000000000002"/>
    <n v="1750.4050000000002"/>
    <n v="16474.400000000001"/>
    <n v="14003.240000000002"/>
    <n v="2471.16"/>
    <s v="Tracey"/>
    <x v="5"/>
    <x v="12"/>
    <x v="1"/>
    <n v="49"/>
    <x v="0"/>
    <x v="22"/>
    <x v="2"/>
  </r>
  <r>
    <s v="ORD-1909"/>
    <d v="2025-12-06T00:00:00"/>
    <x v="10"/>
    <s v="CUST-040"/>
    <s v="PROD-123"/>
    <n v="4"/>
    <n v="15843.900000000001"/>
    <n v="13467.315000000002"/>
    <n v="63375.600000000006"/>
    <n v="53869.260000000009"/>
    <n v="9506.3399999999965"/>
    <s v="Douglas"/>
    <x v="0"/>
    <x v="72"/>
    <x v="0"/>
    <n v="52"/>
    <x v="0"/>
    <x v="32"/>
    <x v="0"/>
  </r>
  <r>
    <s v="ORD-1910"/>
    <d v="2025-10-13T00:00:00"/>
    <x v="13"/>
    <s v="CUST-012"/>
    <s v="PROD-121"/>
    <n v="10"/>
    <n v="1726.3"/>
    <n v="1467.355"/>
    <n v="17263"/>
    <n v="14673.55"/>
    <n v="2589.4500000000007"/>
    <s v="Douglas"/>
    <x v="0"/>
    <x v="79"/>
    <x v="1"/>
    <n v="23"/>
    <x v="1"/>
    <x v="8"/>
    <x v="0"/>
  </r>
  <r>
    <s v="ORD-1911"/>
    <d v="2025-10-20T00:00:00"/>
    <x v="9"/>
    <s v="CUST-033"/>
    <s v="PROD-121"/>
    <n v="4"/>
    <n v="4443.3"/>
    <n v="3776.8050000000003"/>
    <n v="17773.2"/>
    <n v="15107.220000000001"/>
    <n v="2665.9799999999996"/>
    <s v="Douglas"/>
    <x v="5"/>
    <x v="29"/>
    <x v="0"/>
    <n v="19"/>
    <x v="1"/>
    <x v="8"/>
    <x v="0"/>
  </r>
  <r>
    <s v="ORD-1912"/>
    <d v="2025-12-18T00:00:00"/>
    <x v="4"/>
    <s v="CUST-108"/>
    <s v="PROD-126"/>
    <n v="10"/>
    <n v="1285.8000000000002"/>
    <n v="1092.93"/>
    <n v="12858.000000000002"/>
    <n v="10929.300000000001"/>
    <n v="1928.7000000000007"/>
    <s v="Brenda"/>
    <x v="5"/>
    <x v="30"/>
    <x v="0"/>
    <n v="42"/>
    <x v="0"/>
    <x v="9"/>
    <x v="5"/>
  </r>
  <r>
    <s v="ORD-1913"/>
    <d v="2025-10-18T00:00:00"/>
    <x v="13"/>
    <s v="CUST-128"/>
    <s v="PROD-105"/>
    <n v="7"/>
    <n v="1571.6999999999998"/>
    <n v="1335.9449999999999"/>
    <n v="11001.899999999998"/>
    <n v="9351.6149999999998"/>
    <n v="1650.284999999998"/>
    <s v="Kayla"/>
    <x v="1"/>
    <x v="75"/>
    <x v="1"/>
    <n v="55"/>
    <x v="0"/>
    <x v="3"/>
    <x v="3"/>
  </r>
  <r>
    <s v="ORD-1914"/>
    <d v="2025-11-20T00:00:00"/>
    <x v="6"/>
    <s v="CUST-043"/>
    <s v="PROD-132"/>
    <n v="7"/>
    <n v="5804.4000000000005"/>
    <n v="4933.7400000000007"/>
    <n v="40630.800000000003"/>
    <n v="34536.180000000008"/>
    <n v="6094.6199999999953"/>
    <s v="Timothy"/>
    <x v="4"/>
    <x v="7"/>
    <x v="0"/>
    <n v="42"/>
    <x v="0"/>
    <x v="26"/>
    <x v="2"/>
  </r>
  <r>
    <s v="ORD-1915"/>
    <d v="2025-10-28T00:00:00"/>
    <x v="3"/>
    <s v="CUST-105"/>
    <s v="PROD-128"/>
    <n v="8"/>
    <n v="3767.7999999999997"/>
    <n v="3202.6299999999997"/>
    <n v="30142.399999999998"/>
    <n v="25621.039999999997"/>
    <n v="4521.3600000000006"/>
    <s v="Andrea"/>
    <x v="3"/>
    <x v="31"/>
    <x v="0"/>
    <n v="30"/>
    <x v="1"/>
    <x v="15"/>
    <x v="5"/>
  </r>
  <r>
    <s v="ORD-1916"/>
    <d v="2025-11-17T00:00:00"/>
    <x v="6"/>
    <s v="CUST-141"/>
    <s v="PROD-129"/>
    <n v="6"/>
    <n v="18341.300000000003"/>
    <n v="15590.105000000003"/>
    <n v="110047.80000000002"/>
    <n v="93540.630000000019"/>
    <n v="16507.169999999998"/>
    <s v="Jonathan"/>
    <x v="5"/>
    <x v="12"/>
    <x v="1"/>
    <n v="49"/>
    <x v="0"/>
    <x v="21"/>
    <x v="5"/>
  </r>
  <r>
    <s v="ORD-1917"/>
    <d v="2025-11-11T00:00:00"/>
    <x v="12"/>
    <s v="CUST-008"/>
    <s v="PROD-122"/>
    <n v="4"/>
    <n v="19517"/>
    <n v="16589.45"/>
    <n v="78068"/>
    <n v="66357.8"/>
    <n v="11710.199999999997"/>
    <s v="Katie"/>
    <x v="4"/>
    <x v="69"/>
    <x v="0"/>
    <n v="29"/>
    <x v="1"/>
    <x v="11"/>
    <x v="0"/>
  </r>
  <r>
    <s v="ORD-1918"/>
    <d v="2025-10-26T00:00:00"/>
    <x v="3"/>
    <s v="CUST-012"/>
    <s v="PROD-121"/>
    <n v="5"/>
    <n v="1434.3000000000002"/>
    <n v="1219.1550000000002"/>
    <n v="7171.5000000000009"/>
    <n v="6095.7750000000015"/>
    <n v="1075.7249999999995"/>
    <s v="Kayla"/>
    <x v="0"/>
    <x v="79"/>
    <x v="1"/>
    <n v="23"/>
    <x v="1"/>
    <x v="8"/>
    <x v="0"/>
  </r>
  <r>
    <s v="ORD-1919"/>
    <d v="2025-12-29T00:00:00"/>
    <x v="2"/>
    <s v="CUST-023"/>
    <s v="PROD-105"/>
    <n v="10"/>
    <n v="14474"/>
    <n v="12302.9"/>
    <n v="144740"/>
    <n v="123029"/>
    <n v="21711"/>
    <s v="Caroline"/>
    <x v="0"/>
    <x v="65"/>
    <x v="1"/>
    <n v="35"/>
    <x v="0"/>
    <x v="3"/>
    <x v="3"/>
  </r>
  <r>
    <s v="ORD-1920"/>
    <d v="2025-12-14T00:00:00"/>
    <x v="4"/>
    <s v="CUST-128"/>
    <s v="PROD-101"/>
    <n v="4"/>
    <n v="6701.2"/>
    <n v="5696.0199999999995"/>
    <n v="26804.799999999999"/>
    <n v="22784.079999999998"/>
    <n v="4020.7200000000012"/>
    <s v="Anna"/>
    <x v="1"/>
    <x v="75"/>
    <x v="1"/>
    <n v="55"/>
    <x v="0"/>
    <x v="16"/>
    <x v="3"/>
  </r>
  <r>
    <s v="ORD-1921"/>
    <d v="2025-10-23T00:00:00"/>
    <x v="9"/>
    <s v="CUST-124"/>
    <s v="PROD-124"/>
    <n v="6"/>
    <n v="11537"/>
    <n v="9806.4500000000007"/>
    <n v="69222"/>
    <n v="58838.700000000004"/>
    <n v="10383.299999999996"/>
    <s v="Katie"/>
    <x v="1"/>
    <x v="32"/>
    <x v="1"/>
    <n v="35"/>
    <x v="0"/>
    <x v="5"/>
    <x v="0"/>
  </r>
  <r>
    <s v="ORD-1922"/>
    <d v="2025-10-21T00:00:00"/>
    <x v="9"/>
    <s v="CUST-125"/>
    <s v="PROD-129"/>
    <n v="1"/>
    <n v="16522.8"/>
    <n v="14044.38"/>
    <n v="16522.8"/>
    <n v="14044.38"/>
    <n v="2478.42"/>
    <s v="Jasmine"/>
    <x v="2"/>
    <x v="28"/>
    <x v="0"/>
    <n v="23"/>
    <x v="1"/>
    <x v="21"/>
    <x v="5"/>
  </r>
  <r>
    <s v="ORD-1923"/>
    <d v="2025-10-31T00:00:00"/>
    <x v="3"/>
    <s v="CUST-149"/>
    <s v="PROD-106"/>
    <n v="6"/>
    <n v="3723.1"/>
    <n v="3164.6350000000002"/>
    <n v="22338.6"/>
    <n v="18987.810000000001"/>
    <n v="3350.7899999999972"/>
    <s v="Lori"/>
    <x v="3"/>
    <x v="53"/>
    <x v="0"/>
    <n v="54"/>
    <x v="0"/>
    <x v="6"/>
    <x v="4"/>
  </r>
  <r>
    <s v="ORD-1924"/>
    <d v="2025-11-22T00:00:00"/>
    <x v="6"/>
    <s v="CUST-146"/>
    <s v="PROD-104"/>
    <n v="2"/>
    <n v="16981.199999999997"/>
    <n v="14434.019999999997"/>
    <n v="33962.399999999994"/>
    <n v="28868.039999999994"/>
    <n v="5094.3600000000006"/>
    <s v="Thomas"/>
    <x v="1"/>
    <x v="29"/>
    <x v="0"/>
    <n v="24"/>
    <x v="1"/>
    <x v="4"/>
    <x v="3"/>
  </r>
  <r>
    <s v="ORD-1925"/>
    <d v="2025-11-06T00:00:00"/>
    <x v="5"/>
    <s v="CUST-110"/>
    <s v="PROD-106"/>
    <n v="4"/>
    <n v="9056.6999999999989"/>
    <n v="7698.1949999999988"/>
    <n v="36226.799999999996"/>
    <n v="30792.779999999995"/>
    <n v="5434.02"/>
    <s v="Tara"/>
    <x v="1"/>
    <x v="35"/>
    <x v="1"/>
    <n v="52"/>
    <x v="0"/>
    <x v="6"/>
    <x v="4"/>
  </r>
  <r>
    <s v="ORD-1926"/>
    <d v="2025-11-23T00:00:00"/>
    <x v="0"/>
    <s v="CUST-063"/>
    <s v="PROD-116"/>
    <n v="3"/>
    <n v="4387.0999999999995"/>
    <n v="3729.0349999999994"/>
    <n v="13161.3"/>
    <n v="11187.104999999998"/>
    <n v="1974.1950000000015"/>
    <s v="Patrick"/>
    <x v="1"/>
    <x v="18"/>
    <x v="0"/>
    <n v="24"/>
    <x v="1"/>
    <x v="24"/>
    <x v="1"/>
  </r>
  <r>
    <s v="ORD-1927"/>
    <d v="2025-12-20T00:00:00"/>
    <x v="4"/>
    <s v="CUST-083"/>
    <s v="PROD-101"/>
    <n v="3"/>
    <n v="11511.400000000001"/>
    <n v="9784.69"/>
    <n v="34534.200000000004"/>
    <n v="29354.07"/>
    <n v="5180.1300000000047"/>
    <s v="Lori"/>
    <x v="3"/>
    <x v="14"/>
    <x v="1"/>
    <n v="23"/>
    <x v="1"/>
    <x v="16"/>
    <x v="3"/>
  </r>
  <r>
    <s v="ORD-1928"/>
    <d v="2025-10-15T00:00:00"/>
    <x v="13"/>
    <s v="CUST-001"/>
    <s v="PROD-128"/>
    <n v="4"/>
    <n v="18375.2"/>
    <n v="15618.92"/>
    <n v="73500.800000000003"/>
    <n v="62475.68"/>
    <n v="11025.120000000003"/>
    <s v="Laura"/>
    <x v="3"/>
    <x v="74"/>
    <x v="1"/>
    <n v="27"/>
    <x v="1"/>
    <x v="15"/>
    <x v="5"/>
  </r>
  <r>
    <s v="ORD-1929"/>
    <d v="2025-11-11T00:00:00"/>
    <x v="12"/>
    <s v="CUST-032"/>
    <s v="PROD-127"/>
    <n v="4"/>
    <n v="4158.8999999999996"/>
    <n v="3535.0649999999996"/>
    <n v="16635.599999999999"/>
    <n v="14140.259999999998"/>
    <n v="2495.34"/>
    <s v="Anna"/>
    <x v="4"/>
    <x v="15"/>
    <x v="0"/>
    <n v="26"/>
    <x v="1"/>
    <x v="17"/>
    <x v="5"/>
  </r>
  <r>
    <s v="ORD-1930"/>
    <d v="2025-10-22T00:00:00"/>
    <x v="9"/>
    <s v="CUST-085"/>
    <s v="PROD-126"/>
    <n v="3"/>
    <n v="609.20000000000005"/>
    <n v="517.82000000000005"/>
    <n v="1827.6000000000001"/>
    <n v="1553.46"/>
    <n v="274.1400000000001"/>
    <s v="Lori"/>
    <x v="4"/>
    <x v="41"/>
    <x v="0"/>
    <n v="29"/>
    <x v="1"/>
    <x v="9"/>
    <x v="5"/>
  </r>
  <r>
    <s v="ORD-1931"/>
    <d v="2025-11-02T00:00:00"/>
    <x v="5"/>
    <s v="CUST-146"/>
    <s v="PROD-124"/>
    <n v="3"/>
    <n v="11973"/>
    <n v="10177.049999999999"/>
    <n v="35919"/>
    <n v="30531.149999999998"/>
    <n v="5387.8500000000022"/>
    <s v="Cheyenne"/>
    <x v="1"/>
    <x v="29"/>
    <x v="0"/>
    <n v="24"/>
    <x v="1"/>
    <x v="5"/>
    <x v="0"/>
  </r>
  <r>
    <s v="ORD-1932"/>
    <d v="2025-11-25T00:00:00"/>
    <x v="0"/>
    <s v="CUST-144"/>
    <s v="PROD-107"/>
    <n v="6"/>
    <n v="5237.8999999999996"/>
    <n v="4452.2150000000001"/>
    <n v="31427.399999999998"/>
    <n v="26713.29"/>
    <n v="4714.1099999999969"/>
    <s v="Kayla"/>
    <x v="4"/>
    <x v="66"/>
    <x v="1"/>
    <n v="23"/>
    <x v="1"/>
    <x v="12"/>
    <x v="4"/>
  </r>
  <r>
    <s v="ORD-1933"/>
    <d v="2025-12-10T00:00:00"/>
    <x v="7"/>
    <s v="CUST-117"/>
    <s v="PROD-110"/>
    <n v="3"/>
    <n v="16220.5"/>
    <n v="13787.424999999999"/>
    <n v="48661.5"/>
    <n v="41362.274999999994"/>
    <n v="7299.2250000000058"/>
    <s v="Jasmine"/>
    <x v="1"/>
    <x v="20"/>
    <x v="1"/>
    <n v="29"/>
    <x v="1"/>
    <x v="14"/>
    <x v="4"/>
  </r>
  <r>
    <s v="ORD-1934"/>
    <d v="2025-12-05T00:00:00"/>
    <x v="10"/>
    <s v="CUST-013"/>
    <s v="PROD-106"/>
    <n v="2"/>
    <n v="18779.7"/>
    <n v="15962.745000000001"/>
    <n v="37559.4"/>
    <n v="31925.49"/>
    <n v="5633.91"/>
    <s v="Tracey"/>
    <x v="1"/>
    <x v="94"/>
    <x v="1"/>
    <n v="26"/>
    <x v="1"/>
    <x v="6"/>
    <x v="4"/>
  </r>
  <r>
    <s v="ORD-1935"/>
    <d v="2025-12-13T00:00:00"/>
    <x v="7"/>
    <s v="CUST-045"/>
    <s v="PROD-116"/>
    <n v="4"/>
    <n v="18363.2"/>
    <n v="15608.720000000001"/>
    <n v="73452.800000000003"/>
    <n v="62434.880000000005"/>
    <n v="11017.919999999998"/>
    <s v="Sean"/>
    <x v="1"/>
    <x v="36"/>
    <x v="0"/>
    <n v="22"/>
    <x v="1"/>
    <x v="24"/>
    <x v="1"/>
  </r>
  <r>
    <s v="ORD-1936"/>
    <d v="2025-10-10T00:00:00"/>
    <x v="1"/>
    <s v="CUST-092"/>
    <s v="PROD-106"/>
    <n v="1"/>
    <n v="17177.900000000001"/>
    <n v="14601.215000000002"/>
    <n v="17177.900000000001"/>
    <n v="14601.215000000002"/>
    <n v="2576.6849999999995"/>
    <s v="Joshua"/>
    <x v="2"/>
    <x v="3"/>
    <x v="0"/>
    <n v="48"/>
    <x v="0"/>
    <x v="6"/>
    <x v="4"/>
  </r>
  <r>
    <s v="ORD-1937"/>
    <d v="2025-11-05T00:00:00"/>
    <x v="5"/>
    <s v="CUST-002"/>
    <s v="PROD-131"/>
    <n v="2"/>
    <n v="626"/>
    <n v="532.1"/>
    <n v="1252"/>
    <n v="1064.2"/>
    <n v="187.79999999999995"/>
    <s v="Daniel"/>
    <x v="1"/>
    <x v="8"/>
    <x v="1"/>
    <n v="20"/>
    <x v="1"/>
    <x v="2"/>
    <x v="2"/>
  </r>
  <r>
    <s v="ORD-1938"/>
    <d v="2025-11-07T00:00:00"/>
    <x v="5"/>
    <s v="CUST-090"/>
    <s v="PROD-134"/>
    <n v="7"/>
    <n v="13192.7"/>
    <n v="11213.795"/>
    <n v="92348.900000000009"/>
    <n v="78496.565000000002"/>
    <n v="13852.335000000006"/>
    <s v="Douglas"/>
    <x v="1"/>
    <x v="16"/>
    <x v="0"/>
    <n v="29"/>
    <x v="1"/>
    <x v="7"/>
    <x v="2"/>
  </r>
  <r>
    <s v="ORD-1939"/>
    <d v="2025-12-09T00:00:00"/>
    <x v="7"/>
    <s v="CUST-058"/>
    <s v="PROD-134"/>
    <n v="9"/>
    <n v="16731.600000000002"/>
    <n v="14221.860000000002"/>
    <n v="150584.40000000002"/>
    <n v="127996.74000000002"/>
    <n v="22587.660000000003"/>
    <s v="Lori"/>
    <x v="1"/>
    <x v="17"/>
    <x v="0"/>
    <n v="18"/>
    <x v="1"/>
    <x v="7"/>
    <x v="2"/>
  </r>
  <r>
    <s v="ORD-1940"/>
    <d v="2025-11-15T00:00:00"/>
    <x v="12"/>
    <s v="CUST-146"/>
    <s v="PROD-134"/>
    <n v="7"/>
    <n v="14292.2"/>
    <n v="12148.37"/>
    <n v="100045.40000000001"/>
    <n v="85038.590000000011"/>
    <n v="15006.809999999998"/>
    <s v="Jonathan"/>
    <x v="1"/>
    <x v="29"/>
    <x v="0"/>
    <n v="24"/>
    <x v="1"/>
    <x v="7"/>
    <x v="2"/>
  </r>
  <r>
    <s v="ORD-1941"/>
    <d v="2025-11-02T00:00:00"/>
    <x v="5"/>
    <s v="CUST-136"/>
    <s v="PROD-107"/>
    <n v="3"/>
    <n v="5959.2"/>
    <n v="5065.32"/>
    <n v="17877.599999999999"/>
    <n v="15195.96"/>
    <n v="2681.6399999999994"/>
    <s v="Aaron"/>
    <x v="2"/>
    <x v="24"/>
    <x v="0"/>
    <n v="34"/>
    <x v="1"/>
    <x v="12"/>
    <x v="4"/>
  </r>
  <r>
    <s v="ORD-1942"/>
    <d v="2025-12-20T00:00:00"/>
    <x v="4"/>
    <s v="CUST-025"/>
    <s v="PROD-101"/>
    <n v="7"/>
    <n v="7879.9"/>
    <n v="6697.915"/>
    <n v="55159.299999999996"/>
    <n v="46885.404999999999"/>
    <n v="8273.8949999999968"/>
    <s v="Lisa"/>
    <x v="4"/>
    <x v="50"/>
    <x v="1"/>
    <n v="19"/>
    <x v="1"/>
    <x v="16"/>
    <x v="3"/>
  </r>
  <r>
    <s v="ORD-1943"/>
    <d v="2025-10-28T00:00:00"/>
    <x v="3"/>
    <s v="CUST-010"/>
    <s v="PROD-131"/>
    <n v="10"/>
    <n v="11288.099999999999"/>
    <n v="9594.8849999999984"/>
    <n v="112880.99999999999"/>
    <n v="95948.849999999977"/>
    <n v="16932.150000000009"/>
    <s v="David"/>
    <x v="1"/>
    <x v="93"/>
    <x v="1"/>
    <n v="21"/>
    <x v="1"/>
    <x v="2"/>
    <x v="2"/>
  </r>
  <r>
    <s v="ORD-1944"/>
    <d v="2025-10-07T00:00:00"/>
    <x v="1"/>
    <s v="CUST-115"/>
    <s v="PROD-112"/>
    <n v="6"/>
    <n v="15374"/>
    <n v="13067.9"/>
    <n v="92244"/>
    <n v="78407.399999999994"/>
    <n v="13836.600000000006"/>
    <s v="Douglas"/>
    <x v="0"/>
    <x v="87"/>
    <x v="0"/>
    <n v="31"/>
    <x v="1"/>
    <x v="1"/>
    <x v="1"/>
  </r>
  <r>
    <s v="ORD-1945"/>
    <d v="2025-10-11T00:00:00"/>
    <x v="1"/>
    <s v="CUST-103"/>
    <s v="PROD-124"/>
    <n v="2"/>
    <n v="18031.600000000002"/>
    <n v="15326.860000000002"/>
    <n v="36063.200000000004"/>
    <n v="30653.720000000005"/>
    <n v="5409.48"/>
    <s v="Jasmine"/>
    <x v="2"/>
    <x v="85"/>
    <x v="1"/>
    <n v="23"/>
    <x v="1"/>
    <x v="5"/>
    <x v="0"/>
  </r>
  <r>
    <s v="ORD-1946"/>
    <d v="2025-12-18T00:00:00"/>
    <x v="4"/>
    <s v="CUST-107"/>
    <s v="PROD-101"/>
    <n v="10"/>
    <n v="15720.8"/>
    <n v="13362.68"/>
    <n v="157208"/>
    <n v="133626.79999999999"/>
    <n v="23581.200000000012"/>
    <s v="Lisa"/>
    <x v="4"/>
    <x v="36"/>
    <x v="0"/>
    <n v="18"/>
    <x v="1"/>
    <x v="16"/>
    <x v="3"/>
  </r>
  <r>
    <s v="ORD-1947"/>
    <d v="2025-12-21T00:00:00"/>
    <x v="8"/>
    <s v="CUST-094"/>
    <s v="PROD-124"/>
    <n v="4"/>
    <n v="19327.599999999999"/>
    <n v="16428.46"/>
    <n v="77310.399999999994"/>
    <n v="65713.84"/>
    <n v="11596.559999999998"/>
    <s v="Thomas"/>
    <x v="3"/>
    <x v="21"/>
    <x v="1"/>
    <n v="40"/>
    <x v="0"/>
    <x v="5"/>
    <x v="0"/>
  </r>
  <r>
    <s v="ORD-1948"/>
    <d v="2025-12-27T00:00:00"/>
    <x v="8"/>
    <s v="CUST-008"/>
    <s v="PROD-131"/>
    <n v="5"/>
    <n v="11870.3"/>
    <n v="10089.754999999999"/>
    <n v="59351.5"/>
    <n v="50448.774999999994"/>
    <n v="8902.7250000000058"/>
    <s v="Jasmine"/>
    <x v="4"/>
    <x v="69"/>
    <x v="0"/>
    <n v="29"/>
    <x v="1"/>
    <x v="2"/>
    <x v="2"/>
  </r>
  <r>
    <s v="ORD-1949"/>
    <d v="2025-12-17T00:00:00"/>
    <x v="4"/>
    <s v="CUST-015"/>
    <s v="PROD-130"/>
    <n v="5"/>
    <n v="4600.4000000000005"/>
    <n v="3910.3400000000006"/>
    <n v="23002.000000000004"/>
    <n v="19551.700000000004"/>
    <n v="3450.2999999999993"/>
    <s v="Jennifer"/>
    <x v="1"/>
    <x v="88"/>
    <x v="0"/>
    <n v="40"/>
    <x v="0"/>
    <x v="29"/>
    <x v="2"/>
  </r>
  <r>
    <s v="ORD-1950"/>
    <d v="2025-11-18T00:00:00"/>
    <x v="6"/>
    <s v="CUST-015"/>
    <s v="PROD-133"/>
    <n v="4"/>
    <n v="3640.2"/>
    <n v="3094.17"/>
    <n v="14560.8"/>
    <n v="12376.68"/>
    <n v="2184.119999999999"/>
    <s v="Jennifer"/>
    <x v="1"/>
    <x v="88"/>
    <x v="0"/>
    <n v="40"/>
    <x v="0"/>
    <x v="22"/>
    <x v="2"/>
  </r>
  <r>
    <s v="ORD-1951"/>
    <d v="2025-11-12T00:00:00"/>
    <x v="12"/>
    <s v="CUST-019"/>
    <s v="PROD-106"/>
    <n v="10"/>
    <n v="12569.6"/>
    <n v="10684.16"/>
    <n v="125696"/>
    <n v="106841.60000000001"/>
    <n v="18854.399999999994"/>
    <s v="Laura"/>
    <x v="3"/>
    <x v="9"/>
    <x v="1"/>
    <n v="21"/>
    <x v="1"/>
    <x v="6"/>
    <x v="4"/>
  </r>
  <r>
    <s v="ORD-1952"/>
    <d v="2025-11-05T00:00:00"/>
    <x v="5"/>
    <s v="CUST-136"/>
    <s v="PROD-132"/>
    <n v="1"/>
    <n v="17191.8"/>
    <n v="14613.029999999999"/>
    <n v="17191.8"/>
    <n v="14613.029999999999"/>
    <n v="2578.7700000000004"/>
    <s v="Tara"/>
    <x v="2"/>
    <x v="24"/>
    <x v="0"/>
    <n v="34"/>
    <x v="1"/>
    <x v="26"/>
    <x v="2"/>
  </r>
  <r>
    <s v="ORD-1953"/>
    <d v="2025-10-04T00:00:00"/>
    <x v="11"/>
    <s v="CUST-131"/>
    <s v="PROD-130"/>
    <n v="4"/>
    <n v="11436.400000000001"/>
    <n v="9720.94"/>
    <n v="45745.600000000006"/>
    <n v="38883.760000000002"/>
    <n v="6861.8400000000038"/>
    <s v="Aaron"/>
    <x v="0"/>
    <x v="37"/>
    <x v="0"/>
    <n v="46"/>
    <x v="0"/>
    <x v="29"/>
    <x v="2"/>
  </r>
  <r>
    <s v="ORD-1954"/>
    <d v="2025-11-17T00:00:00"/>
    <x v="6"/>
    <s v="CUST-055"/>
    <s v="PROD-128"/>
    <n v="2"/>
    <n v="18509.3"/>
    <n v="15732.904999999999"/>
    <n v="37018.6"/>
    <n v="31465.809999999998"/>
    <n v="5552.7900000000009"/>
    <s v="Ethan"/>
    <x v="0"/>
    <x v="16"/>
    <x v="0"/>
    <n v="24"/>
    <x v="1"/>
    <x v="15"/>
    <x v="5"/>
  </r>
  <r>
    <s v="ORD-1955"/>
    <d v="2025-11-14T00:00:00"/>
    <x v="12"/>
    <s v="CUST-091"/>
    <s v="PROD-110"/>
    <n v="2"/>
    <n v="13101.7"/>
    <n v="11136.445"/>
    <n v="26203.4"/>
    <n v="22272.89"/>
    <n v="3930.510000000002"/>
    <s v="Sean"/>
    <x v="1"/>
    <x v="102"/>
    <x v="0"/>
    <n v="44"/>
    <x v="0"/>
    <x v="14"/>
    <x v="4"/>
  </r>
  <r>
    <s v="ORD-1956"/>
    <d v="2025-12-02T00:00:00"/>
    <x v="10"/>
    <s v="CUST-004"/>
    <s v="PROD-123"/>
    <n v="2"/>
    <n v="12211.6"/>
    <n v="10379.86"/>
    <n v="24423.200000000001"/>
    <n v="20759.72"/>
    <n v="3663.4799999999996"/>
    <s v="Jasmine"/>
    <x v="5"/>
    <x v="100"/>
    <x v="0"/>
    <n v="40"/>
    <x v="0"/>
    <x v="32"/>
    <x v="0"/>
  </r>
  <r>
    <s v="ORD-1957"/>
    <d v="2025-10-16T00:00:00"/>
    <x v="13"/>
    <s v="CUST-011"/>
    <s v="PROD-107"/>
    <n v="5"/>
    <n v="19036.300000000003"/>
    <n v="16180.855000000003"/>
    <n v="95181.500000000015"/>
    <n v="80904.275000000023"/>
    <n v="14277.224999999991"/>
    <s v="Patrick"/>
    <x v="2"/>
    <x v="26"/>
    <x v="1"/>
    <n v="18"/>
    <x v="1"/>
    <x v="12"/>
    <x v="4"/>
  </r>
  <r>
    <s v="ORD-1958"/>
    <d v="2025-10-06T00:00:00"/>
    <x v="1"/>
    <s v="CUST-109"/>
    <s v="PROD-104"/>
    <n v="1"/>
    <n v="5135.2"/>
    <n v="4364.92"/>
    <n v="5135.2"/>
    <n v="4364.92"/>
    <n v="770.27999999999975"/>
    <s v="Jennifer"/>
    <x v="0"/>
    <x v="10"/>
    <x v="0"/>
    <n v="22"/>
    <x v="1"/>
    <x v="4"/>
    <x v="3"/>
  </r>
  <r>
    <s v="ORD-1959"/>
    <d v="2025-11-10T00:00:00"/>
    <x v="12"/>
    <s v="CUST-127"/>
    <s v="PROD-129"/>
    <n v="8"/>
    <n v="16485.099999999999"/>
    <n v="14012.334999999999"/>
    <n v="131880.79999999999"/>
    <n v="112098.68"/>
    <n v="19782.119999999995"/>
    <s v="Patrick"/>
    <x v="3"/>
    <x v="48"/>
    <x v="0"/>
    <n v="18"/>
    <x v="1"/>
    <x v="21"/>
    <x v="5"/>
  </r>
  <r>
    <s v="ORD-1960"/>
    <d v="2025-11-25T00:00:00"/>
    <x v="0"/>
    <s v="CUST-084"/>
    <s v="PROD-129"/>
    <n v="9"/>
    <n v="6006"/>
    <n v="5105.1000000000004"/>
    <n v="54054"/>
    <n v="45945.9"/>
    <n v="8108.0999999999985"/>
    <s v="Douglas"/>
    <x v="4"/>
    <x v="45"/>
    <x v="1"/>
    <n v="49"/>
    <x v="0"/>
    <x v="21"/>
    <x v="5"/>
  </r>
  <r>
    <s v="ORD-1961"/>
    <d v="2025-12-22T00:00:00"/>
    <x v="8"/>
    <s v="CUST-106"/>
    <s v="PROD-104"/>
    <n v="9"/>
    <n v="16429.8"/>
    <n v="13965.33"/>
    <n v="147868.19999999998"/>
    <n v="125687.97"/>
    <n v="22180.229999999981"/>
    <s v="Lisa"/>
    <x v="1"/>
    <x v="96"/>
    <x v="0"/>
    <n v="32"/>
    <x v="1"/>
    <x v="4"/>
    <x v="3"/>
  </r>
  <r>
    <s v="ORD-1962"/>
    <d v="2025-12-05T00:00:00"/>
    <x v="10"/>
    <s v="CUST-007"/>
    <s v="PROD-130"/>
    <n v="4"/>
    <n v="13229.400000000001"/>
    <n v="11244.990000000002"/>
    <n v="52917.600000000006"/>
    <n v="44979.960000000006"/>
    <n v="7937.6399999999994"/>
    <s v="Jennifer"/>
    <x v="1"/>
    <x v="29"/>
    <x v="0"/>
    <n v="44"/>
    <x v="0"/>
    <x v="29"/>
    <x v="2"/>
  </r>
  <r>
    <s v="ORD-1963"/>
    <d v="2025-10-16T00:00:00"/>
    <x v="13"/>
    <s v="CUST-143"/>
    <s v="PROD-124"/>
    <n v="6"/>
    <n v="16778.5"/>
    <n v="14261.725"/>
    <n v="100671"/>
    <n v="85570.35"/>
    <n v="15100.649999999994"/>
    <s v="Ralph"/>
    <x v="1"/>
    <x v="19"/>
    <x v="0"/>
    <n v="36"/>
    <x v="0"/>
    <x v="5"/>
    <x v="0"/>
  </r>
  <r>
    <s v="ORD-1964"/>
    <d v="2025-10-25T00:00:00"/>
    <x v="9"/>
    <s v="CUST-026"/>
    <s v="PROD-115"/>
    <n v="10"/>
    <n v="12731.199999999999"/>
    <n v="10821.519999999999"/>
    <n v="127311.99999999999"/>
    <n v="108215.19999999998"/>
    <n v="19096.800000000003"/>
    <s v="Cheyenne"/>
    <x v="1"/>
    <x v="104"/>
    <x v="1"/>
    <n v="26"/>
    <x v="1"/>
    <x v="10"/>
    <x v="1"/>
  </r>
  <r>
    <s v="ORD-1965"/>
    <d v="2025-11-02T00:00:00"/>
    <x v="5"/>
    <s v="CUST-013"/>
    <s v="PROD-105"/>
    <n v="1"/>
    <n v="8278"/>
    <n v="7036.3"/>
    <n v="8278"/>
    <n v="7036.3"/>
    <n v="1241.6999999999998"/>
    <s v="Timothy"/>
    <x v="1"/>
    <x v="94"/>
    <x v="1"/>
    <n v="26"/>
    <x v="1"/>
    <x v="3"/>
    <x v="3"/>
  </r>
  <r>
    <s v="ORD-1966"/>
    <d v="2025-12-04T00:00:00"/>
    <x v="10"/>
    <s v="CUST-030"/>
    <s v="PROD-101"/>
    <n v="10"/>
    <n v="19044.400000000001"/>
    <n v="16187.740000000002"/>
    <n v="190444"/>
    <n v="161877.40000000002"/>
    <n v="28566.599999999977"/>
    <s v="Anna"/>
    <x v="3"/>
    <x v="4"/>
    <x v="1"/>
    <n v="24"/>
    <x v="1"/>
    <x v="16"/>
    <x v="3"/>
  </r>
  <r>
    <s v="ORD-1967"/>
    <d v="2025-11-03T00:00:00"/>
    <x v="5"/>
    <s v="CUST-023"/>
    <s v="PROD-114"/>
    <n v="3"/>
    <n v="14943.3"/>
    <n v="12701.805"/>
    <n v="44829.899999999994"/>
    <n v="38105.415000000001"/>
    <n v="6724.4849999999933"/>
    <s v="Brenda"/>
    <x v="0"/>
    <x v="65"/>
    <x v="1"/>
    <n v="35"/>
    <x v="0"/>
    <x v="18"/>
    <x v="1"/>
  </r>
  <r>
    <s v="ORD-1968"/>
    <d v="2025-12-16T00:00:00"/>
    <x v="4"/>
    <s v="CUST-022"/>
    <s v="PROD-104"/>
    <n v="10"/>
    <n v="4723.3"/>
    <n v="4014.8050000000003"/>
    <n v="47233"/>
    <n v="40148.050000000003"/>
    <n v="7084.9499999999971"/>
    <s v="Brenda"/>
    <x v="5"/>
    <x v="46"/>
    <x v="1"/>
    <n v="31"/>
    <x v="1"/>
    <x v="4"/>
    <x v="3"/>
  </r>
  <r>
    <s v="ORD-1969"/>
    <d v="2025-11-05T00:00:00"/>
    <x v="5"/>
    <s v="CUST-061"/>
    <s v="PROD-111"/>
    <n v="6"/>
    <n v="5682.1"/>
    <n v="4829.7849999999999"/>
    <n v="34092.600000000006"/>
    <n v="28978.71"/>
    <n v="5113.8900000000067"/>
    <s v="Patrick"/>
    <x v="0"/>
    <x v="31"/>
    <x v="0"/>
    <n v="28"/>
    <x v="1"/>
    <x v="31"/>
    <x v="1"/>
  </r>
  <r>
    <s v="ORD-1970"/>
    <d v="2025-12-30T00:00:00"/>
    <x v="2"/>
    <s v="CUST-145"/>
    <s v="PROD-124"/>
    <n v="3"/>
    <n v="8726.7999999999993"/>
    <n v="7417.78"/>
    <n v="26180.399999999998"/>
    <n v="22253.34"/>
    <n v="3927.0599999999977"/>
    <s v="Linda"/>
    <x v="1"/>
    <x v="83"/>
    <x v="0"/>
    <n v="31"/>
    <x v="1"/>
    <x v="5"/>
    <x v="0"/>
  </r>
  <r>
    <s v="ORD-1971"/>
    <d v="2025-11-11T00:00:00"/>
    <x v="12"/>
    <s v="CUST-060"/>
    <s v="PROD-106"/>
    <n v="5"/>
    <n v="4807.2000000000007"/>
    <n v="4086.1200000000008"/>
    <n v="24036.000000000004"/>
    <n v="20430.600000000006"/>
    <n v="3605.3999999999978"/>
    <s v="Brenda"/>
    <x v="2"/>
    <x v="7"/>
    <x v="0"/>
    <n v="20"/>
    <x v="1"/>
    <x v="6"/>
    <x v="4"/>
  </r>
  <r>
    <s v="ORD-1972"/>
    <d v="2025-10-16T00:00:00"/>
    <x v="13"/>
    <s v="CUST-021"/>
    <s v="PROD-130"/>
    <n v="2"/>
    <n v="11842.6"/>
    <n v="10066.210000000001"/>
    <n v="23685.200000000001"/>
    <n v="20132.420000000002"/>
    <n v="3552.7799999999988"/>
    <s v="Jonathan"/>
    <x v="4"/>
    <x v="67"/>
    <x v="1"/>
    <n v="28"/>
    <x v="1"/>
    <x v="29"/>
    <x v="2"/>
  </r>
  <r>
    <s v="ORD-1973"/>
    <d v="2025-11-07T00:00:00"/>
    <x v="5"/>
    <s v="CUST-145"/>
    <s v="PROD-120"/>
    <n v="8"/>
    <n v="12916.6"/>
    <n v="10979.11"/>
    <n v="103332.8"/>
    <n v="87832.88"/>
    <n v="15499.919999999998"/>
    <s v="Jonathan"/>
    <x v="1"/>
    <x v="83"/>
    <x v="0"/>
    <n v="31"/>
    <x v="1"/>
    <x v="0"/>
    <x v="0"/>
  </r>
  <r>
    <s v="ORD-1974"/>
    <d v="2025-12-03T00:00:00"/>
    <x v="10"/>
    <s v="CUST-139"/>
    <s v="PROD-110"/>
    <n v="6"/>
    <n v="12211.300000000001"/>
    <n v="10379.605000000001"/>
    <n v="73267.8"/>
    <n v="62277.630000000005"/>
    <n v="10990.169999999998"/>
    <s v="Joshua"/>
    <x v="1"/>
    <x v="57"/>
    <x v="1"/>
    <n v="20"/>
    <x v="1"/>
    <x v="14"/>
    <x v="4"/>
  </r>
  <r>
    <s v="ORD-1975"/>
    <d v="2025-11-04T00:00:00"/>
    <x v="5"/>
    <s v="CUST-002"/>
    <s v="PROD-128"/>
    <n v="3"/>
    <n v="16610.3"/>
    <n v="14118.754999999999"/>
    <n v="49830.899999999994"/>
    <n v="42356.264999999999"/>
    <n v="7474.6349999999948"/>
    <s v="Sean"/>
    <x v="1"/>
    <x v="8"/>
    <x v="1"/>
    <n v="20"/>
    <x v="1"/>
    <x v="15"/>
    <x v="5"/>
  </r>
  <r>
    <s v="ORD-1976"/>
    <d v="2025-12-03T00:00:00"/>
    <x v="10"/>
    <s v="CUST-071"/>
    <s v="PROD-104"/>
    <n v="10"/>
    <n v="17408.3"/>
    <n v="14797.055"/>
    <n v="174083"/>
    <n v="147970.54999999999"/>
    <n v="26112.450000000012"/>
    <s v="Jasmine"/>
    <x v="2"/>
    <x v="6"/>
    <x v="1"/>
    <n v="32"/>
    <x v="1"/>
    <x v="4"/>
    <x v="3"/>
  </r>
  <r>
    <s v="ORD-1977"/>
    <d v="2025-10-16T00:00:00"/>
    <x v="13"/>
    <s v="CUST-101"/>
    <s v="PROD-102"/>
    <n v="4"/>
    <n v="12010"/>
    <n v="10208.5"/>
    <n v="48040"/>
    <n v="40834"/>
    <n v="7206"/>
    <s v="Andrea"/>
    <x v="1"/>
    <x v="85"/>
    <x v="1"/>
    <n v="25"/>
    <x v="1"/>
    <x v="20"/>
    <x v="3"/>
  </r>
  <r>
    <s v="ORD-1978"/>
    <d v="2025-12-07T00:00:00"/>
    <x v="7"/>
    <s v="CUST-005"/>
    <s v="PROD-124"/>
    <n v="2"/>
    <n v="14347.3"/>
    <n v="12195.205"/>
    <n v="28694.6"/>
    <n v="24390.41"/>
    <n v="4304.1899999999987"/>
    <s v="Aaron"/>
    <x v="0"/>
    <x v="39"/>
    <x v="1"/>
    <n v="20"/>
    <x v="1"/>
    <x v="5"/>
    <x v="0"/>
  </r>
  <r>
    <s v="ORD-1979"/>
    <d v="2025-11-23T00:00:00"/>
    <x v="0"/>
    <s v="CUST-016"/>
    <s v="PROD-115"/>
    <n v="6"/>
    <n v="11841.199999999999"/>
    <n v="10065.019999999999"/>
    <n v="71047.199999999997"/>
    <n v="60390.119999999995"/>
    <n v="10657.080000000002"/>
    <s v="Thomas"/>
    <x v="1"/>
    <x v="26"/>
    <x v="1"/>
    <n v="26"/>
    <x v="1"/>
    <x v="10"/>
    <x v="1"/>
  </r>
  <r>
    <s v="ORD-1980"/>
    <d v="2025-11-27T00:00:00"/>
    <x v="0"/>
    <s v="CUST-028"/>
    <s v="PROD-102"/>
    <n v="3"/>
    <n v="18353.699999999997"/>
    <n v="15600.644999999997"/>
    <n v="55061.099999999991"/>
    <n v="46801.93499999999"/>
    <n v="8259.1650000000009"/>
    <s v="Daniel"/>
    <x v="2"/>
    <x v="98"/>
    <x v="1"/>
    <n v="33"/>
    <x v="1"/>
    <x v="20"/>
    <x v="3"/>
  </r>
  <r>
    <s v="ORD-1981"/>
    <d v="2025-12-26T00:00:00"/>
    <x v="8"/>
    <s v="CUST-004"/>
    <s v="PROD-115"/>
    <n v="3"/>
    <n v="15517.6"/>
    <n v="13189.960000000001"/>
    <n v="46552.800000000003"/>
    <n v="39569.880000000005"/>
    <n v="6982.9199999999983"/>
    <s v="Jonathan"/>
    <x v="5"/>
    <x v="100"/>
    <x v="0"/>
    <n v="40"/>
    <x v="0"/>
    <x v="10"/>
    <x v="1"/>
  </r>
  <r>
    <s v="ORD-1982"/>
    <d v="2025-10-03T00:00:00"/>
    <x v="11"/>
    <s v="CUST-036"/>
    <s v="PROD-134"/>
    <n v="8"/>
    <n v="15115.599999999999"/>
    <n v="12848.259999999998"/>
    <n v="120924.79999999999"/>
    <n v="102786.07999999999"/>
    <n v="18138.72"/>
    <s v="Thomas"/>
    <x v="4"/>
    <x v="44"/>
    <x v="1"/>
    <n v="52"/>
    <x v="0"/>
    <x v="7"/>
    <x v="2"/>
  </r>
  <r>
    <s v="ORD-1983"/>
    <d v="2025-10-25T00:00:00"/>
    <x v="9"/>
    <s v="CUST-044"/>
    <s v="PROD-124"/>
    <n v="8"/>
    <n v="934.09999999999991"/>
    <n v="793.9849999999999"/>
    <n v="7472.7999999999993"/>
    <n v="6351.8799999999992"/>
    <n v="1120.92"/>
    <s v="Cheyenne"/>
    <x v="5"/>
    <x v="28"/>
    <x v="0"/>
    <n v="31"/>
    <x v="1"/>
    <x v="5"/>
    <x v="0"/>
  </r>
  <r>
    <s v="ORD-1984"/>
    <d v="2025-11-25T00:00:00"/>
    <x v="0"/>
    <s v="CUST-030"/>
    <s v="PROD-131"/>
    <n v="9"/>
    <n v="14039.1"/>
    <n v="11933.235000000001"/>
    <n v="126351.90000000001"/>
    <n v="107399.11500000001"/>
    <n v="18952.785000000003"/>
    <s v="Lori"/>
    <x v="3"/>
    <x v="4"/>
    <x v="1"/>
    <n v="24"/>
    <x v="1"/>
    <x v="2"/>
    <x v="2"/>
  </r>
  <r>
    <s v="ORD-1985"/>
    <d v="2025-12-17T00:00:00"/>
    <x v="4"/>
    <s v="CUST-041"/>
    <s v="PROD-128"/>
    <n v="3"/>
    <n v="8928.4"/>
    <n v="7589.1399999999994"/>
    <n v="26785.199999999997"/>
    <n v="22767.42"/>
    <n v="4017.7799999999988"/>
    <s v="Cheyenne"/>
    <x v="3"/>
    <x v="19"/>
    <x v="0"/>
    <n v="20"/>
    <x v="1"/>
    <x v="15"/>
    <x v="5"/>
  </r>
  <r>
    <s v="ORD-1986"/>
    <d v="2025-10-05T00:00:00"/>
    <x v="1"/>
    <s v="CUST-111"/>
    <s v="PROD-109"/>
    <n v="3"/>
    <n v="12025.5"/>
    <n v="10221.674999999999"/>
    <n v="36076.5"/>
    <n v="30665.024999999998"/>
    <n v="5411.4750000000022"/>
    <s v="Patrick"/>
    <x v="4"/>
    <x v="10"/>
    <x v="0"/>
    <n v="20"/>
    <x v="1"/>
    <x v="30"/>
    <x v="4"/>
  </r>
  <r>
    <s v="ORD-1987"/>
    <d v="2025-10-19T00:00:00"/>
    <x v="9"/>
    <s v="CUST-037"/>
    <s v="PROD-118"/>
    <n v="10"/>
    <n v="14669.300000000001"/>
    <n v="12468.905000000001"/>
    <n v="146693"/>
    <n v="124689.05"/>
    <n v="22003.949999999997"/>
    <s v="Jonathan"/>
    <x v="1"/>
    <x v="73"/>
    <x v="0"/>
    <n v="26"/>
    <x v="1"/>
    <x v="25"/>
    <x v="0"/>
  </r>
  <r>
    <s v="ORD-1988"/>
    <d v="2025-11-02T00:00:00"/>
    <x v="5"/>
    <s v="CUST-104"/>
    <s v="PROD-131"/>
    <n v="9"/>
    <n v="14960.699999999999"/>
    <n v="12716.594999999999"/>
    <n v="134646.29999999999"/>
    <n v="114449.355"/>
    <n v="20196.944999999992"/>
    <s v="Ralph"/>
    <x v="0"/>
    <x v="91"/>
    <x v="1"/>
    <n v="32"/>
    <x v="1"/>
    <x v="2"/>
    <x v="2"/>
  </r>
  <r>
    <s v="ORD-1989"/>
    <d v="2025-10-19T00:00:00"/>
    <x v="9"/>
    <s v="CUST-070"/>
    <s v="PROD-101"/>
    <n v="5"/>
    <n v="15484.9"/>
    <n v="13162.165000000001"/>
    <n v="77424.5"/>
    <n v="65810.825000000012"/>
    <n v="11613.674999999988"/>
    <s v="Daniel"/>
    <x v="1"/>
    <x v="51"/>
    <x v="1"/>
    <n v="25"/>
    <x v="1"/>
    <x v="16"/>
    <x v="3"/>
  </r>
  <r>
    <s v="ORD-1990"/>
    <d v="2025-10-02T00:00:00"/>
    <x v="11"/>
    <s v="CUST-133"/>
    <s v="PROD-132"/>
    <n v="10"/>
    <n v="13455.699999999999"/>
    <n v="11437.344999999999"/>
    <n v="134557"/>
    <n v="114373.45"/>
    <n v="20183.550000000003"/>
    <s v="Jennifer"/>
    <x v="4"/>
    <x v="94"/>
    <x v="1"/>
    <n v="21"/>
    <x v="1"/>
    <x v="26"/>
    <x v="2"/>
  </r>
  <r>
    <s v="ORD-1991"/>
    <d v="2025-10-19T00:00:00"/>
    <x v="9"/>
    <s v="CUST-054"/>
    <s v="PROD-129"/>
    <n v="7"/>
    <n v="5593.4000000000005"/>
    <n v="4754.3900000000003"/>
    <n v="39153.800000000003"/>
    <n v="33280.730000000003"/>
    <n v="5873.07"/>
    <s v="Keith"/>
    <x v="5"/>
    <x v="52"/>
    <x v="1"/>
    <n v="39"/>
    <x v="0"/>
    <x v="21"/>
    <x v="5"/>
  </r>
  <r>
    <s v="ORD-1992"/>
    <d v="2025-11-12T00:00:00"/>
    <x v="12"/>
    <s v="CUST-104"/>
    <s v="PROD-121"/>
    <n v="9"/>
    <n v="1911"/>
    <n v="1624.35"/>
    <n v="17199"/>
    <n v="14619.15"/>
    <n v="2579.8500000000004"/>
    <s v="Laura"/>
    <x v="0"/>
    <x v="91"/>
    <x v="1"/>
    <n v="32"/>
    <x v="1"/>
    <x v="8"/>
    <x v="0"/>
  </r>
  <r>
    <s v="ORD-1993"/>
    <d v="2025-11-09T00:00:00"/>
    <x v="12"/>
    <s v="CUST-105"/>
    <s v="PROD-119"/>
    <n v="8"/>
    <n v="6244.7000000000007"/>
    <n v="5307.9950000000008"/>
    <n v="49957.600000000006"/>
    <n v="42463.960000000006"/>
    <n v="7493.6399999999994"/>
    <s v="Jennifer"/>
    <x v="3"/>
    <x v="31"/>
    <x v="0"/>
    <n v="30"/>
    <x v="1"/>
    <x v="33"/>
    <x v="0"/>
  </r>
  <r>
    <s v="ORD-1994"/>
    <d v="2025-10-25T00:00:00"/>
    <x v="9"/>
    <s v="CUST-049"/>
    <s v="PROD-105"/>
    <n v="6"/>
    <n v="16814.8"/>
    <n v="14292.58"/>
    <n v="100888.79999999999"/>
    <n v="85755.48"/>
    <n v="15133.319999999992"/>
    <s v="Linda"/>
    <x v="2"/>
    <x v="38"/>
    <x v="1"/>
    <n v="36"/>
    <x v="0"/>
    <x v="3"/>
    <x v="3"/>
  </r>
  <r>
    <s v="ORD-1995"/>
    <d v="2025-12-08T00:00:00"/>
    <x v="7"/>
    <s v="CUST-101"/>
    <s v="PROD-107"/>
    <n v="5"/>
    <n v="2204.6999999999998"/>
    <n v="1873.9949999999999"/>
    <n v="11023.5"/>
    <n v="9369.9749999999985"/>
    <n v="1653.5250000000015"/>
    <s v="Douglas"/>
    <x v="1"/>
    <x v="85"/>
    <x v="1"/>
    <n v="25"/>
    <x v="1"/>
    <x v="12"/>
    <x v="4"/>
  </r>
  <r>
    <s v="ORD-1996"/>
    <d v="2025-12-22T00:00:00"/>
    <x v="8"/>
    <s v="CUST-128"/>
    <s v="PROD-124"/>
    <n v="7"/>
    <n v="12284.2"/>
    <n v="10441.57"/>
    <n v="85989.400000000009"/>
    <n v="73090.989999999991"/>
    <n v="12898.410000000018"/>
    <s v="Timothy"/>
    <x v="1"/>
    <x v="75"/>
    <x v="1"/>
    <n v="55"/>
    <x v="0"/>
    <x v="5"/>
    <x v="0"/>
  </r>
  <r>
    <s v="ORD-1997"/>
    <d v="2025-11-03T00:00:00"/>
    <x v="5"/>
    <s v="CUST-141"/>
    <s v="PROD-124"/>
    <n v="10"/>
    <n v="16332.2"/>
    <n v="13882.37"/>
    <n v="163322"/>
    <n v="138823.70000000001"/>
    <n v="24498.299999999988"/>
    <s v="Tracey"/>
    <x v="5"/>
    <x v="12"/>
    <x v="1"/>
    <n v="49"/>
    <x v="0"/>
    <x v="5"/>
    <x v="0"/>
  </r>
  <r>
    <s v="ORD-1998"/>
    <d v="2025-12-07T00:00:00"/>
    <x v="7"/>
    <s v="CUST-005"/>
    <s v="PROD-134"/>
    <n v="2"/>
    <n v="8203.5"/>
    <n v="6972.9750000000004"/>
    <n v="16407"/>
    <n v="13945.95"/>
    <n v="2461.0499999999993"/>
    <s v="Lisa"/>
    <x v="0"/>
    <x v="39"/>
    <x v="1"/>
    <n v="20"/>
    <x v="1"/>
    <x v="7"/>
    <x v="2"/>
  </r>
  <r>
    <s v="ORD-1999"/>
    <d v="2025-10-13T00:00:00"/>
    <x v="13"/>
    <s v="CUST-117"/>
    <s v="PROD-104"/>
    <n v="3"/>
    <n v="10317.5"/>
    <n v="8769.875"/>
    <n v="30952.5"/>
    <n v="26309.625"/>
    <n v="4642.875"/>
    <s v="Ethan"/>
    <x v="1"/>
    <x v="20"/>
    <x v="1"/>
    <n v="29"/>
    <x v="1"/>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295043-8B82-FE4A-BBA0-2BE05E098F1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9">
    <pivotField showAll="0"/>
    <pivotField numFmtId="14" showAll="0"/>
    <pivotField numFmtId="1" showAll="0"/>
    <pivotField showAll="0"/>
    <pivotField showAll="0"/>
    <pivotField showAll="0"/>
    <pivotField showAll="0"/>
    <pivotField showAll="0"/>
    <pivotField showAll="0"/>
    <pivotField showAll="0"/>
    <pivotField dataField="1" showAll="0"/>
    <pivotField showAll="0"/>
    <pivotField showAll="0">
      <items count="7">
        <item x="3"/>
        <item x="4"/>
        <item x="5"/>
        <item x="2"/>
        <item x="1"/>
        <item x="0"/>
        <item t="default"/>
      </items>
    </pivotField>
    <pivotField showAll="0">
      <items count="107">
        <item x="13"/>
        <item x="105"/>
        <item x="20"/>
        <item x="98"/>
        <item x="2"/>
        <item x="52"/>
        <item x="54"/>
        <item x="80"/>
        <item x="18"/>
        <item x="101"/>
        <item x="17"/>
        <item x="61"/>
        <item x="27"/>
        <item x="96"/>
        <item x="7"/>
        <item x="69"/>
        <item x="0"/>
        <item x="103"/>
        <item x="3"/>
        <item x="82"/>
        <item x="59"/>
        <item x="73"/>
        <item x="102"/>
        <item x="25"/>
        <item x="71"/>
        <item x="55"/>
        <item x="29"/>
        <item x="91"/>
        <item x="94"/>
        <item x="22"/>
        <item x="95"/>
        <item x="28"/>
        <item x="100"/>
        <item x="37"/>
        <item x="97"/>
        <item x="10"/>
        <item x="24"/>
        <item x="1"/>
        <item x="67"/>
        <item x="38"/>
        <item x="66"/>
        <item x="86"/>
        <item x="65"/>
        <item x="30"/>
        <item x="47"/>
        <item x="16"/>
        <item x="72"/>
        <item x="15"/>
        <item x="34"/>
        <item x="89"/>
        <item x="35"/>
        <item x="50"/>
        <item x="45"/>
        <item x="93"/>
        <item x="58"/>
        <item x="9"/>
        <item x="51"/>
        <item x="11"/>
        <item x="12"/>
        <item x="40"/>
        <item x="14"/>
        <item x="84"/>
        <item x="31"/>
        <item x="53"/>
        <item x="36"/>
        <item x="4"/>
        <item x="63"/>
        <item x="99"/>
        <item x="92"/>
        <item x="44"/>
        <item x="46"/>
        <item x="8"/>
        <item x="57"/>
        <item x="49"/>
        <item x="76"/>
        <item x="75"/>
        <item x="6"/>
        <item x="70"/>
        <item x="43"/>
        <item x="42"/>
        <item x="87"/>
        <item x="19"/>
        <item x="68"/>
        <item x="74"/>
        <item x="79"/>
        <item x="56"/>
        <item x="78"/>
        <item x="23"/>
        <item x="5"/>
        <item x="62"/>
        <item x="81"/>
        <item x="83"/>
        <item x="104"/>
        <item x="21"/>
        <item x="77"/>
        <item x="39"/>
        <item x="85"/>
        <item x="26"/>
        <item x="33"/>
        <item x="64"/>
        <item x="32"/>
        <item x="90"/>
        <item x="41"/>
        <item x="60"/>
        <item x="88"/>
        <item x="48"/>
        <item t="default"/>
      </items>
    </pivotField>
    <pivotField showAll="0">
      <items count="3">
        <item x="0"/>
        <item x="1"/>
        <item t="default"/>
      </items>
    </pivotField>
    <pivotField showAll="0"/>
    <pivotField axis="axisRow" showAll="0">
      <items count="3">
        <item x="0"/>
        <item x="1"/>
        <item t="default"/>
      </items>
    </pivotField>
    <pivotField showAll="0"/>
    <pivotField showAll="0">
      <items count="7">
        <item x="0"/>
        <item x="1"/>
        <item x="5"/>
        <item x="2"/>
        <item x="3"/>
        <item x="4"/>
        <item t="default"/>
      </items>
    </pivotField>
  </pivotFields>
  <rowFields count="1">
    <field x="16"/>
  </rowFields>
  <rowItems count="3">
    <i>
      <x/>
    </i>
    <i>
      <x v="1"/>
    </i>
    <i t="grand">
      <x/>
    </i>
  </rowItems>
  <colItems count="1">
    <i/>
  </colItems>
  <dataFields count="1">
    <dataField name="Sum of SumOfProfit" fld="10" baseField="0" baseItem="0" numFmtId="165"/>
  </dataFields>
  <formats count="1">
    <format dxfId="50">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16" count="1" selected="0">
            <x v="0"/>
          </reference>
        </references>
      </pivotArea>
    </chartFormat>
    <chartFormat chart="7" format="5">
      <pivotArea type="data" outline="0" fieldPosition="0">
        <references count="2">
          <reference field="4294967294" count="1" selected="0">
            <x v="0"/>
          </reference>
          <reference field="16"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6" count="1" selected="0">
            <x v="0"/>
          </reference>
        </references>
      </pivotArea>
    </chartFormat>
    <chartFormat chart="11"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AAF4C5-A3E3-E24C-ADFB-D0832249EFE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6:B67" firstHeaderRow="1" firstDataRow="1" firstDataCol="1"/>
  <pivotFields count="19">
    <pivotField showAll="0"/>
    <pivotField numFmtId="14" showAll="0"/>
    <pivotField numFmtId="1" showAll="0"/>
    <pivotField showAll="0"/>
    <pivotField showAll="0"/>
    <pivotField showAll="0"/>
    <pivotField showAll="0"/>
    <pivotField showAll="0"/>
    <pivotField showAll="0"/>
    <pivotField showAll="0"/>
    <pivotField dataField="1" showAll="0"/>
    <pivotField showAll="0"/>
    <pivotField showAll="0">
      <items count="7">
        <item x="3"/>
        <item x="4"/>
        <item x="5"/>
        <item x="2"/>
        <item x="1"/>
        <item x="0"/>
        <item t="default"/>
      </items>
    </pivotField>
    <pivotField showAll="0"/>
    <pivotField showAll="0">
      <items count="3">
        <item x="0"/>
        <item x="1"/>
        <item t="default"/>
      </items>
    </pivotField>
    <pivotField showAll="0"/>
    <pivotField showAll="0"/>
    <pivotField axis="axisRow" showAll="0" measureFilter="1" sortType="ascending">
      <items count="35">
        <item x="31"/>
        <item x="12"/>
        <item x="0"/>
        <item x="17"/>
        <item x="1"/>
        <item x="26"/>
        <item x="22"/>
        <item x="20"/>
        <item x="28"/>
        <item x="23"/>
        <item x="27"/>
        <item x="8"/>
        <item x="25"/>
        <item x="5"/>
        <item x="3"/>
        <item x="4"/>
        <item x="19"/>
        <item x="9"/>
        <item x="7"/>
        <item x="15"/>
        <item x="2"/>
        <item x="32"/>
        <item x="21"/>
        <item x="29"/>
        <item x="11"/>
        <item x="33"/>
        <item x="13"/>
        <item x="30"/>
        <item x="6"/>
        <item x="14"/>
        <item x="24"/>
        <item x="18"/>
        <item x="10"/>
        <item x="16"/>
        <item t="default"/>
      </items>
      <autoSortScope>
        <pivotArea dataOnly="0" outline="0" fieldPosition="0">
          <references count="1">
            <reference field="4294967294" count="1" selected="0">
              <x v="0"/>
            </reference>
          </references>
        </pivotArea>
      </autoSortScope>
    </pivotField>
    <pivotField showAll="0">
      <items count="7">
        <item x="0"/>
        <item x="1"/>
        <item x="5"/>
        <item x="2"/>
        <item x="3"/>
        <item x="4"/>
        <item t="default"/>
      </items>
    </pivotField>
  </pivotFields>
  <rowFields count="1">
    <field x="17"/>
  </rowFields>
  <rowItems count="11">
    <i>
      <x v="32"/>
    </i>
    <i>
      <x v="28"/>
    </i>
    <i>
      <x v="1"/>
    </i>
    <i>
      <x v="20"/>
    </i>
    <i>
      <x v="29"/>
    </i>
    <i>
      <x v="15"/>
    </i>
    <i>
      <x v="13"/>
    </i>
    <i>
      <x v="18"/>
    </i>
    <i>
      <x v="33"/>
    </i>
    <i>
      <x v="11"/>
    </i>
    <i t="grand">
      <x/>
    </i>
  </rowItems>
  <colItems count="1">
    <i/>
  </colItems>
  <dataFields count="1">
    <dataField name="Sum of SumOfProfit" fld="10" baseField="0" baseItem="0" numFmtId="165"/>
  </dataFields>
  <formats count="1">
    <format dxfId="4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F10CEE-D437-0E46-A5B2-DCC0B0CCADD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7:B103" firstHeaderRow="1" firstDataRow="1" firstDataCol="1"/>
  <pivotFields count="19">
    <pivotField showAll="0"/>
    <pivotField numFmtId="14" showAll="0"/>
    <pivotField numFmtId="1" showAll="0"/>
    <pivotField showAll="0"/>
    <pivotField showAll="0"/>
    <pivotField dataField="1" showAll="0"/>
    <pivotField showAll="0"/>
    <pivotField showAll="0"/>
    <pivotField showAll="0"/>
    <pivotField showAll="0"/>
    <pivotField showAll="0"/>
    <pivotField showAll="0"/>
    <pivotField showAll="0">
      <items count="7">
        <item x="3"/>
        <item x="4"/>
        <item x="5"/>
        <item x="2"/>
        <item x="1"/>
        <item x="0"/>
        <item t="default"/>
      </items>
    </pivotField>
    <pivotField showAll="0">
      <items count="107">
        <item x="13"/>
        <item x="105"/>
        <item x="20"/>
        <item x="98"/>
        <item x="2"/>
        <item x="52"/>
        <item x="54"/>
        <item x="80"/>
        <item x="18"/>
        <item x="101"/>
        <item x="17"/>
        <item x="61"/>
        <item x="27"/>
        <item x="96"/>
        <item x="7"/>
        <item x="69"/>
        <item x="0"/>
        <item x="103"/>
        <item x="3"/>
        <item x="82"/>
        <item x="59"/>
        <item x="73"/>
        <item x="102"/>
        <item x="25"/>
        <item x="71"/>
        <item x="55"/>
        <item x="29"/>
        <item x="91"/>
        <item x="94"/>
        <item x="22"/>
        <item x="95"/>
        <item x="28"/>
        <item x="100"/>
        <item x="37"/>
        <item x="97"/>
        <item x="10"/>
        <item x="24"/>
        <item x="1"/>
        <item x="67"/>
        <item x="38"/>
        <item x="66"/>
        <item x="86"/>
        <item x="65"/>
        <item x="30"/>
        <item x="47"/>
        <item x="16"/>
        <item x="72"/>
        <item x="15"/>
        <item x="34"/>
        <item x="89"/>
        <item x="35"/>
        <item x="50"/>
        <item x="45"/>
        <item x="93"/>
        <item x="58"/>
        <item x="9"/>
        <item x="51"/>
        <item x="11"/>
        <item x="12"/>
        <item x="40"/>
        <item x="14"/>
        <item x="84"/>
        <item x="31"/>
        <item x="53"/>
        <item x="36"/>
        <item x="4"/>
        <item x="63"/>
        <item x="99"/>
        <item x="92"/>
        <item x="44"/>
        <item x="46"/>
        <item x="8"/>
        <item x="57"/>
        <item x="49"/>
        <item x="76"/>
        <item x="75"/>
        <item x="6"/>
        <item x="70"/>
        <item x="43"/>
        <item x="42"/>
        <item x="87"/>
        <item x="19"/>
        <item x="68"/>
        <item x="74"/>
        <item x="79"/>
        <item x="56"/>
        <item x="78"/>
        <item x="23"/>
        <item x="5"/>
        <item x="62"/>
        <item x="81"/>
        <item x="83"/>
        <item x="104"/>
        <item x="21"/>
        <item x="77"/>
        <item x="39"/>
        <item x="85"/>
        <item x="26"/>
        <item x="33"/>
        <item x="64"/>
        <item x="32"/>
        <item x="90"/>
        <item x="41"/>
        <item x="60"/>
        <item x="88"/>
        <item x="48"/>
        <item t="default"/>
      </items>
    </pivotField>
    <pivotField showAll="0">
      <items count="3">
        <item x="0"/>
        <item x="1"/>
        <item t="default"/>
      </items>
    </pivotField>
    <pivotField showAll="0"/>
    <pivotField showAll="0"/>
    <pivotField axis="axisRow" showAll="0" measureFilter="1" sortType="ascending">
      <items count="35">
        <item x="31"/>
        <item x="12"/>
        <item x="0"/>
        <item x="17"/>
        <item x="1"/>
        <item x="26"/>
        <item x="22"/>
        <item x="20"/>
        <item x="28"/>
        <item x="23"/>
        <item x="27"/>
        <item x="8"/>
        <item x="25"/>
        <item x="5"/>
        <item x="3"/>
        <item x="4"/>
        <item x="19"/>
        <item x="9"/>
        <item x="7"/>
        <item x="15"/>
        <item x="2"/>
        <item x="32"/>
        <item x="21"/>
        <item x="29"/>
        <item x="11"/>
        <item x="33"/>
        <item x="13"/>
        <item x="30"/>
        <item x="6"/>
        <item x="14"/>
        <item x="24"/>
        <item x="18"/>
        <item x="10"/>
        <item x="16"/>
        <item t="default"/>
      </items>
      <autoSortScope>
        <pivotArea dataOnly="0" outline="0" fieldPosition="0">
          <references count="1">
            <reference field="4294967294" count="1" selected="0">
              <x v="0"/>
            </reference>
          </references>
        </pivotArea>
      </autoSortScope>
    </pivotField>
    <pivotField showAll="0">
      <items count="7">
        <item x="0"/>
        <item x="1"/>
        <item x="5"/>
        <item x="2"/>
        <item x="3"/>
        <item x="4"/>
        <item t="default"/>
      </items>
    </pivotField>
  </pivotFields>
  <rowFields count="1">
    <field x="17"/>
  </rowFields>
  <rowItems count="6">
    <i>
      <x v="18"/>
    </i>
    <i>
      <x v="1"/>
    </i>
    <i>
      <x v="32"/>
    </i>
    <i>
      <x v="17"/>
    </i>
    <i>
      <x v="11"/>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7127FC-9D85-0F4D-A86D-FFC120CB07E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40" firstHeaderRow="1" firstDataRow="1" firstDataCol="1"/>
  <pivotFields count="19">
    <pivotField showAll="0"/>
    <pivotField numFmtId="14" showAll="0"/>
    <pivotField numFmtId="1" showAll="0"/>
    <pivotField showAll="0"/>
    <pivotField showAll="0"/>
    <pivotField showAll="0"/>
    <pivotField showAll="0"/>
    <pivotField showAll="0"/>
    <pivotField showAll="0"/>
    <pivotField showAll="0"/>
    <pivotField dataField="1" showAll="0"/>
    <pivotField showAll="0"/>
    <pivotField axis="axisRow" showAll="0">
      <items count="7">
        <item x="3"/>
        <item x="4"/>
        <item x="5"/>
        <item x="2"/>
        <item x="1"/>
        <item x="0"/>
        <item t="default"/>
      </items>
    </pivotField>
    <pivotField showAll="0">
      <items count="107">
        <item x="13"/>
        <item x="105"/>
        <item x="20"/>
        <item x="98"/>
        <item x="2"/>
        <item x="52"/>
        <item x="54"/>
        <item x="80"/>
        <item x="18"/>
        <item x="101"/>
        <item x="17"/>
        <item x="61"/>
        <item x="27"/>
        <item x="96"/>
        <item x="7"/>
        <item x="69"/>
        <item x="0"/>
        <item x="103"/>
        <item x="3"/>
        <item x="82"/>
        <item x="59"/>
        <item x="73"/>
        <item x="102"/>
        <item x="25"/>
        <item x="71"/>
        <item x="55"/>
        <item x="29"/>
        <item x="91"/>
        <item x="94"/>
        <item x="22"/>
        <item x="95"/>
        <item x="28"/>
        <item x="100"/>
        <item x="37"/>
        <item x="97"/>
        <item x="10"/>
        <item x="24"/>
        <item x="1"/>
        <item x="67"/>
        <item x="38"/>
        <item x="66"/>
        <item x="86"/>
        <item x="65"/>
        <item x="30"/>
        <item x="47"/>
        <item x="16"/>
        <item x="72"/>
        <item x="15"/>
        <item x="34"/>
        <item x="89"/>
        <item x="35"/>
        <item x="50"/>
        <item x="45"/>
        <item x="93"/>
        <item x="58"/>
        <item x="9"/>
        <item x="51"/>
        <item x="11"/>
        <item x="12"/>
        <item x="40"/>
        <item x="14"/>
        <item x="84"/>
        <item x="31"/>
        <item x="53"/>
        <item x="36"/>
        <item x="4"/>
        <item x="63"/>
        <item x="99"/>
        <item x="92"/>
        <item x="44"/>
        <item x="46"/>
        <item x="8"/>
        <item x="57"/>
        <item x="49"/>
        <item x="76"/>
        <item x="75"/>
        <item x="6"/>
        <item x="70"/>
        <item x="43"/>
        <item x="42"/>
        <item x="87"/>
        <item x="19"/>
        <item x="68"/>
        <item x="74"/>
        <item x="79"/>
        <item x="56"/>
        <item x="78"/>
        <item x="23"/>
        <item x="5"/>
        <item x="62"/>
        <item x="81"/>
        <item x="83"/>
        <item x="104"/>
        <item x="21"/>
        <item x="77"/>
        <item x="39"/>
        <item x="85"/>
        <item x="26"/>
        <item x="33"/>
        <item x="64"/>
        <item x="32"/>
        <item x="90"/>
        <item x="41"/>
        <item x="60"/>
        <item x="88"/>
        <item x="48"/>
        <item t="default"/>
      </items>
    </pivotField>
    <pivotField showAll="0">
      <items count="3">
        <item x="0"/>
        <item x="1"/>
        <item t="default"/>
      </items>
    </pivotField>
    <pivotField showAll="0"/>
    <pivotField showAll="0"/>
    <pivotField showAll="0"/>
    <pivotField showAll="0">
      <items count="7">
        <item x="0"/>
        <item x="1"/>
        <item x="5"/>
        <item x="2"/>
        <item x="3"/>
        <item x="4"/>
        <item t="default"/>
      </items>
    </pivotField>
  </pivotFields>
  <rowFields count="1">
    <field x="12"/>
  </rowFields>
  <rowItems count="7">
    <i>
      <x/>
    </i>
    <i>
      <x v="1"/>
    </i>
    <i>
      <x v="2"/>
    </i>
    <i>
      <x v="3"/>
    </i>
    <i>
      <x v="4"/>
    </i>
    <i>
      <x v="5"/>
    </i>
    <i t="grand">
      <x/>
    </i>
  </rowItems>
  <colItems count="1">
    <i/>
  </colItems>
  <dataFields count="1">
    <dataField name="Sum of SumOf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A0A3C6-12C4-474E-8739-741AF3B6FBC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16:K119" firstHeaderRow="1" firstDataRow="1" firstDataCol="1"/>
  <pivotFields count="19">
    <pivotField showAll="0"/>
    <pivotField numFmtId="14" showAll="0"/>
    <pivotField numFmtId="1" showAll="0"/>
    <pivotField showAll="0"/>
    <pivotField showAll="0"/>
    <pivotField showAll="0"/>
    <pivotField showAll="0"/>
    <pivotField showAll="0"/>
    <pivotField showAll="0"/>
    <pivotField showAll="0"/>
    <pivotField dataField="1" showAll="0"/>
    <pivotField showAll="0"/>
    <pivotField showAll="0">
      <items count="7">
        <item x="3"/>
        <item x="4"/>
        <item x="5"/>
        <item x="2"/>
        <item x="1"/>
        <item x="0"/>
        <item t="default"/>
      </items>
    </pivotField>
    <pivotField showAll="0">
      <items count="107">
        <item x="13"/>
        <item x="105"/>
        <item x="20"/>
        <item x="98"/>
        <item x="2"/>
        <item x="52"/>
        <item x="54"/>
        <item x="80"/>
        <item x="18"/>
        <item x="101"/>
        <item x="17"/>
        <item x="61"/>
        <item x="27"/>
        <item x="96"/>
        <item x="7"/>
        <item x="69"/>
        <item x="0"/>
        <item x="103"/>
        <item x="3"/>
        <item x="82"/>
        <item x="59"/>
        <item x="73"/>
        <item x="102"/>
        <item x="25"/>
        <item x="71"/>
        <item x="55"/>
        <item x="29"/>
        <item x="91"/>
        <item x="94"/>
        <item x="22"/>
        <item x="95"/>
        <item x="28"/>
        <item x="100"/>
        <item x="37"/>
        <item x="97"/>
        <item x="10"/>
        <item x="24"/>
        <item x="1"/>
        <item x="67"/>
        <item x="38"/>
        <item x="66"/>
        <item x="86"/>
        <item x="65"/>
        <item x="30"/>
        <item x="47"/>
        <item x="16"/>
        <item x="72"/>
        <item x="15"/>
        <item x="34"/>
        <item x="89"/>
        <item x="35"/>
        <item x="50"/>
        <item x="45"/>
        <item x="93"/>
        <item x="58"/>
        <item x="9"/>
        <item x="51"/>
        <item x="11"/>
        <item x="12"/>
        <item x="40"/>
        <item x="14"/>
        <item x="84"/>
        <item x="31"/>
        <item x="53"/>
        <item x="36"/>
        <item x="4"/>
        <item x="63"/>
        <item x="99"/>
        <item x="92"/>
        <item x="44"/>
        <item x="46"/>
        <item x="8"/>
        <item x="57"/>
        <item x="49"/>
        <item x="76"/>
        <item x="75"/>
        <item x="6"/>
        <item x="70"/>
        <item x="43"/>
        <item x="42"/>
        <item x="87"/>
        <item x="19"/>
        <item x="68"/>
        <item x="74"/>
        <item x="79"/>
        <item x="56"/>
        <item x="78"/>
        <item x="23"/>
        <item x="5"/>
        <item x="62"/>
        <item x="81"/>
        <item x="83"/>
        <item x="104"/>
        <item x="21"/>
        <item x="77"/>
        <item x="39"/>
        <item x="85"/>
        <item x="26"/>
        <item x="33"/>
        <item x="64"/>
        <item x="32"/>
        <item x="90"/>
        <item x="41"/>
        <item x="60"/>
        <item x="88"/>
        <item x="48"/>
        <item t="default"/>
      </items>
    </pivotField>
    <pivotField axis="axisRow" showAll="0">
      <items count="3">
        <item x="0"/>
        <item x="1"/>
        <item t="default"/>
      </items>
    </pivotField>
    <pivotField showAll="0"/>
    <pivotField showAll="0"/>
    <pivotField showAll="0"/>
    <pivotField showAll="0">
      <items count="7">
        <item x="0"/>
        <item x="1"/>
        <item x="5"/>
        <item x="2"/>
        <item x="3"/>
        <item x="4"/>
        <item t="default"/>
      </items>
    </pivotField>
  </pivotFields>
  <rowFields count="1">
    <field x="14"/>
  </rowFields>
  <rowItems count="3">
    <i>
      <x/>
    </i>
    <i>
      <x v="1"/>
    </i>
    <i t="grand">
      <x/>
    </i>
  </rowItems>
  <colItems count="1">
    <i/>
  </colItems>
  <dataFields count="1">
    <dataField name="Sum of SumOfProfit" fld="10" baseField="0" baseItem="0" numFmtId="165"/>
  </dataFields>
  <formats count="1">
    <format dxfId="44">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14" count="1" selected="0">
            <x v="0"/>
          </reference>
        </references>
      </pivotArea>
    </chartFormat>
    <chartFormat chart="7" format="5">
      <pivotArea type="data" outline="0" fieldPosition="0">
        <references count="2">
          <reference field="4294967294" count="1" selected="0">
            <x v="0"/>
          </reference>
          <reference field="1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4" count="1" selected="0">
            <x v="0"/>
          </reference>
        </references>
      </pivotArea>
    </chartFormat>
    <chartFormat chart="8"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C95570-66DE-1A43-864C-090EAAAB05FC}"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9">
    <pivotField showAll="0"/>
    <pivotField numFmtId="14" showAll="0"/>
    <pivotField numFmtId="1" showAll="0"/>
    <pivotField showAll="0"/>
    <pivotField showAll="0"/>
    <pivotField showAll="0"/>
    <pivotField showAll="0"/>
    <pivotField showAll="0"/>
    <pivotField dataField="1" showAll="0"/>
    <pivotField dataField="1" showAll="0"/>
    <pivotField dataField="1" showAll="0"/>
    <pivotField showAll="0"/>
    <pivotField showAll="0">
      <items count="7">
        <item x="3"/>
        <item x="4"/>
        <item x="5"/>
        <item x="2"/>
        <item x="1"/>
        <item x="0"/>
        <item t="default"/>
      </items>
    </pivotField>
    <pivotField showAll="0">
      <items count="107">
        <item x="13"/>
        <item x="105"/>
        <item x="20"/>
        <item x="98"/>
        <item x="2"/>
        <item x="52"/>
        <item x="54"/>
        <item x="80"/>
        <item x="18"/>
        <item x="101"/>
        <item x="17"/>
        <item x="61"/>
        <item x="27"/>
        <item x="96"/>
        <item x="7"/>
        <item x="69"/>
        <item x="0"/>
        <item x="103"/>
        <item x="3"/>
        <item x="82"/>
        <item x="59"/>
        <item x="73"/>
        <item x="102"/>
        <item x="25"/>
        <item x="71"/>
        <item x="55"/>
        <item x="29"/>
        <item x="91"/>
        <item x="94"/>
        <item x="22"/>
        <item x="95"/>
        <item x="28"/>
        <item x="100"/>
        <item x="37"/>
        <item x="97"/>
        <item x="10"/>
        <item x="24"/>
        <item x="1"/>
        <item x="67"/>
        <item x="38"/>
        <item x="66"/>
        <item x="86"/>
        <item x="65"/>
        <item x="30"/>
        <item x="47"/>
        <item x="16"/>
        <item x="72"/>
        <item x="15"/>
        <item x="34"/>
        <item x="89"/>
        <item x="35"/>
        <item x="50"/>
        <item x="45"/>
        <item x="93"/>
        <item x="58"/>
        <item x="9"/>
        <item x="51"/>
        <item x="11"/>
        <item x="12"/>
        <item x="40"/>
        <item x="14"/>
        <item x="84"/>
        <item x="31"/>
        <item x="53"/>
        <item x="36"/>
        <item x="4"/>
        <item x="63"/>
        <item x="99"/>
        <item x="92"/>
        <item x="44"/>
        <item x="46"/>
        <item x="8"/>
        <item x="57"/>
        <item x="49"/>
        <item x="76"/>
        <item x="75"/>
        <item x="6"/>
        <item x="70"/>
        <item x="43"/>
        <item x="42"/>
        <item x="87"/>
        <item x="19"/>
        <item x="68"/>
        <item x="74"/>
        <item x="79"/>
        <item x="56"/>
        <item x="78"/>
        <item x="23"/>
        <item x="5"/>
        <item x="62"/>
        <item x="81"/>
        <item x="83"/>
        <item x="104"/>
        <item x="21"/>
        <item x="77"/>
        <item x="39"/>
        <item x="85"/>
        <item x="26"/>
        <item x="33"/>
        <item x="64"/>
        <item x="32"/>
        <item x="90"/>
        <item x="41"/>
        <item x="60"/>
        <item x="88"/>
        <item x="48"/>
        <item t="default"/>
      </items>
    </pivotField>
    <pivotField showAll="0">
      <items count="3">
        <item x="0"/>
        <item x="1"/>
        <item t="default"/>
      </items>
    </pivotField>
    <pivotField showAll="0"/>
    <pivotField showAll="0"/>
    <pivotField showAll="0"/>
    <pivotField showAll="0">
      <items count="7">
        <item x="0"/>
        <item x="1"/>
        <item x="5"/>
        <item x="2"/>
        <item x="3"/>
        <item x="4"/>
        <item t="default"/>
      </items>
    </pivotField>
  </pivotFields>
  <rowFields count="1">
    <field x="-2"/>
  </rowFields>
  <rowItems count="3">
    <i>
      <x/>
    </i>
    <i i="1">
      <x v="1"/>
    </i>
    <i i="2">
      <x v="2"/>
    </i>
  </rowItems>
  <colItems count="1">
    <i/>
  </colItems>
  <dataFields count="3">
    <dataField name="Sum of Revenue" fld="8" baseField="0" baseItem="0"/>
    <dataField name="Sum of Expenses" fld="9" baseField="0" baseItem="0"/>
    <dataField name="Sum of SumOfProfit" fld="10" baseField="0" baseItem="0"/>
  </dataFields>
  <formats count="3">
    <format dxfId="47">
      <pivotArea collapsedLevelsAreSubtotals="1" fieldPosition="0">
        <references count="1">
          <reference field="4294967294" count="1">
            <x v="0"/>
          </reference>
        </references>
      </pivotArea>
    </format>
    <format dxfId="46">
      <pivotArea collapsedLevelsAreSubtotals="1" fieldPosition="0">
        <references count="1">
          <reference field="4294967294" count="1">
            <x v="1"/>
          </reference>
        </references>
      </pivotArea>
    </format>
    <format dxfId="45">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0B9D2B-4429-ED43-B9E9-EFD5FF7B06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26" firstHeaderRow="1" firstDataRow="1" firstDataCol="1"/>
  <pivotFields count="19">
    <pivotField showAll="0"/>
    <pivotField numFmtId="14" showAll="0"/>
    <pivotField axis="axisRow" numFmtId="1" showAll="0">
      <items count="15">
        <item x="11"/>
        <item x="1"/>
        <item x="13"/>
        <item x="9"/>
        <item x="3"/>
        <item x="5"/>
        <item x="12"/>
        <item x="6"/>
        <item x="0"/>
        <item x="10"/>
        <item x="7"/>
        <item x="4"/>
        <item x="8"/>
        <item x="2"/>
        <item t="default"/>
      </items>
    </pivotField>
    <pivotField showAll="0"/>
    <pivotField showAll="0"/>
    <pivotField showAll="0"/>
    <pivotField showAll="0"/>
    <pivotField showAll="0"/>
    <pivotField dataField="1" showAll="0"/>
    <pivotField showAll="0"/>
    <pivotField showAll="0"/>
    <pivotField showAll="0"/>
    <pivotField showAll="0">
      <items count="7">
        <item x="3"/>
        <item x="4"/>
        <item x="5"/>
        <item x="2"/>
        <item x="1"/>
        <item x="0"/>
        <item t="default"/>
      </items>
    </pivotField>
    <pivotField showAll="0">
      <items count="107">
        <item x="13"/>
        <item x="105"/>
        <item x="20"/>
        <item x="98"/>
        <item x="2"/>
        <item x="52"/>
        <item x="54"/>
        <item x="80"/>
        <item x="18"/>
        <item x="101"/>
        <item x="17"/>
        <item x="61"/>
        <item x="27"/>
        <item x="96"/>
        <item x="7"/>
        <item x="69"/>
        <item x="0"/>
        <item x="103"/>
        <item x="3"/>
        <item x="82"/>
        <item x="59"/>
        <item x="73"/>
        <item x="102"/>
        <item x="25"/>
        <item x="71"/>
        <item x="55"/>
        <item x="29"/>
        <item x="91"/>
        <item x="94"/>
        <item x="22"/>
        <item x="95"/>
        <item x="28"/>
        <item x="100"/>
        <item x="37"/>
        <item x="97"/>
        <item x="10"/>
        <item x="24"/>
        <item x="1"/>
        <item x="67"/>
        <item x="38"/>
        <item x="66"/>
        <item x="86"/>
        <item x="65"/>
        <item x="30"/>
        <item x="47"/>
        <item x="16"/>
        <item x="72"/>
        <item x="15"/>
        <item x="34"/>
        <item x="89"/>
        <item x="35"/>
        <item x="50"/>
        <item x="45"/>
        <item x="93"/>
        <item x="58"/>
        <item x="9"/>
        <item x="51"/>
        <item x="11"/>
        <item x="12"/>
        <item x="40"/>
        <item x="14"/>
        <item x="84"/>
        <item x="31"/>
        <item x="53"/>
        <item x="36"/>
        <item x="4"/>
        <item x="63"/>
        <item x="99"/>
        <item x="92"/>
        <item x="44"/>
        <item x="46"/>
        <item x="8"/>
        <item x="57"/>
        <item x="49"/>
        <item x="76"/>
        <item x="75"/>
        <item x="6"/>
        <item x="70"/>
        <item x="43"/>
        <item x="42"/>
        <item x="87"/>
        <item x="19"/>
        <item x="68"/>
        <item x="74"/>
        <item x="79"/>
        <item x="56"/>
        <item x="78"/>
        <item x="23"/>
        <item x="5"/>
        <item x="62"/>
        <item x="81"/>
        <item x="83"/>
        <item x="104"/>
        <item x="21"/>
        <item x="77"/>
        <item x="39"/>
        <item x="85"/>
        <item x="26"/>
        <item x="33"/>
        <item x="64"/>
        <item x="32"/>
        <item x="90"/>
        <item x="41"/>
        <item x="60"/>
        <item x="88"/>
        <item x="48"/>
        <item t="default"/>
      </items>
    </pivotField>
    <pivotField showAll="0">
      <items count="3">
        <item x="0"/>
        <item x="1"/>
        <item t="default"/>
      </items>
    </pivotField>
    <pivotField showAll="0"/>
    <pivotField showAll="0"/>
    <pivotField showAll="0"/>
    <pivotField showAll="0">
      <items count="7">
        <item x="0"/>
        <item x="1"/>
        <item x="5"/>
        <item x="2"/>
        <item x="3"/>
        <item x="4"/>
        <item t="default"/>
      </items>
    </pivotField>
  </pivotFields>
  <rowFields count="1">
    <field x="2"/>
  </rowFields>
  <rowItems count="15">
    <i>
      <x/>
    </i>
    <i>
      <x v="1"/>
    </i>
    <i>
      <x v="2"/>
    </i>
    <i>
      <x v="3"/>
    </i>
    <i>
      <x v="4"/>
    </i>
    <i>
      <x v="5"/>
    </i>
    <i>
      <x v="6"/>
    </i>
    <i>
      <x v="7"/>
    </i>
    <i>
      <x v="8"/>
    </i>
    <i>
      <x v="9"/>
    </i>
    <i>
      <x v="10"/>
    </i>
    <i>
      <x v="11"/>
    </i>
    <i>
      <x v="12"/>
    </i>
    <i>
      <x v="13"/>
    </i>
    <i t="grand">
      <x/>
    </i>
  </rowItems>
  <colItems count="1">
    <i/>
  </colItems>
  <dataFields count="1">
    <dataField name="Sum of Revenu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A23CC6-29F2-8A4F-A76F-B1CBEFD9269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7:B84" firstHeaderRow="1" firstDataRow="1" firstDataCol="1"/>
  <pivotFields count="19">
    <pivotField showAll="0"/>
    <pivotField numFmtId="14" showAll="0"/>
    <pivotField numFmtId="1" showAll="0"/>
    <pivotField showAll="0"/>
    <pivotField showAll="0"/>
    <pivotField showAll="0"/>
    <pivotField showAll="0"/>
    <pivotField showAll="0"/>
    <pivotField showAll="0"/>
    <pivotField showAll="0"/>
    <pivotField dataField="1" showAll="0"/>
    <pivotField showAll="0"/>
    <pivotField showAll="0">
      <items count="7">
        <item x="3"/>
        <item x="4"/>
        <item x="5"/>
        <item x="2"/>
        <item x="1"/>
        <item x="0"/>
        <item t="default"/>
      </items>
    </pivotField>
    <pivotField showAll="0">
      <items count="107">
        <item x="13"/>
        <item x="105"/>
        <item x="20"/>
        <item x="98"/>
        <item x="2"/>
        <item x="52"/>
        <item x="54"/>
        <item x="80"/>
        <item x="18"/>
        <item x="101"/>
        <item x="17"/>
        <item x="61"/>
        <item x="27"/>
        <item x="96"/>
        <item x="7"/>
        <item x="69"/>
        <item x="0"/>
        <item x="103"/>
        <item x="3"/>
        <item x="82"/>
        <item x="59"/>
        <item x="73"/>
        <item x="102"/>
        <item x="25"/>
        <item x="71"/>
        <item x="55"/>
        <item x="29"/>
        <item x="91"/>
        <item x="94"/>
        <item x="22"/>
        <item x="95"/>
        <item x="28"/>
        <item x="100"/>
        <item x="37"/>
        <item x="97"/>
        <item x="10"/>
        <item x="24"/>
        <item x="1"/>
        <item x="67"/>
        <item x="38"/>
        <item x="66"/>
        <item x="86"/>
        <item x="65"/>
        <item x="30"/>
        <item x="47"/>
        <item x="16"/>
        <item x="72"/>
        <item x="15"/>
        <item x="34"/>
        <item x="89"/>
        <item x="35"/>
        <item x="50"/>
        <item x="45"/>
        <item x="93"/>
        <item x="58"/>
        <item x="9"/>
        <item x="51"/>
        <item x="11"/>
        <item x="12"/>
        <item x="40"/>
        <item x="14"/>
        <item x="84"/>
        <item x="31"/>
        <item x="53"/>
        <item x="36"/>
        <item x="4"/>
        <item x="63"/>
        <item x="99"/>
        <item x="92"/>
        <item x="44"/>
        <item x="46"/>
        <item x="8"/>
        <item x="57"/>
        <item x="49"/>
        <item x="76"/>
        <item x="75"/>
        <item x="6"/>
        <item x="70"/>
        <item x="43"/>
        <item x="42"/>
        <item x="87"/>
        <item x="19"/>
        <item x="68"/>
        <item x="74"/>
        <item x="79"/>
        <item x="56"/>
        <item x="78"/>
        <item x="23"/>
        <item x="5"/>
        <item x="62"/>
        <item x="81"/>
        <item x="83"/>
        <item x="104"/>
        <item x="21"/>
        <item x="77"/>
        <item x="39"/>
        <item x="85"/>
        <item x="26"/>
        <item x="33"/>
        <item x="64"/>
        <item x="32"/>
        <item x="90"/>
        <item x="41"/>
        <item x="60"/>
        <item x="88"/>
        <item x="48"/>
        <item t="default"/>
      </items>
    </pivotField>
    <pivotField showAll="0">
      <items count="3">
        <item x="0"/>
        <item x="1"/>
        <item t="default"/>
      </items>
    </pivotField>
    <pivotField showAll="0"/>
    <pivotField showAll="0"/>
    <pivotField showAll="0"/>
    <pivotField axis="axisRow" showAll="0" sortType="descending">
      <items count="7">
        <item x="0"/>
        <item x="1"/>
        <item x="5"/>
        <item x="2"/>
        <item x="3"/>
        <item x="4"/>
        <item t="default"/>
      </items>
      <autoSortScope>
        <pivotArea dataOnly="0" outline="0" fieldPosition="0">
          <references count="1">
            <reference field="4294967294" count="1" selected="0">
              <x v="0"/>
            </reference>
          </references>
        </pivotArea>
      </autoSortScope>
    </pivotField>
  </pivotFields>
  <rowFields count="1">
    <field x="18"/>
  </rowFields>
  <rowItems count="7">
    <i>
      <x/>
    </i>
    <i>
      <x v="3"/>
    </i>
    <i>
      <x v="4"/>
    </i>
    <i>
      <x v="5"/>
    </i>
    <i>
      <x v="1"/>
    </i>
    <i>
      <x v="2"/>
    </i>
    <i t="grand">
      <x/>
    </i>
  </rowItems>
  <colItems count="1">
    <i/>
  </colItems>
  <dataFields count="1">
    <dataField name="Sum of SumOfProfit" fld="10" baseField="0" baseItem="0" numFmtId="165"/>
  </dataFields>
  <formats count="1">
    <format dxfId="4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0D802E-4D65-784E-B315-D6AF7394B4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5:B121" firstHeaderRow="1" firstDataRow="1" firstDataCol="1"/>
  <pivotFields count="19">
    <pivotField showAll="0"/>
    <pivotField numFmtId="14" showAll="0"/>
    <pivotField numFmtId="1" showAll="0"/>
    <pivotField showAll="0"/>
    <pivotField showAll="0"/>
    <pivotField showAll="0"/>
    <pivotField showAll="0"/>
    <pivotField showAll="0"/>
    <pivotField showAll="0"/>
    <pivotField showAll="0"/>
    <pivotField dataField="1" showAll="0"/>
    <pivotField showAll="0"/>
    <pivotField showAll="0">
      <items count="7">
        <item x="3"/>
        <item x="4"/>
        <item x="5"/>
        <item x="2"/>
        <item x="1"/>
        <item x="0"/>
        <item t="default"/>
      </items>
    </pivotField>
    <pivotField axis="axisRow" showAll="0" measureFilter="1" sortType="descending">
      <items count="107">
        <item x="13"/>
        <item x="105"/>
        <item x="20"/>
        <item x="98"/>
        <item x="2"/>
        <item x="52"/>
        <item x="54"/>
        <item x="80"/>
        <item x="18"/>
        <item x="101"/>
        <item x="17"/>
        <item x="61"/>
        <item x="27"/>
        <item x="96"/>
        <item x="7"/>
        <item x="69"/>
        <item x="0"/>
        <item x="103"/>
        <item x="3"/>
        <item x="82"/>
        <item x="59"/>
        <item x="73"/>
        <item x="102"/>
        <item x="25"/>
        <item x="71"/>
        <item x="55"/>
        <item x="29"/>
        <item x="91"/>
        <item x="94"/>
        <item x="22"/>
        <item x="95"/>
        <item x="28"/>
        <item x="100"/>
        <item x="37"/>
        <item x="97"/>
        <item x="10"/>
        <item x="24"/>
        <item x="1"/>
        <item x="67"/>
        <item x="38"/>
        <item x="66"/>
        <item x="86"/>
        <item x="65"/>
        <item x="30"/>
        <item x="47"/>
        <item x="16"/>
        <item x="72"/>
        <item x="15"/>
        <item x="34"/>
        <item x="89"/>
        <item x="35"/>
        <item x="50"/>
        <item x="45"/>
        <item x="93"/>
        <item x="58"/>
        <item x="9"/>
        <item x="51"/>
        <item x="11"/>
        <item x="12"/>
        <item x="40"/>
        <item x="14"/>
        <item x="84"/>
        <item x="31"/>
        <item x="53"/>
        <item x="36"/>
        <item x="4"/>
        <item x="63"/>
        <item x="99"/>
        <item x="92"/>
        <item x="44"/>
        <item x="46"/>
        <item x="8"/>
        <item x="57"/>
        <item x="49"/>
        <item x="76"/>
        <item x="75"/>
        <item x="6"/>
        <item x="70"/>
        <item x="43"/>
        <item x="42"/>
        <item x="87"/>
        <item x="19"/>
        <item x="68"/>
        <item x="74"/>
        <item x="79"/>
        <item x="56"/>
        <item x="78"/>
        <item x="23"/>
        <item x="5"/>
        <item x="62"/>
        <item x="81"/>
        <item x="83"/>
        <item x="104"/>
        <item x="21"/>
        <item x="77"/>
        <item x="39"/>
        <item x="85"/>
        <item x="26"/>
        <item x="33"/>
        <item x="64"/>
        <item x="32"/>
        <item x="90"/>
        <item x="41"/>
        <item x="60"/>
        <item x="88"/>
        <item x="48"/>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items count="35">
        <item h="1" x="31"/>
        <item h="1" x="12"/>
        <item h="1" x="0"/>
        <item h="1" x="17"/>
        <item x="1"/>
        <item h="1" x="26"/>
        <item h="1" x="22"/>
        <item h="1" x="20"/>
        <item h="1" x="28"/>
        <item h="1" x="23"/>
        <item h="1" x="27"/>
        <item h="1" x="8"/>
        <item h="1" x="25"/>
        <item h="1" x="5"/>
        <item h="1" x="3"/>
        <item h="1" x="4"/>
        <item h="1" x="19"/>
        <item h="1" x="9"/>
        <item h="1" x="7"/>
        <item h="1" x="15"/>
        <item h="1" x="2"/>
        <item h="1" x="32"/>
        <item h="1" x="21"/>
        <item h="1" x="29"/>
        <item h="1" x="11"/>
        <item h="1" x="33"/>
        <item h="1" x="13"/>
        <item h="1" x="30"/>
        <item h="1" x="6"/>
        <item h="1" x="14"/>
        <item h="1" x="24"/>
        <item h="1" x="18"/>
        <item h="1" x="10"/>
        <item h="1" x="16"/>
        <item t="default"/>
      </items>
    </pivotField>
    <pivotField showAll="0">
      <items count="7">
        <item x="0"/>
        <item x="1"/>
        <item x="5"/>
        <item x="2"/>
        <item x="3"/>
        <item x="4"/>
        <item t="default"/>
      </items>
    </pivotField>
  </pivotFields>
  <rowFields count="1">
    <field x="13"/>
  </rowFields>
  <rowItems count="6">
    <i>
      <x v="31"/>
    </i>
    <i>
      <x v="97"/>
    </i>
    <i>
      <x v="64"/>
    </i>
    <i>
      <x v="62"/>
    </i>
    <i>
      <x v="26"/>
    </i>
    <i t="grand">
      <x/>
    </i>
  </rowItems>
  <colItems count="1">
    <i/>
  </colItems>
  <dataFields count="1">
    <dataField name="Sum of SumOfProfit" fld="10" baseField="0" baseItem="0" numFmtId="165"/>
  </dataFields>
  <formats count="1">
    <format dxfId="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27FA02-4D8C-9E47-A4DA-0482B1EC63A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3:J28" firstHeaderRow="1" firstDataRow="1" firstDataCol="1"/>
  <pivotFields count="19">
    <pivotField showAll="0"/>
    <pivotField numFmtId="14" showAll="0"/>
    <pivotField axis="axisRow" numFmtId="1" showAll="0">
      <items count="15">
        <item x="11"/>
        <item x="1"/>
        <item x="13"/>
        <item x="9"/>
        <item x="3"/>
        <item x="5"/>
        <item x="12"/>
        <item x="6"/>
        <item x="0"/>
        <item x="10"/>
        <item x="7"/>
        <item x="4"/>
        <item x="8"/>
        <item x="2"/>
        <item t="default"/>
      </items>
    </pivotField>
    <pivotField showAll="0"/>
    <pivotField showAll="0"/>
    <pivotField showAll="0"/>
    <pivotField showAll="0"/>
    <pivotField showAll="0"/>
    <pivotField showAll="0"/>
    <pivotField showAll="0"/>
    <pivotField dataField="1" showAll="0"/>
    <pivotField showAll="0"/>
    <pivotField showAll="0">
      <items count="7">
        <item x="3"/>
        <item x="4"/>
        <item x="5"/>
        <item x="2"/>
        <item x="1"/>
        <item x="0"/>
        <item t="default"/>
      </items>
    </pivotField>
    <pivotField showAll="0">
      <items count="107">
        <item x="13"/>
        <item x="105"/>
        <item x="20"/>
        <item x="98"/>
        <item x="2"/>
        <item x="52"/>
        <item x="54"/>
        <item x="80"/>
        <item x="18"/>
        <item x="101"/>
        <item x="17"/>
        <item x="61"/>
        <item x="27"/>
        <item x="96"/>
        <item x="7"/>
        <item x="69"/>
        <item x="0"/>
        <item x="103"/>
        <item x="3"/>
        <item x="82"/>
        <item x="59"/>
        <item x="73"/>
        <item x="102"/>
        <item x="25"/>
        <item x="71"/>
        <item x="55"/>
        <item x="29"/>
        <item x="91"/>
        <item x="94"/>
        <item x="22"/>
        <item x="95"/>
        <item x="28"/>
        <item x="100"/>
        <item x="37"/>
        <item x="97"/>
        <item x="10"/>
        <item x="24"/>
        <item x="1"/>
        <item x="67"/>
        <item x="38"/>
        <item x="66"/>
        <item x="86"/>
        <item x="65"/>
        <item x="30"/>
        <item x="47"/>
        <item x="16"/>
        <item x="72"/>
        <item x="15"/>
        <item x="34"/>
        <item x="89"/>
        <item x="35"/>
        <item x="50"/>
        <item x="45"/>
        <item x="93"/>
        <item x="58"/>
        <item x="9"/>
        <item x="51"/>
        <item x="11"/>
        <item x="12"/>
        <item x="40"/>
        <item x="14"/>
        <item x="84"/>
        <item x="31"/>
        <item x="53"/>
        <item x="36"/>
        <item x="4"/>
        <item x="63"/>
        <item x="99"/>
        <item x="92"/>
        <item x="44"/>
        <item x="46"/>
        <item x="8"/>
        <item x="57"/>
        <item x="49"/>
        <item x="76"/>
        <item x="75"/>
        <item x="6"/>
        <item x="70"/>
        <item x="43"/>
        <item x="42"/>
        <item x="87"/>
        <item x="19"/>
        <item x="68"/>
        <item x="74"/>
        <item x="79"/>
        <item x="56"/>
        <item x="78"/>
        <item x="23"/>
        <item x="5"/>
        <item x="62"/>
        <item x="81"/>
        <item x="83"/>
        <item x="104"/>
        <item x="21"/>
        <item x="77"/>
        <item x="39"/>
        <item x="85"/>
        <item x="26"/>
        <item x="33"/>
        <item x="64"/>
        <item x="32"/>
        <item x="90"/>
        <item x="41"/>
        <item x="60"/>
        <item x="88"/>
        <item x="48"/>
        <item t="default"/>
      </items>
    </pivotField>
    <pivotField showAll="0">
      <items count="3">
        <item x="0"/>
        <item x="1"/>
        <item t="default"/>
      </items>
    </pivotField>
    <pivotField showAll="0"/>
    <pivotField showAll="0"/>
    <pivotField showAll="0"/>
    <pivotField showAll="0">
      <items count="7">
        <item x="0"/>
        <item x="1"/>
        <item x="5"/>
        <item x="2"/>
        <item x="3"/>
        <item x="4"/>
        <item t="default"/>
      </items>
    </pivotField>
  </pivotFields>
  <rowFields count="1">
    <field x="2"/>
  </rowFields>
  <rowItems count="15">
    <i>
      <x/>
    </i>
    <i>
      <x v="1"/>
    </i>
    <i>
      <x v="2"/>
    </i>
    <i>
      <x v="3"/>
    </i>
    <i>
      <x v="4"/>
    </i>
    <i>
      <x v="5"/>
    </i>
    <i>
      <x v="6"/>
    </i>
    <i>
      <x v="7"/>
    </i>
    <i>
      <x v="8"/>
    </i>
    <i>
      <x v="9"/>
    </i>
    <i>
      <x v="10"/>
    </i>
    <i>
      <x v="11"/>
    </i>
    <i>
      <x v="12"/>
    </i>
    <i>
      <x v="13"/>
    </i>
    <i t="grand">
      <x/>
    </i>
  </rowItems>
  <colItems count="1">
    <i/>
  </colItems>
  <dataFields count="1">
    <dataField name="Sum of SumOfProfit" fld="10" baseField="0" baseItem="0"/>
  </dataFields>
  <chartFormats count="1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5"/>
          </reference>
        </references>
      </pivotArea>
    </chartFormat>
    <chartFormat chart="5" format="4">
      <pivotArea type="data" outline="0" fieldPosition="0">
        <references count="2">
          <reference field="4294967294" count="1" selected="0">
            <x v="0"/>
          </reference>
          <reference field="2" count="1" selected="0">
            <x v="1"/>
          </reference>
        </references>
      </pivotArea>
    </chartFormat>
    <chartFormat chart="5" format="5">
      <pivotArea type="data" outline="0" fieldPosition="0">
        <references count="2">
          <reference field="4294967294" count="1" selected="0">
            <x v="0"/>
          </reference>
          <reference field="2" count="1" selected="0">
            <x v="2"/>
          </reference>
        </references>
      </pivotArea>
    </chartFormat>
    <chartFormat chart="5" format="6">
      <pivotArea type="data" outline="0" fieldPosition="0">
        <references count="2">
          <reference field="4294967294" count="1" selected="0">
            <x v="0"/>
          </reference>
          <reference field="2" count="1" selected="0">
            <x v="3"/>
          </reference>
        </references>
      </pivotArea>
    </chartFormat>
    <chartFormat chart="5" format="7">
      <pivotArea type="data" outline="0" fieldPosition="0">
        <references count="2">
          <reference field="4294967294" count="1" selected="0">
            <x v="0"/>
          </reference>
          <reference field="2" count="1" selected="0">
            <x v="4"/>
          </reference>
        </references>
      </pivotArea>
    </chartFormat>
    <chartFormat chart="5" format="8">
      <pivotArea type="data" outline="0" fieldPosition="0">
        <references count="2">
          <reference field="4294967294" count="1" selected="0">
            <x v="0"/>
          </reference>
          <reference field="2" count="1" selected="0">
            <x v="6"/>
          </reference>
        </references>
      </pivotArea>
    </chartFormat>
    <chartFormat chart="5" format="9">
      <pivotArea type="data" outline="0" fieldPosition="0">
        <references count="2">
          <reference field="4294967294" count="1" selected="0">
            <x v="0"/>
          </reference>
          <reference field="2" count="1" selected="0">
            <x v="7"/>
          </reference>
        </references>
      </pivotArea>
    </chartFormat>
    <chartFormat chart="5" format="10">
      <pivotArea type="data" outline="0" fieldPosition="0">
        <references count="2">
          <reference field="4294967294" count="1" selected="0">
            <x v="0"/>
          </reference>
          <reference field="2" count="1" selected="0">
            <x v="8"/>
          </reference>
        </references>
      </pivotArea>
    </chartFormat>
    <chartFormat chart="5" format="11">
      <pivotArea type="data" outline="0" fieldPosition="0">
        <references count="2">
          <reference field="4294967294" count="1" selected="0">
            <x v="0"/>
          </reference>
          <reference field="2" count="1" selected="0">
            <x v="9"/>
          </reference>
        </references>
      </pivotArea>
    </chartFormat>
    <chartFormat chart="5" format="12">
      <pivotArea type="data" outline="0" fieldPosition="0">
        <references count="2">
          <reference field="4294967294" count="1" selected="0">
            <x v="0"/>
          </reference>
          <reference field="2" count="1" selected="0">
            <x v="10"/>
          </reference>
        </references>
      </pivotArea>
    </chartFormat>
    <chartFormat chart="5" format="13">
      <pivotArea type="data" outline="0" fieldPosition="0">
        <references count="2">
          <reference field="4294967294" count="1" selected="0">
            <x v="0"/>
          </reference>
          <reference field="2" count="1" selected="0">
            <x v="11"/>
          </reference>
        </references>
      </pivotArea>
    </chartFormat>
    <chartFormat chart="5" format="14">
      <pivotArea type="data" outline="0" fieldPosition="0">
        <references count="2">
          <reference field="4294967294" count="1" selected="0">
            <x v="0"/>
          </reference>
          <reference field="2" count="1" selected="0">
            <x v="12"/>
          </reference>
        </references>
      </pivotArea>
    </chartFormat>
    <chartFormat chart="5" format="15">
      <pivotArea type="data" outline="0" fieldPosition="0">
        <references count="2">
          <reference field="4294967294" count="1" selected="0">
            <x v="0"/>
          </reference>
          <reference field="2"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697D40-5D30-D147-9C1B-028022DEAC2D}" sourceName="Gender">
  <pivotTables>
    <pivotTable tabId="8" name="PivotTable10"/>
    <pivotTable tabId="8" name="PivotTable11"/>
    <pivotTable tabId="8" name="PivotTable12"/>
    <pivotTable tabId="8" name="PivotTable13"/>
    <pivotTable tabId="8" name="PivotTable14"/>
    <pivotTable tabId="8" name="PivotTable6"/>
    <pivotTable tabId="8" name="PivotTable7"/>
    <pivotTable tabId="8" name="PivotTable8"/>
    <pivotTable tabId="8" name="PivotTable9"/>
    <pivotTable tabId="10" name="PivotTable17"/>
  </pivotTables>
  <data>
    <tabular pivotCacheId="16473617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F72E0EAC-4529-BD40-8748-864140ED5767}" sourceName="ProductCategory">
  <pivotTables>
    <pivotTable tabId="8" name="PivotTable10"/>
    <pivotTable tabId="8" name="PivotTable11"/>
    <pivotTable tabId="8" name="PivotTable12"/>
    <pivotTable tabId="8" name="PivotTable13"/>
    <pivotTable tabId="8" name="PivotTable14"/>
    <pivotTable tabId="8" name="PivotTable6"/>
    <pivotTable tabId="8" name="PivotTable7"/>
    <pivotTable tabId="8" name="PivotTable8"/>
    <pivotTable tabId="8" name="PivotTable9"/>
    <pivotTable tabId="10" name="PivotTable17"/>
  </pivotTables>
  <data>
    <tabular pivotCacheId="1647361716">
      <items count="6">
        <i x="0" s="1"/>
        <i x="1" s="1"/>
        <i x="5"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City" xr10:uid="{F6DD3658-E386-694C-AD58-D0582790B8FD}" sourceName="CustomerCity">
  <pivotTables>
    <pivotTable tabId="8" name="PivotTable8"/>
    <pivotTable tabId="8" name="PivotTable10"/>
    <pivotTable tabId="8" name="PivotTable11"/>
    <pivotTable tabId="8" name="PivotTable12"/>
    <pivotTable tabId="8" name="PivotTable13"/>
    <pivotTable tabId="8" name="PivotTable14"/>
    <pivotTable tabId="8" name="PivotTable6"/>
    <pivotTable tabId="8" name="PivotTable7"/>
    <pivotTable tabId="8" name="PivotTable9"/>
    <pivotTable tabId="10" name="PivotTable17"/>
  </pivotTables>
  <data>
    <tabular pivotCacheId="1647361716">
      <items count="6">
        <i x="3" s="1"/>
        <i x="4" s="1"/>
        <i x="5"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F9159EA8-748D-A748-B883-7CDA63057D6D}" sourceName="CustomerName">
  <pivotTables>
    <pivotTable tabId="8" name="PivotTable11"/>
    <pivotTable tabId="8" name="PivotTable12"/>
    <pivotTable tabId="8" name="PivotTable13"/>
    <pivotTable tabId="8" name="PivotTable14"/>
    <pivotTable tabId="8" name="PivotTable6"/>
    <pivotTable tabId="8" name="PivotTable7"/>
    <pivotTable tabId="8" name="PivotTable8"/>
    <pivotTable tabId="8" name="PivotTable9"/>
    <pivotTable tabId="10" name="PivotTable17"/>
  </pivotTables>
  <data>
    <tabular pivotCacheId="1647361716">
      <items count="106">
        <i x="13" s="1"/>
        <i x="105" s="1"/>
        <i x="20" s="1"/>
        <i x="98" s="1"/>
        <i x="2" s="1"/>
        <i x="52" s="1"/>
        <i x="54" s="1"/>
        <i x="80" s="1"/>
        <i x="18" s="1"/>
        <i x="101" s="1"/>
        <i x="17" s="1"/>
        <i x="61" s="1"/>
        <i x="27" s="1"/>
        <i x="96" s="1"/>
        <i x="7" s="1"/>
        <i x="69" s="1"/>
        <i x="0" s="1"/>
        <i x="103" s="1"/>
        <i x="3" s="1"/>
        <i x="82" s="1"/>
        <i x="59" s="1"/>
        <i x="73" s="1"/>
        <i x="102" s="1"/>
        <i x="25" s="1"/>
        <i x="71" s="1"/>
        <i x="55" s="1"/>
        <i x="29" s="1"/>
        <i x="91" s="1"/>
        <i x="94" s="1"/>
        <i x="22" s="1"/>
        <i x="95" s="1"/>
        <i x="28" s="1"/>
        <i x="100" s="1"/>
        <i x="37" s="1"/>
        <i x="97" s="1"/>
        <i x="10" s="1"/>
        <i x="24" s="1"/>
        <i x="1" s="1"/>
        <i x="67" s="1"/>
        <i x="38" s="1"/>
        <i x="66" s="1"/>
        <i x="86" s="1"/>
        <i x="65" s="1"/>
        <i x="30" s="1"/>
        <i x="47" s="1"/>
        <i x="16" s="1"/>
        <i x="72" s="1"/>
        <i x="15" s="1"/>
        <i x="34" s="1"/>
        <i x="89" s="1"/>
        <i x="35" s="1"/>
        <i x="50" s="1"/>
        <i x="45" s="1"/>
        <i x="93" s="1"/>
        <i x="58" s="1"/>
        <i x="9" s="1"/>
        <i x="51" s="1"/>
        <i x="11" s="1"/>
        <i x="12" s="1"/>
        <i x="40" s="1"/>
        <i x="14" s="1"/>
        <i x="84" s="1"/>
        <i x="31" s="1"/>
        <i x="53" s="1"/>
        <i x="36" s="1"/>
        <i x="4" s="1"/>
        <i x="63" s="1"/>
        <i x="99" s="1"/>
        <i x="92" s="1"/>
        <i x="44" s="1"/>
        <i x="46" s="1"/>
        <i x="8" s="1"/>
        <i x="57" s="1"/>
        <i x="49" s="1"/>
        <i x="76" s="1"/>
        <i x="75" s="1"/>
        <i x="6" s="1"/>
        <i x="70" s="1"/>
        <i x="43" s="1"/>
        <i x="42" s="1"/>
        <i x="87" s="1"/>
        <i x="19" s="1"/>
        <i x="68" s="1"/>
        <i x="74" s="1"/>
        <i x="79" s="1"/>
        <i x="56" s="1"/>
        <i x="78" s="1"/>
        <i x="23" s="1"/>
        <i x="5" s="1"/>
        <i x="62" s="1"/>
        <i x="81" s="1"/>
        <i x="83" s="1"/>
        <i x="104" s="1"/>
        <i x="21" s="1"/>
        <i x="77" s="1"/>
        <i x="39" s="1"/>
        <i x="85" s="1"/>
        <i x="26" s="1"/>
        <i x="33" s="1"/>
        <i x="64" s="1"/>
        <i x="32" s="1"/>
        <i x="90" s="1"/>
        <i x="41" s="1"/>
        <i x="60" s="1"/>
        <i x="88" s="1"/>
        <i x="4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527A06F-2307-A445-8423-8DC8627EE8F9}" cache="Slicer_Gender" caption="Gender" style="SlicerStyleDark1" rowHeight="365760"/>
  <slicer name="ProductCategory" xr10:uid="{D644F385-E9E5-EC43-8E43-F9CD925CA4A2}" cache="Slicer_ProductCategory" caption="ProductCategory" columnCount="2" style="SlicerStyleDark4" rowHeight="365760"/>
  <slicer name="ProductCategory 1" xr10:uid="{6A25D47E-8803-DB4C-8ED6-EED676B7D294}" cache="Slicer_ProductCategory" caption="ProductCategory" columnCount="2" style="SlicerStyleDark1" rowHeight="457200"/>
  <slicer name="CustomerCity" xr10:uid="{3353D247-2A30-CC4E-BE68-F52C0F152495}" cache="Slicer_CustomerCity" caption="CustomerCity" columnCount="2" style="SlicerStyleDark1" rowHeight="457200"/>
  <slicer name="CustomerName" xr10:uid="{F6F2B74F-A474-D34C-9A83-543815C4DB3B}" cache="Slicer_CustomerName" caption="CustomerName" columnCount="2" style="SlicerStyleDark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48D803-1D4C-9345-9EB0-F86488D2B55A}" name="Orders" displayName="Orders" ref="A1:S2001" totalsRowShown="0" headerRowDxfId="42" dataDxfId="41">
  <autoFilter ref="A1:S2001" xr:uid="{7B48D803-1D4C-9345-9EB0-F86488D2B55A}"/>
  <tableColumns count="19">
    <tableColumn id="1" xr3:uid="{5837F00B-0202-9749-BE26-6B71E9144430}" name="OrderID" dataDxfId="40"/>
    <tableColumn id="2" xr3:uid="{17F0A33C-0FB3-A940-9642-85EBD272F15E}" name="OrderDate" dataDxfId="39"/>
    <tableColumn id="20" xr3:uid="{99A1B65F-9F4E-CB4C-BFD2-257452236960}" name="Week" dataDxfId="38">
      <calculatedColumnFormula>WEEKNUM(Orders[[#This Row],[OrderDate]])</calculatedColumnFormula>
    </tableColumn>
    <tableColumn id="3" xr3:uid="{ADA11E15-5820-A844-9470-1DD0B882FC18}" name="CustomerID" dataDxfId="37"/>
    <tableColumn id="4" xr3:uid="{22D1E98C-A083-6940-8D99-350CD068EE62}" name="ProductID" dataDxfId="36"/>
    <tableColumn id="5" xr3:uid="{7F21D3D4-C192-F444-BB9F-E101DCBF75E8}" name="Quantity" dataDxfId="35"/>
    <tableColumn id="6" xr3:uid="{0C92B8CD-CDA1-F44D-810B-2BF143229C71}" name="Selling Price" dataDxfId="34"/>
    <tableColumn id="7" xr3:uid="{04FF7AA3-D866-BC4F-90EB-C6FAB5D44337}" name="Cost Price"/>
    <tableColumn id="17" xr3:uid="{3F7CC21F-7954-734F-8953-84B4DBCDBC29}" name="Revenue" dataDxfId="33">
      <calculatedColumnFormula>Orders[[#This Row],[Quantity]]*Orders[[#This Row],[Selling Price]]</calculatedColumnFormula>
    </tableColumn>
    <tableColumn id="18" xr3:uid="{B94DD9DF-AE76-EC4D-952B-666CEBF2F8DA}" name="Expenses" dataDxfId="32">
      <calculatedColumnFormula>Orders[[#This Row],[Quantity]]*Orders[[#This Row],[Cost Price]]</calculatedColumnFormula>
    </tableColumn>
    <tableColumn id="19" xr3:uid="{C7AAD285-5498-1D4A-A0CE-15816C2B9D5E}" name="SumOfProfit" dataDxfId="31">
      <calculatedColumnFormula>Orders[[#This Row],[Revenue]]-Orders[[#This Row],[Expenses]]</calculatedColumnFormula>
    </tableColumn>
    <tableColumn id="8" xr3:uid="{DBA02435-3A2E-EF42-96F0-165922C27722}" name="Salesperson"/>
    <tableColumn id="10" xr3:uid="{80EDB046-B6AE-2142-BB5E-238A69B700B7}" name="CustomerCity" dataDxfId="30">
      <calculatedColumnFormula>_xlfn.XLOOKUP(Orders[[#This Row],[CustomerID]],Customers[CustomerID],Customers[City])</calculatedColumnFormula>
    </tableColumn>
    <tableColumn id="15" xr3:uid="{BB16623B-3A99-9B45-A4AF-CCD629ADE5F8}" name="CustomerName" dataDxfId="29">
      <calculatedColumnFormula>_xlfn.XLOOKUP(Orders[[#This Row],[CustomerID]],Customers[CustomerID],Customers[CustomerName])</calculatedColumnFormula>
    </tableColumn>
    <tableColumn id="11" xr3:uid="{90C4503A-5B49-4B4B-A04D-FCA72F9DEA20}" name="Gender" dataDxfId="28">
      <calculatedColumnFormula>_xlfn.XLOOKUP(Orders[[#This Row],[CustomerID]],Customers[CustomerID],Customers[Gender])</calculatedColumnFormula>
    </tableColumn>
    <tableColumn id="12" xr3:uid="{D66BCF0D-147D-0543-A279-FCD641D8E806}" name="Age" dataDxfId="27">
      <calculatedColumnFormula>_xlfn.XLOOKUP(Orders[[#This Row],[CustomerID]],Customers[CustomerID],Customers[CustomerAge])</calculatedColumnFormula>
    </tableColumn>
    <tableColumn id="21" xr3:uid="{F73AC62D-45F2-F945-9E3B-8B3CC2BB6280}" name="Age Category" dataDxfId="26">
      <calculatedColumnFormula>IF(Orders[[#This Row],[Age]]&gt;=35,"older","young")</calculatedColumnFormula>
    </tableColumn>
    <tableColumn id="13" xr3:uid="{38A68BDC-DB03-BF4F-8C49-27603859E4F8}" name="ProductName" dataDxfId="25">
      <calculatedColumnFormula>_xlfn.XLOOKUP(Orders[[#This Row],[ProductID]],Products[ProductID],Products[ProductName])</calculatedColumnFormula>
    </tableColumn>
    <tableColumn id="14" xr3:uid="{33942B18-575F-BA4A-83F3-B870FE33C879}" name="ProductCategory" dataDxfId="24">
      <calculatedColumnFormula>_xlfn.XLOOKUP(Orders[[#This Row],[ProductID]],Products!A:A,Products!C:C)</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668276-AB6B-E345-8550-119F64F6BFA2}" name="Customers" displayName="Customers" ref="A1:E153" totalsRowShown="0" headerRowDxfId="23" dataDxfId="21" headerRowBorderDxfId="22" tableBorderDxfId="20">
  <autoFilter ref="A1:E153" xr:uid="{01668276-AB6B-E345-8550-119F64F6BFA2}"/>
  <tableColumns count="5">
    <tableColumn id="1" xr3:uid="{BF8113C5-D2E3-9347-B36A-697D9BB70454}" name="CustomerID" dataDxfId="19"/>
    <tableColumn id="6" xr3:uid="{FC4BBA3D-BB7E-DF4A-90A6-43762C911171}" name="CustomerName" dataDxfId="18"/>
    <tableColumn id="9" xr3:uid="{2ACC901C-617A-2C4C-9D34-1E976CAD65BB}" name="City" dataDxfId="17"/>
    <tableColumn id="4" xr3:uid="{B7A72325-0324-E14D-B80D-E51B4A105602}" name="Gender" dataDxfId="16"/>
    <tableColumn id="5" xr3:uid="{AA44C05E-5BCC-D841-9ABC-42EE76CFF049}" name="CustomerAge"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D5D19F-7CA3-E549-83D8-A4BE54FA778C}" name="Products" displayName="Products" ref="A1:C35" totalsRowShown="0" headerRowDxfId="14" dataDxfId="12" headerRowBorderDxfId="13" tableBorderDxfId="11">
  <autoFilter ref="A1:C35" xr:uid="{34D5D19F-7CA3-E549-83D8-A4BE54FA778C}"/>
  <tableColumns count="3">
    <tableColumn id="1" xr3:uid="{F340AAED-6D2A-8A4C-88B0-13227F149F69}" name="ProductID" dataDxfId="10"/>
    <tableColumn id="2" xr3:uid="{017AACE9-97AD-FC40-BD52-90670AD59541}" name="ProductName" dataDxfId="9"/>
    <tableColumn id="3" xr3:uid="{FD51F67A-6AEE-D345-AE73-FA84C2458AEA}" name="Category"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drawing" Target="../drawings/drawing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FE53-B7B9-6441-8E2E-9C93FF19C568}">
  <dimension ref="A3:B6"/>
  <sheetViews>
    <sheetView workbookViewId="0">
      <selection activeCell="A3" sqref="A3:B6"/>
      <pivotSelection pane="bottomRight" showHeader="1" click="1" r:id="rId1">
        <pivotArea type="all" dataOnly="0" outline="0" fieldPosition="0"/>
      </pivotSelection>
    </sheetView>
  </sheetViews>
  <sheetFormatPr baseColWidth="10" defaultRowHeight="15" x14ac:dyDescent="0.2"/>
  <cols>
    <col min="1" max="1" width="12.1640625" bestFit="1" customWidth="1"/>
    <col min="2" max="2" width="16.5" bestFit="1" customWidth="1"/>
  </cols>
  <sheetData>
    <row r="3" spans="1:2" x14ac:dyDescent="0.2">
      <c r="A3" s="10" t="s">
        <v>2389</v>
      </c>
      <c r="B3" t="s">
        <v>2393</v>
      </c>
    </row>
    <row r="4" spans="1:2" x14ac:dyDescent="0.2">
      <c r="A4" s="11" t="s">
        <v>2401</v>
      </c>
      <c r="B4" s="12">
        <v>5966911.844999996</v>
      </c>
    </row>
    <row r="5" spans="1:2" x14ac:dyDescent="0.2">
      <c r="A5" s="11" t="s">
        <v>2402</v>
      </c>
      <c r="B5" s="12">
        <v>11244481.125</v>
      </c>
    </row>
    <row r="6" spans="1:2" x14ac:dyDescent="0.2">
      <c r="A6" s="11" t="s">
        <v>2390</v>
      </c>
      <c r="B6" s="12">
        <v>17211392.969999995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D1B5-41C1-B741-9C6E-9F482DE2E7BA}">
  <dimension ref="A2:K121"/>
  <sheetViews>
    <sheetView topLeftCell="A93" zoomScale="131" workbookViewId="0">
      <selection activeCell="A119" sqref="A119"/>
    </sheetView>
  </sheetViews>
  <sheetFormatPr baseColWidth="10" defaultRowHeight="15" x14ac:dyDescent="0.2"/>
  <cols>
    <col min="1" max="1" width="12.1640625" bestFit="1" customWidth="1"/>
    <col min="2" max="2" width="16.5" bestFit="1" customWidth="1"/>
    <col min="3" max="3" width="14" bestFit="1" customWidth="1"/>
    <col min="4" max="4" width="16" bestFit="1" customWidth="1"/>
    <col min="9" max="9" width="12.1640625" bestFit="1" customWidth="1"/>
    <col min="10" max="11" width="16.5" bestFit="1" customWidth="1"/>
  </cols>
  <sheetData>
    <row r="2" spans="1:10" x14ac:dyDescent="0.2">
      <c r="A2" s="14" t="s">
        <v>2395</v>
      </c>
    </row>
    <row r="3" spans="1:10" x14ac:dyDescent="0.2">
      <c r="A3" s="10" t="s">
        <v>2391</v>
      </c>
    </row>
    <row r="4" spans="1:10" x14ac:dyDescent="0.2">
      <c r="A4" s="11" t="s">
        <v>2387</v>
      </c>
      <c r="B4" s="19">
        <v>114742619.80000003</v>
      </c>
      <c r="D4" t="s">
        <v>2394</v>
      </c>
    </row>
    <row r="5" spans="1:10" x14ac:dyDescent="0.2">
      <c r="A5" s="11" t="s">
        <v>2388</v>
      </c>
      <c r="B5" s="20">
        <v>97531226.829999879</v>
      </c>
      <c r="D5" s="13">
        <f>Profit/Revenue</f>
        <v>0.15000000000000011</v>
      </c>
      <c r="E5" s="21">
        <v>34</v>
      </c>
    </row>
    <row r="6" spans="1:10" x14ac:dyDescent="0.2">
      <c r="A6" s="11" t="s">
        <v>2393</v>
      </c>
      <c r="B6" s="20">
        <v>17211392.970000017</v>
      </c>
    </row>
    <row r="10" spans="1:10" x14ac:dyDescent="0.2">
      <c r="A10" s="14" t="s">
        <v>2397</v>
      </c>
    </row>
    <row r="11" spans="1:10" x14ac:dyDescent="0.2">
      <c r="A11" s="10" t="s">
        <v>2389</v>
      </c>
      <c r="B11" t="s">
        <v>2387</v>
      </c>
    </row>
    <row r="12" spans="1:10" x14ac:dyDescent="0.2">
      <c r="A12" s="16">
        <v>40</v>
      </c>
      <c r="B12" s="22">
        <v>5151515.8999999994</v>
      </c>
      <c r="I12" s="14" t="s">
        <v>2398</v>
      </c>
    </row>
    <row r="13" spans="1:10" x14ac:dyDescent="0.2">
      <c r="A13" s="16">
        <v>41</v>
      </c>
      <c r="B13" s="22">
        <v>8021415.0000000065</v>
      </c>
      <c r="I13" s="10" t="s">
        <v>2389</v>
      </c>
      <c r="J13" t="s">
        <v>2393</v>
      </c>
    </row>
    <row r="14" spans="1:10" x14ac:dyDescent="0.2">
      <c r="A14" s="16">
        <v>42</v>
      </c>
      <c r="B14" s="22">
        <v>9039991.3999999985</v>
      </c>
      <c r="I14" s="16">
        <v>40</v>
      </c>
      <c r="J14" s="22">
        <v>772727.38500000047</v>
      </c>
    </row>
    <row r="15" spans="1:10" x14ac:dyDescent="0.2">
      <c r="A15" s="16">
        <v>43</v>
      </c>
      <c r="B15" s="22">
        <v>8273426.0999999978</v>
      </c>
      <c r="I15" s="16">
        <v>41</v>
      </c>
      <c r="J15" s="22">
        <v>1203212.2500000002</v>
      </c>
    </row>
    <row r="16" spans="1:10" x14ac:dyDescent="0.2">
      <c r="A16" s="16">
        <v>44</v>
      </c>
      <c r="B16" s="22">
        <v>6483549.0999999978</v>
      </c>
      <c r="I16" s="16">
        <v>42</v>
      </c>
      <c r="J16" s="22">
        <v>1355998.7099999997</v>
      </c>
    </row>
    <row r="17" spans="1:10" x14ac:dyDescent="0.2">
      <c r="A17" s="16">
        <v>45</v>
      </c>
      <c r="B17" s="22">
        <v>8499907.5</v>
      </c>
      <c r="I17" s="16">
        <v>43</v>
      </c>
      <c r="J17" s="22">
        <v>1241013.9150000003</v>
      </c>
    </row>
    <row r="18" spans="1:10" x14ac:dyDescent="0.2">
      <c r="A18" s="16">
        <v>46</v>
      </c>
      <c r="B18" s="22">
        <v>8029014.5999999959</v>
      </c>
      <c r="I18" s="16">
        <v>44</v>
      </c>
      <c r="J18" s="22">
        <v>972532.36500000022</v>
      </c>
    </row>
    <row r="19" spans="1:10" x14ac:dyDescent="0.2">
      <c r="A19" s="16">
        <v>47</v>
      </c>
      <c r="B19" s="22">
        <v>10935727.6</v>
      </c>
      <c r="I19" s="16">
        <v>45</v>
      </c>
      <c r="J19" s="22">
        <v>1274986.1249999998</v>
      </c>
    </row>
    <row r="20" spans="1:10" x14ac:dyDescent="0.2">
      <c r="A20" s="16">
        <v>48</v>
      </c>
      <c r="B20" s="22">
        <v>8439774.200000003</v>
      </c>
      <c r="I20" s="16">
        <v>46</v>
      </c>
      <c r="J20" s="22">
        <v>1204352.1899999997</v>
      </c>
    </row>
    <row r="21" spans="1:10" x14ac:dyDescent="0.2">
      <c r="A21" s="16">
        <v>49</v>
      </c>
      <c r="B21" s="22">
        <v>9654830.6999999974</v>
      </c>
      <c r="I21" s="16">
        <v>47</v>
      </c>
      <c r="J21" s="22">
        <v>1640359.14</v>
      </c>
    </row>
    <row r="22" spans="1:10" x14ac:dyDescent="0.2">
      <c r="A22" s="16">
        <v>50</v>
      </c>
      <c r="B22" s="22">
        <v>8268638.9999999991</v>
      </c>
      <c r="I22" s="16">
        <v>48</v>
      </c>
      <c r="J22" s="22">
        <v>1265966.1300000006</v>
      </c>
    </row>
    <row r="23" spans="1:10" x14ac:dyDescent="0.2">
      <c r="A23" s="16">
        <v>51</v>
      </c>
      <c r="B23" s="22">
        <v>10436412.299999997</v>
      </c>
      <c r="I23" s="16">
        <v>49</v>
      </c>
      <c r="J23" s="22">
        <v>1448224.6049999997</v>
      </c>
    </row>
    <row r="24" spans="1:10" x14ac:dyDescent="0.2">
      <c r="A24" s="16">
        <v>52</v>
      </c>
      <c r="B24" s="22">
        <v>8699909.7000000048</v>
      </c>
      <c r="I24" s="16">
        <v>50</v>
      </c>
      <c r="J24" s="22">
        <v>1240295.8499999992</v>
      </c>
    </row>
    <row r="25" spans="1:10" x14ac:dyDescent="0.2">
      <c r="A25" s="16">
        <v>53</v>
      </c>
      <c r="B25" s="22">
        <v>4808506.700000002</v>
      </c>
      <c r="I25" s="16">
        <v>51</v>
      </c>
      <c r="J25" s="22">
        <v>1565461.8449999993</v>
      </c>
    </row>
    <row r="26" spans="1:10" x14ac:dyDescent="0.2">
      <c r="A26" s="16" t="s">
        <v>2390</v>
      </c>
      <c r="B26" s="22">
        <v>114742619.80000001</v>
      </c>
      <c r="I26" s="16">
        <v>52</v>
      </c>
      <c r="J26" s="22">
        <v>1304986.4549999991</v>
      </c>
    </row>
    <row r="27" spans="1:10" x14ac:dyDescent="0.2">
      <c r="I27" s="16">
        <v>53</v>
      </c>
      <c r="J27" s="22">
        <v>721276.00499999989</v>
      </c>
    </row>
    <row r="28" spans="1:10" x14ac:dyDescent="0.2">
      <c r="I28" s="16" t="s">
        <v>2390</v>
      </c>
      <c r="J28" s="22">
        <v>17211392.969999999</v>
      </c>
    </row>
    <row r="33" spans="1:5" x14ac:dyDescent="0.2">
      <c r="A33" s="10" t="s">
        <v>2389</v>
      </c>
      <c r="B33" t="s">
        <v>2393</v>
      </c>
    </row>
    <row r="34" spans="1:5" x14ac:dyDescent="0.2">
      <c r="A34" s="11" t="s">
        <v>2225</v>
      </c>
      <c r="B34" s="22">
        <v>1762070.0999999999</v>
      </c>
      <c r="D34" s="11" t="s">
        <v>2225</v>
      </c>
      <c r="E34">
        <v>1762070.0999999999</v>
      </c>
    </row>
    <row r="35" spans="1:5" x14ac:dyDescent="0.2">
      <c r="A35" s="11" t="s">
        <v>2236</v>
      </c>
      <c r="B35" s="22">
        <v>3278135.8349999995</v>
      </c>
      <c r="D35" s="11" t="s">
        <v>2236</v>
      </c>
      <c r="E35">
        <v>3278135.8349999995</v>
      </c>
    </row>
    <row r="36" spans="1:5" x14ac:dyDescent="0.2">
      <c r="A36" s="11" t="s">
        <v>2381</v>
      </c>
      <c r="B36" s="22">
        <v>1671271.8599999985</v>
      </c>
      <c r="D36" s="11" t="s">
        <v>2381</v>
      </c>
      <c r="E36">
        <v>1671271.8599999985</v>
      </c>
    </row>
    <row r="37" spans="1:5" x14ac:dyDescent="0.2">
      <c r="A37" s="11" t="s">
        <v>2239</v>
      </c>
      <c r="B37" s="22">
        <v>1510937.1600000004</v>
      </c>
      <c r="D37" s="11" t="s">
        <v>2239</v>
      </c>
      <c r="E37">
        <v>1510937.1600000004</v>
      </c>
    </row>
    <row r="38" spans="1:5" x14ac:dyDescent="0.2">
      <c r="A38" s="11" t="s">
        <v>2228</v>
      </c>
      <c r="B38" s="22">
        <v>6097954.950000003</v>
      </c>
      <c r="D38" s="11" t="s">
        <v>2228</v>
      </c>
      <c r="E38">
        <v>6097954.950000003</v>
      </c>
    </row>
    <row r="39" spans="1:5" x14ac:dyDescent="0.2">
      <c r="A39" s="11" t="s">
        <v>2232</v>
      </c>
      <c r="B39" s="22">
        <v>2891023.0649999985</v>
      </c>
      <c r="D39" s="11" t="s">
        <v>2232</v>
      </c>
      <c r="E39">
        <v>2891023.0649999985</v>
      </c>
    </row>
    <row r="40" spans="1:5" x14ac:dyDescent="0.2">
      <c r="A40" s="11" t="s">
        <v>2390</v>
      </c>
      <c r="B40" s="22">
        <v>17211392.969999999</v>
      </c>
    </row>
    <row r="56" spans="1:2" x14ac:dyDescent="0.2">
      <c r="A56" s="10" t="s">
        <v>2389</v>
      </c>
      <c r="B56" t="s">
        <v>2393</v>
      </c>
    </row>
    <row r="57" spans="1:2" x14ac:dyDescent="0.2">
      <c r="A57" s="11" t="s">
        <v>2348</v>
      </c>
      <c r="B57" s="12">
        <v>666102.79500000016</v>
      </c>
    </row>
    <row r="58" spans="1:2" x14ac:dyDescent="0.2">
      <c r="A58" s="11" t="s">
        <v>2337</v>
      </c>
      <c r="B58" s="12">
        <v>666560.64000000048</v>
      </c>
    </row>
    <row r="59" spans="1:2" x14ac:dyDescent="0.2">
      <c r="A59" s="11" t="s">
        <v>2339</v>
      </c>
      <c r="B59" s="12">
        <v>670747.11000000022</v>
      </c>
    </row>
    <row r="60" spans="1:2" x14ac:dyDescent="0.2">
      <c r="A60" s="11" t="s">
        <v>2367</v>
      </c>
      <c r="B60" s="12">
        <v>684575.0850000002</v>
      </c>
    </row>
    <row r="61" spans="1:2" x14ac:dyDescent="0.2">
      <c r="A61" s="11" t="s">
        <v>2342</v>
      </c>
      <c r="B61" s="12">
        <v>695271.34500000009</v>
      </c>
    </row>
    <row r="62" spans="1:2" x14ac:dyDescent="0.2">
      <c r="A62" s="11" t="s">
        <v>2335</v>
      </c>
      <c r="B62" s="12">
        <v>705160.36499999999</v>
      </c>
    </row>
    <row r="63" spans="1:2" x14ac:dyDescent="0.2">
      <c r="A63" s="11" t="s">
        <v>2358</v>
      </c>
      <c r="B63" s="12">
        <v>726596.2200000002</v>
      </c>
    </row>
    <row r="64" spans="1:2" x14ac:dyDescent="0.2">
      <c r="A64" s="11" t="s">
        <v>2370</v>
      </c>
      <c r="B64" s="12">
        <v>727900.09499999997</v>
      </c>
    </row>
    <row r="65" spans="1:2" x14ac:dyDescent="0.2">
      <c r="A65" s="11" t="s">
        <v>2331</v>
      </c>
      <c r="B65" s="12">
        <v>769325.07000000007</v>
      </c>
    </row>
    <row r="66" spans="1:2" x14ac:dyDescent="0.2">
      <c r="A66" s="11" t="s">
        <v>2355</v>
      </c>
      <c r="B66" s="12">
        <v>783078.94500000007</v>
      </c>
    </row>
    <row r="67" spans="1:2" x14ac:dyDescent="0.2">
      <c r="A67" s="11" t="s">
        <v>2390</v>
      </c>
      <c r="B67" s="12">
        <v>7095317.6700000009</v>
      </c>
    </row>
    <row r="77" spans="1:2" x14ac:dyDescent="0.2">
      <c r="A77" s="10" t="s">
        <v>2389</v>
      </c>
      <c r="B77" t="s">
        <v>2393</v>
      </c>
    </row>
    <row r="78" spans="1:2" x14ac:dyDescent="0.2">
      <c r="A78" s="11" t="s">
        <v>2351</v>
      </c>
      <c r="B78" s="12">
        <v>4057251.7500000019</v>
      </c>
    </row>
    <row r="79" spans="1:2" x14ac:dyDescent="0.2">
      <c r="A79" s="11" t="s">
        <v>2366</v>
      </c>
      <c r="B79" s="12">
        <v>3072474.5699999994</v>
      </c>
    </row>
    <row r="80" spans="1:2" x14ac:dyDescent="0.2">
      <c r="A80" s="11" t="s">
        <v>2332</v>
      </c>
      <c r="B80" s="12">
        <v>2861120.13</v>
      </c>
    </row>
    <row r="81" spans="1:2" x14ac:dyDescent="0.2">
      <c r="A81" s="11" t="s">
        <v>2338</v>
      </c>
      <c r="B81" s="12">
        <v>2559294.4650000008</v>
      </c>
    </row>
    <row r="82" spans="1:2" x14ac:dyDescent="0.2">
      <c r="A82" s="11" t="s">
        <v>2344</v>
      </c>
      <c r="B82" s="12">
        <v>2448310.1549999993</v>
      </c>
    </row>
    <row r="83" spans="1:2" x14ac:dyDescent="0.2">
      <c r="A83" s="11" t="s">
        <v>2361</v>
      </c>
      <c r="B83" s="12">
        <v>2212941.8999999994</v>
      </c>
    </row>
    <row r="84" spans="1:2" x14ac:dyDescent="0.2">
      <c r="A84" s="11" t="s">
        <v>2390</v>
      </c>
      <c r="B84" s="12">
        <v>17211392.969999999</v>
      </c>
    </row>
    <row r="97" spans="1:2" x14ac:dyDescent="0.2">
      <c r="A97" s="10" t="s">
        <v>2389</v>
      </c>
      <c r="B97" t="s">
        <v>2399</v>
      </c>
    </row>
    <row r="98" spans="1:2" x14ac:dyDescent="0.2">
      <c r="A98" s="11" t="s">
        <v>2370</v>
      </c>
      <c r="B98" s="22">
        <v>433</v>
      </c>
    </row>
    <row r="99" spans="1:2" x14ac:dyDescent="0.2">
      <c r="A99" s="11" t="s">
        <v>2339</v>
      </c>
      <c r="B99" s="22">
        <v>454</v>
      </c>
    </row>
    <row r="100" spans="1:2" x14ac:dyDescent="0.2">
      <c r="A100" s="11" t="s">
        <v>2348</v>
      </c>
      <c r="B100" s="22">
        <v>454</v>
      </c>
    </row>
    <row r="101" spans="1:2" x14ac:dyDescent="0.2">
      <c r="A101" s="11" t="s">
        <v>2360</v>
      </c>
      <c r="B101" s="22">
        <v>456</v>
      </c>
    </row>
    <row r="102" spans="1:2" x14ac:dyDescent="0.2">
      <c r="A102" s="11" t="s">
        <v>2355</v>
      </c>
      <c r="B102" s="22">
        <v>480</v>
      </c>
    </row>
    <row r="103" spans="1:2" x14ac:dyDescent="0.2">
      <c r="A103" s="11" t="s">
        <v>2390</v>
      </c>
      <c r="B103" s="22">
        <v>2277</v>
      </c>
    </row>
    <row r="115" spans="1:11" x14ac:dyDescent="0.2">
      <c r="A115" s="10" t="s">
        <v>2389</v>
      </c>
      <c r="B115" t="s">
        <v>2393</v>
      </c>
    </row>
    <row r="116" spans="1:11" x14ac:dyDescent="0.2">
      <c r="A116" s="11" t="s">
        <v>2267</v>
      </c>
      <c r="B116" s="12">
        <v>453597.18</v>
      </c>
      <c r="J116" s="10" t="s">
        <v>2389</v>
      </c>
      <c r="K116" t="s">
        <v>2393</v>
      </c>
    </row>
    <row r="117" spans="1:11" x14ac:dyDescent="0.2">
      <c r="A117" s="11" t="s">
        <v>2243</v>
      </c>
      <c r="B117" s="12">
        <v>446403.08999999991</v>
      </c>
      <c r="J117" s="11" t="s">
        <v>2230</v>
      </c>
      <c r="K117" s="12">
        <v>9254232.6149999853</v>
      </c>
    </row>
    <row r="118" spans="1:11" x14ac:dyDescent="0.2">
      <c r="A118" s="11" t="s">
        <v>2268</v>
      </c>
      <c r="B118" s="12">
        <v>399352.75500000006</v>
      </c>
      <c r="J118" s="11" t="s">
        <v>2226</v>
      </c>
      <c r="K118" s="12">
        <v>7957160.3550000023</v>
      </c>
    </row>
    <row r="119" spans="1:11" x14ac:dyDescent="0.2">
      <c r="A119" s="11" t="s">
        <v>2277</v>
      </c>
      <c r="B119" s="12">
        <v>394396.69500000012</v>
      </c>
      <c r="J119" s="11" t="s">
        <v>2390</v>
      </c>
      <c r="K119" s="12">
        <v>17211392.969999988</v>
      </c>
    </row>
    <row r="120" spans="1:11" x14ac:dyDescent="0.2">
      <c r="A120" s="11" t="s">
        <v>2234</v>
      </c>
      <c r="B120" s="12">
        <v>366870.20999999996</v>
      </c>
    </row>
    <row r="121" spans="1:11" x14ac:dyDescent="0.2">
      <c r="A121" s="11" t="s">
        <v>2390</v>
      </c>
      <c r="B121" s="12">
        <v>2060619.93</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19A4E-A0DE-174C-B46A-80CFBFA82FC3}">
  <dimension ref="A1:AB63"/>
  <sheetViews>
    <sheetView showGridLines="0" tabSelected="1" zoomScaleNormal="100" workbookViewId="0">
      <selection activeCell="AE48" sqref="AE48"/>
    </sheetView>
  </sheetViews>
  <sheetFormatPr baseColWidth="10" defaultRowHeight="15" x14ac:dyDescent="0.2"/>
  <cols>
    <col min="1" max="24" width="10.83203125" style="17"/>
    <col min="25" max="25" width="20.1640625" style="17" customWidth="1"/>
    <col min="26" max="26" width="68.6640625" style="17" customWidth="1"/>
    <col min="27" max="16384" width="10.83203125" style="17"/>
  </cols>
  <sheetData>
    <row r="1" spans="1:28" x14ac:dyDescent="0.2">
      <c r="A1" s="18"/>
      <c r="B1" s="18"/>
      <c r="C1" s="18"/>
      <c r="D1" s="18"/>
      <c r="E1" s="18"/>
      <c r="F1" s="18"/>
      <c r="G1" s="18"/>
      <c r="H1" s="18"/>
      <c r="I1" s="18"/>
      <c r="J1" s="18"/>
      <c r="K1" s="18"/>
      <c r="L1" s="18"/>
      <c r="M1" s="18"/>
      <c r="N1" s="18"/>
      <c r="O1" s="18"/>
      <c r="P1" s="18"/>
      <c r="Q1" s="18"/>
      <c r="R1" s="18"/>
      <c r="S1" s="18"/>
      <c r="T1" s="18"/>
      <c r="U1" s="18"/>
      <c r="V1" s="18"/>
      <c r="W1" s="18"/>
      <c r="X1" s="18"/>
      <c r="Y1" s="18"/>
      <c r="Z1" s="18"/>
    </row>
    <row r="2" spans="1:28" x14ac:dyDescent="0.2">
      <c r="A2" s="18"/>
      <c r="B2" s="18"/>
      <c r="C2" s="18"/>
      <c r="D2" s="18"/>
      <c r="E2" s="18"/>
      <c r="F2" s="18"/>
      <c r="G2" s="18"/>
      <c r="H2" s="18"/>
      <c r="I2" s="18"/>
      <c r="J2" s="18"/>
      <c r="K2" s="18"/>
      <c r="L2" s="18"/>
      <c r="M2" s="18"/>
      <c r="N2" s="18"/>
      <c r="O2" s="18"/>
      <c r="P2" s="18"/>
      <c r="Q2" s="18"/>
      <c r="R2" s="18"/>
      <c r="S2" s="18"/>
      <c r="T2" s="18"/>
      <c r="U2" s="18"/>
      <c r="V2" s="18"/>
      <c r="W2" s="18"/>
      <c r="X2" s="18"/>
      <c r="Y2" s="18"/>
      <c r="Z2" s="18"/>
    </row>
    <row r="3" spans="1:28" x14ac:dyDescent="0.2">
      <c r="A3" s="18"/>
      <c r="B3" s="18"/>
      <c r="C3" s="18"/>
      <c r="D3" s="18"/>
      <c r="E3" s="18"/>
      <c r="F3" s="18"/>
      <c r="G3" s="18"/>
      <c r="H3" s="18"/>
      <c r="I3" s="18"/>
      <c r="J3" s="18"/>
      <c r="K3" s="18"/>
      <c r="L3" s="18"/>
      <c r="M3" s="18"/>
      <c r="N3" s="18"/>
      <c r="O3" s="18"/>
      <c r="P3" s="18"/>
      <c r="Q3" s="18"/>
      <c r="R3" s="18"/>
      <c r="S3" s="18"/>
      <c r="T3" s="18"/>
      <c r="U3" s="18"/>
      <c r="V3" s="18"/>
      <c r="W3" s="18"/>
      <c r="X3" s="18"/>
      <c r="Y3" s="18"/>
      <c r="Z3" s="18"/>
    </row>
    <row r="4" spans="1:28" x14ac:dyDescent="0.2">
      <c r="A4" s="18"/>
      <c r="B4" s="18"/>
      <c r="C4" s="18"/>
      <c r="D4" s="18"/>
      <c r="E4" s="18"/>
      <c r="F4" s="18"/>
      <c r="G4" s="18"/>
      <c r="H4" s="18"/>
      <c r="I4" s="18"/>
      <c r="J4" s="18"/>
      <c r="K4" s="18"/>
      <c r="L4" s="18"/>
      <c r="M4" s="18"/>
      <c r="N4" s="18"/>
      <c r="O4" s="18"/>
      <c r="P4" s="18"/>
      <c r="Q4" s="18"/>
      <c r="R4" s="18"/>
      <c r="S4" s="18"/>
      <c r="T4" s="18"/>
      <c r="U4" s="18"/>
      <c r="V4" s="18"/>
      <c r="W4" s="18"/>
      <c r="X4" s="18"/>
      <c r="Y4" s="18"/>
      <c r="Z4" s="18"/>
    </row>
    <row r="5" spans="1:28" x14ac:dyDescent="0.2">
      <c r="A5" s="18"/>
      <c r="B5" s="18"/>
      <c r="C5" s="18"/>
      <c r="D5" s="18"/>
      <c r="E5" s="18"/>
      <c r="F5" s="18"/>
      <c r="G5" s="18"/>
      <c r="H5" s="18"/>
      <c r="I5" s="18"/>
      <c r="J5" s="18"/>
      <c r="K5" s="18"/>
      <c r="L5" s="18"/>
      <c r="M5" s="18"/>
      <c r="N5" s="18"/>
      <c r="O5" s="18"/>
      <c r="P5" s="18"/>
      <c r="Q5" s="18"/>
      <c r="R5" s="18"/>
      <c r="S5" s="18"/>
      <c r="T5" s="18"/>
      <c r="U5" s="18"/>
      <c r="V5" s="18"/>
      <c r="W5" s="18"/>
      <c r="X5" s="18"/>
      <c r="Y5" s="18"/>
      <c r="Z5" s="18"/>
    </row>
    <row r="6" spans="1:28" x14ac:dyDescent="0.2">
      <c r="A6" s="18"/>
      <c r="B6" s="18"/>
      <c r="C6" s="18"/>
      <c r="D6" s="18"/>
      <c r="E6" s="18"/>
      <c r="F6" s="18"/>
      <c r="G6" s="18"/>
      <c r="H6" s="18"/>
      <c r="I6" s="18"/>
      <c r="J6" s="18"/>
      <c r="K6" s="18"/>
      <c r="L6" s="18"/>
      <c r="M6" s="18"/>
      <c r="N6" s="18"/>
      <c r="O6" s="18"/>
      <c r="P6" s="18"/>
      <c r="Q6" s="18"/>
      <c r="R6" s="18"/>
      <c r="S6" s="18"/>
      <c r="T6" s="18"/>
      <c r="U6" s="18"/>
      <c r="V6" s="18"/>
      <c r="W6" s="18"/>
      <c r="X6" s="18"/>
      <c r="Y6" s="18"/>
      <c r="Z6" s="18"/>
    </row>
    <row r="7" spans="1:28" x14ac:dyDescent="0.2">
      <c r="A7" s="18"/>
      <c r="B7" s="18"/>
      <c r="C7" s="18"/>
      <c r="D7" s="18"/>
      <c r="E7" s="18"/>
      <c r="F7" s="18"/>
      <c r="G7" s="18"/>
      <c r="H7" s="18"/>
      <c r="I7" s="18"/>
      <c r="J7" s="18"/>
      <c r="K7" s="18"/>
      <c r="L7" s="18"/>
      <c r="M7" s="18"/>
      <c r="N7" s="18"/>
      <c r="O7" s="18"/>
      <c r="P7" s="18"/>
      <c r="Q7" s="18"/>
      <c r="R7" s="18"/>
      <c r="S7" s="18"/>
      <c r="T7" s="18"/>
      <c r="U7" s="18"/>
      <c r="V7" s="18"/>
      <c r="W7" s="18"/>
      <c r="X7" s="18"/>
      <c r="Y7" s="18"/>
      <c r="Z7" s="18"/>
    </row>
    <row r="8" spans="1:28" x14ac:dyDescent="0.2">
      <c r="A8" s="18"/>
      <c r="B8" s="18"/>
      <c r="C8" s="18"/>
      <c r="D8" s="18"/>
      <c r="E8" s="18"/>
      <c r="F8" s="18"/>
      <c r="G8" s="18"/>
      <c r="H8" s="18"/>
      <c r="I8" s="18"/>
      <c r="J8" s="18"/>
      <c r="K8" s="18"/>
      <c r="L8" s="18"/>
      <c r="M8" s="18"/>
      <c r="N8" s="18"/>
      <c r="O8" s="18"/>
      <c r="P8" s="18"/>
      <c r="Q8" s="18"/>
      <c r="R8" s="18"/>
      <c r="S8" s="18"/>
      <c r="T8" s="18"/>
      <c r="U8" s="18"/>
      <c r="V8" s="18"/>
      <c r="W8" s="18"/>
      <c r="X8" s="18"/>
      <c r="Y8" s="18"/>
      <c r="Z8" s="18"/>
    </row>
    <row r="9" spans="1:28" x14ac:dyDescent="0.2">
      <c r="A9" s="18"/>
      <c r="B9" s="18"/>
      <c r="C9" s="18"/>
      <c r="D9" s="18"/>
      <c r="E9" s="18"/>
      <c r="F9" s="18"/>
      <c r="G9" s="18"/>
      <c r="H9" s="18"/>
      <c r="I9" s="18"/>
      <c r="J9" s="18"/>
      <c r="K9" s="18"/>
      <c r="L9" s="18"/>
      <c r="M9" s="18"/>
      <c r="N9" s="18"/>
      <c r="O9" s="18"/>
      <c r="P9" s="18"/>
      <c r="Q9" s="18"/>
      <c r="R9" s="18"/>
      <c r="S9" s="18"/>
      <c r="T9" s="18"/>
      <c r="U9" s="18"/>
      <c r="V9" s="18"/>
      <c r="W9" s="18"/>
      <c r="X9" s="18"/>
      <c r="Y9" s="18"/>
      <c r="Z9" s="18"/>
    </row>
    <row r="10" spans="1:28" x14ac:dyDescent="0.2">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spans="1:28" x14ac:dyDescent="0.2">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spans="1:28" x14ac:dyDescent="0.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8" x14ac:dyDescent="0.2">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8" x14ac:dyDescent="0.2">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8" x14ac:dyDescent="0.2">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8" x14ac:dyDescent="0.2">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x14ac:dyDescent="0.2">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x14ac:dyDescent="0.2">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x14ac:dyDescent="0.2">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x14ac:dyDescent="0.2">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x14ac:dyDescent="0.2">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x14ac:dyDescent="0.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x14ac:dyDescent="0.2">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x14ac:dyDescent="0.2">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x14ac:dyDescent="0.2">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x14ac:dyDescent="0.2">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x14ac:dyDescent="0.2">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x14ac:dyDescent="0.2">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x14ac:dyDescent="0.2">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x14ac:dyDescent="0.2">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x14ac:dyDescent="0.2">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x14ac:dyDescent="0.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x14ac:dyDescent="0.2">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x14ac:dyDescent="0.2">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x14ac:dyDescent="0.2">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x14ac:dyDescent="0.2">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x14ac:dyDescent="0.2">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x14ac:dyDescent="0.2">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x14ac:dyDescent="0.2">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x14ac:dyDescent="0.2">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x14ac:dyDescent="0.2">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x14ac:dyDescent="0.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x14ac:dyDescent="0.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x14ac:dyDescent="0.2">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x14ac:dyDescent="0.2">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x14ac:dyDescent="0.2">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x14ac:dyDescent="0.2">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x14ac:dyDescent="0.2">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x14ac:dyDescent="0.2">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x14ac:dyDescent="0.2">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x14ac:dyDescent="0.2">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x14ac:dyDescent="0.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x14ac:dyDescent="0.2">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x14ac:dyDescent="0.2">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x14ac:dyDescent="0.2">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x14ac:dyDescent="0.2">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x14ac:dyDescent="0.2">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x14ac:dyDescent="0.2">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x14ac:dyDescent="0.2">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x14ac:dyDescent="0.2">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x14ac:dyDescent="0.2">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x14ac:dyDescent="0.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x14ac:dyDescent="0.2">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B7A2-346F-4698-8D03-B96B778E56BB}">
  <dimension ref="A1:U2001"/>
  <sheetViews>
    <sheetView topLeftCell="J44" zoomScale="191" zoomScaleNormal="130" workbookViewId="0">
      <selection activeCell="M9" sqref="M9"/>
    </sheetView>
  </sheetViews>
  <sheetFormatPr baseColWidth="10" defaultColWidth="8.83203125" defaultRowHeight="15" x14ac:dyDescent="0.2"/>
  <cols>
    <col min="1" max="1" width="12.1640625" bestFit="1" customWidth="1"/>
    <col min="2" max="2" width="14.33203125" style="6" bestFit="1" customWidth="1"/>
    <col min="3" max="3" width="14.33203125" style="6" customWidth="1"/>
    <col min="4" max="4" width="13.83203125" bestFit="1" customWidth="1"/>
    <col min="5" max="5" width="12.6640625" bestFit="1" customWidth="1"/>
    <col min="6" max="6" width="15.1640625" bestFit="1" customWidth="1"/>
    <col min="7" max="7" width="13.6640625" bestFit="1" customWidth="1"/>
    <col min="8" max="11" width="13.6640625" customWidth="1"/>
    <col min="12" max="12" width="15.33203125" bestFit="1" customWidth="1"/>
    <col min="13" max="13" width="16.6640625" bestFit="1" customWidth="1"/>
    <col min="14" max="14" width="18.1640625" bestFit="1" customWidth="1"/>
    <col min="15" max="15" width="12" bestFit="1" customWidth="1"/>
    <col min="17" max="17" width="16.33203125" bestFit="1" customWidth="1"/>
    <col min="18" max="19" width="29.5" bestFit="1" customWidth="1"/>
  </cols>
  <sheetData>
    <row r="1" spans="1:21" x14ac:dyDescent="0.2">
      <c r="A1" s="1" t="s">
        <v>0</v>
      </c>
      <c r="B1" s="2" t="s">
        <v>1</v>
      </c>
      <c r="C1" s="2" t="s">
        <v>2396</v>
      </c>
      <c r="D1" s="1" t="s">
        <v>2</v>
      </c>
      <c r="E1" s="1" t="s">
        <v>3</v>
      </c>
      <c r="F1" s="1" t="s">
        <v>4</v>
      </c>
      <c r="G1" s="1" t="s">
        <v>5</v>
      </c>
      <c r="H1" s="3" t="s">
        <v>6</v>
      </c>
      <c r="I1" s="3" t="s">
        <v>2385</v>
      </c>
      <c r="J1" s="3" t="s">
        <v>2386</v>
      </c>
      <c r="K1" s="3" t="s">
        <v>2392</v>
      </c>
      <c r="L1" s="3" t="s">
        <v>2191</v>
      </c>
      <c r="M1" s="3" t="s">
        <v>2382</v>
      </c>
      <c r="N1" s="3" t="s">
        <v>2221</v>
      </c>
      <c r="O1" s="3" t="s">
        <v>2223</v>
      </c>
      <c r="P1" s="3" t="s">
        <v>2383</v>
      </c>
      <c r="Q1" s="3" t="s">
        <v>2400</v>
      </c>
      <c r="R1" s="3" t="s">
        <v>2329</v>
      </c>
      <c r="S1" s="3" t="s">
        <v>2384</v>
      </c>
    </row>
    <row r="2" spans="1:21" x14ac:dyDescent="0.2">
      <c r="A2" s="4" t="s">
        <v>7</v>
      </c>
      <c r="B2" s="5">
        <v>45989</v>
      </c>
      <c r="C2" s="15">
        <f>WEEKNUM(Orders[[#This Row],[OrderDate]])</f>
        <v>48</v>
      </c>
      <c r="D2" s="4" t="s">
        <v>8</v>
      </c>
      <c r="E2" s="4" t="s">
        <v>9</v>
      </c>
      <c r="F2" s="4">
        <v>10</v>
      </c>
      <c r="G2" s="4">
        <v>5816.9000000000005</v>
      </c>
      <c r="H2">
        <v>4944.3650000000007</v>
      </c>
      <c r="I2">
        <f>Orders[[#This Row],[Quantity]]*Orders[[#This Row],[Selling Price]]</f>
        <v>58169.000000000007</v>
      </c>
      <c r="J2">
        <f>Orders[[#This Row],[Quantity]]*Orders[[#This Row],[Cost Price]]</f>
        <v>49443.650000000009</v>
      </c>
      <c r="K2">
        <f>Orders[[#This Row],[Revenue]]-Orders[[#This Row],[Expenses]]</f>
        <v>8725.3499999999985</v>
      </c>
      <c r="L2" t="s">
        <v>2192</v>
      </c>
      <c r="M2" t="str">
        <f>_xlfn.XLOOKUP(Orders[[#This Row],[CustomerID]],Customers[CustomerID],Customers[City])</f>
        <v>Washington</v>
      </c>
      <c r="N2" t="str">
        <f>_xlfn.XLOOKUP(Orders[[#This Row],[CustomerID]],Customers[CustomerID],Customers[CustomerName])</f>
        <v>Bi si Bello</v>
      </c>
      <c r="O2" t="str">
        <f>_xlfn.XLOOKUP(Orders[[#This Row],[CustomerID]],Customers[CustomerID],Customers[Gender])</f>
        <v>Female</v>
      </c>
      <c r="P2">
        <f>_xlfn.XLOOKUP(Orders[[#This Row],[CustomerID]],Customers[CustomerID],Customers[CustomerAge])</f>
        <v>38</v>
      </c>
      <c r="Q2" t="str">
        <f>IF(Orders[[#This Row],[Age]]&gt;=35,"Older","Young")</f>
        <v>Older</v>
      </c>
      <c r="R2" t="str">
        <f>_xlfn.XLOOKUP(Orders[[#This Row],[ProductID]],Products[ProductID],Products[ProductName])</f>
        <v>BEADED EARRINGS AND NECKLACES</v>
      </c>
      <c r="S2" t="str">
        <f>_xlfn.XLOOKUP(Orders[[#This Row],[ProductID]],Products!A:A,Products!C:C)</f>
        <v>Accessories</v>
      </c>
    </row>
    <row r="3" spans="1:21" x14ac:dyDescent="0.2">
      <c r="A3" s="4" t="s">
        <v>10</v>
      </c>
      <c r="B3" s="5">
        <v>45935</v>
      </c>
      <c r="C3" s="15">
        <f>WEEKNUM(Orders[[#This Row],[OrderDate]])</f>
        <v>41</v>
      </c>
      <c r="D3" s="4" t="s">
        <v>11</v>
      </c>
      <c r="E3" s="4" t="s">
        <v>12</v>
      </c>
      <c r="F3" s="4">
        <v>6</v>
      </c>
      <c r="G3" s="4">
        <v>8180.8</v>
      </c>
      <c r="H3">
        <v>6953.68</v>
      </c>
      <c r="I3">
        <f>Orders[[#This Row],[Quantity]]*Orders[[#This Row],[Selling Price]]</f>
        <v>49084.800000000003</v>
      </c>
      <c r="J3">
        <f>Orders[[#This Row],[Quantity]]*Orders[[#This Row],[Cost Price]]</f>
        <v>41722.080000000002</v>
      </c>
      <c r="K3">
        <f>Orders[[#This Row],[Revenue]]-Orders[[#This Row],[Expenses]]</f>
        <v>7362.7200000000012</v>
      </c>
      <c r="L3" t="s">
        <v>2193</v>
      </c>
      <c r="M3" t="str">
        <f>_xlfn.XLOOKUP(Orders[[#This Row],[CustomerID]],Customers[CustomerID],Customers[City])</f>
        <v>Texas</v>
      </c>
      <c r="N3" t="str">
        <f>_xlfn.XLOOKUP(Orders[[#This Row],[CustomerID]],Customers[CustomerID],Customers[CustomerName])</f>
        <v>Efe Ojo</v>
      </c>
      <c r="O3" t="str">
        <f>_xlfn.XLOOKUP(Orders[[#This Row],[CustomerID]],Customers[CustomerID],Customers[Gender])</f>
        <v>Female</v>
      </c>
      <c r="P3">
        <f>_xlfn.XLOOKUP(Orders[[#This Row],[CustomerID]],Customers[CustomerID],Customers[CustomerAge])</f>
        <v>55</v>
      </c>
      <c r="Q3" t="str">
        <f>IF(Orders[[#This Row],[Age]]&gt;=35,"older","young")</f>
        <v>older</v>
      </c>
      <c r="R3" t="str">
        <f>_xlfn.XLOOKUP(Orders[[#This Row],[ProductID]],Products[ProductID],Products[ProductName])</f>
        <v>BOUBOU</v>
      </c>
      <c r="S3" t="str">
        <f>_xlfn.XLOOKUP(Orders[[#This Row],[ProductID]],Products!A:A,Products!C:C)</f>
        <v>Clothing</v>
      </c>
    </row>
    <row r="4" spans="1:21" x14ac:dyDescent="0.2">
      <c r="A4" s="4" t="s">
        <v>13</v>
      </c>
      <c r="B4" s="5">
        <v>46021</v>
      </c>
      <c r="C4" s="15">
        <f>WEEKNUM(Orders[[#This Row],[OrderDate]])</f>
        <v>53</v>
      </c>
      <c r="D4" s="4" t="s">
        <v>14</v>
      </c>
      <c r="E4" s="4" t="s">
        <v>15</v>
      </c>
      <c r="F4" s="4">
        <v>7</v>
      </c>
      <c r="G4" s="4">
        <v>5648.6</v>
      </c>
      <c r="H4">
        <v>4801.3100000000004</v>
      </c>
      <c r="I4">
        <f>Orders[[#This Row],[Quantity]]*Orders[[#This Row],[Selling Price]]</f>
        <v>39540.200000000004</v>
      </c>
      <c r="J4">
        <f>Orders[[#This Row],[Quantity]]*Orders[[#This Row],[Cost Price]]</f>
        <v>33609.170000000006</v>
      </c>
      <c r="K4">
        <f>Orders[[#This Row],[Revenue]]-Orders[[#This Row],[Expenses]]</f>
        <v>5931.0299999999988</v>
      </c>
      <c r="L4" t="s">
        <v>2194</v>
      </c>
      <c r="M4" t="str">
        <f>_xlfn.XLOOKUP(Orders[[#This Row],[CustomerID]],Customers[CustomerID],Customers[City])</f>
        <v>Texas</v>
      </c>
      <c r="N4" t="str">
        <f>_xlfn.XLOOKUP(Orders[[#This Row],[CustomerID]],Customers[CustomerID],Customers[CustomerName])</f>
        <v>Abiola Igwe</v>
      </c>
      <c r="O4" t="str">
        <f>_xlfn.XLOOKUP(Orders[[#This Row],[CustomerID]],Customers[CustomerID],Customers[Gender])</f>
        <v>Male</v>
      </c>
      <c r="P4">
        <f>_xlfn.XLOOKUP(Orders[[#This Row],[CustomerID]],Customers[CustomerID],Customers[CustomerAge])</f>
        <v>39</v>
      </c>
      <c r="Q4" t="str">
        <f>IF(Orders[[#This Row],[Age]]&gt;=35,"older","young")</f>
        <v>older</v>
      </c>
      <c r="R4" t="str">
        <f>_xlfn.XLOOKUP(Orders[[#This Row],[ProductID]],Products[ProductID],Products[ProductName])</f>
        <v>MONOPOLY</v>
      </c>
      <c r="S4" t="str">
        <f>_xlfn.XLOOKUP(Orders[[#This Row],[ProductID]],Products!A:A,Products!C:C)</f>
        <v>Games</v>
      </c>
    </row>
    <row r="5" spans="1:21" x14ac:dyDescent="0.2">
      <c r="A5" s="4" t="s">
        <v>16</v>
      </c>
      <c r="B5" s="5">
        <v>45957</v>
      </c>
      <c r="C5" s="15">
        <f>WEEKNUM(Orders[[#This Row],[OrderDate]])</f>
        <v>44</v>
      </c>
      <c r="D5" s="4" t="s">
        <v>17</v>
      </c>
      <c r="E5" s="4" t="s">
        <v>9</v>
      </c>
      <c r="F5" s="4">
        <v>4</v>
      </c>
      <c r="G5" s="4">
        <v>15926.800000000001</v>
      </c>
      <c r="H5">
        <v>13537.78</v>
      </c>
      <c r="I5">
        <f>Orders[[#This Row],[Quantity]]*Orders[[#This Row],[Selling Price]]</f>
        <v>63707.200000000004</v>
      </c>
      <c r="J5">
        <f>Orders[[#This Row],[Quantity]]*Orders[[#This Row],[Cost Price]]</f>
        <v>54151.12</v>
      </c>
      <c r="K5">
        <f>Orders[[#This Row],[Revenue]]-Orders[[#This Row],[Expenses]]</f>
        <v>9556.0800000000017</v>
      </c>
      <c r="L5" t="s">
        <v>2195</v>
      </c>
      <c r="M5" t="str">
        <f>_xlfn.XLOOKUP(Orders[[#This Row],[CustomerID]],Customers[CustomerID],Customers[City])</f>
        <v>Illinois</v>
      </c>
      <c r="N5" t="str">
        <f>_xlfn.XLOOKUP(Orders[[#This Row],[CustomerID]],Customers[CustomerID],Customers[CustomerName])</f>
        <v>Bisi Adeyemi</v>
      </c>
      <c r="O5" t="str">
        <f>_xlfn.XLOOKUP(Orders[[#This Row],[CustomerID]],Customers[CustomerID],Customers[Gender])</f>
        <v>Female</v>
      </c>
      <c r="P5">
        <f>_xlfn.XLOOKUP(Orders[[#This Row],[CustomerID]],Customers[CustomerID],Customers[CustomerAge])</f>
        <v>48</v>
      </c>
      <c r="Q5" t="str">
        <f>IF(Orders[[#This Row],[Age]]&gt;=35,"older","young")</f>
        <v>older</v>
      </c>
      <c r="R5" t="str">
        <f>_xlfn.XLOOKUP(Orders[[#This Row],[ProductID]],Products[ProductID],Products[ProductName])</f>
        <v>BEADED EARRINGS AND NECKLACES</v>
      </c>
      <c r="S5" t="str">
        <f>_xlfn.XLOOKUP(Orders[[#This Row],[ProductID]],Products!A:A,Products!C:C)</f>
        <v>Accessories</v>
      </c>
    </row>
    <row r="6" spans="1:21" x14ac:dyDescent="0.2">
      <c r="A6" s="4" t="s">
        <v>18</v>
      </c>
      <c r="B6" s="5">
        <v>46005</v>
      </c>
      <c r="C6" s="15">
        <f>WEEKNUM(Orders[[#This Row],[OrderDate]])</f>
        <v>51</v>
      </c>
      <c r="D6" s="4" t="s">
        <v>19</v>
      </c>
      <c r="E6" s="4" t="s">
        <v>20</v>
      </c>
      <c r="F6" s="4">
        <v>5</v>
      </c>
      <c r="G6" s="4">
        <v>19412.5</v>
      </c>
      <c r="H6">
        <v>16500.625</v>
      </c>
      <c r="I6">
        <f>Orders[[#This Row],[Quantity]]*Orders[[#This Row],[Selling Price]]</f>
        <v>97062.5</v>
      </c>
      <c r="J6">
        <f>Orders[[#This Row],[Quantity]]*Orders[[#This Row],[Cost Price]]</f>
        <v>82503.125</v>
      </c>
      <c r="K6">
        <f>Orders[[#This Row],[Revenue]]-Orders[[#This Row],[Expenses]]</f>
        <v>14559.375</v>
      </c>
      <c r="L6" t="s">
        <v>2196</v>
      </c>
      <c r="M6" t="str">
        <f>_xlfn.XLOOKUP(Orders[[#This Row],[CustomerID]],Customers[CustomerID],Customers[City])</f>
        <v>California</v>
      </c>
      <c r="N6" t="str">
        <f>_xlfn.XLOOKUP(Orders[[#This Row],[CustomerID]],Customers[CustomerID],Customers[CustomerName])</f>
        <v>Obi Adeyemi</v>
      </c>
      <c r="O6" t="str">
        <f>_xlfn.XLOOKUP(Orders[[#This Row],[CustomerID]],Customers[CustomerID],Customers[Gender])</f>
        <v>Male</v>
      </c>
      <c r="P6">
        <f>_xlfn.XLOOKUP(Orders[[#This Row],[CustomerID]],Customers[CustomerID],Customers[CustomerAge])</f>
        <v>24</v>
      </c>
      <c r="Q6" t="str">
        <f>IF(Orders[[#This Row],[Age]]&gt;=35,"older","young")</f>
        <v>young</v>
      </c>
      <c r="R6" t="str">
        <f>_xlfn.XLOOKUP(Orders[[#This Row],[ProductID]],Products[ProductID],Products[ProductName])</f>
        <v>GYM BAG</v>
      </c>
      <c r="S6" t="str">
        <f>_xlfn.XLOOKUP(Orders[[#This Row],[ProductID]],Products!A:A,Products!C:C)</f>
        <v>Gym</v>
      </c>
    </row>
    <row r="7" spans="1:21" x14ac:dyDescent="0.2">
      <c r="A7" s="4" t="s">
        <v>21</v>
      </c>
      <c r="B7" s="5">
        <v>45990</v>
      </c>
      <c r="C7" s="15">
        <f>WEEKNUM(Orders[[#This Row],[OrderDate]])</f>
        <v>48</v>
      </c>
      <c r="D7" s="4" t="s">
        <v>22</v>
      </c>
      <c r="E7" s="4" t="s">
        <v>23</v>
      </c>
      <c r="F7" s="4">
        <v>5</v>
      </c>
      <c r="G7" s="4">
        <v>14778.099999999999</v>
      </c>
      <c r="H7">
        <v>12561.384999999998</v>
      </c>
      <c r="I7">
        <f>Orders[[#This Row],[Quantity]]*Orders[[#This Row],[Selling Price]]</f>
        <v>73890.5</v>
      </c>
      <c r="J7">
        <f>Orders[[#This Row],[Quantity]]*Orders[[#This Row],[Cost Price]]</f>
        <v>62806.924999999988</v>
      </c>
      <c r="K7">
        <f>Orders[[#This Row],[Revenue]]-Orders[[#This Row],[Expenses]]</f>
        <v>11083.575000000012</v>
      </c>
      <c r="L7" t="s">
        <v>2197</v>
      </c>
      <c r="M7" t="str">
        <f>_xlfn.XLOOKUP(Orders[[#This Row],[CustomerID]],Customers[CustomerID],Customers[City])</f>
        <v>Texas</v>
      </c>
      <c r="N7" t="str">
        <f>_xlfn.XLOOKUP(Orders[[#This Row],[CustomerID]],Customers[CustomerID],Customers[CustomerName])</f>
        <v>Temi Bello</v>
      </c>
      <c r="O7" t="str">
        <f>_xlfn.XLOOKUP(Orders[[#This Row],[CustomerID]],Customers[CustomerID],Customers[Gender])</f>
        <v>Female</v>
      </c>
      <c r="P7">
        <f>_xlfn.XLOOKUP(Orders[[#This Row],[CustomerID]],Customers[CustomerID],Customers[CustomerAge])</f>
        <v>52</v>
      </c>
      <c r="Q7" t="str">
        <f>IF(Orders[[#This Row],[Age]]&gt;=35,"older","young")</f>
        <v>older</v>
      </c>
      <c r="R7" t="str">
        <f>_xlfn.XLOOKUP(Orders[[#This Row],[ProductID]],Products[ProductID],Products[ProductName])</f>
        <v>GYM GLOVES</v>
      </c>
      <c r="S7" t="str">
        <f>_xlfn.XLOOKUP(Orders[[#This Row],[ProductID]],Products!A:A,Products!C:C)</f>
        <v>Gym</v>
      </c>
      <c r="U7">
        <f>COUNTA(_xlfn.UNIQUE(E:E))</f>
        <v>36</v>
      </c>
    </row>
    <row r="8" spans="1:21" x14ac:dyDescent="0.2">
      <c r="A8" s="4" t="s">
        <v>24</v>
      </c>
      <c r="B8" s="5">
        <v>45968</v>
      </c>
      <c r="C8" s="15">
        <f>WEEKNUM(Orders[[#This Row],[OrderDate]])</f>
        <v>45</v>
      </c>
      <c r="D8" s="4" t="s">
        <v>8</v>
      </c>
      <c r="E8" s="4" t="s">
        <v>25</v>
      </c>
      <c r="F8" s="4">
        <v>9</v>
      </c>
      <c r="G8" s="4">
        <v>14335.3</v>
      </c>
      <c r="H8">
        <v>12185.004999999999</v>
      </c>
      <c r="I8">
        <f>Orders[[#This Row],[Quantity]]*Orders[[#This Row],[Selling Price]]</f>
        <v>129017.7</v>
      </c>
      <c r="J8">
        <f>Orders[[#This Row],[Quantity]]*Orders[[#This Row],[Cost Price]]</f>
        <v>109665.045</v>
      </c>
      <c r="K8">
        <f>Orders[[#This Row],[Revenue]]-Orders[[#This Row],[Expenses]]</f>
        <v>19352.654999999999</v>
      </c>
      <c r="L8" t="s">
        <v>2198</v>
      </c>
      <c r="M8" t="str">
        <f>_xlfn.XLOOKUP(Orders[[#This Row],[CustomerID]],Customers[CustomerID],Customers[City])</f>
        <v>Washington</v>
      </c>
      <c r="N8" t="str">
        <f>_xlfn.XLOOKUP(Orders[[#This Row],[CustomerID]],Customers[CustomerID],Customers[CustomerName])</f>
        <v>Bi si Bello</v>
      </c>
      <c r="O8" t="str">
        <f>_xlfn.XLOOKUP(Orders[[#This Row],[CustomerID]],Customers[CustomerID],Customers[Gender])</f>
        <v>Female</v>
      </c>
      <c r="P8">
        <f>_xlfn.XLOOKUP(Orders[[#This Row],[CustomerID]],Customers[CustomerID],Customers[CustomerAge])</f>
        <v>38</v>
      </c>
      <c r="Q8" t="str">
        <f>IF(Orders[[#This Row],[Age]]&gt;=35,"older","young")</f>
        <v>older</v>
      </c>
      <c r="R8" t="str">
        <f>_xlfn.XLOOKUP(Orders[[#This Row],[ProductID]],Products[ProductID],Products[ProductName])</f>
        <v>GOLD RINGS</v>
      </c>
      <c r="S8" t="str">
        <f>_xlfn.XLOOKUP(Orders[[#This Row],[ProductID]],Products!A:A,Products!C:C)</f>
        <v>Accessories</v>
      </c>
    </row>
    <row r="9" spans="1:21" x14ac:dyDescent="0.2">
      <c r="A9" s="4" t="s">
        <v>26</v>
      </c>
      <c r="B9" s="5">
        <v>45983</v>
      </c>
      <c r="C9" s="15">
        <f>WEEKNUM(Orders[[#This Row],[OrderDate]])</f>
        <v>47</v>
      </c>
      <c r="D9" s="4" t="s">
        <v>27</v>
      </c>
      <c r="E9" s="4" t="s">
        <v>28</v>
      </c>
      <c r="F9" s="4">
        <v>10</v>
      </c>
      <c r="G9" s="4">
        <v>11635.1</v>
      </c>
      <c r="H9">
        <v>9889.8350000000009</v>
      </c>
      <c r="I9">
        <f>Orders[[#This Row],[Quantity]]*Orders[[#This Row],[Selling Price]]</f>
        <v>116351</v>
      </c>
      <c r="J9">
        <f>Orders[[#This Row],[Quantity]]*Orders[[#This Row],[Cost Price]]</f>
        <v>98898.35</v>
      </c>
      <c r="K9">
        <f>Orders[[#This Row],[Revenue]]-Orders[[#This Row],[Expenses]]</f>
        <v>17452.649999999994</v>
      </c>
      <c r="L9" t="s">
        <v>2199</v>
      </c>
      <c r="M9" t="str">
        <f>_xlfn.XLOOKUP(Orders[[#This Row],[CustomerID]],Customers[CustomerID],Customers[City])</f>
        <v>Illinois</v>
      </c>
      <c r="N9" t="str">
        <f>_xlfn.XLOOKUP(Orders[[#This Row],[CustomerID]],Customers[CustomerID],Customers[CustomerName])</f>
        <v>Okon Ojo</v>
      </c>
      <c r="O9" t="str">
        <f>_xlfn.XLOOKUP(Orders[[#This Row],[CustomerID]],Customers[CustomerID],Customers[Gender])</f>
        <v>Male</v>
      </c>
      <c r="P9">
        <f>_xlfn.XLOOKUP(Orders[[#This Row],[CustomerID]],Customers[CustomerID],Customers[CustomerAge])</f>
        <v>32</v>
      </c>
      <c r="Q9" t="str">
        <f>IF(Orders[[#This Row],[Age]]&gt;=35,"older","young")</f>
        <v>young</v>
      </c>
      <c r="R9" t="str">
        <f>_xlfn.XLOOKUP(Orders[[#This Row],[ProductID]],Products[ProductID],Products[ProductName])</f>
        <v>SNEAKERS</v>
      </c>
      <c r="S9" t="str">
        <f>_xlfn.XLOOKUP(Orders[[#This Row],[ProductID]],Products!A:A,Products!C:C)</f>
        <v>Sports</v>
      </c>
    </row>
    <row r="10" spans="1:21" x14ac:dyDescent="0.2">
      <c r="A10" s="4" t="s">
        <v>29</v>
      </c>
      <c r="B10" s="5">
        <v>46004</v>
      </c>
      <c r="C10" s="15">
        <f>WEEKNUM(Orders[[#This Row],[OrderDate]])</f>
        <v>50</v>
      </c>
      <c r="D10" s="4" t="s">
        <v>30</v>
      </c>
      <c r="E10" s="4" t="s">
        <v>31</v>
      </c>
      <c r="F10" s="4">
        <v>5</v>
      </c>
      <c r="G10" s="4">
        <v>11037.4</v>
      </c>
      <c r="H10">
        <v>9381.7899999999991</v>
      </c>
      <c r="I10">
        <f>Orders[[#This Row],[Quantity]]*Orders[[#This Row],[Selling Price]]</f>
        <v>55187</v>
      </c>
      <c r="J10">
        <f>Orders[[#This Row],[Quantity]]*Orders[[#This Row],[Cost Price]]</f>
        <v>46908.95</v>
      </c>
      <c r="K10">
        <f>Orders[[#This Row],[Revenue]]-Orders[[#This Row],[Expenses]]</f>
        <v>8278.0500000000029</v>
      </c>
      <c r="L10" t="s">
        <v>2200</v>
      </c>
      <c r="M10" t="str">
        <f>_xlfn.XLOOKUP(Orders[[#This Row],[CustomerID]],Customers[CustomerID],Customers[City])</f>
        <v>Florida</v>
      </c>
      <c r="N10" t="str">
        <f>_xlfn.XLOOKUP(Orders[[#This Row],[CustomerID]],Customers[CustomerID],Customers[CustomerName])</f>
        <v>Amina Danladi</v>
      </c>
      <c r="O10" t="str">
        <f>_xlfn.XLOOKUP(Orders[[#This Row],[CustomerID]],Customers[CustomerID],Customers[Gender])</f>
        <v>Female</v>
      </c>
      <c r="P10">
        <f>_xlfn.XLOOKUP(Orders[[#This Row],[CustomerID]],Customers[CustomerID],Customers[CustomerAge])</f>
        <v>42</v>
      </c>
      <c r="Q10" t="str">
        <f>IF(Orders[[#This Row],[Age]]&gt;=35,"older","young")</f>
        <v>older</v>
      </c>
      <c r="R10" t="str">
        <f>_xlfn.XLOOKUP(Orders[[#This Row],[ProductID]],Products[ProductID],Products[ProductName])</f>
        <v>KIDS GAMES</v>
      </c>
      <c r="S10" t="str">
        <f>_xlfn.XLOOKUP(Orders[[#This Row],[ProductID]],Products!A:A,Products!C:C)</f>
        <v>Games</v>
      </c>
    </row>
    <row r="11" spans="1:21" x14ac:dyDescent="0.2">
      <c r="A11" s="4" t="s">
        <v>32</v>
      </c>
      <c r="B11" s="5">
        <v>45939</v>
      </c>
      <c r="C11" s="15">
        <f>WEEKNUM(Orders[[#This Row],[OrderDate]])</f>
        <v>41</v>
      </c>
      <c r="D11" s="4" t="s">
        <v>33</v>
      </c>
      <c r="E11" s="4" t="s">
        <v>34</v>
      </c>
      <c r="F11" s="4">
        <v>6</v>
      </c>
      <c r="G11" s="4">
        <v>13448.4</v>
      </c>
      <c r="H11">
        <v>11431.14</v>
      </c>
      <c r="I11">
        <f>Orders[[#This Row],[Quantity]]*Orders[[#This Row],[Selling Price]]</f>
        <v>80690.399999999994</v>
      </c>
      <c r="J11">
        <f>Orders[[#This Row],[Quantity]]*Orders[[#This Row],[Cost Price]]</f>
        <v>68586.84</v>
      </c>
      <c r="K11">
        <f>Orders[[#This Row],[Revenue]]-Orders[[#This Row],[Expenses]]</f>
        <v>12103.559999999998</v>
      </c>
      <c r="L11" t="s">
        <v>2201</v>
      </c>
      <c r="M11" t="str">
        <f>_xlfn.XLOOKUP(Orders[[#This Row],[CustomerID]],Customers[CustomerID],Customers[City])</f>
        <v>Texas</v>
      </c>
      <c r="N11" t="str">
        <f>_xlfn.XLOOKUP(Orders[[#This Row],[CustomerID]],Customers[CustomerID],Customers[CustomerName])</f>
        <v>Okon Balogun</v>
      </c>
      <c r="O11" t="str">
        <f>_xlfn.XLOOKUP(Orders[[#This Row],[CustomerID]],Customers[CustomerID],Customers[Gender])</f>
        <v>Male</v>
      </c>
      <c r="P11">
        <f>_xlfn.XLOOKUP(Orders[[#This Row],[CustomerID]],Customers[CustomerID],Customers[CustomerAge])</f>
        <v>28</v>
      </c>
      <c r="Q11" t="str">
        <f>IF(Orders[[#This Row],[Age]]&gt;=35,"older","young")</f>
        <v>young</v>
      </c>
      <c r="R11" t="str">
        <f>_xlfn.XLOOKUP(Orders[[#This Row],[ProductID]],Products[ProductID],Products[ProductName])</f>
        <v>GOLD BRACELETS</v>
      </c>
      <c r="S11" t="str">
        <f>_xlfn.XLOOKUP(Orders[[#This Row],[ProductID]],Products!A:A,Products!C:C)</f>
        <v>Accessories</v>
      </c>
    </row>
    <row r="12" spans="1:21" x14ac:dyDescent="0.2">
      <c r="A12" s="4" t="s">
        <v>35</v>
      </c>
      <c r="B12" s="5">
        <v>46018</v>
      </c>
      <c r="C12" s="15">
        <f>WEEKNUM(Orders[[#This Row],[OrderDate]])</f>
        <v>52</v>
      </c>
      <c r="D12" s="4" t="s">
        <v>36</v>
      </c>
      <c r="E12" s="4" t="s">
        <v>37</v>
      </c>
      <c r="F12" s="4">
        <v>1</v>
      </c>
      <c r="G12" s="4">
        <v>1392.7</v>
      </c>
      <c r="H12">
        <v>1183.7950000000001</v>
      </c>
      <c r="I12">
        <f>Orders[[#This Row],[Quantity]]*Orders[[#This Row],[Selling Price]]</f>
        <v>1392.7</v>
      </c>
      <c r="J12">
        <f>Orders[[#This Row],[Quantity]]*Orders[[#This Row],[Cost Price]]</f>
        <v>1183.7950000000001</v>
      </c>
      <c r="K12">
        <f>Orders[[#This Row],[Revenue]]-Orders[[#This Row],[Expenses]]</f>
        <v>208.90499999999997</v>
      </c>
      <c r="L12" t="s">
        <v>2202</v>
      </c>
      <c r="M12" t="str">
        <f>_xlfn.XLOOKUP(Orders[[#This Row],[CustomerID]],Customers[CustomerID],Customers[City])</f>
        <v>California</v>
      </c>
      <c r="N12" t="str">
        <f>_xlfn.XLOOKUP(Orders[[#This Row],[CustomerID]],Customers[CustomerID],Customers[CustomerName])</f>
        <v>Jide Eze</v>
      </c>
      <c r="O12" t="str">
        <f>_xlfn.XLOOKUP(Orders[[#This Row],[CustomerID]],Customers[CustomerID],Customers[Gender])</f>
        <v>Male</v>
      </c>
      <c r="P12">
        <f>_xlfn.XLOOKUP(Orders[[#This Row],[CustomerID]],Customers[CustomerID],Customers[CustomerAge])</f>
        <v>21</v>
      </c>
      <c r="Q12" t="str">
        <f>IF(Orders[[#This Row],[Age]]&gt;=35,"older","young")</f>
        <v>young</v>
      </c>
      <c r="R12" t="str">
        <f>_xlfn.XLOOKUP(Orders[[#This Row],[ProductID]],Products[ProductID],Products[ProductName])</f>
        <v>IRON</v>
      </c>
      <c r="S12" t="str">
        <f>_xlfn.XLOOKUP(Orders[[#This Row],[ProductID]],Products!A:A,Products!C:C)</f>
        <v>Electronics</v>
      </c>
    </row>
    <row r="13" spans="1:21" x14ac:dyDescent="0.2">
      <c r="A13" s="4" t="s">
        <v>38</v>
      </c>
      <c r="B13" s="5">
        <v>46007</v>
      </c>
      <c r="C13" s="15">
        <f>WEEKNUM(Orders[[#This Row],[OrderDate]])</f>
        <v>51</v>
      </c>
      <c r="D13" s="4" t="s">
        <v>39</v>
      </c>
      <c r="E13" s="4" t="s">
        <v>9</v>
      </c>
      <c r="F13" s="4">
        <v>1</v>
      </c>
      <c r="G13" s="4">
        <v>10759.300000000001</v>
      </c>
      <c r="H13">
        <v>9145.4050000000007</v>
      </c>
      <c r="I13">
        <f>Orders[[#This Row],[Quantity]]*Orders[[#This Row],[Selling Price]]</f>
        <v>10759.300000000001</v>
      </c>
      <c r="J13">
        <f>Orders[[#This Row],[Quantity]]*Orders[[#This Row],[Cost Price]]</f>
        <v>9145.4050000000007</v>
      </c>
      <c r="K13">
        <f>Orders[[#This Row],[Revenue]]-Orders[[#This Row],[Expenses]]</f>
        <v>1613.8950000000004</v>
      </c>
      <c r="L13" t="s">
        <v>2203</v>
      </c>
      <c r="M13" t="str">
        <f>_xlfn.XLOOKUP(Orders[[#This Row],[CustomerID]],Customers[CustomerID],Customers[City])</f>
        <v>Florida</v>
      </c>
      <c r="N13" t="str">
        <f>_xlfn.XLOOKUP(Orders[[#This Row],[CustomerID]],Customers[CustomerID],Customers[CustomerName])</f>
        <v>Efe Adeyemi</v>
      </c>
      <c r="O13" t="str">
        <f>_xlfn.XLOOKUP(Orders[[#This Row],[CustomerID]],Customers[CustomerID],Customers[Gender])</f>
        <v>Female</v>
      </c>
      <c r="P13">
        <f>_xlfn.XLOOKUP(Orders[[#This Row],[CustomerID]],Customers[CustomerID],Customers[CustomerAge])</f>
        <v>20</v>
      </c>
      <c r="Q13" t="str">
        <f>IF(Orders[[#This Row],[Age]]&gt;=35,"older","young")</f>
        <v>young</v>
      </c>
      <c r="R13" t="str">
        <f>_xlfn.XLOOKUP(Orders[[#This Row],[ProductID]],Products[ProductID],Products[ProductName])</f>
        <v>BEADED EARRINGS AND NECKLACES</v>
      </c>
      <c r="S13" t="str">
        <f>_xlfn.XLOOKUP(Orders[[#This Row],[ProductID]],Products!A:A,Products!C:C)</f>
        <v>Accessories</v>
      </c>
    </row>
    <row r="14" spans="1:21" x14ac:dyDescent="0.2">
      <c r="A14" s="4" t="s">
        <v>40</v>
      </c>
      <c r="B14" s="5">
        <v>45979</v>
      </c>
      <c r="C14" s="15">
        <f>WEEKNUM(Orders[[#This Row],[OrderDate]])</f>
        <v>47</v>
      </c>
      <c r="D14" s="4" t="s">
        <v>41</v>
      </c>
      <c r="E14" s="4" t="s">
        <v>25</v>
      </c>
      <c r="F14" s="4">
        <v>8</v>
      </c>
      <c r="G14" s="4">
        <v>5832.3</v>
      </c>
      <c r="H14">
        <v>4957.4549999999999</v>
      </c>
      <c r="I14">
        <f>Orders[[#This Row],[Quantity]]*Orders[[#This Row],[Selling Price]]</f>
        <v>46658.400000000001</v>
      </c>
      <c r="J14">
        <f>Orders[[#This Row],[Quantity]]*Orders[[#This Row],[Cost Price]]</f>
        <v>39659.64</v>
      </c>
      <c r="K14">
        <f>Orders[[#This Row],[Revenue]]-Orders[[#This Row],[Expenses]]</f>
        <v>6998.760000000002</v>
      </c>
      <c r="L14" t="s">
        <v>2204</v>
      </c>
      <c r="M14" t="str">
        <f>_xlfn.XLOOKUP(Orders[[#This Row],[CustomerID]],Customers[CustomerID],Customers[City])</f>
        <v>Texas</v>
      </c>
      <c r="N14" t="str">
        <f>_xlfn.XLOOKUP(Orders[[#This Row],[CustomerID]],Customers[CustomerID],Customers[CustomerName])</f>
        <v>Mustafa Balogun</v>
      </c>
      <c r="O14" t="str">
        <f>_xlfn.XLOOKUP(Orders[[#This Row],[CustomerID]],Customers[CustomerID],Customers[Gender])</f>
        <v>Male</v>
      </c>
      <c r="P14">
        <f>_xlfn.XLOOKUP(Orders[[#This Row],[CustomerID]],Customers[CustomerID],Customers[CustomerAge])</f>
        <v>40</v>
      </c>
      <c r="Q14" t="str">
        <f>IF(Orders[[#This Row],[Age]]&gt;=35,"older","young")</f>
        <v>older</v>
      </c>
      <c r="R14" t="str">
        <f>_xlfn.XLOOKUP(Orders[[#This Row],[ProductID]],Products[ProductID],Products[ProductName])</f>
        <v>GOLD RINGS</v>
      </c>
      <c r="S14" t="str">
        <f>_xlfn.XLOOKUP(Orders[[#This Row],[ProductID]],Products!A:A,Products!C:C)</f>
        <v>Accessories</v>
      </c>
    </row>
    <row r="15" spans="1:21" x14ac:dyDescent="0.2">
      <c r="A15" s="4" t="s">
        <v>42</v>
      </c>
      <c r="B15" s="5">
        <v>46008</v>
      </c>
      <c r="C15" s="15">
        <f>WEEKNUM(Orders[[#This Row],[OrderDate]])</f>
        <v>51</v>
      </c>
      <c r="D15" s="4" t="s">
        <v>43</v>
      </c>
      <c r="E15" s="4" t="s">
        <v>34</v>
      </c>
      <c r="F15" s="4">
        <v>5</v>
      </c>
      <c r="G15" s="4">
        <v>19005.5</v>
      </c>
      <c r="H15">
        <v>16154.674999999999</v>
      </c>
      <c r="I15">
        <f>Orders[[#This Row],[Quantity]]*Orders[[#This Row],[Selling Price]]</f>
        <v>95027.5</v>
      </c>
      <c r="J15">
        <f>Orders[[#This Row],[Quantity]]*Orders[[#This Row],[Cost Price]]</f>
        <v>80773.375</v>
      </c>
      <c r="K15">
        <f>Orders[[#This Row],[Revenue]]-Orders[[#This Row],[Expenses]]</f>
        <v>14254.125</v>
      </c>
      <c r="L15" t="s">
        <v>2205</v>
      </c>
      <c r="M15" t="str">
        <f>_xlfn.XLOOKUP(Orders[[#This Row],[CustomerID]],Customers[CustomerID],Customers[City])</f>
        <v>Georgia</v>
      </c>
      <c r="N15" t="str">
        <f>_xlfn.XLOOKUP(Orders[[#This Row],[CustomerID]],Customers[CustomerID],Customers[CustomerName])</f>
        <v>Mustafa Danladi</v>
      </c>
      <c r="O15" t="str">
        <f>_xlfn.XLOOKUP(Orders[[#This Row],[CustomerID]],Customers[CustomerID],Customers[Gender])</f>
        <v>Male</v>
      </c>
      <c r="P15">
        <f>_xlfn.XLOOKUP(Orders[[#This Row],[CustomerID]],Customers[CustomerID],Customers[CustomerAge])</f>
        <v>49</v>
      </c>
      <c r="Q15" t="str">
        <f>IF(Orders[[#This Row],[Age]]&gt;=35,"older","young")</f>
        <v>older</v>
      </c>
      <c r="R15" t="str">
        <f>_xlfn.XLOOKUP(Orders[[#This Row],[ProductID]],Products[ProductID],Products[ProductName])</f>
        <v>GOLD BRACELETS</v>
      </c>
      <c r="S15" t="str">
        <f>_xlfn.XLOOKUP(Orders[[#This Row],[ProductID]],Products!A:A,Products!C:C)</f>
        <v>Accessories</v>
      </c>
    </row>
    <row r="16" spans="1:21" x14ac:dyDescent="0.2">
      <c r="A16" s="4" t="s">
        <v>44</v>
      </c>
      <c r="B16" s="5">
        <v>45954</v>
      </c>
      <c r="C16" s="15">
        <f>WEEKNUM(Orders[[#This Row],[OrderDate]])</f>
        <v>43</v>
      </c>
      <c r="D16" s="4" t="s">
        <v>45</v>
      </c>
      <c r="E16" s="4" t="s">
        <v>46</v>
      </c>
      <c r="F16" s="4">
        <v>8</v>
      </c>
      <c r="G16" s="4">
        <v>5186.5999999999995</v>
      </c>
      <c r="H16">
        <v>4408.6099999999997</v>
      </c>
      <c r="I16">
        <f>Orders[[#This Row],[Quantity]]*Orders[[#This Row],[Selling Price]]</f>
        <v>41492.799999999996</v>
      </c>
      <c r="J16">
        <f>Orders[[#This Row],[Quantity]]*Orders[[#This Row],[Cost Price]]</f>
        <v>35268.879999999997</v>
      </c>
      <c r="K16">
        <f>Orders[[#This Row],[Revenue]]-Orders[[#This Row],[Expenses]]</f>
        <v>6223.9199999999983</v>
      </c>
      <c r="L16" t="s">
        <v>2192</v>
      </c>
      <c r="M16" t="str">
        <f>_xlfn.XLOOKUP(Orders[[#This Row],[CustomerID]],Customers[CustomerID],Customers[City])</f>
        <v>Florida</v>
      </c>
      <c r="N16" t="str">
        <f>_xlfn.XLOOKUP(Orders[[#This Row],[CustomerID]],Customers[CustomerID],Customers[CustomerName])</f>
        <v>Abiola Abubakar</v>
      </c>
      <c r="O16" t="str">
        <f>_xlfn.XLOOKUP(Orders[[#This Row],[CustomerID]],Customers[CustomerID],Customers[Gender])</f>
        <v>Male</v>
      </c>
      <c r="P16">
        <f>_xlfn.XLOOKUP(Orders[[#This Row],[CustomerID]],Customers[CustomerID],Customers[CustomerAge])</f>
        <v>26</v>
      </c>
      <c r="Q16" t="str">
        <f>IF(Orders[[#This Row],[Age]]&gt;=35,"older","young")</f>
        <v>young</v>
      </c>
      <c r="R16" t="str">
        <f>_xlfn.XLOOKUP(Orders[[#This Row],[ProductID]],Products[ProductID],Products[ProductName])</f>
        <v>TURTLE NECK</v>
      </c>
      <c r="S16" t="str">
        <f>_xlfn.XLOOKUP(Orders[[#This Row],[ProductID]],Products!A:A,Products!C:C)</f>
        <v>Clothing</v>
      </c>
    </row>
    <row r="17" spans="1:19" x14ac:dyDescent="0.2">
      <c r="A17" s="4" t="s">
        <v>47</v>
      </c>
      <c r="B17" s="5">
        <v>46006</v>
      </c>
      <c r="C17" s="15">
        <f>WEEKNUM(Orders[[#This Row],[OrderDate]])</f>
        <v>51</v>
      </c>
      <c r="D17" s="4" t="s">
        <v>48</v>
      </c>
      <c r="E17" s="4" t="s">
        <v>31</v>
      </c>
      <c r="F17" s="4">
        <v>2</v>
      </c>
      <c r="G17" s="4">
        <v>14725.4</v>
      </c>
      <c r="H17">
        <v>12516.59</v>
      </c>
      <c r="I17">
        <f>Orders[[#This Row],[Quantity]]*Orders[[#This Row],[Selling Price]]</f>
        <v>29450.799999999999</v>
      </c>
      <c r="J17">
        <f>Orders[[#This Row],[Quantity]]*Orders[[#This Row],[Cost Price]]</f>
        <v>25033.18</v>
      </c>
      <c r="K17">
        <f>Orders[[#This Row],[Revenue]]-Orders[[#This Row],[Expenses]]</f>
        <v>4417.619999999999</v>
      </c>
      <c r="L17" t="s">
        <v>2199</v>
      </c>
      <c r="M17" t="str">
        <f>_xlfn.XLOOKUP(Orders[[#This Row],[CustomerID]],Customers[CustomerID],Customers[City])</f>
        <v>California</v>
      </c>
      <c r="N17" t="str">
        <f>_xlfn.XLOOKUP(Orders[[#This Row],[CustomerID]],Customers[CustomerID],Customers[CustomerName])</f>
        <v>Mustafa Obi</v>
      </c>
      <c r="O17" t="str">
        <f>_xlfn.XLOOKUP(Orders[[#This Row],[CustomerID]],Customers[CustomerID],Customers[Gender])</f>
        <v>Male</v>
      </c>
      <c r="P17">
        <f>_xlfn.XLOOKUP(Orders[[#This Row],[CustomerID]],Customers[CustomerID],Customers[CustomerAge])</f>
        <v>23</v>
      </c>
      <c r="Q17" t="str">
        <f>IF(Orders[[#This Row],[Age]]&gt;=35,"older","young")</f>
        <v>young</v>
      </c>
      <c r="R17" t="str">
        <f>_xlfn.XLOOKUP(Orders[[#This Row],[ProductID]],Products[ProductID],Products[ProductName])</f>
        <v>KIDS GAMES</v>
      </c>
      <c r="S17" t="str">
        <f>_xlfn.XLOOKUP(Orders[[#This Row],[ProductID]],Products!A:A,Products!C:C)</f>
        <v>Games</v>
      </c>
    </row>
    <row r="18" spans="1:19" x14ac:dyDescent="0.2">
      <c r="A18" s="4" t="s">
        <v>49</v>
      </c>
      <c r="B18" s="5">
        <v>45965</v>
      </c>
      <c r="C18" s="15">
        <f>WEEKNUM(Orders[[#This Row],[OrderDate]])</f>
        <v>45</v>
      </c>
      <c r="D18" s="4" t="s">
        <v>50</v>
      </c>
      <c r="E18" s="4" t="s">
        <v>9</v>
      </c>
      <c r="F18" s="4">
        <v>7</v>
      </c>
      <c r="G18" s="4">
        <v>18915.400000000001</v>
      </c>
      <c r="H18">
        <v>16078.090000000002</v>
      </c>
      <c r="I18">
        <f>Orders[[#This Row],[Quantity]]*Orders[[#This Row],[Selling Price]]</f>
        <v>132407.80000000002</v>
      </c>
      <c r="J18">
        <f>Orders[[#This Row],[Quantity]]*Orders[[#This Row],[Cost Price]]</f>
        <v>112546.63000000002</v>
      </c>
      <c r="K18">
        <f>Orders[[#This Row],[Revenue]]-Orders[[#This Row],[Expenses]]</f>
        <v>19861.169999999998</v>
      </c>
      <c r="L18" t="s">
        <v>2206</v>
      </c>
      <c r="M18" t="str">
        <f>_xlfn.XLOOKUP(Orders[[#This Row],[CustomerID]],Customers[CustomerID],Customers[City])</f>
        <v>California</v>
      </c>
      <c r="N18" t="str">
        <f>_xlfn.XLOOKUP(Orders[[#This Row],[CustomerID]],Customers[CustomerID],Customers[CustomerName])</f>
        <v>Funke Danladi</v>
      </c>
      <c r="O18" t="str">
        <f>_xlfn.XLOOKUP(Orders[[#This Row],[CustomerID]],Customers[CustomerID],Customers[Gender])</f>
        <v>Female</v>
      </c>
      <c r="P18">
        <f>_xlfn.XLOOKUP(Orders[[#This Row],[CustomerID]],Customers[CustomerID],Customers[CustomerAge])</f>
        <v>31</v>
      </c>
      <c r="Q18" t="str">
        <f>IF(Orders[[#This Row],[Age]]&gt;=35,"older","young")</f>
        <v>young</v>
      </c>
      <c r="R18" t="str">
        <f>_xlfn.XLOOKUP(Orders[[#This Row],[ProductID]],Products[ProductID],Products[ProductName])</f>
        <v>BEADED EARRINGS AND NECKLACES</v>
      </c>
      <c r="S18" t="str">
        <f>_xlfn.XLOOKUP(Orders[[#This Row],[ProductID]],Products!A:A,Products!C:C)</f>
        <v>Accessories</v>
      </c>
    </row>
    <row r="19" spans="1:19" x14ac:dyDescent="0.2">
      <c r="A19" s="4" t="s">
        <v>51</v>
      </c>
      <c r="B19" s="5">
        <v>45988</v>
      </c>
      <c r="C19" s="15">
        <f>WEEKNUM(Orders[[#This Row],[OrderDate]])</f>
        <v>48</v>
      </c>
      <c r="D19" s="4" t="s">
        <v>52</v>
      </c>
      <c r="E19" s="4" t="s">
        <v>53</v>
      </c>
      <c r="F19" s="4">
        <v>9</v>
      </c>
      <c r="G19" s="4">
        <v>12059.8</v>
      </c>
      <c r="H19">
        <v>10250.83</v>
      </c>
      <c r="I19">
        <f>Orders[[#This Row],[Quantity]]*Orders[[#This Row],[Selling Price]]</f>
        <v>108538.2</v>
      </c>
      <c r="J19">
        <f>Orders[[#This Row],[Quantity]]*Orders[[#This Row],[Cost Price]]</f>
        <v>92257.47</v>
      </c>
      <c r="K19">
        <f>Orders[[#This Row],[Revenue]]-Orders[[#This Row],[Expenses]]</f>
        <v>16280.729999999996</v>
      </c>
      <c r="L19" t="s">
        <v>2203</v>
      </c>
      <c r="M19" t="str">
        <f>_xlfn.XLOOKUP(Orders[[#This Row],[CustomerID]],Customers[CustomerID],Customers[City])</f>
        <v>Texas</v>
      </c>
      <c r="N19" t="str">
        <f>_xlfn.XLOOKUP(Orders[[#This Row],[CustomerID]],Customers[CustomerID],Customers[CustomerName])</f>
        <v>Folasade Ojo</v>
      </c>
      <c r="O19" t="str">
        <f>_xlfn.XLOOKUP(Orders[[#This Row],[CustomerID]],Customers[CustomerID],Customers[Gender])</f>
        <v>Female</v>
      </c>
      <c r="P19">
        <f>_xlfn.XLOOKUP(Orders[[#This Row],[CustomerID]],Customers[CustomerID],Customers[CustomerAge])</f>
        <v>29</v>
      </c>
      <c r="Q19" t="str">
        <f>IF(Orders[[#This Row],[Age]]&gt;=35,"older","young")</f>
        <v>young</v>
      </c>
      <c r="R19" t="str">
        <f>_xlfn.XLOOKUP(Orders[[#This Row],[ProductID]],Products[ProductID],Products[ProductName])</f>
        <v>SILVER BANGLES</v>
      </c>
      <c r="S19" t="str">
        <f>_xlfn.XLOOKUP(Orders[[#This Row],[ProductID]],Products!A:A,Products!C:C)</f>
        <v>Accessories</v>
      </c>
    </row>
    <row r="20" spans="1:19" x14ac:dyDescent="0.2">
      <c r="A20" s="4" t="s">
        <v>54</v>
      </c>
      <c r="B20" s="5">
        <v>46012</v>
      </c>
      <c r="C20" s="15">
        <f>WEEKNUM(Orders[[#This Row],[OrderDate]])</f>
        <v>52</v>
      </c>
      <c r="D20" s="4" t="s">
        <v>55</v>
      </c>
      <c r="E20" s="4" t="s">
        <v>34</v>
      </c>
      <c r="F20" s="4">
        <v>10</v>
      </c>
      <c r="G20" s="4">
        <v>15705.699999999999</v>
      </c>
      <c r="H20">
        <v>13349.844999999999</v>
      </c>
      <c r="I20">
        <f>Orders[[#This Row],[Quantity]]*Orders[[#This Row],[Selling Price]]</f>
        <v>157057</v>
      </c>
      <c r="J20">
        <f>Orders[[#This Row],[Quantity]]*Orders[[#This Row],[Cost Price]]</f>
        <v>133498.44999999998</v>
      </c>
      <c r="K20">
        <f>Orders[[#This Row],[Revenue]]-Orders[[#This Row],[Expenses]]</f>
        <v>23558.550000000017</v>
      </c>
      <c r="L20" t="s">
        <v>2207</v>
      </c>
      <c r="M20" t="str">
        <f>_xlfn.XLOOKUP(Orders[[#This Row],[CustomerID]],Customers[CustomerID],Customers[City])</f>
        <v>California</v>
      </c>
      <c r="N20" t="str">
        <f>_xlfn.XLOOKUP(Orders[[#This Row],[CustomerID]],Customers[CustomerID],Customers[CustomerName])</f>
        <v>Adanma Ojo</v>
      </c>
      <c r="O20" t="str">
        <f>_xlfn.XLOOKUP(Orders[[#This Row],[CustomerID]],Customers[CustomerID],Customers[Gender])</f>
        <v>Female</v>
      </c>
      <c r="P20">
        <f>_xlfn.XLOOKUP(Orders[[#This Row],[CustomerID]],Customers[CustomerID],Customers[CustomerAge])</f>
        <v>48</v>
      </c>
      <c r="Q20" t="str">
        <f>IF(Orders[[#This Row],[Age]]&gt;=35,"older","young")</f>
        <v>older</v>
      </c>
      <c r="R20" t="str">
        <f>_xlfn.XLOOKUP(Orders[[#This Row],[ProductID]],Products[ProductID],Products[ProductName])</f>
        <v>GOLD BRACELETS</v>
      </c>
      <c r="S20" t="str">
        <f>_xlfn.XLOOKUP(Orders[[#This Row],[ProductID]],Products!A:A,Products!C:C)</f>
        <v>Accessories</v>
      </c>
    </row>
    <row r="21" spans="1:19" x14ac:dyDescent="0.2">
      <c r="A21" s="4" t="s">
        <v>56</v>
      </c>
      <c r="B21" s="5">
        <v>46011</v>
      </c>
      <c r="C21" s="15">
        <f>WEEKNUM(Orders[[#This Row],[OrderDate]])</f>
        <v>51</v>
      </c>
      <c r="D21" s="4" t="s">
        <v>33</v>
      </c>
      <c r="E21" s="4" t="s">
        <v>57</v>
      </c>
      <c r="F21" s="4">
        <v>1</v>
      </c>
      <c r="G21" s="4">
        <v>12046.300000000001</v>
      </c>
      <c r="H21">
        <v>10239.355000000001</v>
      </c>
      <c r="I21">
        <f>Orders[[#This Row],[Quantity]]*Orders[[#This Row],[Selling Price]]</f>
        <v>12046.300000000001</v>
      </c>
      <c r="J21">
        <f>Orders[[#This Row],[Quantity]]*Orders[[#This Row],[Cost Price]]</f>
        <v>10239.355000000001</v>
      </c>
      <c r="K21">
        <f>Orders[[#This Row],[Revenue]]-Orders[[#This Row],[Expenses]]</f>
        <v>1806.9449999999997</v>
      </c>
      <c r="L21" t="s">
        <v>2208</v>
      </c>
      <c r="M21" t="str">
        <f>_xlfn.XLOOKUP(Orders[[#This Row],[CustomerID]],Customers[CustomerID],Customers[City])</f>
        <v>Texas</v>
      </c>
      <c r="N21" t="str">
        <f>_xlfn.XLOOKUP(Orders[[#This Row],[CustomerID]],Customers[CustomerID],Customers[CustomerName])</f>
        <v>Okon Balogun</v>
      </c>
      <c r="O21" t="str">
        <f>_xlfn.XLOOKUP(Orders[[#This Row],[CustomerID]],Customers[CustomerID],Customers[Gender])</f>
        <v>Male</v>
      </c>
      <c r="P21">
        <f>_xlfn.XLOOKUP(Orders[[#This Row],[CustomerID]],Customers[CustomerID],Customers[CustomerAge])</f>
        <v>28</v>
      </c>
      <c r="Q21" t="str">
        <f>IF(Orders[[#This Row],[Age]]&gt;=35,"older","young")</f>
        <v>young</v>
      </c>
      <c r="R21" t="str">
        <f>_xlfn.XLOOKUP(Orders[[#This Row],[ProductID]],Products[ProductID],Products[ProductName])</f>
        <v>BADMINTON RACKET</v>
      </c>
      <c r="S21" t="str">
        <f>_xlfn.XLOOKUP(Orders[[#This Row],[ProductID]],Products!A:A,Products!C:C)</f>
        <v>Sports</v>
      </c>
    </row>
    <row r="22" spans="1:19" x14ac:dyDescent="0.2">
      <c r="A22" s="4" t="s">
        <v>58</v>
      </c>
      <c r="B22" s="5">
        <v>45967</v>
      </c>
      <c r="C22" s="15">
        <f>WEEKNUM(Orders[[#This Row],[OrderDate]])</f>
        <v>45</v>
      </c>
      <c r="D22" s="4" t="s">
        <v>59</v>
      </c>
      <c r="E22" s="4" t="s">
        <v>60</v>
      </c>
      <c r="F22" s="4">
        <v>10</v>
      </c>
      <c r="G22" s="4">
        <v>13390</v>
      </c>
      <c r="H22">
        <v>11381.5</v>
      </c>
      <c r="I22">
        <f>Orders[[#This Row],[Quantity]]*Orders[[#This Row],[Selling Price]]</f>
        <v>133900</v>
      </c>
      <c r="J22">
        <f>Orders[[#This Row],[Quantity]]*Orders[[#This Row],[Cost Price]]</f>
        <v>113815</v>
      </c>
      <c r="K22">
        <f>Orders[[#This Row],[Revenue]]-Orders[[#This Row],[Expenses]]</f>
        <v>20085</v>
      </c>
      <c r="L22" t="s">
        <v>2209</v>
      </c>
      <c r="M22" t="str">
        <f>_xlfn.XLOOKUP(Orders[[#This Row],[CustomerID]],Customers[CustomerID],Customers[City])</f>
        <v>Texas</v>
      </c>
      <c r="N22" t="str">
        <f>_xlfn.XLOOKUP(Orders[[#This Row],[CustomerID]],Customers[CustomerID],Customers[CustomerName])</f>
        <v>Adanma Danladi</v>
      </c>
      <c r="O22" t="str">
        <f>_xlfn.XLOOKUP(Orders[[#This Row],[CustomerID]],Customers[CustomerID],Customers[Gender])</f>
        <v>Female</v>
      </c>
      <c r="P22">
        <f>_xlfn.XLOOKUP(Orders[[#This Row],[CustomerID]],Customers[CustomerID],Customers[CustomerAge])</f>
        <v>24</v>
      </c>
      <c r="Q22" t="str">
        <f>IF(Orders[[#This Row],[Age]]&gt;=35,"older","young")</f>
        <v>young</v>
      </c>
      <c r="R22" t="str">
        <f>_xlfn.XLOOKUP(Orders[[#This Row],[ProductID]],Products[ProductID],Products[ProductName])</f>
        <v>SILVER RINGS</v>
      </c>
      <c r="S22" t="str">
        <f>_xlfn.XLOOKUP(Orders[[#This Row],[ProductID]],Products!A:A,Products!C:C)</f>
        <v>Accessories</v>
      </c>
    </row>
    <row r="23" spans="1:19" x14ac:dyDescent="0.2">
      <c r="A23" s="4" t="s">
        <v>61</v>
      </c>
      <c r="B23" s="5">
        <v>46012</v>
      </c>
      <c r="C23" s="15">
        <f>WEEKNUM(Orders[[#This Row],[OrderDate]])</f>
        <v>52</v>
      </c>
      <c r="D23" s="4" t="s">
        <v>62</v>
      </c>
      <c r="E23" s="4" t="s">
        <v>63</v>
      </c>
      <c r="F23" s="4">
        <v>8</v>
      </c>
      <c r="G23" s="4">
        <v>14329.9</v>
      </c>
      <c r="H23">
        <v>12180.415000000001</v>
      </c>
      <c r="I23">
        <f>Orders[[#This Row],[Quantity]]*Orders[[#This Row],[Selling Price]]</f>
        <v>114639.2</v>
      </c>
      <c r="J23">
        <f>Orders[[#This Row],[Quantity]]*Orders[[#This Row],[Cost Price]]</f>
        <v>97443.32</v>
      </c>
      <c r="K23">
        <f>Orders[[#This Row],[Revenue]]-Orders[[#This Row],[Expenses]]</f>
        <v>17195.87999999999</v>
      </c>
      <c r="L23" t="s">
        <v>2210</v>
      </c>
      <c r="M23" t="str">
        <f>_xlfn.XLOOKUP(Orders[[#This Row],[CustomerID]],Customers[CustomerID],Customers[City])</f>
        <v>Texas</v>
      </c>
      <c r="N23" t="str">
        <f>_xlfn.XLOOKUP(Orders[[#This Row],[CustomerID]],Customers[CustomerID],Customers[CustomerName])</f>
        <v>Ronke Okonkwo</v>
      </c>
      <c r="O23" t="str">
        <f>_xlfn.XLOOKUP(Orders[[#This Row],[CustomerID]],Customers[CustomerID],Customers[Gender])</f>
        <v>Female</v>
      </c>
      <c r="P23">
        <f>_xlfn.XLOOKUP(Orders[[#This Row],[CustomerID]],Customers[CustomerID],Customers[CustomerAge])</f>
        <v>36</v>
      </c>
      <c r="Q23" t="str">
        <f>IF(Orders[[#This Row],[Age]]&gt;=35,"older","young")</f>
        <v>older</v>
      </c>
      <c r="R23" t="str">
        <f>_xlfn.XLOOKUP(Orders[[#This Row],[ProductID]],Products[ProductID],Products[ProductName])</f>
        <v>TENNIS BAT</v>
      </c>
      <c r="S23" t="str">
        <f>_xlfn.XLOOKUP(Orders[[#This Row],[ProductID]],Products!A:A,Products!C:C)</f>
        <v>Sports</v>
      </c>
    </row>
    <row r="24" spans="1:19" x14ac:dyDescent="0.2">
      <c r="A24" s="4" t="s">
        <v>64</v>
      </c>
      <c r="B24" s="5">
        <v>45961</v>
      </c>
      <c r="C24" s="15">
        <f>WEEKNUM(Orders[[#This Row],[OrderDate]])</f>
        <v>44</v>
      </c>
      <c r="D24" s="4" t="s">
        <v>8</v>
      </c>
      <c r="E24" s="4" t="s">
        <v>57</v>
      </c>
      <c r="F24" s="4">
        <v>2</v>
      </c>
      <c r="G24" s="4">
        <v>6702.7999999999993</v>
      </c>
      <c r="H24">
        <v>5697.3799999999992</v>
      </c>
      <c r="I24">
        <f>Orders[[#This Row],[Quantity]]*Orders[[#This Row],[Selling Price]]</f>
        <v>13405.599999999999</v>
      </c>
      <c r="J24">
        <f>Orders[[#This Row],[Quantity]]*Orders[[#This Row],[Cost Price]]</f>
        <v>11394.759999999998</v>
      </c>
      <c r="K24">
        <f>Orders[[#This Row],[Revenue]]-Orders[[#This Row],[Expenses]]</f>
        <v>2010.8400000000001</v>
      </c>
      <c r="L24" t="s">
        <v>2207</v>
      </c>
      <c r="M24" t="str">
        <f>_xlfn.XLOOKUP(Orders[[#This Row],[CustomerID]],Customers[CustomerID],Customers[City])</f>
        <v>Washington</v>
      </c>
      <c r="N24" t="str">
        <f>_xlfn.XLOOKUP(Orders[[#This Row],[CustomerID]],Customers[CustomerID],Customers[CustomerName])</f>
        <v>Bi si Bello</v>
      </c>
      <c r="O24" t="str">
        <f>_xlfn.XLOOKUP(Orders[[#This Row],[CustomerID]],Customers[CustomerID],Customers[Gender])</f>
        <v>Female</v>
      </c>
      <c r="P24">
        <f>_xlfn.XLOOKUP(Orders[[#This Row],[CustomerID]],Customers[CustomerID],Customers[CustomerAge])</f>
        <v>38</v>
      </c>
      <c r="Q24" t="str">
        <f>IF(Orders[[#This Row],[Age]]&gt;=35,"older","young")</f>
        <v>older</v>
      </c>
      <c r="R24" t="str">
        <f>_xlfn.XLOOKUP(Orders[[#This Row],[ProductID]],Products[ProductID],Products[ProductName])</f>
        <v>BADMINTON RACKET</v>
      </c>
      <c r="S24" t="str">
        <f>_xlfn.XLOOKUP(Orders[[#This Row],[ProductID]],Products!A:A,Products!C:C)</f>
        <v>Sports</v>
      </c>
    </row>
    <row r="25" spans="1:19" x14ac:dyDescent="0.2">
      <c r="A25" s="4" t="s">
        <v>65</v>
      </c>
      <c r="B25" s="5">
        <v>46020</v>
      </c>
      <c r="C25" s="15">
        <f>WEEKNUM(Orders[[#This Row],[OrderDate]])</f>
        <v>53</v>
      </c>
      <c r="D25" s="4" t="s">
        <v>48</v>
      </c>
      <c r="E25" s="4" t="s">
        <v>66</v>
      </c>
      <c r="F25" s="4">
        <v>10</v>
      </c>
      <c r="G25" s="4">
        <v>2367.1999999999998</v>
      </c>
      <c r="H25">
        <v>2012.12</v>
      </c>
      <c r="I25">
        <f>Orders[[#This Row],[Quantity]]*Orders[[#This Row],[Selling Price]]</f>
        <v>23672</v>
      </c>
      <c r="J25">
        <f>Orders[[#This Row],[Quantity]]*Orders[[#This Row],[Cost Price]]</f>
        <v>20121.199999999997</v>
      </c>
      <c r="K25">
        <f>Orders[[#This Row],[Revenue]]-Orders[[#This Row],[Expenses]]</f>
        <v>3550.8000000000029</v>
      </c>
      <c r="L25" t="s">
        <v>2199</v>
      </c>
      <c r="M25" t="str">
        <f>_xlfn.XLOOKUP(Orders[[#This Row],[CustomerID]],Customers[CustomerID],Customers[City])</f>
        <v>California</v>
      </c>
      <c r="N25" t="str">
        <f>_xlfn.XLOOKUP(Orders[[#This Row],[CustomerID]],Customers[CustomerID],Customers[CustomerName])</f>
        <v>Mustafa Obi</v>
      </c>
      <c r="O25" t="str">
        <f>_xlfn.XLOOKUP(Orders[[#This Row],[CustomerID]],Customers[CustomerID],Customers[Gender])</f>
        <v>Male</v>
      </c>
      <c r="P25">
        <f>_xlfn.XLOOKUP(Orders[[#This Row],[CustomerID]],Customers[CustomerID],Customers[CustomerAge])</f>
        <v>23</v>
      </c>
      <c r="Q25" t="str">
        <f>IF(Orders[[#This Row],[Age]]&gt;=35,"older","young")</f>
        <v>young</v>
      </c>
      <c r="R25" t="str">
        <f>_xlfn.XLOOKUP(Orders[[#This Row],[ProductID]],Products[ProductID],Products[ProductName])</f>
        <v>MICROWAVE</v>
      </c>
      <c r="S25" t="str">
        <f>_xlfn.XLOOKUP(Orders[[#This Row],[ProductID]],Products!A:A,Products!C:C)</f>
        <v>Electronics</v>
      </c>
    </row>
    <row r="26" spans="1:19" x14ac:dyDescent="0.2">
      <c r="A26" s="4" t="s">
        <v>67</v>
      </c>
      <c r="B26" s="5">
        <v>46016</v>
      </c>
      <c r="C26" s="15">
        <f>WEEKNUM(Orders[[#This Row],[OrderDate]])</f>
        <v>52</v>
      </c>
      <c r="D26" s="4" t="s">
        <v>68</v>
      </c>
      <c r="E26" s="4" t="s">
        <v>31</v>
      </c>
      <c r="F26" s="4">
        <v>8</v>
      </c>
      <c r="G26" s="4">
        <v>8122.1</v>
      </c>
      <c r="H26">
        <v>6903.7849999999999</v>
      </c>
      <c r="I26">
        <f>Orders[[#This Row],[Quantity]]*Orders[[#This Row],[Selling Price]]</f>
        <v>64976.800000000003</v>
      </c>
      <c r="J26">
        <f>Orders[[#This Row],[Quantity]]*Orders[[#This Row],[Cost Price]]</f>
        <v>55230.28</v>
      </c>
      <c r="K26">
        <f>Orders[[#This Row],[Revenue]]-Orders[[#This Row],[Expenses]]</f>
        <v>9746.5200000000041</v>
      </c>
      <c r="L26" t="s">
        <v>2195</v>
      </c>
      <c r="M26" t="str">
        <f>_xlfn.XLOOKUP(Orders[[#This Row],[CustomerID]],Customers[CustomerID],Customers[City])</f>
        <v>Texas</v>
      </c>
      <c r="N26" t="str">
        <f>_xlfn.XLOOKUP(Orders[[#This Row],[CustomerID]],Customers[CustomerID],Customers[CustomerName])</f>
        <v>Abiola Balogun</v>
      </c>
      <c r="O26" t="str">
        <f>_xlfn.XLOOKUP(Orders[[#This Row],[CustomerID]],Customers[CustomerID],Customers[Gender])</f>
        <v>Male</v>
      </c>
      <c r="P26">
        <f>_xlfn.XLOOKUP(Orders[[#This Row],[CustomerID]],Customers[CustomerID],Customers[CustomerAge])</f>
        <v>29</v>
      </c>
      <c r="Q26" t="str">
        <f>IF(Orders[[#This Row],[Age]]&gt;=35,"older","young")</f>
        <v>young</v>
      </c>
      <c r="R26" t="str">
        <f>_xlfn.XLOOKUP(Orders[[#This Row],[ProductID]],Products[ProductID],Products[ProductName])</f>
        <v>KIDS GAMES</v>
      </c>
      <c r="S26" t="str">
        <f>_xlfn.XLOOKUP(Orders[[#This Row],[ProductID]],Products!A:A,Products!C:C)</f>
        <v>Games</v>
      </c>
    </row>
    <row r="27" spans="1:19" x14ac:dyDescent="0.2">
      <c r="A27" s="4" t="s">
        <v>69</v>
      </c>
      <c r="B27" s="5">
        <v>45983</v>
      </c>
      <c r="C27" s="15">
        <f>WEEKNUM(Orders[[#This Row],[OrderDate]])</f>
        <v>47</v>
      </c>
      <c r="D27" s="4" t="s">
        <v>33</v>
      </c>
      <c r="E27" s="4" t="s">
        <v>70</v>
      </c>
      <c r="F27" s="4">
        <v>9</v>
      </c>
      <c r="G27" s="4">
        <v>13792.7</v>
      </c>
      <c r="H27">
        <v>11723.795</v>
      </c>
      <c r="I27">
        <f>Orders[[#This Row],[Quantity]]*Orders[[#This Row],[Selling Price]]</f>
        <v>124134.3</v>
      </c>
      <c r="J27">
        <f>Orders[[#This Row],[Quantity]]*Orders[[#This Row],[Cost Price]]</f>
        <v>105514.155</v>
      </c>
      <c r="K27">
        <f>Orders[[#This Row],[Revenue]]-Orders[[#This Row],[Expenses]]</f>
        <v>18620.145000000004</v>
      </c>
      <c r="L27" t="s">
        <v>2211</v>
      </c>
      <c r="M27" t="str">
        <f>_xlfn.XLOOKUP(Orders[[#This Row],[CustomerID]],Customers[CustomerID],Customers[City])</f>
        <v>Texas</v>
      </c>
      <c r="N27" t="str">
        <f>_xlfn.XLOOKUP(Orders[[#This Row],[CustomerID]],Customers[CustomerID],Customers[CustomerName])</f>
        <v>Okon Balogun</v>
      </c>
      <c r="O27" t="str">
        <f>_xlfn.XLOOKUP(Orders[[#This Row],[CustomerID]],Customers[CustomerID],Customers[Gender])</f>
        <v>Male</v>
      </c>
      <c r="P27">
        <f>_xlfn.XLOOKUP(Orders[[#This Row],[CustomerID]],Customers[CustomerID],Customers[CustomerAge])</f>
        <v>28</v>
      </c>
      <c r="Q27" t="str">
        <f>IF(Orders[[#This Row],[Age]]&gt;=35,"older","young")</f>
        <v>young</v>
      </c>
      <c r="R27" t="str">
        <f>_xlfn.XLOOKUP(Orders[[#This Row],[ProductID]],Products[ProductID],Products[ProductName])</f>
        <v>YOGA MAT</v>
      </c>
      <c r="S27" t="str">
        <f>_xlfn.XLOOKUP(Orders[[#This Row],[ProductID]],Products!A:A,Products!C:C)</f>
        <v>Gym</v>
      </c>
    </row>
    <row r="28" spans="1:19" x14ac:dyDescent="0.2">
      <c r="A28" s="4" t="s">
        <v>71</v>
      </c>
      <c r="B28" s="5">
        <v>45959</v>
      </c>
      <c r="C28" s="15">
        <f>WEEKNUM(Orders[[#This Row],[OrderDate]])</f>
        <v>44</v>
      </c>
      <c r="D28" s="4" t="s">
        <v>14</v>
      </c>
      <c r="E28" s="4" t="s">
        <v>37</v>
      </c>
      <c r="F28" s="4">
        <v>1</v>
      </c>
      <c r="G28" s="4">
        <v>2352.5</v>
      </c>
      <c r="H28">
        <v>1999.625</v>
      </c>
      <c r="I28">
        <f>Orders[[#This Row],[Quantity]]*Orders[[#This Row],[Selling Price]]</f>
        <v>2352.5</v>
      </c>
      <c r="J28">
        <f>Orders[[#This Row],[Quantity]]*Orders[[#This Row],[Cost Price]]</f>
        <v>1999.625</v>
      </c>
      <c r="K28">
        <f>Orders[[#This Row],[Revenue]]-Orders[[#This Row],[Expenses]]</f>
        <v>352.875</v>
      </c>
      <c r="L28" t="s">
        <v>2201</v>
      </c>
      <c r="M28" t="str">
        <f>_xlfn.XLOOKUP(Orders[[#This Row],[CustomerID]],Customers[CustomerID],Customers[City])</f>
        <v>Texas</v>
      </c>
      <c r="N28" t="str">
        <f>_xlfn.XLOOKUP(Orders[[#This Row],[CustomerID]],Customers[CustomerID],Customers[CustomerName])</f>
        <v>Abiola Igwe</v>
      </c>
      <c r="O28" t="str">
        <f>_xlfn.XLOOKUP(Orders[[#This Row],[CustomerID]],Customers[CustomerID],Customers[Gender])</f>
        <v>Male</v>
      </c>
      <c r="P28">
        <f>_xlfn.XLOOKUP(Orders[[#This Row],[CustomerID]],Customers[CustomerID],Customers[CustomerAge])</f>
        <v>39</v>
      </c>
      <c r="Q28" t="str">
        <f>IF(Orders[[#This Row],[Age]]&gt;=35,"older","young")</f>
        <v>older</v>
      </c>
      <c r="R28" t="str">
        <f>_xlfn.XLOOKUP(Orders[[#This Row],[ProductID]],Products[ProductID],Products[ProductName])</f>
        <v>IRON</v>
      </c>
      <c r="S28" t="str">
        <f>_xlfn.XLOOKUP(Orders[[#This Row],[ProductID]],Products!A:A,Products!C:C)</f>
        <v>Electronics</v>
      </c>
    </row>
    <row r="29" spans="1:19" x14ac:dyDescent="0.2">
      <c r="A29" s="4" t="s">
        <v>72</v>
      </c>
      <c r="B29" s="5">
        <v>45984</v>
      </c>
      <c r="C29" s="15">
        <f>WEEKNUM(Orders[[#This Row],[OrderDate]])</f>
        <v>48</v>
      </c>
      <c r="D29" s="4" t="s">
        <v>73</v>
      </c>
      <c r="E29" s="4" t="s">
        <v>66</v>
      </c>
      <c r="F29" s="4">
        <v>8</v>
      </c>
      <c r="G29" s="4">
        <v>16531.5</v>
      </c>
      <c r="H29">
        <v>14051.775</v>
      </c>
      <c r="I29">
        <f>Orders[[#This Row],[Quantity]]*Orders[[#This Row],[Selling Price]]</f>
        <v>132252</v>
      </c>
      <c r="J29">
        <f>Orders[[#This Row],[Quantity]]*Orders[[#This Row],[Cost Price]]</f>
        <v>112414.2</v>
      </c>
      <c r="K29">
        <f>Orders[[#This Row],[Revenue]]-Orders[[#This Row],[Expenses]]</f>
        <v>19837.800000000003</v>
      </c>
      <c r="L29" t="s">
        <v>2212</v>
      </c>
      <c r="M29" t="str">
        <f>_xlfn.XLOOKUP(Orders[[#This Row],[CustomerID]],Customers[CustomerID],Customers[City])</f>
        <v>California</v>
      </c>
      <c r="N29" t="str">
        <f>_xlfn.XLOOKUP(Orders[[#This Row],[CustomerID]],Customers[CustomerID],Customers[CustomerName])</f>
        <v>Ronke Okonkwo</v>
      </c>
      <c r="O29" t="str">
        <f>_xlfn.XLOOKUP(Orders[[#This Row],[CustomerID]],Customers[CustomerID],Customers[Gender])</f>
        <v>Female</v>
      </c>
      <c r="P29">
        <f>_xlfn.XLOOKUP(Orders[[#This Row],[CustomerID]],Customers[CustomerID],Customers[CustomerAge])</f>
        <v>20</v>
      </c>
      <c r="Q29" t="str">
        <f>IF(Orders[[#This Row],[Age]]&gt;=35,"older","young")</f>
        <v>young</v>
      </c>
      <c r="R29" t="str">
        <f>_xlfn.XLOOKUP(Orders[[#This Row],[ProductID]],Products[ProductID],Products[ProductName])</f>
        <v>MICROWAVE</v>
      </c>
      <c r="S29" t="str">
        <f>_xlfn.XLOOKUP(Orders[[#This Row],[ProductID]],Products!A:A,Products!C:C)</f>
        <v>Electronics</v>
      </c>
    </row>
    <row r="30" spans="1:19" x14ac:dyDescent="0.2">
      <c r="A30" s="4" t="s">
        <v>74</v>
      </c>
      <c r="B30" s="5">
        <v>45956</v>
      </c>
      <c r="C30" s="15">
        <f>WEEKNUM(Orders[[#This Row],[OrderDate]])</f>
        <v>44</v>
      </c>
      <c r="D30" s="4" t="s">
        <v>75</v>
      </c>
      <c r="E30" s="4" t="s">
        <v>76</v>
      </c>
      <c r="F30" s="4">
        <v>8</v>
      </c>
      <c r="G30" s="4">
        <v>7103.0999999999995</v>
      </c>
      <c r="H30">
        <v>6037.6349999999993</v>
      </c>
      <c r="I30">
        <f>Orders[[#This Row],[Quantity]]*Orders[[#This Row],[Selling Price]]</f>
        <v>56824.799999999996</v>
      </c>
      <c r="J30">
        <f>Orders[[#This Row],[Quantity]]*Orders[[#This Row],[Cost Price]]</f>
        <v>48301.079999999994</v>
      </c>
      <c r="K30">
        <f>Orders[[#This Row],[Revenue]]-Orders[[#This Row],[Expenses]]</f>
        <v>8523.7200000000012</v>
      </c>
      <c r="L30" t="s">
        <v>2198</v>
      </c>
      <c r="M30" t="str">
        <f>_xlfn.XLOOKUP(Orders[[#This Row],[CustomerID]],Customers[CustomerID],Customers[City])</f>
        <v>Texas</v>
      </c>
      <c r="N30" t="str">
        <f>_xlfn.XLOOKUP(Orders[[#This Row],[CustomerID]],Customers[CustomerID],Customers[CustomerName])</f>
        <v>Tunde Danladi</v>
      </c>
      <c r="O30" t="str">
        <f>_xlfn.XLOOKUP(Orders[[#This Row],[CustomerID]],Customers[CustomerID],Customers[Gender])</f>
        <v>Male</v>
      </c>
      <c r="P30">
        <f>_xlfn.XLOOKUP(Orders[[#This Row],[CustomerID]],Customers[CustomerID],Customers[CustomerAge])</f>
        <v>47</v>
      </c>
      <c r="Q30" t="str">
        <f>IF(Orders[[#This Row],[Age]]&gt;=35,"older","young")</f>
        <v>older</v>
      </c>
      <c r="R30" t="str">
        <f>_xlfn.XLOOKUP(Orders[[#This Row],[ProductID]],Products[ProductID],Products[ProductName])</f>
        <v>BLENDER</v>
      </c>
      <c r="S30" t="str">
        <f>_xlfn.XLOOKUP(Orders[[#This Row],[ProductID]],Products!A:A,Products!C:C)</f>
        <v>Electronics</v>
      </c>
    </row>
    <row r="31" spans="1:19" x14ac:dyDescent="0.2">
      <c r="A31" s="4" t="s">
        <v>77</v>
      </c>
      <c r="B31" s="5">
        <v>46022</v>
      </c>
      <c r="C31" s="15">
        <f>WEEKNUM(Orders[[#This Row],[OrderDate]])</f>
        <v>53</v>
      </c>
      <c r="D31" s="4" t="s">
        <v>78</v>
      </c>
      <c r="E31" s="4" t="s">
        <v>76</v>
      </c>
      <c r="F31" s="4">
        <v>6</v>
      </c>
      <c r="G31" s="4">
        <v>15724.7</v>
      </c>
      <c r="H31">
        <v>13365.995000000001</v>
      </c>
      <c r="I31">
        <f>Orders[[#This Row],[Quantity]]*Orders[[#This Row],[Selling Price]]</f>
        <v>94348.200000000012</v>
      </c>
      <c r="J31">
        <f>Orders[[#This Row],[Quantity]]*Orders[[#This Row],[Cost Price]]</f>
        <v>80195.97</v>
      </c>
      <c r="K31">
        <f>Orders[[#This Row],[Revenue]]-Orders[[#This Row],[Expenses]]</f>
        <v>14152.23000000001</v>
      </c>
      <c r="L31" t="s">
        <v>2192</v>
      </c>
      <c r="M31" t="str">
        <f>_xlfn.XLOOKUP(Orders[[#This Row],[CustomerID]],Customers[CustomerID],Customers[City])</f>
        <v>Washington</v>
      </c>
      <c r="N31" t="str">
        <f>_xlfn.XLOOKUP(Orders[[#This Row],[CustomerID]],Customers[CustomerID],Customers[CustomerName])</f>
        <v>Chinedu Obi</v>
      </c>
      <c r="O31" t="str">
        <f>_xlfn.XLOOKUP(Orders[[#This Row],[CustomerID]],Customers[CustomerID],Customers[Gender])</f>
        <v>Male</v>
      </c>
      <c r="P31">
        <f>_xlfn.XLOOKUP(Orders[[#This Row],[CustomerID]],Customers[CustomerID],Customers[CustomerAge])</f>
        <v>38</v>
      </c>
      <c r="Q31" t="str">
        <f>IF(Orders[[#This Row],[Age]]&gt;=35,"older","young")</f>
        <v>older</v>
      </c>
      <c r="R31" t="str">
        <f>_xlfn.XLOOKUP(Orders[[#This Row],[ProductID]],Products[ProductID],Products[ProductName])</f>
        <v>BLENDER</v>
      </c>
      <c r="S31" t="str">
        <f>_xlfn.XLOOKUP(Orders[[#This Row],[ProductID]],Products!A:A,Products!C:C)</f>
        <v>Electronics</v>
      </c>
    </row>
    <row r="32" spans="1:19" x14ac:dyDescent="0.2">
      <c r="A32" s="4" t="s">
        <v>79</v>
      </c>
      <c r="B32" s="5">
        <v>45996</v>
      </c>
      <c r="C32" s="15">
        <f>WEEKNUM(Orders[[#This Row],[OrderDate]])</f>
        <v>49</v>
      </c>
      <c r="D32" s="4" t="s">
        <v>80</v>
      </c>
      <c r="E32" s="4" t="s">
        <v>81</v>
      </c>
      <c r="F32" s="4">
        <v>3</v>
      </c>
      <c r="G32" s="4">
        <v>5809.8</v>
      </c>
      <c r="H32">
        <v>4938.33</v>
      </c>
      <c r="I32">
        <f>Orders[[#This Row],[Quantity]]*Orders[[#This Row],[Selling Price]]</f>
        <v>17429.400000000001</v>
      </c>
      <c r="J32">
        <f>Orders[[#This Row],[Quantity]]*Orders[[#This Row],[Cost Price]]</f>
        <v>14814.99</v>
      </c>
      <c r="K32">
        <f>Orders[[#This Row],[Revenue]]-Orders[[#This Row],[Expenses]]</f>
        <v>2614.4100000000017</v>
      </c>
      <c r="L32" t="s">
        <v>2213</v>
      </c>
      <c r="M32" t="str">
        <f>_xlfn.XLOOKUP(Orders[[#This Row],[CustomerID]],Customers[CustomerID],Customers[City])</f>
        <v>Texas</v>
      </c>
      <c r="N32" t="str">
        <f>_xlfn.XLOOKUP(Orders[[#This Row],[CustomerID]],Customers[CustomerID],Customers[CustomerName])</f>
        <v>Sani Ojo</v>
      </c>
      <c r="O32" t="str">
        <f>_xlfn.XLOOKUP(Orders[[#This Row],[CustomerID]],Customers[CustomerID],Customers[Gender])</f>
        <v>Male</v>
      </c>
      <c r="P32">
        <f>_xlfn.XLOOKUP(Orders[[#This Row],[CustomerID]],Customers[CustomerID],Customers[CustomerAge])</f>
        <v>35</v>
      </c>
      <c r="Q32" t="str">
        <f>IF(Orders[[#This Row],[Age]]&gt;=35,"older","young")</f>
        <v>older</v>
      </c>
      <c r="R32" t="str">
        <f>_xlfn.XLOOKUP(Orders[[#This Row],[ProductID]],Products[ProductID],Products[ProductName])</f>
        <v>TROUSERS</v>
      </c>
      <c r="S32" t="str">
        <f>_xlfn.XLOOKUP(Orders[[#This Row],[ProductID]],Products!A:A,Products!C:C)</f>
        <v>Clothing</v>
      </c>
    </row>
    <row r="33" spans="1:19" x14ac:dyDescent="0.2">
      <c r="A33" s="4" t="s">
        <v>82</v>
      </c>
      <c r="B33" s="5">
        <v>45978</v>
      </c>
      <c r="C33" s="15">
        <f>WEEKNUM(Orders[[#This Row],[OrderDate]])</f>
        <v>47</v>
      </c>
      <c r="D33" s="4" t="s">
        <v>83</v>
      </c>
      <c r="E33" s="4" t="s">
        <v>84</v>
      </c>
      <c r="F33" s="4">
        <v>5</v>
      </c>
      <c r="G33" s="4">
        <v>4828.3999999999996</v>
      </c>
      <c r="H33">
        <v>4104.1399999999994</v>
      </c>
      <c r="I33">
        <f>Orders[[#This Row],[Quantity]]*Orders[[#This Row],[Selling Price]]</f>
        <v>24142</v>
      </c>
      <c r="J33">
        <f>Orders[[#This Row],[Quantity]]*Orders[[#This Row],[Cost Price]]</f>
        <v>20520.699999999997</v>
      </c>
      <c r="K33">
        <f>Orders[[#This Row],[Revenue]]-Orders[[#This Row],[Expenses]]</f>
        <v>3621.3000000000029</v>
      </c>
      <c r="L33" t="s">
        <v>2213</v>
      </c>
      <c r="M33" t="str">
        <f>_xlfn.XLOOKUP(Orders[[#This Row],[CustomerID]],Customers[CustomerID],Customers[City])</f>
        <v>Florida</v>
      </c>
      <c r="N33" t="str">
        <f>_xlfn.XLOOKUP(Orders[[#This Row],[CustomerID]],Customers[CustomerID],Customers[CustomerName])</f>
        <v>Funke Danladi</v>
      </c>
      <c r="O33" t="str">
        <f>_xlfn.XLOOKUP(Orders[[#This Row],[CustomerID]],Customers[CustomerID],Customers[Gender])</f>
        <v>Female</v>
      </c>
      <c r="P33">
        <f>_xlfn.XLOOKUP(Orders[[#This Row],[CustomerID]],Customers[CustomerID],Customers[CustomerAge])</f>
        <v>26</v>
      </c>
      <c r="Q33" t="str">
        <f>IF(Orders[[#This Row],[Age]]&gt;=35,"older","young")</f>
        <v>young</v>
      </c>
      <c r="R33" t="str">
        <f>_xlfn.XLOOKUP(Orders[[#This Row],[ProductID]],Products[ProductID],Products[ProductName])</f>
        <v>GYM WEARS</v>
      </c>
      <c r="S33" t="str">
        <f>_xlfn.XLOOKUP(Orders[[#This Row],[ProductID]],Products!A:A,Products!C:C)</f>
        <v>Clothing</v>
      </c>
    </row>
    <row r="34" spans="1:19" x14ac:dyDescent="0.2">
      <c r="A34" s="4" t="s">
        <v>85</v>
      </c>
      <c r="B34" s="5">
        <v>46020</v>
      </c>
      <c r="C34" s="15">
        <f>WEEKNUM(Orders[[#This Row],[OrderDate]])</f>
        <v>53</v>
      </c>
      <c r="D34" s="4" t="s">
        <v>52</v>
      </c>
      <c r="E34" s="4" t="s">
        <v>53</v>
      </c>
      <c r="F34" s="4">
        <v>5</v>
      </c>
      <c r="G34" s="4">
        <v>6809.2999999999993</v>
      </c>
      <c r="H34">
        <v>5787.9049999999997</v>
      </c>
      <c r="I34">
        <f>Orders[[#This Row],[Quantity]]*Orders[[#This Row],[Selling Price]]</f>
        <v>34046.5</v>
      </c>
      <c r="J34">
        <f>Orders[[#This Row],[Quantity]]*Orders[[#This Row],[Cost Price]]</f>
        <v>28939.524999999998</v>
      </c>
      <c r="K34">
        <f>Orders[[#This Row],[Revenue]]-Orders[[#This Row],[Expenses]]</f>
        <v>5106.9750000000022</v>
      </c>
      <c r="L34" t="s">
        <v>2203</v>
      </c>
      <c r="M34" t="str">
        <f>_xlfn.XLOOKUP(Orders[[#This Row],[CustomerID]],Customers[CustomerID],Customers[City])</f>
        <v>Texas</v>
      </c>
      <c r="N34" t="str">
        <f>_xlfn.XLOOKUP(Orders[[#This Row],[CustomerID]],Customers[CustomerID],Customers[CustomerName])</f>
        <v>Folasade Ojo</v>
      </c>
      <c r="O34" t="str">
        <f>_xlfn.XLOOKUP(Orders[[#This Row],[CustomerID]],Customers[CustomerID],Customers[Gender])</f>
        <v>Female</v>
      </c>
      <c r="P34">
        <f>_xlfn.XLOOKUP(Orders[[#This Row],[CustomerID]],Customers[CustomerID],Customers[CustomerAge])</f>
        <v>29</v>
      </c>
      <c r="Q34" t="str">
        <f>IF(Orders[[#This Row],[Age]]&gt;=35,"older","young")</f>
        <v>young</v>
      </c>
      <c r="R34" t="str">
        <f>_xlfn.XLOOKUP(Orders[[#This Row],[ProductID]],Products[ProductID],Products[ProductName])</f>
        <v>SILVER BANGLES</v>
      </c>
      <c r="S34" t="str">
        <f>_xlfn.XLOOKUP(Orders[[#This Row],[ProductID]],Products!A:A,Products!C:C)</f>
        <v>Accessories</v>
      </c>
    </row>
    <row r="35" spans="1:19" x14ac:dyDescent="0.2">
      <c r="A35" s="4" t="s">
        <v>86</v>
      </c>
      <c r="B35" s="5">
        <v>45949</v>
      </c>
      <c r="C35" s="15">
        <f>WEEKNUM(Orders[[#This Row],[OrderDate]])</f>
        <v>43</v>
      </c>
      <c r="D35" s="4" t="s">
        <v>87</v>
      </c>
      <c r="E35" s="4" t="s">
        <v>46</v>
      </c>
      <c r="F35" s="4">
        <v>4</v>
      </c>
      <c r="G35" s="4">
        <v>5403.4000000000005</v>
      </c>
      <c r="H35">
        <v>4592.8900000000003</v>
      </c>
      <c r="I35">
        <f>Orders[[#This Row],[Quantity]]*Orders[[#This Row],[Selling Price]]</f>
        <v>21613.600000000002</v>
      </c>
      <c r="J35">
        <f>Orders[[#This Row],[Quantity]]*Orders[[#This Row],[Cost Price]]</f>
        <v>18371.560000000001</v>
      </c>
      <c r="K35">
        <f>Orders[[#This Row],[Revenue]]-Orders[[#This Row],[Expenses]]</f>
        <v>3242.0400000000009</v>
      </c>
      <c r="L35" t="s">
        <v>2212</v>
      </c>
      <c r="M35" t="str">
        <f>_xlfn.XLOOKUP(Orders[[#This Row],[CustomerID]],Customers[CustomerID],Customers[City])</f>
        <v>Illinois</v>
      </c>
      <c r="N35" t="str">
        <f>_xlfn.XLOOKUP(Orders[[#This Row],[CustomerID]],Customers[CustomerID],Customers[CustomerName])</f>
        <v>Efe Igwe</v>
      </c>
      <c r="O35" t="str">
        <f>_xlfn.XLOOKUP(Orders[[#This Row],[CustomerID]],Customers[CustomerID],Customers[Gender])</f>
        <v>Female</v>
      </c>
      <c r="P35">
        <f>_xlfn.XLOOKUP(Orders[[#This Row],[CustomerID]],Customers[CustomerID],Customers[CustomerAge])</f>
        <v>34</v>
      </c>
      <c r="Q35" t="str">
        <f>IF(Orders[[#This Row],[Age]]&gt;=35,"older","young")</f>
        <v>young</v>
      </c>
      <c r="R35" t="str">
        <f>_xlfn.XLOOKUP(Orders[[#This Row],[ProductID]],Products[ProductID],Products[ProductName])</f>
        <v>TURTLE NECK</v>
      </c>
      <c r="S35" t="str">
        <f>_xlfn.XLOOKUP(Orders[[#This Row],[ProductID]],Products!A:A,Products!C:C)</f>
        <v>Clothing</v>
      </c>
    </row>
    <row r="36" spans="1:19" x14ac:dyDescent="0.2">
      <c r="A36" s="4" t="s">
        <v>88</v>
      </c>
      <c r="B36" s="5">
        <v>46015</v>
      </c>
      <c r="C36" s="15">
        <f>WEEKNUM(Orders[[#This Row],[OrderDate]])</f>
        <v>52</v>
      </c>
      <c r="D36" s="4" t="s">
        <v>89</v>
      </c>
      <c r="E36" s="4" t="s">
        <v>28</v>
      </c>
      <c r="F36" s="4">
        <v>3</v>
      </c>
      <c r="G36" s="4">
        <v>19582.8</v>
      </c>
      <c r="H36">
        <v>16645.38</v>
      </c>
      <c r="I36">
        <f>Orders[[#This Row],[Quantity]]*Orders[[#This Row],[Selling Price]]</f>
        <v>58748.399999999994</v>
      </c>
      <c r="J36">
        <f>Orders[[#This Row],[Quantity]]*Orders[[#This Row],[Cost Price]]</f>
        <v>49936.14</v>
      </c>
      <c r="K36">
        <f>Orders[[#This Row],[Revenue]]-Orders[[#This Row],[Expenses]]</f>
        <v>8812.2599999999948</v>
      </c>
      <c r="L36" t="s">
        <v>2214</v>
      </c>
      <c r="M36" t="str">
        <f>_xlfn.XLOOKUP(Orders[[#This Row],[CustomerID]],Customers[CustomerID],Customers[City])</f>
        <v>Washington</v>
      </c>
      <c r="N36" t="str">
        <f>_xlfn.XLOOKUP(Orders[[#This Row],[CustomerID]],Customers[CustomerID],Customers[CustomerName])</f>
        <v>Blessing Balogun</v>
      </c>
      <c r="O36" t="str">
        <f>_xlfn.XLOOKUP(Orders[[#This Row],[CustomerID]],Customers[CustomerID],Customers[Gender])</f>
        <v>Female</v>
      </c>
      <c r="P36">
        <f>_xlfn.XLOOKUP(Orders[[#This Row],[CustomerID]],Customers[CustomerID],Customers[CustomerAge])</f>
        <v>19</v>
      </c>
      <c r="Q36" t="str">
        <f>IF(Orders[[#This Row],[Age]]&gt;=35,"older","young")</f>
        <v>young</v>
      </c>
      <c r="R36" t="str">
        <f>_xlfn.XLOOKUP(Orders[[#This Row],[ProductID]],Products[ProductID],Products[ProductName])</f>
        <v>SNEAKERS</v>
      </c>
      <c r="S36" t="str">
        <f>_xlfn.XLOOKUP(Orders[[#This Row],[ProductID]],Products!A:A,Products!C:C)</f>
        <v>Sports</v>
      </c>
    </row>
    <row r="37" spans="1:19" x14ac:dyDescent="0.2">
      <c r="A37" s="4" t="s">
        <v>90</v>
      </c>
      <c r="B37" s="5">
        <v>46019</v>
      </c>
      <c r="C37" s="15">
        <f>WEEKNUM(Orders[[#This Row],[OrderDate]])</f>
        <v>53</v>
      </c>
      <c r="D37" s="4" t="s">
        <v>91</v>
      </c>
      <c r="E37" s="4" t="s">
        <v>92</v>
      </c>
      <c r="F37" s="4">
        <v>6</v>
      </c>
      <c r="G37" s="4">
        <v>4838.5</v>
      </c>
      <c r="H37">
        <v>4112.7250000000004</v>
      </c>
      <c r="I37">
        <f>Orders[[#This Row],[Quantity]]*Orders[[#This Row],[Selling Price]]</f>
        <v>29031</v>
      </c>
      <c r="J37">
        <f>Orders[[#This Row],[Quantity]]*Orders[[#This Row],[Cost Price]]</f>
        <v>24676.350000000002</v>
      </c>
      <c r="K37">
        <f>Orders[[#This Row],[Revenue]]-Orders[[#This Row],[Expenses]]</f>
        <v>4354.6499999999978</v>
      </c>
      <c r="L37" t="s">
        <v>2201</v>
      </c>
      <c r="M37" t="str">
        <f>_xlfn.XLOOKUP(Orders[[#This Row],[CustomerID]],Customers[CustomerID],Customers[City])</f>
        <v>Florida</v>
      </c>
      <c r="N37" t="str">
        <f>_xlfn.XLOOKUP(Orders[[#This Row],[CustomerID]],Customers[CustomerID],Customers[CustomerName])</f>
        <v>Uche Abubakar</v>
      </c>
      <c r="O37" t="str">
        <f>_xlfn.XLOOKUP(Orders[[#This Row],[CustomerID]],Customers[CustomerID],Customers[Gender])</f>
        <v>Male</v>
      </c>
      <c r="P37">
        <f>_xlfn.XLOOKUP(Orders[[#This Row],[CustomerID]],Customers[CustomerID],Customers[CustomerAge])</f>
        <v>28</v>
      </c>
      <c r="Q37" t="str">
        <f>IF(Orders[[#This Row],[Age]]&gt;=35,"older","young")</f>
        <v>young</v>
      </c>
      <c r="R37" t="str">
        <f>_xlfn.XLOOKUP(Orders[[#This Row],[ProductID]],Products[ProductID],Products[ProductName])</f>
        <v>CHEST EXPANDER</v>
      </c>
      <c r="S37" t="str">
        <f>_xlfn.XLOOKUP(Orders[[#This Row],[ProductID]],Products!A:A,Products!C:C)</f>
        <v>Gym</v>
      </c>
    </row>
    <row r="38" spans="1:19" x14ac:dyDescent="0.2">
      <c r="A38" s="4" t="s">
        <v>93</v>
      </c>
      <c r="B38" s="5">
        <v>46009</v>
      </c>
      <c r="C38" s="15">
        <f>WEEKNUM(Orders[[#This Row],[OrderDate]])</f>
        <v>51</v>
      </c>
      <c r="D38" s="4" t="s">
        <v>94</v>
      </c>
      <c r="E38" s="4" t="s">
        <v>31</v>
      </c>
      <c r="F38" s="4">
        <v>1</v>
      </c>
      <c r="G38" s="4">
        <v>1604.1</v>
      </c>
      <c r="H38">
        <v>1363.4849999999999</v>
      </c>
      <c r="I38">
        <f>Orders[[#This Row],[Quantity]]*Orders[[#This Row],[Selling Price]]</f>
        <v>1604.1</v>
      </c>
      <c r="J38">
        <f>Orders[[#This Row],[Quantity]]*Orders[[#This Row],[Cost Price]]</f>
        <v>1363.4849999999999</v>
      </c>
      <c r="K38">
        <f>Orders[[#This Row],[Revenue]]-Orders[[#This Row],[Expenses]]</f>
        <v>240.61500000000001</v>
      </c>
      <c r="L38" t="s">
        <v>2206</v>
      </c>
      <c r="M38" t="str">
        <f>_xlfn.XLOOKUP(Orders[[#This Row],[CustomerID]],Customers[CustomerID],Customers[City])</f>
        <v>Texas</v>
      </c>
      <c r="N38" t="str">
        <f>_xlfn.XLOOKUP(Orders[[#This Row],[CustomerID]],Customers[CustomerID],Customers[CustomerName])</f>
        <v>Uche Abubakar</v>
      </c>
      <c r="O38" t="str">
        <f>_xlfn.XLOOKUP(Orders[[#This Row],[CustomerID]],Customers[CustomerID],Customers[Gender])</f>
        <v>Male</v>
      </c>
      <c r="P38">
        <f>_xlfn.XLOOKUP(Orders[[#This Row],[CustomerID]],Customers[CustomerID],Customers[CustomerAge])</f>
        <v>26</v>
      </c>
      <c r="Q38" t="str">
        <f>IF(Orders[[#This Row],[Age]]&gt;=35,"older","young")</f>
        <v>young</v>
      </c>
      <c r="R38" t="str">
        <f>_xlfn.XLOOKUP(Orders[[#This Row],[ProductID]],Products[ProductID],Products[ProductName])</f>
        <v>KIDS GAMES</v>
      </c>
      <c r="S38" t="str">
        <f>_xlfn.XLOOKUP(Orders[[#This Row],[ProductID]],Products!A:A,Products!C:C)</f>
        <v>Games</v>
      </c>
    </row>
    <row r="39" spans="1:19" x14ac:dyDescent="0.2">
      <c r="A39" s="4" t="s">
        <v>95</v>
      </c>
      <c r="B39" s="5">
        <v>45967</v>
      </c>
      <c r="C39" s="15">
        <f>WEEKNUM(Orders[[#This Row],[OrderDate]])</f>
        <v>45</v>
      </c>
      <c r="D39" s="4" t="s">
        <v>96</v>
      </c>
      <c r="E39" s="4" t="s">
        <v>15</v>
      </c>
      <c r="F39" s="4">
        <v>3</v>
      </c>
      <c r="G39" s="4">
        <v>9593.7999999999993</v>
      </c>
      <c r="H39">
        <v>8154.73</v>
      </c>
      <c r="I39">
        <f>Orders[[#This Row],[Quantity]]*Orders[[#This Row],[Selling Price]]</f>
        <v>28781.399999999998</v>
      </c>
      <c r="J39">
        <f>Orders[[#This Row],[Quantity]]*Orders[[#This Row],[Cost Price]]</f>
        <v>24464.19</v>
      </c>
      <c r="K39">
        <f>Orders[[#This Row],[Revenue]]-Orders[[#This Row],[Expenses]]</f>
        <v>4317.2099999999991</v>
      </c>
      <c r="L39" t="s">
        <v>2210</v>
      </c>
      <c r="M39" t="str">
        <f>_xlfn.XLOOKUP(Orders[[#This Row],[CustomerID]],Customers[CustomerID],Customers[City])</f>
        <v>Texas</v>
      </c>
      <c r="N39" t="str">
        <f>_xlfn.XLOOKUP(Orders[[#This Row],[CustomerID]],Customers[CustomerID],Customers[CustomerName])</f>
        <v>Amina Abubakar</v>
      </c>
      <c r="O39" t="str">
        <f>_xlfn.XLOOKUP(Orders[[#This Row],[CustomerID]],Customers[CustomerID],Customers[Gender])</f>
        <v>Female</v>
      </c>
      <c r="P39">
        <f>_xlfn.XLOOKUP(Orders[[#This Row],[CustomerID]],Customers[CustomerID],Customers[CustomerAge])</f>
        <v>35</v>
      </c>
      <c r="Q39" t="str">
        <f>IF(Orders[[#This Row],[Age]]&gt;=35,"older","young")</f>
        <v>older</v>
      </c>
      <c r="R39" t="str">
        <f>_xlfn.XLOOKUP(Orders[[#This Row],[ProductID]],Products[ProductID],Products[ProductName])</f>
        <v>MONOPOLY</v>
      </c>
      <c r="S39" t="str">
        <f>_xlfn.XLOOKUP(Orders[[#This Row],[ProductID]],Products!A:A,Products!C:C)</f>
        <v>Games</v>
      </c>
    </row>
    <row r="40" spans="1:19" x14ac:dyDescent="0.2">
      <c r="A40" s="4" t="s">
        <v>97</v>
      </c>
      <c r="B40" s="5">
        <v>46018</v>
      </c>
      <c r="C40" s="15">
        <f>WEEKNUM(Orders[[#This Row],[OrderDate]])</f>
        <v>52</v>
      </c>
      <c r="D40" s="4" t="s">
        <v>98</v>
      </c>
      <c r="E40" s="4" t="s">
        <v>12</v>
      </c>
      <c r="F40" s="4">
        <v>7</v>
      </c>
      <c r="G40" s="4">
        <v>2440.5</v>
      </c>
      <c r="H40">
        <v>2074.4250000000002</v>
      </c>
      <c r="I40">
        <f>Orders[[#This Row],[Quantity]]*Orders[[#This Row],[Selling Price]]</f>
        <v>17083.5</v>
      </c>
      <c r="J40">
        <f>Orders[[#This Row],[Quantity]]*Orders[[#This Row],[Cost Price]]</f>
        <v>14520.975000000002</v>
      </c>
      <c r="K40">
        <f>Orders[[#This Row],[Revenue]]-Orders[[#This Row],[Expenses]]</f>
        <v>2562.5249999999978</v>
      </c>
      <c r="L40" t="s">
        <v>2215</v>
      </c>
      <c r="M40" t="str">
        <f>_xlfn.XLOOKUP(Orders[[#This Row],[CustomerID]],Customers[CustomerID],Customers[City])</f>
        <v>Illinois</v>
      </c>
      <c r="N40" t="str">
        <f>_xlfn.XLOOKUP(Orders[[#This Row],[CustomerID]],Customers[CustomerID],Customers[CustomerName])</f>
        <v>Chioma Adeyemi</v>
      </c>
      <c r="O40" t="str">
        <f>_xlfn.XLOOKUP(Orders[[#This Row],[CustomerID]],Customers[CustomerID],Customers[Gender])</f>
        <v>Female</v>
      </c>
      <c r="P40">
        <f>_xlfn.XLOOKUP(Orders[[#This Row],[CustomerID]],Customers[CustomerID],Customers[CustomerAge])</f>
        <v>23</v>
      </c>
      <c r="Q40" t="str">
        <f>IF(Orders[[#This Row],[Age]]&gt;=35,"older","young")</f>
        <v>young</v>
      </c>
      <c r="R40" t="str">
        <f>_xlfn.XLOOKUP(Orders[[#This Row],[ProductID]],Products[ProductID],Products[ProductName])</f>
        <v>BOUBOU</v>
      </c>
      <c r="S40" t="str">
        <f>_xlfn.XLOOKUP(Orders[[#This Row],[ProductID]],Products!A:A,Products!C:C)</f>
        <v>Clothing</v>
      </c>
    </row>
    <row r="41" spans="1:19" x14ac:dyDescent="0.2">
      <c r="A41" s="4" t="s">
        <v>99</v>
      </c>
      <c r="B41" s="5">
        <v>45983</v>
      </c>
      <c r="C41" s="15">
        <f>WEEKNUM(Orders[[#This Row],[OrderDate]])</f>
        <v>47</v>
      </c>
      <c r="D41" s="4" t="s">
        <v>41</v>
      </c>
      <c r="E41" s="4" t="s">
        <v>15</v>
      </c>
      <c r="F41" s="4">
        <v>6</v>
      </c>
      <c r="G41" s="4">
        <v>11185.1</v>
      </c>
      <c r="H41">
        <v>9507.3350000000009</v>
      </c>
      <c r="I41">
        <f>Orders[[#This Row],[Quantity]]*Orders[[#This Row],[Selling Price]]</f>
        <v>67110.600000000006</v>
      </c>
      <c r="J41">
        <f>Orders[[#This Row],[Quantity]]*Orders[[#This Row],[Cost Price]]</f>
        <v>57044.010000000009</v>
      </c>
      <c r="K41">
        <f>Orders[[#This Row],[Revenue]]-Orders[[#This Row],[Expenses]]</f>
        <v>10066.589999999997</v>
      </c>
      <c r="L41" t="s">
        <v>2192</v>
      </c>
      <c r="M41" t="str">
        <f>_xlfn.XLOOKUP(Orders[[#This Row],[CustomerID]],Customers[CustomerID],Customers[City])</f>
        <v>Texas</v>
      </c>
      <c r="N41" t="str">
        <f>_xlfn.XLOOKUP(Orders[[#This Row],[CustomerID]],Customers[CustomerID],Customers[CustomerName])</f>
        <v>Mustafa Balogun</v>
      </c>
      <c r="O41" t="str">
        <f>_xlfn.XLOOKUP(Orders[[#This Row],[CustomerID]],Customers[CustomerID],Customers[Gender])</f>
        <v>Male</v>
      </c>
      <c r="P41">
        <f>_xlfn.XLOOKUP(Orders[[#This Row],[CustomerID]],Customers[CustomerID],Customers[CustomerAge])</f>
        <v>40</v>
      </c>
      <c r="Q41" t="str">
        <f>IF(Orders[[#This Row],[Age]]&gt;=35,"older","young")</f>
        <v>older</v>
      </c>
      <c r="R41" t="str">
        <f>_xlfn.XLOOKUP(Orders[[#This Row],[ProductID]],Products[ProductID],Products[ProductName])</f>
        <v>MONOPOLY</v>
      </c>
      <c r="S41" t="str">
        <f>_xlfn.XLOOKUP(Orders[[#This Row],[ProductID]],Products!A:A,Products!C:C)</f>
        <v>Games</v>
      </c>
    </row>
    <row r="42" spans="1:19" x14ac:dyDescent="0.2">
      <c r="A42" s="4" t="s">
        <v>100</v>
      </c>
      <c r="B42" s="5">
        <v>45957</v>
      </c>
      <c r="C42" s="15">
        <f>WEEKNUM(Orders[[#This Row],[OrderDate]])</f>
        <v>44</v>
      </c>
      <c r="D42" s="4" t="s">
        <v>101</v>
      </c>
      <c r="E42" s="4" t="s">
        <v>20</v>
      </c>
      <c r="F42" s="4">
        <v>3</v>
      </c>
      <c r="G42" s="4">
        <v>11411.800000000001</v>
      </c>
      <c r="H42">
        <v>9700.0300000000007</v>
      </c>
      <c r="I42">
        <f>Orders[[#This Row],[Quantity]]*Orders[[#This Row],[Selling Price]]</f>
        <v>34235.4</v>
      </c>
      <c r="J42">
        <f>Orders[[#This Row],[Quantity]]*Orders[[#This Row],[Cost Price]]</f>
        <v>29100.090000000004</v>
      </c>
      <c r="K42">
        <f>Orders[[#This Row],[Revenue]]-Orders[[#This Row],[Expenses]]</f>
        <v>5135.3099999999977</v>
      </c>
      <c r="L42" t="s">
        <v>2201</v>
      </c>
      <c r="M42" t="str">
        <f>_xlfn.XLOOKUP(Orders[[#This Row],[CustomerID]],Customers[CustomerID],Customers[City])</f>
        <v>Texas</v>
      </c>
      <c r="N42" t="str">
        <f>_xlfn.XLOOKUP(Orders[[#This Row],[CustomerID]],Customers[CustomerID],Customers[CustomerName])</f>
        <v>Blessing Eze</v>
      </c>
      <c r="O42" t="str">
        <f>_xlfn.XLOOKUP(Orders[[#This Row],[CustomerID]],Customers[CustomerID],Customers[Gender])</f>
        <v>Female</v>
      </c>
      <c r="P42">
        <f>_xlfn.XLOOKUP(Orders[[#This Row],[CustomerID]],Customers[CustomerID],Customers[CustomerAge])</f>
        <v>55</v>
      </c>
      <c r="Q42" t="str">
        <f>IF(Orders[[#This Row],[Age]]&gt;=35,"older","young")</f>
        <v>older</v>
      </c>
      <c r="R42" t="str">
        <f>_xlfn.XLOOKUP(Orders[[#This Row],[ProductID]],Products[ProductID],Products[ProductName])</f>
        <v>GYM BAG</v>
      </c>
      <c r="S42" t="str">
        <f>_xlfn.XLOOKUP(Orders[[#This Row],[ProductID]],Products!A:A,Products!C:C)</f>
        <v>Gym</v>
      </c>
    </row>
    <row r="43" spans="1:19" x14ac:dyDescent="0.2">
      <c r="A43" s="4" t="s">
        <v>102</v>
      </c>
      <c r="B43" s="5">
        <v>45977</v>
      </c>
      <c r="C43" s="15">
        <f>WEEKNUM(Orders[[#This Row],[OrderDate]])</f>
        <v>47</v>
      </c>
      <c r="D43" s="4" t="s">
        <v>103</v>
      </c>
      <c r="E43" s="4" t="s">
        <v>63</v>
      </c>
      <c r="F43" s="4">
        <v>3</v>
      </c>
      <c r="G43" s="4">
        <v>17165.5</v>
      </c>
      <c r="H43">
        <v>14590.674999999999</v>
      </c>
      <c r="I43">
        <f>Orders[[#This Row],[Quantity]]*Orders[[#This Row],[Selling Price]]</f>
        <v>51496.5</v>
      </c>
      <c r="J43">
        <f>Orders[[#This Row],[Quantity]]*Orders[[#This Row],[Cost Price]]</f>
        <v>43772.024999999994</v>
      </c>
      <c r="K43">
        <f>Orders[[#This Row],[Revenue]]-Orders[[#This Row],[Expenses]]</f>
        <v>7724.4750000000058</v>
      </c>
      <c r="L43" t="s">
        <v>2215</v>
      </c>
      <c r="M43" t="str">
        <f>_xlfn.XLOOKUP(Orders[[#This Row],[CustomerID]],Customers[CustomerID],Customers[City])</f>
        <v>Georgia</v>
      </c>
      <c r="N43" t="str">
        <f>_xlfn.XLOOKUP(Orders[[#This Row],[CustomerID]],Customers[CustomerID],Customers[CustomerName])</f>
        <v>Chioma Adeyemi</v>
      </c>
      <c r="O43" t="str">
        <f>_xlfn.XLOOKUP(Orders[[#This Row],[CustomerID]],Customers[CustomerID],Customers[Gender])</f>
        <v>Female</v>
      </c>
      <c r="P43">
        <f>_xlfn.XLOOKUP(Orders[[#This Row],[CustomerID]],Customers[CustomerID],Customers[CustomerAge])</f>
        <v>31</v>
      </c>
      <c r="Q43" t="str">
        <f>IF(Orders[[#This Row],[Age]]&gt;=35,"older","young")</f>
        <v>young</v>
      </c>
      <c r="R43" t="str">
        <f>_xlfn.XLOOKUP(Orders[[#This Row],[ProductID]],Products[ProductID],Products[ProductName])</f>
        <v>TENNIS BAT</v>
      </c>
      <c r="S43" t="str">
        <f>_xlfn.XLOOKUP(Orders[[#This Row],[ProductID]],Products!A:A,Products!C:C)</f>
        <v>Sports</v>
      </c>
    </row>
    <row r="44" spans="1:19" x14ac:dyDescent="0.2">
      <c r="A44" s="4" t="s">
        <v>104</v>
      </c>
      <c r="B44" s="5">
        <v>46020</v>
      </c>
      <c r="C44" s="15">
        <f>WEEKNUM(Orders[[#This Row],[OrderDate]])</f>
        <v>53</v>
      </c>
      <c r="D44" s="4" t="s">
        <v>105</v>
      </c>
      <c r="E44" s="4" t="s">
        <v>15</v>
      </c>
      <c r="F44" s="4">
        <v>6</v>
      </c>
      <c r="G44" s="4">
        <v>9235.2000000000007</v>
      </c>
      <c r="H44">
        <v>7849.920000000001</v>
      </c>
      <c r="I44">
        <f>Orders[[#This Row],[Quantity]]*Orders[[#This Row],[Selling Price]]</f>
        <v>55411.200000000004</v>
      </c>
      <c r="J44">
        <f>Orders[[#This Row],[Quantity]]*Orders[[#This Row],[Cost Price]]</f>
        <v>47099.520000000004</v>
      </c>
      <c r="K44">
        <f>Orders[[#This Row],[Revenue]]-Orders[[#This Row],[Expenses]]</f>
        <v>8311.68</v>
      </c>
      <c r="L44" t="s">
        <v>2199</v>
      </c>
      <c r="M44" t="str">
        <f>_xlfn.XLOOKUP(Orders[[#This Row],[CustomerID]],Customers[CustomerID],Customers[City])</f>
        <v>Georgia</v>
      </c>
      <c r="N44" t="str">
        <f>_xlfn.XLOOKUP(Orders[[#This Row],[CustomerID]],Customers[CustomerID],Customers[CustomerName])</f>
        <v>Folasade Adeyemi</v>
      </c>
      <c r="O44" t="str">
        <f>_xlfn.XLOOKUP(Orders[[#This Row],[CustomerID]],Customers[CustomerID],Customers[Gender])</f>
        <v>Female</v>
      </c>
      <c r="P44">
        <f>_xlfn.XLOOKUP(Orders[[#This Row],[CustomerID]],Customers[CustomerID],Customers[CustomerAge])</f>
        <v>42</v>
      </c>
      <c r="Q44" t="str">
        <f>IF(Orders[[#This Row],[Age]]&gt;=35,"older","young")</f>
        <v>older</v>
      </c>
      <c r="R44" t="str">
        <f>_xlfn.XLOOKUP(Orders[[#This Row],[ProductID]],Products[ProductID],Products[ProductName])</f>
        <v>MONOPOLY</v>
      </c>
      <c r="S44" t="str">
        <f>_xlfn.XLOOKUP(Orders[[#This Row],[ProductID]],Products!A:A,Products!C:C)</f>
        <v>Games</v>
      </c>
    </row>
    <row r="45" spans="1:19" x14ac:dyDescent="0.2">
      <c r="A45" s="4" t="s">
        <v>106</v>
      </c>
      <c r="B45" s="5">
        <v>45951</v>
      </c>
      <c r="C45" s="15">
        <f>WEEKNUM(Orders[[#This Row],[OrderDate]])</f>
        <v>43</v>
      </c>
      <c r="D45" s="4" t="s">
        <v>107</v>
      </c>
      <c r="E45" s="4" t="s">
        <v>53</v>
      </c>
      <c r="F45" s="4">
        <v>10</v>
      </c>
      <c r="G45" s="4">
        <v>19062</v>
      </c>
      <c r="H45">
        <v>16202.7</v>
      </c>
      <c r="I45">
        <f>Orders[[#This Row],[Quantity]]*Orders[[#This Row],[Selling Price]]</f>
        <v>190620</v>
      </c>
      <c r="J45">
        <f>Orders[[#This Row],[Quantity]]*Orders[[#This Row],[Cost Price]]</f>
        <v>162027</v>
      </c>
      <c r="K45">
        <f>Orders[[#This Row],[Revenue]]-Orders[[#This Row],[Expenses]]</f>
        <v>28593</v>
      </c>
      <c r="L45" t="s">
        <v>2212</v>
      </c>
      <c r="M45" t="str">
        <f>_xlfn.XLOOKUP(Orders[[#This Row],[CustomerID]],Customers[CustomerID],Customers[City])</f>
        <v>Texas</v>
      </c>
      <c r="N45" t="str">
        <f>_xlfn.XLOOKUP(Orders[[#This Row],[CustomerID]],Customers[CustomerID],Customers[CustomerName])</f>
        <v>Blessing Eze</v>
      </c>
      <c r="O45" t="str">
        <f>_xlfn.XLOOKUP(Orders[[#This Row],[CustomerID]],Customers[CustomerID],Customers[Gender])</f>
        <v>Female</v>
      </c>
      <c r="P45">
        <f>_xlfn.XLOOKUP(Orders[[#This Row],[CustomerID]],Customers[CustomerID],Customers[CustomerAge])</f>
        <v>44</v>
      </c>
      <c r="Q45" t="str">
        <f>IF(Orders[[#This Row],[Age]]&gt;=35,"older","young")</f>
        <v>older</v>
      </c>
      <c r="R45" t="str">
        <f>_xlfn.XLOOKUP(Orders[[#This Row],[ProductID]],Products[ProductID],Products[ProductName])</f>
        <v>SILVER BANGLES</v>
      </c>
      <c r="S45" t="str">
        <f>_xlfn.XLOOKUP(Orders[[#This Row],[ProductID]],Products!A:A,Products!C:C)</f>
        <v>Accessories</v>
      </c>
    </row>
    <row r="46" spans="1:19" x14ac:dyDescent="0.2">
      <c r="A46" s="4" t="s">
        <v>108</v>
      </c>
      <c r="B46" s="5">
        <v>45961</v>
      </c>
      <c r="C46" s="15">
        <f>WEEKNUM(Orders[[#This Row],[OrderDate]])</f>
        <v>44</v>
      </c>
      <c r="D46" s="4" t="s">
        <v>103</v>
      </c>
      <c r="E46" s="4" t="s">
        <v>57</v>
      </c>
      <c r="F46" s="4">
        <v>9</v>
      </c>
      <c r="G46" s="4">
        <v>11068</v>
      </c>
      <c r="H46">
        <v>9407.7999999999993</v>
      </c>
      <c r="I46">
        <f>Orders[[#This Row],[Quantity]]*Orders[[#This Row],[Selling Price]]</f>
        <v>99612</v>
      </c>
      <c r="J46">
        <f>Orders[[#This Row],[Quantity]]*Orders[[#This Row],[Cost Price]]</f>
        <v>84670.2</v>
      </c>
      <c r="K46">
        <f>Orders[[#This Row],[Revenue]]-Orders[[#This Row],[Expenses]]</f>
        <v>14941.800000000003</v>
      </c>
      <c r="L46" t="s">
        <v>2192</v>
      </c>
      <c r="M46" t="str">
        <f>_xlfn.XLOOKUP(Orders[[#This Row],[CustomerID]],Customers[CustomerID],Customers[City])</f>
        <v>Georgia</v>
      </c>
      <c r="N46" t="str">
        <f>_xlfn.XLOOKUP(Orders[[#This Row],[CustomerID]],Customers[CustomerID],Customers[CustomerName])</f>
        <v>Chioma Adeyemi</v>
      </c>
      <c r="O46" t="str">
        <f>_xlfn.XLOOKUP(Orders[[#This Row],[CustomerID]],Customers[CustomerID],Customers[Gender])</f>
        <v>Female</v>
      </c>
      <c r="P46">
        <f>_xlfn.XLOOKUP(Orders[[#This Row],[CustomerID]],Customers[CustomerID],Customers[CustomerAge])</f>
        <v>31</v>
      </c>
      <c r="Q46" t="str">
        <f>IF(Orders[[#This Row],[Age]]&gt;=35,"older","young")</f>
        <v>young</v>
      </c>
      <c r="R46" t="str">
        <f>_xlfn.XLOOKUP(Orders[[#This Row],[ProductID]],Products[ProductID],Products[ProductName])</f>
        <v>BADMINTON RACKET</v>
      </c>
      <c r="S46" t="str">
        <f>_xlfn.XLOOKUP(Orders[[#This Row],[ProductID]],Products!A:A,Products!C:C)</f>
        <v>Sports</v>
      </c>
    </row>
    <row r="47" spans="1:19" x14ac:dyDescent="0.2">
      <c r="A47" s="4" t="s">
        <v>109</v>
      </c>
      <c r="B47" s="5">
        <v>45934</v>
      </c>
      <c r="C47" s="15">
        <f>WEEKNUM(Orders[[#This Row],[OrderDate]])</f>
        <v>40</v>
      </c>
      <c r="D47" s="4" t="s">
        <v>110</v>
      </c>
      <c r="E47" s="4" t="s">
        <v>111</v>
      </c>
      <c r="F47" s="4">
        <v>8</v>
      </c>
      <c r="G47" s="4">
        <v>13635.5</v>
      </c>
      <c r="H47">
        <v>11590.174999999999</v>
      </c>
      <c r="I47">
        <f>Orders[[#This Row],[Quantity]]*Orders[[#This Row],[Selling Price]]</f>
        <v>109084</v>
      </c>
      <c r="J47">
        <f>Orders[[#This Row],[Quantity]]*Orders[[#This Row],[Cost Price]]</f>
        <v>92721.4</v>
      </c>
      <c r="K47">
        <f>Orders[[#This Row],[Revenue]]-Orders[[#This Row],[Expenses]]</f>
        <v>16362.600000000006</v>
      </c>
      <c r="L47" t="s">
        <v>2213</v>
      </c>
      <c r="M47" t="str">
        <f>_xlfn.XLOOKUP(Orders[[#This Row],[CustomerID]],Customers[CustomerID],Customers[City])</f>
        <v>Washington</v>
      </c>
      <c r="N47" t="str">
        <f>_xlfn.XLOOKUP(Orders[[#This Row],[CustomerID]],Customers[CustomerID],Customers[CustomerName])</f>
        <v>Ngozi Danladi</v>
      </c>
      <c r="O47" t="str">
        <f>_xlfn.XLOOKUP(Orders[[#This Row],[CustomerID]],Customers[CustomerID],Customers[Gender])</f>
        <v>Female</v>
      </c>
      <c r="P47">
        <f>_xlfn.XLOOKUP(Orders[[#This Row],[CustomerID]],Customers[CustomerID],Customers[CustomerAge])</f>
        <v>28</v>
      </c>
      <c r="Q47" t="str">
        <f>IF(Orders[[#This Row],[Age]]&gt;=35,"older","young")</f>
        <v>young</v>
      </c>
      <c r="R47" t="str">
        <f>_xlfn.XLOOKUP(Orders[[#This Row],[ProductID]],Products[ProductID],Products[ProductName])</f>
        <v>REFRIGERATOR</v>
      </c>
      <c r="S47" t="str">
        <f>_xlfn.XLOOKUP(Orders[[#This Row],[ProductID]],Products!A:A,Products!C:C)</f>
        <v>Electronics</v>
      </c>
    </row>
    <row r="48" spans="1:19" x14ac:dyDescent="0.2">
      <c r="A48" s="4" t="s">
        <v>112</v>
      </c>
      <c r="B48" s="5">
        <v>45991</v>
      </c>
      <c r="C48" s="15">
        <f>WEEKNUM(Orders[[#This Row],[OrderDate]])</f>
        <v>49</v>
      </c>
      <c r="D48" s="4" t="s">
        <v>113</v>
      </c>
      <c r="E48" s="4" t="s">
        <v>15</v>
      </c>
      <c r="F48" s="4">
        <v>4</v>
      </c>
      <c r="G48" s="4">
        <v>11301.7</v>
      </c>
      <c r="H48">
        <v>9606.4449999999997</v>
      </c>
      <c r="I48">
        <f>Orders[[#This Row],[Quantity]]*Orders[[#This Row],[Selling Price]]</f>
        <v>45206.8</v>
      </c>
      <c r="J48">
        <f>Orders[[#This Row],[Quantity]]*Orders[[#This Row],[Cost Price]]</f>
        <v>38425.78</v>
      </c>
      <c r="K48">
        <f>Orders[[#This Row],[Revenue]]-Orders[[#This Row],[Expenses]]</f>
        <v>6781.0200000000041</v>
      </c>
      <c r="L48" t="s">
        <v>2193</v>
      </c>
      <c r="M48" t="str">
        <f>_xlfn.XLOOKUP(Orders[[#This Row],[CustomerID]],Customers[CustomerID],Customers[City])</f>
        <v>Texas</v>
      </c>
      <c r="N48" t="str">
        <f>_xlfn.XLOOKUP(Orders[[#This Row],[CustomerID]],Customers[CustomerID],Customers[CustomerName])</f>
        <v>Uche Igwe</v>
      </c>
      <c r="O48" t="str">
        <f>_xlfn.XLOOKUP(Orders[[#This Row],[CustomerID]],Customers[CustomerID],Customers[Gender])</f>
        <v>Male</v>
      </c>
      <c r="P48">
        <f>_xlfn.XLOOKUP(Orders[[#This Row],[CustomerID]],Customers[CustomerID],Customers[CustomerAge])</f>
        <v>35</v>
      </c>
      <c r="Q48" t="str">
        <f>IF(Orders[[#This Row],[Age]]&gt;=35,"older","young")</f>
        <v>older</v>
      </c>
      <c r="R48" t="str">
        <f>_xlfn.XLOOKUP(Orders[[#This Row],[ProductID]],Products[ProductID],Products[ProductName])</f>
        <v>MONOPOLY</v>
      </c>
      <c r="S48" t="str">
        <f>_xlfn.XLOOKUP(Orders[[#This Row],[ProductID]],Products!A:A,Products!C:C)</f>
        <v>Games</v>
      </c>
    </row>
    <row r="49" spans="1:19" x14ac:dyDescent="0.2">
      <c r="A49" s="4" t="s">
        <v>114</v>
      </c>
      <c r="B49" s="5">
        <v>45972</v>
      </c>
      <c r="C49" s="15">
        <f>WEEKNUM(Orders[[#This Row],[OrderDate]])</f>
        <v>46</v>
      </c>
      <c r="D49" s="4" t="s">
        <v>62</v>
      </c>
      <c r="E49" s="4" t="s">
        <v>23</v>
      </c>
      <c r="F49" s="4">
        <v>8</v>
      </c>
      <c r="G49" s="4">
        <v>4653.3999999999996</v>
      </c>
      <c r="H49">
        <v>3955.39</v>
      </c>
      <c r="I49">
        <f>Orders[[#This Row],[Quantity]]*Orders[[#This Row],[Selling Price]]</f>
        <v>37227.199999999997</v>
      </c>
      <c r="J49">
        <f>Orders[[#This Row],[Quantity]]*Orders[[#This Row],[Cost Price]]</f>
        <v>31643.119999999999</v>
      </c>
      <c r="K49">
        <f>Orders[[#This Row],[Revenue]]-Orders[[#This Row],[Expenses]]</f>
        <v>5584.0799999999981</v>
      </c>
      <c r="L49" t="s">
        <v>2192</v>
      </c>
      <c r="M49" t="str">
        <f>_xlfn.XLOOKUP(Orders[[#This Row],[CustomerID]],Customers[CustomerID],Customers[City])</f>
        <v>Texas</v>
      </c>
      <c r="N49" t="str">
        <f>_xlfn.XLOOKUP(Orders[[#This Row],[CustomerID]],Customers[CustomerID],Customers[CustomerName])</f>
        <v>Ronke Okonkwo</v>
      </c>
      <c r="O49" t="str">
        <f>_xlfn.XLOOKUP(Orders[[#This Row],[CustomerID]],Customers[CustomerID],Customers[Gender])</f>
        <v>Female</v>
      </c>
      <c r="P49">
        <f>_xlfn.XLOOKUP(Orders[[#This Row],[CustomerID]],Customers[CustomerID],Customers[CustomerAge])</f>
        <v>36</v>
      </c>
      <c r="Q49" t="str">
        <f>IF(Orders[[#This Row],[Age]]&gt;=35,"older","young")</f>
        <v>older</v>
      </c>
      <c r="R49" t="str">
        <f>_xlfn.XLOOKUP(Orders[[#This Row],[ProductID]],Products[ProductID],Products[ProductName])</f>
        <v>GYM GLOVES</v>
      </c>
      <c r="S49" t="str">
        <f>_xlfn.XLOOKUP(Orders[[#This Row],[ProductID]],Products!A:A,Products!C:C)</f>
        <v>Gym</v>
      </c>
    </row>
    <row r="50" spans="1:19" x14ac:dyDescent="0.2">
      <c r="A50" s="4" t="s">
        <v>115</v>
      </c>
      <c r="B50" s="5">
        <v>45938</v>
      </c>
      <c r="C50" s="15">
        <f>WEEKNUM(Orders[[#This Row],[OrderDate]])</f>
        <v>41</v>
      </c>
      <c r="D50" s="4" t="s">
        <v>116</v>
      </c>
      <c r="E50" s="4" t="s">
        <v>20</v>
      </c>
      <c r="F50" s="4">
        <v>1</v>
      </c>
      <c r="G50" s="4">
        <v>9086.6</v>
      </c>
      <c r="H50">
        <v>7723.6100000000006</v>
      </c>
      <c r="I50">
        <f>Orders[[#This Row],[Quantity]]*Orders[[#This Row],[Selling Price]]</f>
        <v>9086.6</v>
      </c>
      <c r="J50">
        <f>Orders[[#This Row],[Quantity]]*Orders[[#This Row],[Cost Price]]</f>
        <v>7723.6100000000006</v>
      </c>
      <c r="K50">
        <f>Orders[[#This Row],[Revenue]]-Orders[[#This Row],[Expenses]]</f>
        <v>1362.9899999999998</v>
      </c>
      <c r="L50" t="s">
        <v>2197</v>
      </c>
      <c r="M50" t="str">
        <f>_xlfn.XLOOKUP(Orders[[#This Row],[CustomerID]],Customers[CustomerID],Customers[City])</f>
        <v>Texas</v>
      </c>
      <c r="N50" t="str">
        <f>_xlfn.XLOOKUP(Orders[[#This Row],[CustomerID]],Customers[CustomerID],Customers[CustomerName])</f>
        <v>Uche Bello</v>
      </c>
      <c r="O50" t="str">
        <f>_xlfn.XLOOKUP(Orders[[#This Row],[CustomerID]],Customers[CustomerID],Customers[Gender])</f>
        <v>Male</v>
      </c>
      <c r="P50">
        <f>_xlfn.XLOOKUP(Orders[[#This Row],[CustomerID]],Customers[CustomerID],Customers[CustomerAge])</f>
        <v>21</v>
      </c>
      <c r="Q50" t="str">
        <f>IF(Orders[[#This Row],[Age]]&gt;=35,"older","young")</f>
        <v>young</v>
      </c>
      <c r="R50" t="str">
        <f>_xlfn.XLOOKUP(Orders[[#This Row],[ProductID]],Products[ProductID],Products[ProductName])</f>
        <v>GYM BAG</v>
      </c>
      <c r="S50" t="str">
        <f>_xlfn.XLOOKUP(Orders[[#This Row],[ProductID]],Products!A:A,Products!C:C)</f>
        <v>Gym</v>
      </c>
    </row>
    <row r="51" spans="1:19" x14ac:dyDescent="0.2">
      <c r="A51" s="4" t="s">
        <v>117</v>
      </c>
      <c r="B51" s="5">
        <v>45983</v>
      </c>
      <c r="C51" s="15">
        <f>WEEKNUM(Orders[[#This Row],[OrderDate]])</f>
        <v>47</v>
      </c>
      <c r="D51" s="4" t="s">
        <v>118</v>
      </c>
      <c r="E51" s="4" t="s">
        <v>81</v>
      </c>
      <c r="F51" s="4">
        <v>7</v>
      </c>
      <c r="G51" s="4">
        <v>17644.3</v>
      </c>
      <c r="H51">
        <v>14997.654999999999</v>
      </c>
      <c r="I51">
        <f>Orders[[#This Row],[Quantity]]*Orders[[#This Row],[Selling Price]]</f>
        <v>123510.09999999999</v>
      </c>
      <c r="J51">
        <f>Orders[[#This Row],[Quantity]]*Orders[[#This Row],[Cost Price]]</f>
        <v>104983.58499999999</v>
      </c>
      <c r="K51">
        <f>Orders[[#This Row],[Revenue]]-Orders[[#This Row],[Expenses]]</f>
        <v>18526.514999999999</v>
      </c>
      <c r="L51" t="s">
        <v>2195</v>
      </c>
      <c r="M51" t="str">
        <f>_xlfn.XLOOKUP(Orders[[#This Row],[CustomerID]],Customers[CustomerID],Customers[City])</f>
        <v>Georgia</v>
      </c>
      <c r="N51" t="str">
        <f>_xlfn.XLOOKUP(Orders[[#This Row],[CustomerID]],Customers[CustomerID],Customers[CustomerName])</f>
        <v>Ibrahim Balogun</v>
      </c>
      <c r="O51" t="str">
        <f>_xlfn.XLOOKUP(Orders[[#This Row],[CustomerID]],Customers[CustomerID],Customers[Gender])</f>
        <v>Male</v>
      </c>
      <c r="P51">
        <f>_xlfn.XLOOKUP(Orders[[#This Row],[CustomerID]],Customers[CustomerID],Customers[CustomerAge])</f>
        <v>55</v>
      </c>
      <c r="Q51" t="str">
        <f>IF(Orders[[#This Row],[Age]]&gt;=35,"older","young")</f>
        <v>older</v>
      </c>
      <c r="R51" t="str">
        <f>_xlfn.XLOOKUP(Orders[[#This Row],[ProductID]],Products[ProductID],Products[ProductName])</f>
        <v>TROUSERS</v>
      </c>
      <c r="S51" t="str">
        <f>_xlfn.XLOOKUP(Orders[[#This Row],[ProductID]],Products!A:A,Products!C:C)</f>
        <v>Clothing</v>
      </c>
    </row>
    <row r="52" spans="1:19" x14ac:dyDescent="0.2">
      <c r="A52" s="4" t="s">
        <v>119</v>
      </c>
      <c r="B52" s="5">
        <v>46003</v>
      </c>
      <c r="C52" s="15">
        <f>WEEKNUM(Orders[[#This Row],[OrderDate]])</f>
        <v>50</v>
      </c>
      <c r="D52" s="4" t="s">
        <v>103</v>
      </c>
      <c r="E52" s="4" t="s">
        <v>120</v>
      </c>
      <c r="F52" s="4">
        <v>9</v>
      </c>
      <c r="G52" s="4">
        <v>4622.7999999999993</v>
      </c>
      <c r="H52">
        <v>3929.3799999999992</v>
      </c>
      <c r="I52">
        <f>Orders[[#This Row],[Quantity]]*Orders[[#This Row],[Selling Price]]</f>
        <v>41605.199999999997</v>
      </c>
      <c r="J52">
        <f>Orders[[#This Row],[Quantity]]*Orders[[#This Row],[Cost Price]]</f>
        <v>35364.419999999991</v>
      </c>
      <c r="K52">
        <f>Orders[[#This Row],[Revenue]]-Orders[[#This Row],[Expenses]]</f>
        <v>6240.7800000000061</v>
      </c>
      <c r="L52" t="s">
        <v>2210</v>
      </c>
      <c r="M52" t="str">
        <f>_xlfn.XLOOKUP(Orders[[#This Row],[CustomerID]],Customers[CustomerID],Customers[City])</f>
        <v>Georgia</v>
      </c>
      <c r="N52" t="str">
        <f>_xlfn.XLOOKUP(Orders[[#This Row],[CustomerID]],Customers[CustomerID],Customers[CustomerName])</f>
        <v>Chioma Adeyemi</v>
      </c>
      <c r="O52" t="str">
        <f>_xlfn.XLOOKUP(Orders[[#This Row],[CustomerID]],Customers[CustomerID],Customers[Gender])</f>
        <v>Female</v>
      </c>
      <c r="P52">
        <f>_xlfn.XLOOKUP(Orders[[#This Row],[CustomerID]],Customers[CustomerID],Customers[CustomerAge])</f>
        <v>31</v>
      </c>
      <c r="Q52" t="str">
        <f>IF(Orders[[#This Row],[Age]]&gt;=35,"older","young")</f>
        <v>young</v>
      </c>
      <c r="R52" t="str">
        <f>_xlfn.XLOOKUP(Orders[[#This Row],[ProductID]],Products[ProductID],Products[ProductName])</f>
        <v>CHESS</v>
      </c>
      <c r="S52" t="str">
        <f>_xlfn.XLOOKUP(Orders[[#This Row],[ProductID]],Products!A:A,Products!C:C)</f>
        <v>Games</v>
      </c>
    </row>
    <row r="53" spans="1:19" x14ac:dyDescent="0.2">
      <c r="A53" s="4" t="s">
        <v>121</v>
      </c>
      <c r="B53" s="5">
        <v>45975</v>
      </c>
      <c r="C53" s="15">
        <f>WEEKNUM(Orders[[#This Row],[OrderDate]])</f>
        <v>46</v>
      </c>
      <c r="D53" s="4" t="s">
        <v>122</v>
      </c>
      <c r="E53" s="4" t="s">
        <v>60</v>
      </c>
      <c r="F53" s="4">
        <v>1</v>
      </c>
      <c r="G53" s="4">
        <v>11910.3</v>
      </c>
      <c r="H53">
        <v>10123.754999999999</v>
      </c>
      <c r="I53">
        <f>Orders[[#This Row],[Quantity]]*Orders[[#This Row],[Selling Price]]</f>
        <v>11910.3</v>
      </c>
      <c r="J53">
        <f>Orders[[#This Row],[Quantity]]*Orders[[#This Row],[Cost Price]]</f>
        <v>10123.754999999999</v>
      </c>
      <c r="K53">
        <f>Orders[[#This Row],[Revenue]]-Orders[[#This Row],[Expenses]]</f>
        <v>1786.5450000000001</v>
      </c>
      <c r="L53" t="s">
        <v>2201</v>
      </c>
      <c r="M53" t="str">
        <f>_xlfn.XLOOKUP(Orders[[#This Row],[CustomerID]],Customers[CustomerID],Customers[City])</f>
        <v>Texas</v>
      </c>
      <c r="N53" t="str">
        <f>_xlfn.XLOOKUP(Orders[[#This Row],[CustomerID]],Customers[CustomerID],Customers[CustomerName])</f>
        <v>Ibrahim Eze</v>
      </c>
      <c r="O53" t="str">
        <f>_xlfn.XLOOKUP(Orders[[#This Row],[CustomerID]],Customers[CustomerID],Customers[Gender])</f>
        <v>Male</v>
      </c>
      <c r="P53">
        <f>_xlfn.XLOOKUP(Orders[[#This Row],[CustomerID]],Customers[CustomerID],Customers[CustomerAge])</f>
        <v>52</v>
      </c>
      <c r="Q53" t="str">
        <f>IF(Orders[[#This Row],[Age]]&gt;=35,"older","young")</f>
        <v>older</v>
      </c>
      <c r="R53" t="str">
        <f>_xlfn.XLOOKUP(Orders[[#This Row],[ProductID]],Products[ProductID],Products[ProductName])</f>
        <v>SILVER RINGS</v>
      </c>
      <c r="S53" t="str">
        <f>_xlfn.XLOOKUP(Orders[[#This Row],[ProductID]],Products!A:A,Products!C:C)</f>
        <v>Accessories</v>
      </c>
    </row>
    <row r="54" spans="1:19" x14ac:dyDescent="0.2">
      <c r="A54" s="4" t="s">
        <v>123</v>
      </c>
      <c r="B54" s="5">
        <v>45981</v>
      </c>
      <c r="C54" s="15">
        <f>WEEKNUM(Orders[[#This Row],[OrderDate]])</f>
        <v>47</v>
      </c>
      <c r="D54" s="4" t="s">
        <v>124</v>
      </c>
      <c r="E54" s="4" t="s">
        <v>125</v>
      </c>
      <c r="F54" s="4">
        <v>2</v>
      </c>
      <c r="G54" s="4">
        <v>2449.9</v>
      </c>
      <c r="H54">
        <v>2082.415</v>
      </c>
      <c r="I54">
        <f>Orders[[#This Row],[Quantity]]*Orders[[#This Row],[Selling Price]]</f>
        <v>4899.8</v>
      </c>
      <c r="J54">
        <f>Orders[[#This Row],[Quantity]]*Orders[[#This Row],[Cost Price]]</f>
        <v>4164.83</v>
      </c>
      <c r="K54">
        <f>Orders[[#This Row],[Revenue]]-Orders[[#This Row],[Expenses]]</f>
        <v>734.97000000000025</v>
      </c>
      <c r="L54" t="s">
        <v>2197</v>
      </c>
      <c r="M54" t="str">
        <f>_xlfn.XLOOKUP(Orders[[#This Row],[CustomerID]],Customers[CustomerID],Customers[City])</f>
        <v>Texas</v>
      </c>
      <c r="N54" t="str">
        <f>_xlfn.XLOOKUP(Orders[[#This Row],[CustomerID]],Customers[CustomerID],Customers[CustomerName])</f>
        <v>Ngozi Ojo</v>
      </c>
      <c r="O54" t="str">
        <f>_xlfn.XLOOKUP(Orders[[#This Row],[CustomerID]],Customers[CustomerID],Customers[Gender])</f>
        <v>Female</v>
      </c>
      <c r="P54">
        <f>_xlfn.XLOOKUP(Orders[[#This Row],[CustomerID]],Customers[CustomerID],Customers[CustomerAge])</f>
        <v>22</v>
      </c>
      <c r="Q54" t="str">
        <f>IF(Orders[[#This Row],[Age]]&gt;=35,"older","young")</f>
        <v>young</v>
      </c>
      <c r="R54" t="str">
        <f>_xlfn.XLOOKUP(Orders[[#This Row],[ProductID]],Products[ProductID],Products[ProductName])</f>
        <v>EARRINGS</v>
      </c>
      <c r="S54" t="str">
        <f>_xlfn.XLOOKUP(Orders[[#This Row],[ProductID]],Products!A:A,Products!C:C)</f>
        <v>Accessories</v>
      </c>
    </row>
    <row r="55" spans="1:19" x14ac:dyDescent="0.2">
      <c r="A55" s="4" t="s">
        <v>126</v>
      </c>
      <c r="B55" s="5">
        <v>45985</v>
      </c>
      <c r="C55" s="15">
        <f>WEEKNUM(Orders[[#This Row],[OrderDate]])</f>
        <v>48</v>
      </c>
      <c r="D55" s="4" t="s">
        <v>73</v>
      </c>
      <c r="E55" s="4" t="s">
        <v>127</v>
      </c>
      <c r="F55" s="4">
        <v>5</v>
      </c>
      <c r="G55" s="4">
        <v>18514.900000000001</v>
      </c>
      <c r="H55">
        <v>15737.665000000001</v>
      </c>
      <c r="I55">
        <f>Orders[[#This Row],[Quantity]]*Orders[[#This Row],[Selling Price]]</f>
        <v>92574.5</v>
      </c>
      <c r="J55">
        <f>Orders[[#This Row],[Quantity]]*Orders[[#This Row],[Cost Price]]</f>
        <v>78688.325000000012</v>
      </c>
      <c r="K55">
        <f>Orders[[#This Row],[Revenue]]-Orders[[#This Row],[Expenses]]</f>
        <v>13886.174999999988</v>
      </c>
      <c r="L55" t="s">
        <v>2210</v>
      </c>
      <c r="M55" t="str">
        <f>_xlfn.XLOOKUP(Orders[[#This Row],[CustomerID]],Customers[CustomerID],Customers[City])</f>
        <v>California</v>
      </c>
      <c r="N55" t="str">
        <f>_xlfn.XLOOKUP(Orders[[#This Row],[CustomerID]],Customers[CustomerID],Customers[CustomerName])</f>
        <v>Ronke Okonkwo</v>
      </c>
      <c r="O55" t="str">
        <f>_xlfn.XLOOKUP(Orders[[#This Row],[CustomerID]],Customers[CustomerID],Customers[Gender])</f>
        <v>Female</v>
      </c>
      <c r="P55">
        <f>_xlfn.XLOOKUP(Orders[[#This Row],[CustomerID]],Customers[CustomerID],Customers[CustomerAge])</f>
        <v>20</v>
      </c>
      <c r="Q55" t="str">
        <f>IF(Orders[[#This Row],[Age]]&gt;=35,"older","young")</f>
        <v>young</v>
      </c>
      <c r="R55" t="str">
        <f>_xlfn.XLOOKUP(Orders[[#This Row],[ProductID]],Products[ProductID],Products[ProductName])</f>
        <v>TOPS</v>
      </c>
      <c r="S55" t="str">
        <f>_xlfn.XLOOKUP(Orders[[#This Row],[ProductID]],Products!A:A,Products!C:C)</f>
        <v>Clothing</v>
      </c>
    </row>
    <row r="56" spans="1:19" x14ac:dyDescent="0.2">
      <c r="A56" s="4" t="s">
        <v>128</v>
      </c>
      <c r="B56" s="5">
        <v>45963</v>
      </c>
      <c r="C56" s="15">
        <f>WEEKNUM(Orders[[#This Row],[OrderDate]])</f>
        <v>45</v>
      </c>
      <c r="D56" s="4" t="s">
        <v>129</v>
      </c>
      <c r="E56" s="4" t="s">
        <v>130</v>
      </c>
      <c r="F56" s="4">
        <v>3</v>
      </c>
      <c r="G56" s="4">
        <v>9261.5</v>
      </c>
      <c r="H56">
        <v>7872.2749999999996</v>
      </c>
      <c r="I56">
        <f>Orders[[#This Row],[Quantity]]*Orders[[#This Row],[Selling Price]]</f>
        <v>27784.5</v>
      </c>
      <c r="J56">
        <f>Orders[[#This Row],[Quantity]]*Orders[[#This Row],[Cost Price]]</f>
        <v>23616.824999999997</v>
      </c>
      <c r="K56">
        <f>Orders[[#This Row],[Revenue]]-Orders[[#This Row],[Expenses]]</f>
        <v>4167.6750000000029</v>
      </c>
      <c r="L56" t="s">
        <v>2216</v>
      </c>
      <c r="M56" t="str">
        <f>_xlfn.XLOOKUP(Orders[[#This Row],[CustomerID]],Customers[CustomerID],Customers[City])</f>
        <v>Washington</v>
      </c>
      <c r="N56" t="str">
        <f>_xlfn.XLOOKUP(Orders[[#This Row],[CustomerID]],Customers[CustomerID],Customers[CustomerName])</f>
        <v>Chioma Ojo</v>
      </c>
      <c r="O56" t="str">
        <f>_xlfn.XLOOKUP(Orders[[#This Row],[CustomerID]],Customers[CustomerID],Customers[Gender])</f>
        <v>Female</v>
      </c>
      <c r="P56">
        <f>_xlfn.XLOOKUP(Orders[[#This Row],[CustomerID]],Customers[CustomerID],Customers[CustomerAge])</f>
        <v>46</v>
      </c>
      <c r="Q56" t="str">
        <f>IF(Orders[[#This Row],[Age]]&gt;=35,"older","young")</f>
        <v>older</v>
      </c>
      <c r="R56" t="str">
        <f>_xlfn.XLOOKUP(Orders[[#This Row],[ProductID]],Products[ProductID],Products[ProductName])</f>
        <v>GOLD EARRINGS AND NECKLACES</v>
      </c>
      <c r="S56" t="str">
        <f>_xlfn.XLOOKUP(Orders[[#This Row],[ProductID]],Products!A:A,Products!C:C)</f>
        <v>Accessories</v>
      </c>
    </row>
    <row r="57" spans="1:19" x14ac:dyDescent="0.2">
      <c r="A57" s="4" t="s">
        <v>131</v>
      </c>
      <c r="B57" s="5">
        <v>46010</v>
      </c>
      <c r="C57" s="15">
        <f>WEEKNUM(Orders[[#This Row],[OrderDate]])</f>
        <v>51</v>
      </c>
      <c r="D57" s="4" t="s">
        <v>132</v>
      </c>
      <c r="E57" s="4" t="s">
        <v>111</v>
      </c>
      <c r="F57" s="4">
        <v>1</v>
      </c>
      <c r="G57" s="4">
        <v>15730</v>
      </c>
      <c r="H57">
        <v>13370.5</v>
      </c>
      <c r="I57">
        <f>Orders[[#This Row],[Quantity]]*Orders[[#This Row],[Selling Price]]</f>
        <v>15730</v>
      </c>
      <c r="J57">
        <f>Orders[[#This Row],[Quantity]]*Orders[[#This Row],[Cost Price]]</f>
        <v>13370.5</v>
      </c>
      <c r="K57">
        <f>Orders[[#This Row],[Revenue]]-Orders[[#This Row],[Expenses]]</f>
        <v>2359.5</v>
      </c>
      <c r="L57" t="s">
        <v>2217</v>
      </c>
      <c r="M57" t="str">
        <f>_xlfn.XLOOKUP(Orders[[#This Row],[CustomerID]],Customers[CustomerID],Customers[City])</f>
        <v>Illinois</v>
      </c>
      <c r="N57" t="str">
        <f>_xlfn.XLOOKUP(Orders[[#This Row],[CustomerID]],Customers[CustomerID],Customers[CustomerName])</f>
        <v>Emeka Balogun</v>
      </c>
      <c r="O57" t="str">
        <f>_xlfn.XLOOKUP(Orders[[#This Row],[CustomerID]],Customers[CustomerID],Customers[Gender])</f>
        <v>Male</v>
      </c>
      <c r="P57">
        <f>_xlfn.XLOOKUP(Orders[[#This Row],[CustomerID]],Customers[CustomerID],Customers[CustomerAge])</f>
        <v>36</v>
      </c>
      <c r="Q57" t="str">
        <f>IF(Orders[[#This Row],[Age]]&gt;=35,"older","young")</f>
        <v>older</v>
      </c>
      <c r="R57" t="str">
        <f>_xlfn.XLOOKUP(Orders[[#This Row],[ProductID]],Products[ProductID],Products[ProductName])</f>
        <v>REFRIGERATOR</v>
      </c>
      <c r="S57" t="str">
        <f>_xlfn.XLOOKUP(Orders[[#This Row],[ProductID]],Products!A:A,Products!C:C)</f>
        <v>Electronics</v>
      </c>
    </row>
    <row r="58" spans="1:19" x14ac:dyDescent="0.2">
      <c r="A58" s="4" t="s">
        <v>133</v>
      </c>
      <c r="B58" s="5">
        <v>45937</v>
      </c>
      <c r="C58" s="15">
        <f>WEEKNUM(Orders[[#This Row],[OrderDate]])</f>
        <v>41</v>
      </c>
      <c r="D58" s="4" t="s">
        <v>134</v>
      </c>
      <c r="E58" s="4" t="s">
        <v>111</v>
      </c>
      <c r="F58" s="4">
        <v>2</v>
      </c>
      <c r="G58" s="4">
        <v>16144.300000000001</v>
      </c>
      <c r="H58">
        <v>13722.655000000001</v>
      </c>
      <c r="I58">
        <f>Orders[[#This Row],[Quantity]]*Orders[[#This Row],[Selling Price]]</f>
        <v>32288.600000000002</v>
      </c>
      <c r="J58">
        <f>Orders[[#This Row],[Quantity]]*Orders[[#This Row],[Cost Price]]</f>
        <v>27445.31</v>
      </c>
      <c r="K58">
        <f>Orders[[#This Row],[Revenue]]-Orders[[#This Row],[Expenses]]</f>
        <v>4843.2900000000009</v>
      </c>
      <c r="L58" t="s">
        <v>2218</v>
      </c>
      <c r="M58" t="str">
        <f>_xlfn.XLOOKUP(Orders[[#This Row],[CustomerID]],Customers[CustomerID],Customers[City])</f>
        <v>Florida</v>
      </c>
      <c r="N58" t="str">
        <f>_xlfn.XLOOKUP(Orders[[#This Row],[CustomerID]],Customers[CustomerID],Customers[CustomerName])</f>
        <v>Ngozi Ojo</v>
      </c>
      <c r="O58" t="str">
        <f>_xlfn.XLOOKUP(Orders[[#This Row],[CustomerID]],Customers[CustomerID],Customers[Gender])</f>
        <v>Female</v>
      </c>
      <c r="P58">
        <f>_xlfn.XLOOKUP(Orders[[#This Row],[CustomerID]],Customers[CustomerID],Customers[CustomerAge])</f>
        <v>18</v>
      </c>
      <c r="Q58" t="str">
        <f>IF(Orders[[#This Row],[Age]]&gt;=35,"older","young")</f>
        <v>young</v>
      </c>
      <c r="R58" t="str">
        <f>_xlfn.XLOOKUP(Orders[[#This Row],[ProductID]],Products[ProductID],Products[ProductName])</f>
        <v>REFRIGERATOR</v>
      </c>
      <c r="S58" t="str">
        <f>_xlfn.XLOOKUP(Orders[[#This Row],[ProductID]],Products!A:A,Products!C:C)</f>
        <v>Electronics</v>
      </c>
    </row>
    <row r="59" spans="1:19" x14ac:dyDescent="0.2">
      <c r="A59" s="4" t="s">
        <v>135</v>
      </c>
      <c r="B59" s="5">
        <v>45950</v>
      </c>
      <c r="C59" s="15">
        <f>WEEKNUM(Orders[[#This Row],[OrderDate]])</f>
        <v>43</v>
      </c>
      <c r="D59" s="4" t="s">
        <v>136</v>
      </c>
      <c r="E59" s="4" t="s">
        <v>111</v>
      </c>
      <c r="F59" s="4">
        <v>4</v>
      </c>
      <c r="G59" s="4">
        <v>18247.5</v>
      </c>
      <c r="H59">
        <v>15510.375</v>
      </c>
      <c r="I59">
        <f>Orders[[#This Row],[Quantity]]*Orders[[#This Row],[Selling Price]]</f>
        <v>72990</v>
      </c>
      <c r="J59">
        <f>Orders[[#This Row],[Quantity]]*Orders[[#This Row],[Cost Price]]</f>
        <v>62041.5</v>
      </c>
      <c r="K59">
        <f>Orders[[#This Row],[Revenue]]-Orders[[#This Row],[Expenses]]</f>
        <v>10948.5</v>
      </c>
      <c r="L59" t="s">
        <v>2202</v>
      </c>
      <c r="M59" t="str">
        <f>_xlfn.XLOOKUP(Orders[[#This Row],[CustomerID]],Customers[CustomerID],Customers[City])</f>
        <v>California</v>
      </c>
      <c r="N59" t="str">
        <f>_xlfn.XLOOKUP(Orders[[#This Row],[CustomerID]],Customers[CustomerID],Customers[CustomerName])</f>
        <v>Chinedu Obi</v>
      </c>
      <c r="O59" t="str">
        <f>_xlfn.XLOOKUP(Orders[[#This Row],[CustomerID]],Customers[CustomerID],Customers[Gender])</f>
        <v>Male</v>
      </c>
      <c r="P59">
        <f>_xlfn.XLOOKUP(Orders[[#This Row],[CustomerID]],Customers[CustomerID],Customers[CustomerAge])</f>
        <v>27</v>
      </c>
      <c r="Q59" t="str">
        <f>IF(Orders[[#This Row],[Age]]&gt;=35,"older","young")</f>
        <v>young</v>
      </c>
      <c r="R59" t="str">
        <f>_xlfn.XLOOKUP(Orders[[#This Row],[ProductID]],Products[ProductID],Products[ProductName])</f>
        <v>REFRIGERATOR</v>
      </c>
      <c r="S59" t="str">
        <f>_xlfn.XLOOKUP(Orders[[#This Row],[ProductID]],Products!A:A,Products!C:C)</f>
        <v>Electronics</v>
      </c>
    </row>
    <row r="60" spans="1:19" x14ac:dyDescent="0.2">
      <c r="A60" s="4" t="s">
        <v>137</v>
      </c>
      <c r="B60" s="5">
        <v>46020</v>
      </c>
      <c r="C60" s="15">
        <f>WEEKNUM(Orders[[#This Row],[OrderDate]])</f>
        <v>53</v>
      </c>
      <c r="D60" s="4" t="s">
        <v>138</v>
      </c>
      <c r="E60" s="4" t="s">
        <v>53</v>
      </c>
      <c r="F60" s="4">
        <v>8</v>
      </c>
      <c r="G60" s="4">
        <v>6352.5</v>
      </c>
      <c r="H60">
        <v>5399.625</v>
      </c>
      <c r="I60">
        <f>Orders[[#This Row],[Quantity]]*Orders[[#This Row],[Selling Price]]</f>
        <v>50820</v>
      </c>
      <c r="J60">
        <f>Orders[[#This Row],[Quantity]]*Orders[[#This Row],[Cost Price]]</f>
        <v>43197</v>
      </c>
      <c r="K60">
        <f>Orders[[#This Row],[Revenue]]-Orders[[#This Row],[Expenses]]</f>
        <v>7623</v>
      </c>
      <c r="L60" t="s">
        <v>2199</v>
      </c>
      <c r="M60" t="str">
        <f>_xlfn.XLOOKUP(Orders[[#This Row],[CustomerID]],Customers[CustomerID],Customers[City])</f>
        <v>Washington</v>
      </c>
      <c r="N60" t="str">
        <f>_xlfn.XLOOKUP(Orders[[#This Row],[CustomerID]],Customers[CustomerID],Customers[CustomerName])</f>
        <v>Efe Adeyemi</v>
      </c>
      <c r="O60" t="str">
        <f>_xlfn.XLOOKUP(Orders[[#This Row],[CustomerID]],Customers[CustomerID],Customers[Gender])</f>
        <v>Female</v>
      </c>
      <c r="P60">
        <f>_xlfn.XLOOKUP(Orders[[#This Row],[CustomerID]],Customers[CustomerID],Customers[CustomerAge])</f>
        <v>22</v>
      </c>
      <c r="Q60" t="str">
        <f>IF(Orders[[#This Row],[Age]]&gt;=35,"older","young")</f>
        <v>young</v>
      </c>
      <c r="R60" t="str">
        <f>_xlfn.XLOOKUP(Orders[[#This Row],[ProductID]],Products[ProductID],Products[ProductName])</f>
        <v>SILVER BANGLES</v>
      </c>
      <c r="S60" t="str">
        <f>_xlfn.XLOOKUP(Orders[[#This Row],[ProductID]],Products!A:A,Products!C:C)</f>
        <v>Accessories</v>
      </c>
    </row>
    <row r="61" spans="1:19" x14ac:dyDescent="0.2">
      <c r="A61" s="4" t="s">
        <v>139</v>
      </c>
      <c r="B61" s="5">
        <v>46017</v>
      </c>
      <c r="C61" s="15">
        <f>WEEKNUM(Orders[[#This Row],[OrderDate]])</f>
        <v>52</v>
      </c>
      <c r="D61" s="4" t="s">
        <v>140</v>
      </c>
      <c r="E61" s="4" t="s">
        <v>81</v>
      </c>
      <c r="F61" s="4">
        <v>3</v>
      </c>
      <c r="G61" s="4">
        <v>7276</v>
      </c>
      <c r="H61">
        <v>6184.6</v>
      </c>
      <c r="I61">
        <f>Orders[[#This Row],[Quantity]]*Orders[[#This Row],[Selling Price]]</f>
        <v>21828</v>
      </c>
      <c r="J61">
        <f>Orders[[#This Row],[Quantity]]*Orders[[#This Row],[Cost Price]]</f>
        <v>18553.800000000003</v>
      </c>
      <c r="K61">
        <f>Orders[[#This Row],[Revenue]]-Orders[[#This Row],[Expenses]]</f>
        <v>3274.1999999999971</v>
      </c>
      <c r="L61" t="s">
        <v>2193</v>
      </c>
      <c r="M61" t="str">
        <f>_xlfn.XLOOKUP(Orders[[#This Row],[CustomerID]],Customers[CustomerID],Customers[City])</f>
        <v>Washington</v>
      </c>
      <c r="N61" t="str">
        <f>_xlfn.XLOOKUP(Orders[[#This Row],[CustomerID]],Customers[CustomerID],Customers[CustomerName])</f>
        <v>Tunde Igwe</v>
      </c>
      <c r="O61" t="str">
        <f>_xlfn.XLOOKUP(Orders[[#This Row],[CustomerID]],Customers[CustomerID],Customers[Gender])</f>
        <v>Male</v>
      </c>
      <c r="P61">
        <f>_xlfn.XLOOKUP(Orders[[#This Row],[CustomerID]],Customers[CustomerID],Customers[CustomerAge])</f>
        <v>20</v>
      </c>
      <c r="Q61" t="str">
        <f>IF(Orders[[#This Row],[Age]]&gt;=35,"older","young")</f>
        <v>young</v>
      </c>
      <c r="R61" t="str">
        <f>_xlfn.XLOOKUP(Orders[[#This Row],[ProductID]],Products[ProductID],Products[ProductName])</f>
        <v>TROUSERS</v>
      </c>
      <c r="S61" t="str">
        <f>_xlfn.XLOOKUP(Orders[[#This Row],[ProductID]],Products!A:A,Products!C:C)</f>
        <v>Clothing</v>
      </c>
    </row>
    <row r="62" spans="1:19" x14ac:dyDescent="0.2">
      <c r="A62" s="4" t="s">
        <v>141</v>
      </c>
      <c r="B62" s="5">
        <v>45933</v>
      </c>
      <c r="C62" s="15">
        <f>WEEKNUM(Orders[[#This Row],[OrderDate]])</f>
        <v>40</v>
      </c>
      <c r="D62" s="4" t="s">
        <v>142</v>
      </c>
      <c r="E62" s="4" t="s">
        <v>34</v>
      </c>
      <c r="F62" s="4">
        <v>10</v>
      </c>
      <c r="G62" s="4">
        <v>7656.2</v>
      </c>
      <c r="H62">
        <v>6507.77</v>
      </c>
      <c r="I62">
        <f>Orders[[#This Row],[Quantity]]*Orders[[#This Row],[Selling Price]]</f>
        <v>76562</v>
      </c>
      <c r="J62">
        <f>Orders[[#This Row],[Quantity]]*Orders[[#This Row],[Cost Price]]</f>
        <v>65077.700000000004</v>
      </c>
      <c r="K62">
        <f>Orders[[#This Row],[Revenue]]-Orders[[#This Row],[Expenses]]</f>
        <v>11484.299999999996</v>
      </c>
      <c r="L62" t="s">
        <v>2213</v>
      </c>
      <c r="M62" t="str">
        <f>_xlfn.XLOOKUP(Orders[[#This Row],[CustomerID]],Customers[CustomerID],Customers[City])</f>
        <v>Florida</v>
      </c>
      <c r="N62" t="str">
        <f>_xlfn.XLOOKUP(Orders[[#This Row],[CustomerID]],Customers[CustomerID],Customers[CustomerName])</f>
        <v>Obi Adeyemi</v>
      </c>
      <c r="O62" t="str">
        <f>_xlfn.XLOOKUP(Orders[[#This Row],[CustomerID]],Customers[CustomerID],Customers[Gender])</f>
        <v>Male</v>
      </c>
      <c r="P62">
        <f>_xlfn.XLOOKUP(Orders[[#This Row],[CustomerID]],Customers[CustomerID],Customers[CustomerAge])</f>
        <v>31</v>
      </c>
      <c r="Q62" t="str">
        <f>IF(Orders[[#This Row],[Age]]&gt;=35,"older","young")</f>
        <v>young</v>
      </c>
      <c r="R62" t="str">
        <f>_xlfn.XLOOKUP(Orders[[#This Row],[ProductID]],Products[ProductID],Products[ProductName])</f>
        <v>GOLD BRACELETS</v>
      </c>
      <c r="S62" t="str">
        <f>_xlfn.XLOOKUP(Orders[[#This Row],[ProductID]],Products!A:A,Products!C:C)</f>
        <v>Accessories</v>
      </c>
    </row>
    <row r="63" spans="1:19" x14ac:dyDescent="0.2">
      <c r="A63" s="4" t="s">
        <v>143</v>
      </c>
      <c r="B63" s="5">
        <v>45951</v>
      </c>
      <c r="C63" s="15">
        <f>WEEKNUM(Orders[[#This Row],[OrderDate]])</f>
        <v>43</v>
      </c>
      <c r="D63" s="4" t="s">
        <v>138</v>
      </c>
      <c r="E63" s="4" t="s">
        <v>111</v>
      </c>
      <c r="F63" s="4">
        <v>8</v>
      </c>
      <c r="G63" s="4">
        <v>5538.5</v>
      </c>
      <c r="H63">
        <v>4707.7250000000004</v>
      </c>
      <c r="I63">
        <f>Orders[[#This Row],[Quantity]]*Orders[[#This Row],[Selling Price]]</f>
        <v>44308</v>
      </c>
      <c r="J63">
        <f>Orders[[#This Row],[Quantity]]*Orders[[#This Row],[Cost Price]]</f>
        <v>37661.800000000003</v>
      </c>
      <c r="K63">
        <f>Orders[[#This Row],[Revenue]]-Orders[[#This Row],[Expenses]]</f>
        <v>6646.1999999999971</v>
      </c>
      <c r="L63" t="s">
        <v>2202</v>
      </c>
      <c r="M63" t="str">
        <f>_xlfn.XLOOKUP(Orders[[#This Row],[CustomerID]],Customers[CustomerID],Customers[City])</f>
        <v>Washington</v>
      </c>
      <c r="N63" t="str">
        <f>_xlfn.XLOOKUP(Orders[[#This Row],[CustomerID]],Customers[CustomerID],Customers[CustomerName])</f>
        <v>Efe Adeyemi</v>
      </c>
      <c r="O63" t="str">
        <f>_xlfn.XLOOKUP(Orders[[#This Row],[CustomerID]],Customers[CustomerID],Customers[Gender])</f>
        <v>Female</v>
      </c>
      <c r="P63">
        <f>_xlfn.XLOOKUP(Orders[[#This Row],[CustomerID]],Customers[CustomerID],Customers[CustomerAge])</f>
        <v>22</v>
      </c>
      <c r="Q63" t="str">
        <f>IF(Orders[[#This Row],[Age]]&gt;=35,"older","young")</f>
        <v>young</v>
      </c>
      <c r="R63" t="str">
        <f>_xlfn.XLOOKUP(Orders[[#This Row],[ProductID]],Products[ProductID],Products[ProductName])</f>
        <v>REFRIGERATOR</v>
      </c>
      <c r="S63" t="str">
        <f>_xlfn.XLOOKUP(Orders[[#This Row],[ProductID]],Products!A:A,Products!C:C)</f>
        <v>Electronics</v>
      </c>
    </row>
    <row r="64" spans="1:19" x14ac:dyDescent="0.2">
      <c r="A64" s="4" t="s">
        <v>144</v>
      </c>
      <c r="B64" s="5">
        <v>45952</v>
      </c>
      <c r="C64" s="15">
        <f>WEEKNUM(Orders[[#This Row],[OrderDate]])</f>
        <v>43</v>
      </c>
      <c r="D64" s="4" t="s">
        <v>41</v>
      </c>
      <c r="E64" s="4" t="s">
        <v>57</v>
      </c>
      <c r="F64" s="4">
        <v>7</v>
      </c>
      <c r="G64" s="4">
        <v>16165.2</v>
      </c>
      <c r="H64">
        <v>13740.42</v>
      </c>
      <c r="I64">
        <f>Orders[[#This Row],[Quantity]]*Orders[[#This Row],[Selling Price]]</f>
        <v>113156.40000000001</v>
      </c>
      <c r="J64">
        <f>Orders[[#This Row],[Quantity]]*Orders[[#This Row],[Cost Price]]</f>
        <v>96182.94</v>
      </c>
      <c r="K64">
        <f>Orders[[#This Row],[Revenue]]-Orders[[#This Row],[Expenses]]</f>
        <v>16973.460000000006</v>
      </c>
      <c r="L64" t="s">
        <v>2205</v>
      </c>
      <c r="M64" t="str">
        <f>_xlfn.XLOOKUP(Orders[[#This Row],[CustomerID]],Customers[CustomerID],Customers[City])</f>
        <v>Texas</v>
      </c>
      <c r="N64" t="str">
        <f>_xlfn.XLOOKUP(Orders[[#This Row],[CustomerID]],Customers[CustomerID],Customers[CustomerName])</f>
        <v>Mustafa Balogun</v>
      </c>
      <c r="O64" t="str">
        <f>_xlfn.XLOOKUP(Orders[[#This Row],[CustomerID]],Customers[CustomerID],Customers[Gender])</f>
        <v>Male</v>
      </c>
      <c r="P64">
        <f>_xlfn.XLOOKUP(Orders[[#This Row],[CustomerID]],Customers[CustomerID],Customers[CustomerAge])</f>
        <v>40</v>
      </c>
      <c r="Q64" t="str">
        <f>IF(Orders[[#This Row],[Age]]&gt;=35,"older","young")</f>
        <v>older</v>
      </c>
      <c r="R64" t="str">
        <f>_xlfn.XLOOKUP(Orders[[#This Row],[ProductID]],Products[ProductID],Products[ProductName])</f>
        <v>BADMINTON RACKET</v>
      </c>
      <c r="S64" t="str">
        <f>_xlfn.XLOOKUP(Orders[[#This Row],[ProductID]],Products!A:A,Products!C:C)</f>
        <v>Sports</v>
      </c>
    </row>
    <row r="65" spans="1:19" x14ac:dyDescent="0.2">
      <c r="A65" s="4" t="s">
        <v>145</v>
      </c>
      <c r="B65" s="5">
        <v>46005</v>
      </c>
      <c r="C65" s="15">
        <f>WEEKNUM(Orders[[#This Row],[OrderDate]])</f>
        <v>51</v>
      </c>
      <c r="D65" s="4" t="s">
        <v>146</v>
      </c>
      <c r="E65" s="4" t="s">
        <v>63</v>
      </c>
      <c r="F65" s="4">
        <v>10</v>
      </c>
      <c r="G65" s="4">
        <v>13556.099999999999</v>
      </c>
      <c r="H65">
        <v>11522.684999999999</v>
      </c>
      <c r="I65">
        <f>Orders[[#This Row],[Quantity]]*Orders[[#This Row],[Selling Price]]</f>
        <v>135561</v>
      </c>
      <c r="J65">
        <f>Orders[[#This Row],[Quantity]]*Orders[[#This Row],[Cost Price]]</f>
        <v>115226.84999999999</v>
      </c>
      <c r="K65">
        <f>Orders[[#This Row],[Revenue]]-Orders[[#This Row],[Expenses]]</f>
        <v>20334.150000000009</v>
      </c>
      <c r="L65" t="s">
        <v>2198</v>
      </c>
      <c r="M65" t="str">
        <f>_xlfn.XLOOKUP(Orders[[#This Row],[CustomerID]],Customers[CustomerID],Customers[City])</f>
        <v>Texas</v>
      </c>
      <c r="N65" t="str">
        <f>_xlfn.XLOOKUP(Orders[[#This Row],[CustomerID]],Customers[CustomerID],Customers[CustomerName])</f>
        <v>Mustafa Igwe</v>
      </c>
      <c r="O65" t="str">
        <f>_xlfn.XLOOKUP(Orders[[#This Row],[CustomerID]],Customers[CustomerID],Customers[Gender])</f>
        <v>Male</v>
      </c>
      <c r="P65">
        <f>_xlfn.XLOOKUP(Orders[[#This Row],[CustomerID]],Customers[CustomerID],Customers[CustomerAge])</f>
        <v>27</v>
      </c>
      <c r="Q65" t="str">
        <f>IF(Orders[[#This Row],[Age]]&gt;=35,"older","young")</f>
        <v>young</v>
      </c>
      <c r="R65" t="str">
        <f>_xlfn.XLOOKUP(Orders[[#This Row],[ProductID]],Products[ProductID],Products[ProductName])</f>
        <v>TENNIS BAT</v>
      </c>
      <c r="S65" t="str">
        <f>_xlfn.XLOOKUP(Orders[[#This Row],[ProductID]],Products!A:A,Products!C:C)</f>
        <v>Sports</v>
      </c>
    </row>
    <row r="66" spans="1:19" x14ac:dyDescent="0.2">
      <c r="A66" s="4" t="s">
        <v>147</v>
      </c>
      <c r="B66" s="5">
        <v>46008</v>
      </c>
      <c r="C66" s="15">
        <f>WEEKNUM(Orders[[#This Row],[OrderDate]])</f>
        <v>51</v>
      </c>
      <c r="D66" s="4" t="s">
        <v>148</v>
      </c>
      <c r="E66" s="4" t="s">
        <v>15</v>
      </c>
      <c r="F66" s="4">
        <v>3</v>
      </c>
      <c r="G66" s="4">
        <v>13289.9</v>
      </c>
      <c r="H66">
        <v>11296.414999999999</v>
      </c>
      <c r="I66">
        <f>Orders[[#This Row],[Quantity]]*Orders[[#This Row],[Selling Price]]</f>
        <v>39869.699999999997</v>
      </c>
      <c r="J66">
        <f>Orders[[#This Row],[Quantity]]*Orders[[#This Row],[Cost Price]]</f>
        <v>33889.244999999995</v>
      </c>
      <c r="K66">
        <f>Orders[[#This Row],[Revenue]]-Orders[[#This Row],[Expenses]]</f>
        <v>5980.4550000000017</v>
      </c>
      <c r="L66" t="s">
        <v>2198</v>
      </c>
      <c r="M66" t="str">
        <f>_xlfn.XLOOKUP(Orders[[#This Row],[CustomerID]],Customers[CustomerID],Customers[City])</f>
        <v>Florida</v>
      </c>
      <c r="N66" t="str">
        <f>_xlfn.XLOOKUP(Orders[[#This Row],[CustomerID]],Customers[CustomerID],Customers[CustomerName])</f>
        <v>Zainab Abubakar</v>
      </c>
      <c r="O66" t="str">
        <f>_xlfn.XLOOKUP(Orders[[#This Row],[CustomerID]],Customers[CustomerID],Customers[Gender])</f>
        <v>Female</v>
      </c>
      <c r="P66">
        <f>_xlfn.XLOOKUP(Orders[[#This Row],[CustomerID]],Customers[CustomerID],Customers[CustomerAge])</f>
        <v>29</v>
      </c>
      <c r="Q66" t="str">
        <f>IF(Orders[[#This Row],[Age]]&gt;=35,"older","young")</f>
        <v>young</v>
      </c>
      <c r="R66" t="str">
        <f>_xlfn.XLOOKUP(Orders[[#This Row],[ProductID]],Products[ProductID],Products[ProductName])</f>
        <v>MONOPOLY</v>
      </c>
      <c r="S66" t="str">
        <f>_xlfn.XLOOKUP(Orders[[#This Row],[ProductID]],Products!A:A,Products!C:C)</f>
        <v>Games</v>
      </c>
    </row>
    <row r="67" spans="1:19" x14ac:dyDescent="0.2">
      <c r="A67" s="4" t="s">
        <v>149</v>
      </c>
      <c r="B67" s="5">
        <v>45960</v>
      </c>
      <c r="C67" s="15">
        <f>WEEKNUM(Orders[[#This Row],[OrderDate]])</f>
        <v>44</v>
      </c>
      <c r="D67" s="4" t="s">
        <v>150</v>
      </c>
      <c r="E67" s="4" t="s">
        <v>151</v>
      </c>
      <c r="F67" s="4">
        <v>6</v>
      </c>
      <c r="G67" s="4">
        <v>1853.7</v>
      </c>
      <c r="H67">
        <v>1575.645</v>
      </c>
      <c r="I67">
        <f>Orders[[#This Row],[Quantity]]*Orders[[#This Row],[Selling Price]]</f>
        <v>11122.2</v>
      </c>
      <c r="J67">
        <f>Orders[[#This Row],[Quantity]]*Orders[[#This Row],[Cost Price]]</f>
        <v>9453.869999999999</v>
      </c>
      <c r="K67">
        <f>Orders[[#This Row],[Revenue]]-Orders[[#This Row],[Expenses]]</f>
        <v>1668.3300000000017</v>
      </c>
      <c r="L67" t="s">
        <v>2209</v>
      </c>
      <c r="M67" t="str">
        <f>_xlfn.XLOOKUP(Orders[[#This Row],[CustomerID]],Customers[CustomerID],Customers[City])</f>
        <v>Georgia</v>
      </c>
      <c r="N67" t="str">
        <f>_xlfn.XLOOKUP(Orders[[#This Row],[CustomerID]],Customers[CustomerID],Customers[CustomerName])</f>
        <v>Ronke Eze</v>
      </c>
      <c r="O67" t="str">
        <f>_xlfn.XLOOKUP(Orders[[#This Row],[CustomerID]],Customers[CustomerID],Customers[Gender])</f>
        <v>Female</v>
      </c>
      <c r="P67">
        <f>_xlfn.XLOOKUP(Orders[[#This Row],[CustomerID]],Customers[CustomerID],Customers[CustomerAge])</f>
        <v>23</v>
      </c>
      <c r="Q67" t="str">
        <f>IF(Orders[[#This Row],[Age]]&gt;=35,"older","young")</f>
        <v>young</v>
      </c>
      <c r="R67" t="str">
        <f>_xlfn.XLOOKUP(Orders[[#This Row],[ProductID]],Products[ProductID],Products[ProductName])</f>
        <v>CHECKERS</v>
      </c>
      <c r="S67" t="str">
        <f>_xlfn.XLOOKUP(Orders[[#This Row],[ProductID]],Products!A:A,Products!C:C)</f>
        <v>Games</v>
      </c>
    </row>
    <row r="68" spans="1:19" x14ac:dyDescent="0.2">
      <c r="A68" s="4" t="s">
        <v>152</v>
      </c>
      <c r="B68" s="5">
        <v>45967</v>
      </c>
      <c r="C68" s="15">
        <f>WEEKNUM(Orders[[#This Row],[OrderDate]])</f>
        <v>45</v>
      </c>
      <c r="D68" s="4" t="s">
        <v>30</v>
      </c>
      <c r="E68" s="4" t="s">
        <v>57</v>
      </c>
      <c r="F68" s="4">
        <v>7</v>
      </c>
      <c r="G68" s="4">
        <v>10452.700000000001</v>
      </c>
      <c r="H68">
        <v>8884.7950000000001</v>
      </c>
      <c r="I68">
        <f>Orders[[#This Row],[Quantity]]*Orders[[#This Row],[Selling Price]]</f>
        <v>73168.900000000009</v>
      </c>
      <c r="J68">
        <f>Orders[[#This Row],[Quantity]]*Orders[[#This Row],[Cost Price]]</f>
        <v>62193.565000000002</v>
      </c>
      <c r="K68">
        <f>Orders[[#This Row],[Revenue]]-Orders[[#This Row],[Expenses]]</f>
        <v>10975.335000000006</v>
      </c>
      <c r="L68" t="s">
        <v>2194</v>
      </c>
      <c r="M68" t="str">
        <f>_xlfn.XLOOKUP(Orders[[#This Row],[CustomerID]],Customers[CustomerID],Customers[City])</f>
        <v>Florida</v>
      </c>
      <c r="N68" t="str">
        <f>_xlfn.XLOOKUP(Orders[[#This Row],[CustomerID]],Customers[CustomerID],Customers[CustomerName])</f>
        <v>Amina Danladi</v>
      </c>
      <c r="O68" t="str">
        <f>_xlfn.XLOOKUP(Orders[[#This Row],[CustomerID]],Customers[CustomerID],Customers[Gender])</f>
        <v>Female</v>
      </c>
      <c r="P68">
        <f>_xlfn.XLOOKUP(Orders[[#This Row],[CustomerID]],Customers[CustomerID],Customers[CustomerAge])</f>
        <v>42</v>
      </c>
      <c r="Q68" t="str">
        <f>IF(Orders[[#This Row],[Age]]&gt;=35,"older","young")</f>
        <v>older</v>
      </c>
      <c r="R68" t="str">
        <f>_xlfn.XLOOKUP(Orders[[#This Row],[ProductID]],Products[ProductID],Products[ProductName])</f>
        <v>BADMINTON RACKET</v>
      </c>
      <c r="S68" t="str">
        <f>_xlfn.XLOOKUP(Orders[[#This Row],[ProductID]],Products!A:A,Products!C:C)</f>
        <v>Sports</v>
      </c>
    </row>
    <row r="69" spans="1:19" x14ac:dyDescent="0.2">
      <c r="A69" s="4" t="s">
        <v>153</v>
      </c>
      <c r="B69" s="5">
        <v>45955</v>
      </c>
      <c r="C69" s="15">
        <f>WEEKNUM(Orders[[#This Row],[OrderDate]])</f>
        <v>43</v>
      </c>
      <c r="D69" s="4" t="s">
        <v>154</v>
      </c>
      <c r="E69" s="4" t="s">
        <v>23</v>
      </c>
      <c r="F69" s="4">
        <v>1</v>
      </c>
      <c r="G69" s="4">
        <v>10552.3</v>
      </c>
      <c r="H69">
        <v>8969.4549999999999</v>
      </c>
      <c r="I69">
        <f>Orders[[#This Row],[Quantity]]*Orders[[#This Row],[Selling Price]]</f>
        <v>10552.3</v>
      </c>
      <c r="J69">
        <f>Orders[[#This Row],[Quantity]]*Orders[[#This Row],[Cost Price]]</f>
        <v>8969.4549999999999</v>
      </c>
      <c r="K69">
        <f>Orders[[#This Row],[Revenue]]-Orders[[#This Row],[Expenses]]</f>
        <v>1582.8449999999993</v>
      </c>
      <c r="L69" t="s">
        <v>2202</v>
      </c>
      <c r="M69" t="str">
        <f>_xlfn.XLOOKUP(Orders[[#This Row],[CustomerID]],Customers[CustomerID],Customers[City])</f>
        <v>Illinois</v>
      </c>
      <c r="N69" t="str">
        <f>_xlfn.XLOOKUP(Orders[[#This Row],[CustomerID]],Customers[CustomerID],Customers[CustomerName])</f>
        <v>Ronke Danladi</v>
      </c>
      <c r="O69" t="str">
        <f>_xlfn.XLOOKUP(Orders[[#This Row],[CustomerID]],Customers[CustomerID],Customers[Gender])</f>
        <v>Female</v>
      </c>
      <c r="P69">
        <f>_xlfn.XLOOKUP(Orders[[#This Row],[CustomerID]],Customers[CustomerID],Customers[CustomerAge])</f>
        <v>46</v>
      </c>
      <c r="Q69" t="str">
        <f>IF(Orders[[#This Row],[Age]]&gt;=35,"older","young")</f>
        <v>older</v>
      </c>
      <c r="R69" t="str">
        <f>_xlfn.XLOOKUP(Orders[[#This Row],[ProductID]],Products[ProductID],Products[ProductName])</f>
        <v>GYM GLOVES</v>
      </c>
      <c r="S69" t="str">
        <f>_xlfn.XLOOKUP(Orders[[#This Row],[ProductID]],Products!A:A,Products!C:C)</f>
        <v>Gym</v>
      </c>
    </row>
    <row r="70" spans="1:19" x14ac:dyDescent="0.2">
      <c r="A70" s="4" t="s">
        <v>155</v>
      </c>
      <c r="B70" s="5">
        <v>45952</v>
      </c>
      <c r="C70" s="15">
        <f>WEEKNUM(Orders[[#This Row],[OrderDate]])</f>
        <v>43</v>
      </c>
      <c r="D70" s="4" t="s">
        <v>156</v>
      </c>
      <c r="E70" s="4" t="s">
        <v>157</v>
      </c>
      <c r="F70" s="4">
        <v>1</v>
      </c>
      <c r="G70" s="4">
        <v>6043</v>
      </c>
      <c r="H70">
        <v>5136.55</v>
      </c>
      <c r="I70">
        <f>Orders[[#This Row],[Quantity]]*Orders[[#This Row],[Selling Price]]</f>
        <v>6043</v>
      </c>
      <c r="J70">
        <f>Orders[[#This Row],[Quantity]]*Orders[[#This Row],[Cost Price]]</f>
        <v>5136.55</v>
      </c>
      <c r="K70">
        <f>Orders[[#This Row],[Revenue]]-Orders[[#This Row],[Expenses]]</f>
        <v>906.44999999999982</v>
      </c>
      <c r="L70" t="s">
        <v>2219</v>
      </c>
      <c r="M70" t="str">
        <f>_xlfn.XLOOKUP(Orders[[#This Row],[CustomerID]],Customers[CustomerID],Customers[City])</f>
        <v>Florida</v>
      </c>
      <c r="N70" t="str">
        <f>_xlfn.XLOOKUP(Orders[[#This Row],[CustomerID]],Customers[CustomerID],Customers[CustomerName])</f>
        <v>Obi Okonkwo</v>
      </c>
      <c r="O70" t="str">
        <f>_xlfn.XLOOKUP(Orders[[#This Row],[CustomerID]],Customers[CustomerID],Customers[Gender])</f>
        <v>Male</v>
      </c>
      <c r="P70">
        <f>_xlfn.XLOOKUP(Orders[[#This Row],[CustomerID]],Customers[CustomerID],Customers[CustomerAge])</f>
        <v>52</v>
      </c>
      <c r="Q70" t="str">
        <f>IF(Orders[[#This Row],[Age]]&gt;=35,"older","young")</f>
        <v>older</v>
      </c>
      <c r="R70" t="str">
        <f>_xlfn.XLOOKUP(Orders[[#This Row],[ProductID]],Products[ProductID],Products[ProductName])</f>
        <v>FOOTBALL</v>
      </c>
      <c r="S70" t="str">
        <f>_xlfn.XLOOKUP(Orders[[#This Row],[ProductID]],Products!A:A,Products!C:C)</f>
        <v>Sports</v>
      </c>
    </row>
    <row r="71" spans="1:19" x14ac:dyDescent="0.2">
      <c r="A71" s="4" t="s">
        <v>158</v>
      </c>
      <c r="B71" s="5">
        <v>46012</v>
      </c>
      <c r="C71" s="15">
        <f>WEEKNUM(Orders[[#This Row],[OrderDate]])</f>
        <v>52</v>
      </c>
      <c r="D71" s="4" t="s">
        <v>159</v>
      </c>
      <c r="E71" s="4" t="s">
        <v>46</v>
      </c>
      <c r="F71" s="4">
        <v>3</v>
      </c>
      <c r="G71" s="4">
        <v>15121.099999999999</v>
      </c>
      <c r="H71">
        <v>12852.934999999999</v>
      </c>
      <c r="I71">
        <f>Orders[[#This Row],[Quantity]]*Orders[[#This Row],[Selling Price]]</f>
        <v>45363.299999999996</v>
      </c>
      <c r="J71">
        <f>Orders[[#This Row],[Quantity]]*Orders[[#This Row],[Cost Price]]</f>
        <v>38558.805</v>
      </c>
      <c r="K71">
        <f>Orders[[#This Row],[Revenue]]-Orders[[#This Row],[Expenses]]</f>
        <v>6804.4949999999953</v>
      </c>
      <c r="L71" t="s">
        <v>2200</v>
      </c>
      <c r="M71" t="str">
        <f>_xlfn.XLOOKUP(Orders[[#This Row],[CustomerID]],Customers[CustomerID],Customers[City])</f>
        <v>Florida</v>
      </c>
      <c r="N71" t="str">
        <f>_xlfn.XLOOKUP(Orders[[#This Row],[CustomerID]],Customers[CustomerID],Customers[CustomerName])</f>
        <v>Ibrahim Okonkwo</v>
      </c>
      <c r="O71" t="str">
        <f>_xlfn.XLOOKUP(Orders[[#This Row],[CustomerID]],Customers[CustomerID],Customers[Gender])</f>
        <v>Male</v>
      </c>
      <c r="P71">
        <f>_xlfn.XLOOKUP(Orders[[#This Row],[CustomerID]],Customers[CustomerID],Customers[CustomerAge])</f>
        <v>49</v>
      </c>
      <c r="Q71" t="str">
        <f>IF(Orders[[#This Row],[Age]]&gt;=35,"older","young")</f>
        <v>older</v>
      </c>
      <c r="R71" t="str">
        <f>_xlfn.XLOOKUP(Orders[[#This Row],[ProductID]],Products[ProductID],Products[ProductName])</f>
        <v>TURTLE NECK</v>
      </c>
      <c r="S71" t="str">
        <f>_xlfn.XLOOKUP(Orders[[#This Row],[ProductID]],Products!A:A,Products!C:C)</f>
        <v>Clothing</v>
      </c>
    </row>
    <row r="72" spans="1:19" x14ac:dyDescent="0.2">
      <c r="A72" s="4" t="s">
        <v>160</v>
      </c>
      <c r="B72" s="5">
        <v>45969</v>
      </c>
      <c r="C72" s="15">
        <f>WEEKNUM(Orders[[#This Row],[OrderDate]])</f>
        <v>45</v>
      </c>
      <c r="D72" s="4" t="s">
        <v>161</v>
      </c>
      <c r="E72" s="4" t="s">
        <v>23</v>
      </c>
      <c r="F72" s="4">
        <v>6</v>
      </c>
      <c r="G72" s="4">
        <v>15527.6</v>
      </c>
      <c r="H72">
        <v>13198.460000000001</v>
      </c>
      <c r="I72">
        <f>Orders[[#This Row],[Quantity]]*Orders[[#This Row],[Selling Price]]</f>
        <v>93165.6</v>
      </c>
      <c r="J72">
        <f>Orders[[#This Row],[Quantity]]*Orders[[#This Row],[Cost Price]]</f>
        <v>79190.760000000009</v>
      </c>
      <c r="K72">
        <f>Orders[[#This Row],[Revenue]]-Orders[[#This Row],[Expenses]]</f>
        <v>13974.839999999997</v>
      </c>
      <c r="L72" t="s">
        <v>2209</v>
      </c>
      <c r="M72" t="str">
        <f>_xlfn.XLOOKUP(Orders[[#This Row],[CustomerID]],Customers[CustomerID],Customers[City])</f>
        <v>Georgia</v>
      </c>
      <c r="N72" t="str">
        <f>_xlfn.XLOOKUP(Orders[[#This Row],[CustomerID]],Customers[CustomerID],Customers[CustomerName])</f>
        <v>Okon Adeyemi</v>
      </c>
      <c r="O72" t="str">
        <f>_xlfn.XLOOKUP(Orders[[#This Row],[CustomerID]],Customers[CustomerID],Customers[Gender])</f>
        <v>Male</v>
      </c>
      <c r="P72">
        <f>_xlfn.XLOOKUP(Orders[[#This Row],[CustomerID]],Customers[CustomerID],Customers[CustomerAge])</f>
        <v>31</v>
      </c>
      <c r="Q72" t="str">
        <f>IF(Orders[[#This Row],[Age]]&gt;=35,"older","young")</f>
        <v>young</v>
      </c>
      <c r="R72" t="str">
        <f>_xlfn.XLOOKUP(Orders[[#This Row],[ProductID]],Products[ProductID],Products[ProductName])</f>
        <v>GYM GLOVES</v>
      </c>
      <c r="S72" t="str">
        <f>_xlfn.XLOOKUP(Orders[[#This Row],[ProductID]],Products!A:A,Products!C:C)</f>
        <v>Gym</v>
      </c>
    </row>
    <row r="73" spans="1:19" x14ac:dyDescent="0.2">
      <c r="A73" s="4" t="s">
        <v>162</v>
      </c>
      <c r="B73" s="5">
        <v>45995</v>
      </c>
      <c r="C73" s="15">
        <f>WEEKNUM(Orders[[#This Row],[OrderDate]])</f>
        <v>49</v>
      </c>
      <c r="D73" s="4" t="s">
        <v>163</v>
      </c>
      <c r="E73" s="4" t="s">
        <v>76</v>
      </c>
      <c r="F73" s="4">
        <v>9</v>
      </c>
      <c r="G73" s="4">
        <v>19290.8</v>
      </c>
      <c r="H73">
        <v>16397.18</v>
      </c>
      <c r="I73">
        <f>Orders[[#This Row],[Quantity]]*Orders[[#This Row],[Selling Price]]</f>
        <v>173617.19999999998</v>
      </c>
      <c r="J73">
        <f>Orders[[#This Row],[Quantity]]*Orders[[#This Row],[Cost Price]]</f>
        <v>147574.62</v>
      </c>
      <c r="K73">
        <f>Orders[[#This Row],[Revenue]]-Orders[[#This Row],[Expenses]]</f>
        <v>26042.579999999987</v>
      </c>
      <c r="L73" t="s">
        <v>2213</v>
      </c>
      <c r="M73" t="str">
        <f>_xlfn.XLOOKUP(Orders[[#This Row],[CustomerID]],Customers[CustomerID],Customers[City])</f>
        <v>Texas</v>
      </c>
      <c r="N73" t="str">
        <f>_xlfn.XLOOKUP(Orders[[#This Row],[CustomerID]],Customers[CustomerID],Customers[CustomerName])</f>
        <v>Folasade Danladi</v>
      </c>
      <c r="O73" t="str">
        <f>_xlfn.XLOOKUP(Orders[[#This Row],[CustomerID]],Customers[CustomerID],Customers[Gender])</f>
        <v>Female</v>
      </c>
      <c r="P73">
        <f>_xlfn.XLOOKUP(Orders[[#This Row],[CustomerID]],Customers[CustomerID],Customers[CustomerAge])</f>
        <v>32</v>
      </c>
      <c r="Q73" t="str">
        <f>IF(Orders[[#This Row],[Age]]&gt;=35,"older","young")</f>
        <v>young</v>
      </c>
      <c r="R73" t="str">
        <f>_xlfn.XLOOKUP(Orders[[#This Row],[ProductID]],Products[ProductID],Products[ProductName])</f>
        <v>BLENDER</v>
      </c>
      <c r="S73" t="str">
        <f>_xlfn.XLOOKUP(Orders[[#This Row],[ProductID]],Products!A:A,Products!C:C)</f>
        <v>Electronics</v>
      </c>
    </row>
    <row r="74" spans="1:19" x14ac:dyDescent="0.2">
      <c r="A74" s="4" t="s">
        <v>164</v>
      </c>
      <c r="B74" s="5">
        <v>45991</v>
      </c>
      <c r="C74" s="15">
        <f>WEEKNUM(Orders[[#This Row],[OrderDate]])</f>
        <v>49</v>
      </c>
      <c r="D74" s="4" t="s">
        <v>156</v>
      </c>
      <c r="E74" s="4" t="s">
        <v>23</v>
      </c>
      <c r="F74" s="4">
        <v>10</v>
      </c>
      <c r="G74" s="4">
        <v>8101.2</v>
      </c>
      <c r="H74">
        <v>6886.02</v>
      </c>
      <c r="I74">
        <f>Orders[[#This Row],[Quantity]]*Orders[[#This Row],[Selling Price]]</f>
        <v>81012</v>
      </c>
      <c r="J74">
        <f>Orders[[#This Row],[Quantity]]*Orders[[#This Row],[Cost Price]]</f>
        <v>68860.200000000012</v>
      </c>
      <c r="K74">
        <f>Orders[[#This Row],[Revenue]]-Orders[[#This Row],[Expenses]]</f>
        <v>12151.799999999988</v>
      </c>
      <c r="L74" t="s">
        <v>2200</v>
      </c>
      <c r="M74" t="str">
        <f>_xlfn.XLOOKUP(Orders[[#This Row],[CustomerID]],Customers[CustomerID],Customers[City])</f>
        <v>Florida</v>
      </c>
      <c r="N74" t="str">
        <f>_xlfn.XLOOKUP(Orders[[#This Row],[CustomerID]],Customers[CustomerID],Customers[CustomerName])</f>
        <v>Obi Okonkwo</v>
      </c>
      <c r="O74" t="str">
        <f>_xlfn.XLOOKUP(Orders[[#This Row],[CustomerID]],Customers[CustomerID],Customers[Gender])</f>
        <v>Male</v>
      </c>
      <c r="P74">
        <f>_xlfn.XLOOKUP(Orders[[#This Row],[CustomerID]],Customers[CustomerID],Customers[CustomerAge])</f>
        <v>52</v>
      </c>
      <c r="Q74" t="str">
        <f>IF(Orders[[#This Row],[Age]]&gt;=35,"older","young")</f>
        <v>older</v>
      </c>
      <c r="R74" t="str">
        <f>_xlfn.XLOOKUP(Orders[[#This Row],[ProductID]],Products[ProductID],Products[ProductName])</f>
        <v>GYM GLOVES</v>
      </c>
      <c r="S74" t="str">
        <f>_xlfn.XLOOKUP(Orders[[#This Row],[ProductID]],Products!A:A,Products!C:C)</f>
        <v>Gym</v>
      </c>
    </row>
    <row r="75" spans="1:19" x14ac:dyDescent="0.2">
      <c r="A75" s="4" t="s">
        <v>165</v>
      </c>
      <c r="B75" s="5">
        <v>45986</v>
      </c>
      <c r="C75" s="15">
        <f>WEEKNUM(Orders[[#This Row],[OrderDate]])</f>
        <v>48</v>
      </c>
      <c r="D75" s="4" t="s">
        <v>11</v>
      </c>
      <c r="E75" s="4" t="s">
        <v>70</v>
      </c>
      <c r="F75" s="4">
        <v>3</v>
      </c>
      <c r="G75" s="4">
        <v>2590.1</v>
      </c>
      <c r="H75">
        <v>2201.585</v>
      </c>
      <c r="I75">
        <f>Orders[[#This Row],[Quantity]]*Orders[[#This Row],[Selling Price]]</f>
        <v>7770.2999999999993</v>
      </c>
      <c r="J75">
        <f>Orders[[#This Row],[Quantity]]*Orders[[#This Row],[Cost Price]]</f>
        <v>6604.7550000000001</v>
      </c>
      <c r="K75">
        <f>Orders[[#This Row],[Revenue]]-Orders[[#This Row],[Expenses]]</f>
        <v>1165.5449999999992</v>
      </c>
      <c r="L75" t="s">
        <v>2206</v>
      </c>
      <c r="M75" t="str">
        <f>_xlfn.XLOOKUP(Orders[[#This Row],[CustomerID]],Customers[CustomerID],Customers[City])</f>
        <v>Texas</v>
      </c>
      <c r="N75" t="str">
        <f>_xlfn.XLOOKUP(Orders[[#This Row],[CustomerID]],Customers[CustomerID],Customers[CustomerName])</f>
        <v>Efe Ojo</v>
      </c>
      <c r="O75" t="str">
        <f>_xlfn.XLOOKUP(Orders[[#This Row],[CustomerID]],Customers[CustomerID],Customers[Gender])</f>
        <v>Female</v>
      </c>
      <c r="P75">
        <f>_xlfn.XLOOKUP(Orders[[#This Row],[CustomerID]],Customers[CustomerID],Customers[CustomerAge])</f>
        <v>55</v>
      </c>
      <c r="Q75" t="str">
        <f>IF(Orders[[#This Row],[Age]]&gt;=35,"older","young")</f>
        <v>older</v>
      </c>
      <c r="R75" t="str">
        <f>_xlfn.XLOOKUP(Orders[[#This Row],[ProductID]],Products[ProductID],Products[ProductName])</f>
        <v>YOGA MAT</v>
      </c>
      <c r="S75" t="str">
        <f>_xlfn.XLOOKUP(Orders[[#This Row],[ProductID]],Products!A:A,Products!C:C)</f>
        <v>Gym</v>
      </c>
    </row>
    <row r="76" spans="1:19" x14ac:dyDescent="0.2">
      <c r="A76" s="4" t="s">
        <v>166</v>
      </c>
      <c r="B76" s="5">
        <v>46022</v>
      </c>
      <c r="C76" s="15">
        <f>WEEKNUM(Orders[[#This Row],[OrderDate]])</f>
        <v>53</v>
      </c>
      <c r="D76" s="4" t="s">
        <v>91</v>
      </c>
      <c r="E76" s="4" t="s">
        <v>120</v>
      </c>
      <c r="F76" s="4">
        <v>8</v>
      </c>
      <c r="G76" s="4">
        <v>7337.9</v>
      </c>
      <c r="H76">
        <v>6237.2150000000001</v>
      </c>
      <c r="I76">
        <f>Orders[[#This Row],[Quantity]]*Orders[[#This Row],[Selling Price]]</f>
        <v>58703.199999999997</v>
      </c>
      <c r="J76">
        <f>Orders[[#This Row],[Quantity]]*Orders[[#This Row],[Cost Price]]</f>
        <v>49897.72</v>
      </c>
      <c r="K76">
        <f>Orders[[#This Row],[Revenue]]-Orders[[#This Row],[Expenses]]</f>
        <v>8805.4799999999959</v>
      </c>
      <c r="L76" t="s">
        <v>2219</v>
      </c>
      <c r="M76" t="str">
        <f>_xlfn.XLOOKUP(Orders[[#This Row],[CustomerID]],Customers[CustomerID],Customers[City])</f>
        <v>Florida</v>
      </c>
      <c r="N76" t="str">
        <f>_xlfn.XLOOKUP(Orders[[#This Row],[CustomerID]],Customers[CustomerID],Customers[CustomerName])</f>
        <v>Uche Abubakar</v>
      </c>
      <c r="O76" t="str">
        <f>_xlfn.XLOOKUP(Orders[[#This Row],[CustomerID]],Customers[CustomerID],Customers[Gender])</f>
        <v>Male</v>
      </c>
      <c r="P76">
        <f>_xlfn.XLOOKUP(Orders[[#This Row],[CustomerID]],Customers[CustomerID],Customers[CustomerAge])</f>
        <v>28</v>
      </c>
      <c r="Q76" t="str">
        <f>IF(Orders[[#This Row],[Age]]&gt;=35,"older","young")</f>
        <v>young</v>
      </c>
      <c r="R76" t="str">
        <f>_xlfn.XLOOKUP(Orders[[#This Row],[ProductID]],Products[ProductID],Products[ProductName])</f>
        <v>CHESS</v>
      </c>
      <c r="S76" t="str">
        <f>_xlfn.XLOOKUP(Orders[[#This Row],[ProductID]],Products!A:A,Products!C:C)</f>
        <v>Games</v>
      </c>
    </row>
    <row r="77" spans="1:19" x14ac:dyDescent="0.2">
      <c r="A77" s="4" t="s">
        <v>167</v>
      </c>
      <c r="B77" s="5">
        <v>45934</v>
      </c>
      <c r="C77" s="15">
        <f>WEEKNUM(Orders[[#This Row],[OrderDate]])</f>
        <v>40</v>
      </c>
      <c r="D77" s="4" t="s">
        <v>140</v>
      </c>
      <c r="E77" s="4" t="s">
        <v>168</v>
      </c>
      <c r="F77" s="4">
        <v>6</v>
      </c>
      <c r="G77" s="4">
        <v>15426.300000000001</v>
      </c>
      <c r="H77">
        <v>13112.355000000001</v>
      </c>
      <c r="I77">
        <f>Orders[[#This Row],[Quantity]]*Orders[[#This Row],[Selling Price]]</f>
        <v>92557.8</v>
      </c>
      <c r="J77">
        <f>Orders[[#This Row],[Quantity]]*Orders[[#This Row],[Cost Price]]</f>
        <v>78674.13</v>
      </c>
      <c r="K77">
        <f>Orders[[#This Row],[Revenue]]-Orders[[#This Row],[Expenses]]</f>
        <v>13883.669999999998</v>
      </c>
      <c r="L77" t="s">
        <v>2210</v>
      </c>
      <c r="M77" t="str">
        <f>_xlfn.XLOOKUP(Orders[[#This Row],[CustomerID]],Customers[CustomerID],Customers[City])</f>
        <v>Washington</v>
      </c>
      <c r="N77" t="str">
        <f>_xlfn.XLOOKUP(Orders[[#This Row],[CustomerID]],Customers[CustomerID],Customers[CustomerName])</f>
        <v>Tunde Igwe</v>
      </c>
      <c r="O77" t="str">
        <f>_xlfn.XLOOKUP(Orders[[#This Row],[CustomerID]],Customers[CustomerID],Customers[Gender])</f>
        <v>Male</v>
      </c>
      <c r="P77">
        <f>_xlfn.XLOOKUP(Orders[[#This Row],[CustomerID]],Customers[CustomerID],Customers[CustomerAge])</f>
        <v>20</v>
      </c>
      <c r="Q77" t="str">
        <f>IF(Orders[[#This Row],[Age]]&gt;=35,"older","young")</f>
        <v>young</v>
      </c>
      <c r="R77" t="str">
        <f>_xlfn.XLOOKUP(Orders[[#This Row],[ProductID]],Products[ProductID],Products[ProductName])</f>
        <v>DUMB BELLS</v>
      </c>
      <c r="S77" t="str">
        <f>_xlfn.XLOOKUP(Orders[[#This Row],[ProductID]],Products!A:A,Products!C:C)</f>
        <v>Gym</v>
      </c>
    </row>
    <row r="78" spans="1:19" x14ac:dyDescent="0.2">
      <c r="A78" s="4" t="s">
        <v>169</v>
      </c>
      <c r="B78" s="5">
        <v>45976</v>
      </c>
      <c r="C78" s="15">
        <f>WEEKNUM(Orders[[#This Row],[OrderDate]])</f>
        <v>46</v>
      </c>
      <c r="D78" s="4" t="s">
        <v>39</v>
      </c>
      <c r="E78" s="4" t="s">
        <v>120</v>
      </c>
      <c r="F78" s="4">
        <v>6</v>
      </c>
      <c r="G78" s="4">
        <v>1954.3000000000002</v>
      </c>
      <c r="H78">
        <v>1661.1550000000002</v>
      </c>
      <c r="I78">
        <f>Orders[[#This Row],[Quantity]]*Orders[[#This Row],[Selling Price]]</f>
        <v>11725.800000000001</v>
      </c>
      <c r="J78">
        <f>Orders[[#This Row],[Quantity]]*Orders[[#This Row],[Cost Price]]</f>
        <v>9966.93</v>
      </c>
      <c r="K78">
        <f>Orders[[#This Row],[Revenue]]-Orders[[#This Row],[Expenses]]</f>
        <v>1758.8700000000008</v>
      </c>
      <c r="L78" t="s">
        <v>2193</v>
      </c>
      <c r="M78" t="str">
        <f>_xlfn.XLOOKUP(Orders[[#This Row],[CustomerID]],Customers[CustomerID],Customers[City])</f>
        <v>Florida</v>
      </c>
      <c r="N78" t="str">
        <f>_xlfn.XLOOKUP(Orders[[#This Row],[CustomerID]],Customers[CustomerID],Customers[CustomerName])</f>
        <v>Efe Adeyemi</v>
      </c>
      <c r="O78" t="str">
        <f>_xlfn.XLOOKUP(Orders[[#This Row],[CustomerID]],Customers[CustomerID],Customers[Gender])</f>
        <v>Female</v>
      </c>
      <c r="P78">
        <f>_xlfn.XLOOKUP(Orders[[#This Row],[CustomerID]],Customers[CustomerID],Customers[CustomerAge])</f>
        <v>20</v>
      </c>
      <c r="Q78" t="str">
        <f>IF(Orders[[#This Row],[Age]]&gt;=35,"older","young")</f>
        <v>young</v>
      </c>
      <c r="R78" t="str">
        <f>_xlfn.XLOOKUP(Orders[[#This Row],[ProductID]],Products[ProductID],Products[ProductName])</f>
        <v>CHESS</v>
      </c>
      <c r="S78" t="str">
        <f>_xlfn.XLOOKUP(Orders[[#This Row],[ProductID]],Products!A:A,Products!C:C)</f>
        <v>Games</v>
      </c>
    </row>
    <row r="79" spans="1:19" x14ac:dyDescent="0.2">
      <c r="A79" s="4" t="s">
        <v>170</v>
      </c>
      <c r="B79" s="5">
        <v>45979</v>
      </c>
      <c r="C79" s="15">
        <f>WEEKNUM(Orders[[#This Row],[OrderDate]])</f>
        <v>47</v>
      </c>
      <c r="D79" s="4" t="s">
        <v>62</v>
      </c>
      <c r="E79" s="4" t="s">
        <v>127</v>
      </c>
      <c r="F79" s="4">
        <v>6</v>
      </c>
      <c r="G79" s="4">
        <v>755.1</v>
      </c>
      <c r="H79">
        <v>641.83500000000004</v>
      </c>
      <c r="I79">
        <f>Orders[[#This Row],[Quantity]]*Orders[[#This Row],[Selling Price]]</f>
        <v>4530.6000000000004</v>
      </c>
      <c r="J79">
        <f>Orders[[#This Row],[Quantity]]*Orders[[#This Row],[Cost Price]]</f>
        <v>3851.01</v>
      </c>
      <c r="K79">
        <f>Orders[[#This Row],[Revenue]]-Orders[[#This Row],[Expenses]]</f>
        <v>679.59000000000015</v>
      </c>
      <c r="L79" t="s">
        <v>2197</v>
      </c>
      <c r="M79" t="str">
        <f>_xlfn.XLOOKUP(Orders[[#This Row],[CustomerID]],Customers[CustomerID],Customers[City])</f>
        <v>Texas</v>
      </c>
      <c r="N79" t="str">
        <f>_xlfn.XLOOKUP(Orders[[#This Row],[CustomerID]],Customers[CustomerID],Customers[CustomerName])</f>
        <v>Ronke Okonkwo</v>
      </c>
      <c r="O79" t="str">
        <f>_xlfn.XLOOKUP(Orders[[#This Row],[CustomerID]],Customers[CustomerID],Customers[Gender])</f>
        <v>Female</v>
      </c>
      <c r="P79">
        <f>_xlfn.XLOOKUP(Orders[[#This Row],[CustomerID]],Customers[CustomerID],Customers[CustomerAge])</f>
        <v>36</v>
      </c>
      <c r="Q79" t="str">
        <f>IF(Orders[[#This Row],[Age]]&gt;=35,"older","young")</f>
        <v>older</v>
      </c>
      <c r="R79" t="str">
        <f>_xlfn.XLOOKUP(Orders[[#This Row],[ProductID]],Products[ProductID],Products[ProductName])</f>
        <v>TOPS</v>
      </c>
      <c r="S79" t="str">
        <f>_xlfn.XLOOKUP(Orders[[#This Row],[ProductID]],Products!A:A,Products!C:C)</f>
        <v>Clothing</v>
      </c>
    </row>
    <row r="80" spans="1:19" x14ac:dyDescent="0.2">
      <c r="A80" s="4" t="s">
        <v>171</v>
      </c>
      <c r="B80" s="5">
        <v>46022</v>
      </c>
      <c r="C80" s="15">
        <f>WEEKNUM(Orders[[#This Row],[OrderDate]])</f>
        <v>53</v>
      </c>
      <c r="D80" s="4" t="s">
        <v>17</v>
      </c>
      <c r="E80" s="4" t="s">
        <v>23</v>
      </c>
      <c r="F80" s="4">
        <v>2</v>
      </c>
      <c r="G80" s="4">
        <v>15440.699999999999</v>
      </c>
      <c r="H80">
        <v>13124.594999999999</v>
      </c>
      <c r="I80">
        <f>Orders[[#This Row],[Quantity]]*Orders[[#This Row],[Selling Price]]</f>
        <v>30881.399999999998</v>
      </c>
      <c r="J80">
        <f>Orders[[#This Row],[Quantity]]*Orders[[#This Row],[Cost Price]]</f>
        <v>26249.19</v>
      </c>
      <c r="K80">
        <f>Orders[[#This Row],[Revenue]]-Orders[[#This Row],[Expenses]]</f>
        <v>4632.2099999999991</v>
      </c>
      <c r="L80" t="s">
        <v>2212</v>
      </c>
      <c r="M80" t="str">
        <f>_xlfn.XLOOKUP(Orders[[#This Row],[CustomerID]],Customers[CustomerID],Customers[City])</f>
        <v>Illinois</v>
      </c>
      <c r="N80" t="str">
        <f>_xlfn.XLOOKUP(Orders[[#This Row],[CustomerID]],Customers[CustomerID],Customers[CustomerName])</f>
        <v>Bisi Adeyemi</v>
      </c>
      <c r="O80" t="str">
        <f>_xlfn.XLOOKUP(Orders[[#This Row],[CustomerID]],Customers[CustomerID],Customers[Gender])</f>
        <v>Female</v>
      </c>
      <c r="P80">
        <f>_xlfn.XLOOKUP(Orders[[#This Row],[CustomerID]],Customers[CustomerID],Customers[CustomerAge])</f>
        <v>48</v>
      </c>
      <c r="Q80" t="str">
        <f>IF(Orders[[#This Row],[Age]]&gt;=35,"older","young")</f>
        <v>older</v>
      </c>
      <c r="R80" t="str">
        <f>_xlfn.XLOOKUP(Orders[[#This Row],[ProductID]],Products[ProductID],Products[ProductName])</f>
        <v>GYM GLOVES</v>
      </c>
      <c r="S80" t="str">
        <f>_xlfn.XLOOKUP(Orders[[#This Row],[ProductID]],Products!A:A,Products!C:C)</f>
        <v>Gym</v>
      </c>
    </row>
    <row r="81" spans="1:19" x14ac:dyDescent="0.2">
      <c r="A81" s="4" t="s">
        <v>172</v>
      </c>
      <c r="B81" s="5">
        <v>45989</v>
      </c>
      <c r="C81" s="15">
        <f>WEEKNUM(Orders[[#This Row],[OrderDate]])</f>
        <v>48</v>
      </c>
      <c r="D81" s="4" t="s">
        <v>11</v>
      </c>
      <c r="E81" s="4" t="s">
        <v>9</v>
      </c>
      <c r="F81" s="4">
        <v>4</v>
      </c>
      <c r="G81" s="4">
        <v>3425</v>
      </c>
      <c r="H81">
        <v>2911.25</v>
      </c>
      <c r="I81">
        <f>Orders[[#This Row],[Quantity]]*Orders[[#This Row],[Selling Price]]</f>
        <v>13700</v>
      </c>
      <c r="J81">
        <f>Orders[[#This Row],[Quantity]]*Orders[[#This Row],[Cost Price]]</f>
        <v>11645</v>
      </c>
      <c r="K81">
        <f>Orders[[#This Row],[Revenue]]-Orders[[#This Row],[Expenses]]</f>
        <v>2055</v>
      </c>
      <c r="L81" t="s">
        <v>2195</v>
      </c>
      <c r="M81" t="str">
        <f>_xlfn.XLOOKUP(Orders[[#This Row],[CustomerID]],Customers[CustomerID],Customers[City])</f>
        <v>Texas</v>
      </c>
      <c r="N81" t="str">
        <f>_xlfn.XLOOKUP(Orders[[#This Row],[CustomerID]],Customers[CustomerID],Customers[CustomerName])</f>
        <v>Efe Ojo</v>
      </c>
      <c r="O81" t="str">
        <f>_xlfn.XLOOKUP(Orders[[#This Row],[CustomerID]],Customers[CustomerID],Customers[Gender])</f>
        <v>Female</v>
      </c>
      <c r="P81">
        <f>_xlfn.XLOOKUP(Orders[[#This Row],[CustomerID]],Customers[CustomerID],Customers[CustomerAge])</f>
        <v>55</v>
      </c>
      <c r="Q81" t="str">
        <f>IF(Orders[[#This Row],[Age]]&gt;=35,"older","young")</f>
        <v>older</v>
      </c>
      <c r="R81" t="str">
        <f>_xlfn.XLOOKUP(Orders[[#This Row],[ProductID]],Products[ProductID],Products[ProductName])</f>
        <v>BEADED EARRINGS AND NECKLACES</v>
      </c>
      <c r="S81" t="str">
        <f>_xlfn.XLOOKUP(Orders[[#This Row],[ProductID]],Products!A:A,Products!C:C)</f>
        <v>Accessories</v>
      </c>
    </row>
    <row r="82" spans="1:19" x14ac:dyDescent="0.2">
      <c r="A82" s="4" t="s">
        <v>173</v>
      </c>
      <c r="B82" s="5">
        <v>46022</v>
      </c>
      <c r="C82" s="15">
        <f>WEEKNUM(Orders[[#This Row],[OrderDate]])</f>
        <v>53</v>
      </c>
      <c r="D82" s="4" t="s">
        <v>174</v>
      </c>
      <c r="E82" s="4" t="s">
        <v>31</v>
      </c>
      <c r="F82" s="4">
        <v>3</v>
      </c>
      <c r="G82" s="4">
        <v>1234.4000000000001</v>
      </c>
      <c r="H82">
        <v>1049.24</v>
      </c>
      <c r="I82">
        <f>Orders[[#This Row],[Quantity]]*Orders[[#This Row],[Selling Price]]</f>
        <v>3703.2000000000003</v>
      </c>
      <c r="J82">
        <f>Orders[[#This Row],[Quantity]]*Orders[[#This Row],[Cost Price]]</f>
        <v>3147.7200000000003</v>
      </c>
      <c r="K82">
        <f>Orders[[#This Row],[Revenue]]-Orders[[#This Row],[Expenses]]</f>
        <v>555.48</v>
      </c>
      <c r="L82" t="s">
        <v>2194</v>
      </c>
      <c r="M82" t="str">
        <f>_xlfn.XLOOKUP(Orders[[#This Row],[CustomerID]],Customers[CustomerID],Customers[City])</f>
        <v>California</v>
      </c>
      <c r="N82" t="str">
        <f>_xlfn.XLOOKUP(Orders[[#This Row],[CustomerID]],Customers[CustomerID],Customers[CustomerName])</f>
        <v>Zainab Obi</v>
      </c>
      <c r="O82" t="str">
        <f>_xlfn.XLOOKUP(Orders[[#This Row],[CustomerID]],Customers[CustomerID],Customers[Gender])</f>
        <v>Female</v>
      </c>
      <c r="P82">
        <f>_xlfn.XLOOKUP(Orders[[#This Row],[CustomerID]],Customers[CustomerID],Customers[CustomerAge])</f>
        <v>18</v>
      </c>
      <c r="Q82" t="str">
        <f>IF(Orders[[#This Row],[Age]]&gt;=35,"older","young")</f>
        <v>young</v>
      </c>
      <c r="R82" t="str">
        <f>_xlfn.XLOOKUP(Orders[[#This Row],[ProductID]],Products[ProductID],Products[ProductName])</f>
        <v>KIDS GAMES</v>
      </c>
      <c r="S82" t="str">
        <f>_xlfn.XLOOKUP(Orders[[#This Row],[ProductID]],Products!A:A,Products!C:C)</f>
        <v>Games</v>
      </c>
    </row>
    <row r="83" spans="1:19" x14ac:dyDescent="0.2">
      <c r="A83" s="4" t="s">
        <v>175</v>
      </c>
      <c r="B83" s="5">
        <v>45943</v>
      </c>
      <c r="C83" s="15">
        <f>WEEKNUM(Orders[[#This Row],[OrderDate]])</f>
        <v>42</v>
      </c>
      <c r="D83" s="4" t="s">
        <v>176</v>
      </c>
      <c r="E83" s="4" t="s">
        <v>31</v>
      </c>
      <c r="F83" s="4">
        <v>2</v>
      </c>
      <c r="G83" s="4">
        <v>12870.8</v>
      </c>
      <c r="H83">
        <v>10940.18</v>
      </c>
      <c r="I83">
        <f>Orders[[#This Row],[Quantity]]*Orders[[#This Row],[Selling Price]]</f>
        <v>25741.599999999999</v>
      </c>
      <c r="J83">
        <f>Orders[[#This Row],[Quantity]]*Orders[[#This Row],[Cost Price]]</f>
        <v>21880.36</v>
      </c>
      <c r="K83">
        <f>Orders[[#This Row],[Revenue]]-Orders[[#This Row],[Expenses]]</f>
        <v>3861.239999999998</v>
      </c>
      <c r="L83" t="s">
        <v>2215</v>
      </c>
      <c r="M83" t="str">
        <f>_xlfn.XLOOKUP(Orders[[#This Row],[CustomerID]],Customers[CustomerID],Customers[City])</f>
        <v>Florida</v>
      </c>
      <c r="N83" t="str">
        <f>_xlfn.XLOOKUP(Orders[[#This Row],[CustomerID]],Customers[CustomerID],Customers[CustomerName])</f>
        <v>Okon Eze</v>
      </c>
      <c r="O83" t="str">
        <f>_xlfn.XLOOKUP(Orders[[#This Row],[CustomerID]],Customers[CustomerID],Customers[Gender])</f>
        <v>Male</v>
      </c>
      <c r="P83">
        <f>_xlfn.XLOOKUP(Orders[[#This Row],[CustomerID]],Customers[CustomerID],Customers[CustomerAge])</f>
        <v>26</v>
      </c>
      <c r="Q83" t="str">
        <f>IF(Orders[[#This Row],[Age]]&gt;=35,"older","young")</f>
        <v>young</v>
      </c>
      <c r="R83" t="str">
        <f>_xlfn.XLOOKUP(Orders[[#This Row],[ProductID]],Products[ProductID],Products[ProductName])</f>
        <v>KIDS GAMES</v>
      </c>
      <c r="S83" t="str">
        <f>_xlfn.XLOOKUP(Orders[[#This Row],[ProductID]],Products!A:A,Products!C:C)</f>
        <v>Games</v>
      </c>
    </row>
    <row r="84" spans="1:19" x14ac:dyDescent="0.2">
      <c r="A84" s="4" t="s">
        <v>177</v>
      </c>
      <c r="B84" s="5">
        <v>45937</v>
      </c>
      <c r="C84" s="15">
        <f>WEEKNUM(Orders[[#This Row],[OrderDate]])</f>
        <v>41</v>
      </c>
      <c r="D84" s="4" t="s">
        <v>178</v>
      </c>
      <c r="E84" s="4" t="s">
        <v>15</v>
      </c>
      <c r="F84" s="4">
        <v>9</v>
      </c>
      <c r="G84" s="4">
        <v>10215.5</v>
      </c>
      <c r="H84">
        <v>8683.1749999999993</v>
      </c>
      <c r="I84">
        <f>Orders[[#This Row],[Quantity]]*Orders[[#This Row],[Selling Price]]</f>
        <v>91939.5</v>
      </c>
      <c r="J84">
        <f>Orders[[#This Row],[Quantity]]*Orders[[#This Row],[Cost Price]]</f>
        <v>78148.574999999997</v>
      </c>
      <c r="K84">
        <f>Orders[[#This Row],[Revenue]]-Orders[[#This Row],[Expenses]]</f>
        <v>13790.925000000003</v>
      </c>
      <c r="L84" t="s">
        <v>2213</v>
      </c>
      <c r="M84" t="str">
        <f>_xlfn.XLOOKUP(Orders[[#This Row],[CustomerID]],Customers[CustomerID],Customers[City])</f>
        <v>Florida</v>
      </c>
      <c r="N84" t="str">
        <f>_xlfn.XLOOKUP(Orders[[#This Row],[CustomerID]],Customers[CustomerID],Customers[CustomerName])</f>
        <v>Ibrahim Igwe</v>
      </c>
      <c r="O84" t="str">
        <f>_xlfn.XLOOKUP(Orders[[#This Row],[CustomerID]],Customers[CustomerID],Customers[Gender])</f>
        <v>Male</v>
      </c>
      <c r="P84">
        <f>_xlfn.XLOOKUP(Orders[[#This Row],[CustomerID]],Customers[CustomerID],Customers[CustomerAge])</f>
        <v>19</v>
      </c>
      <c r="Q84" t="str">
        <f>IF(Orders[[#This Row],[Age]]&gt;=35,"older","young")</f>
        <v>young</v>
      </c>
      <c r="R84" t="str">
        <f>_xlfn.XLOOKUP(Orders[[#This Row],[ProductID]],Products[ProductID],Products[ProductName])</f>
        <v>MONOPOLY</v>
      </c>
      <c r="S84" t="str">
        <f>_xlfn.XLOOKUP(Orders[[#This Row],[ProductID]],Products!A:A,Products!C:C)</f>
        <v>Games</v>
      </c>
    </row>
    <row r="85" spans="1:19" x14ac:dyDescent="0.2">
      <c r="A85" s="4" t="s">
        <v>179</v>
      </c>
      <c r="B85" s="5">
        <v>45948</v>
      </c>
      <c r="C85" s="15">
        <f>WEEKNUM(Orders[[#This Row],[OrderDate]])</f>
        <v>42</v>
      </c>
      <c r="D85" s="4" t="s">
        <v>180</v>
      </c>
      <c r="E85" s="4" t="s">
        <v>76</v>
      </c>
      <c r="F85" s="4">
        <v>4</v>
      </c>
      <c r="G85" s="4">
        <v>2625.4</v>
      </c>
      <c r="H85">
        <v>2231.59</v>
      </c>
      <c r="I85">
        <f>Orders[[#This Row],[Quantity]]*Orders[[#This Row],[Selling Price]]</f>
        <v>10501.6</v>
      </c>
      <c r="J85">
        <f>Orders[[#This Row],[Quantity]]*Orders[[#This Row],[Cost Price]]</f>
        <v>8926.36</v>
      </c>
      <c r="K85">
        <f>Orders[[#This Row],[Revenue]]-Orders[[#This Row],[Expenses]]</f>
        <v>1575.2399999999998</v>
      </c>
      <c r="L85" t="s">
        <v>2204</v>
      </c>
      <c r="M85" t="str">
        <f>_xlfn.XLOOKUP(Orders[[#This Row],[CustomerID]],Customers[CustomerID],Customers[City])</f>
        <v>Texas</v>
      </c>
      <c r="N85" t="str">
        <f>_xlfn.XLOOKUP(Orders[[#This Row],[CustomerID]],Customers[CustomerID],Customers[CustomerName])</f>
        <v>Jide Okonkwo</v>
      </c>
      <c r="O85" t="str">
        <f>_xlfn.XLOOKUP(Orders[[#This Row],[CustomerID]],Customers[CustomerID],Customers[Gender])</f>
        <v>Male</v>
      </c>
      <c r="P85">
        <f>_xlfn.XLOOKUP(Orders[[#This Row],[CustomerID]],Customers[CustomerID],Customers[CustomerAge])</f>
        <v>25</v>
      </c>
      <c r="Q85" t="str">
        <f>IF(Orders[[#This Row],[Age]]&gt;=35,"older","young")</f>
        <v>young</v>
      </c>
      <c r="R85" t="str">
        <f>_xlfn.XLOOKUP(Orders[[#This Row],[ProductID]],Products[ProductID],Products[ProductName])</f>
        <v>BLENDER</v>
      </c>
      <c r="S85" t="str">
        <f>_xlfn.XLOOKUP(Orders[[#This Row],[ProductID]],Products!A:A,Products!C:C)</f>
        <v>Electronics</v>
      </c>
    </row>
    <row r="86" spans="1:19" x14ac:dyDescent="0.2">
      <c r="A86" s="4" t="s">
        <v>181</v>
      </c>
      <c r="B86" s="5">
        <v>46016</v>
      </c>
      <c r="C86" s="15">
        <f>WEEKNUM(Orders[[#This Row],[OrderDate]])</f>
        <v>52</v>
      </c>
      <c r="D86" s="4" t="s">
        <v>182</v>
      </c>
      <c r="E86" s="4" t="s">
        <v>63</v>
      </c>
      <c r="F86" s="4">
        <v>10</v>
      </c>
      <c r="G86" s="4">
        <v>13251.5</v>
      </c>
      <c r="H86">
        <v>11263.775</v>
      </c>
      <c r="I86">
        <f>Orders[[#This Row],[Quantity]]*Orders[[#This Row],[Selling Price]]</f>
        <v>132515</v>
      </c>
      <c r="J86">
        <f>Orders[[#This Row],[Quantity]]*Orders[[#This Row],[Cost Price]]</f>
        <v>112637.75</v>
      </c>
      <c r="K86">
        <f>Orders[[#This Row],[Revenue]]-Orders[[#This Row],[Expenses]]</f>
        <v>19877.25</v>
      </c>
      <c r="L86" t="s">
        <v>2199</v>
      </c>
      <c r="M86" t="str">
        <f>_xlfn.XLOOKUP(Orders[[#This Row],[CustomerID]],Customers[CustomerID],Customers[City])</f>
        <v>Georgia</v>
      </c>
      <c r="N86" t="str">
        <f>_xlfn.XLOOKUP(Orders[[#This Row],[CustomerID]],Customers[CustomerID],Customers[CustomerName])</f>
        <v>Abiola Okonkwo</v>
      </c>
      <c r="O86" t="str">
        <f>_xlfn.XLOOKUP(Orders[[#This Row],[CustomerID]],Customers[CustomerID],Customers[Gender])</f>
        <v>Male</v>
      </c>
      <c r="P86">
        <f>_xlfn.XLOOKUP(Orders[[#This Row],[CustomerID]],Customers[CustomerID],Customers[CustomerAge])</f>
        <v>39</v>
      </c>
      <c r="Q86" t="str">
        <f>IF(Orders[[#This Row],[Age]]&gt;=35,"older","young")</f>
        <v>older</v>
      </c>
      <c r="R86" t="str">
        <f>_xlfn.XLOOKUP(Orders[[#This Row],[ProductID]],Products[ProductID],Products[ProductName])</f>
        <v>TENNIS BAT</v>
      </c>
      <c r="S86" t="str">
        <f>_xlfn.XLOOKUP(Orders[[#This Row],[ProductID]],Products!A:A,Products!C:C)</f>
        <v>Sports</v>
      </c>
    </row>
    <row r="87" spans="1:19" x14ac:dyDescent="0.2">
      <c r="A87" s="4" t="s">
        <v>183</v>
      </c>
      <c r="B87" s="5">
        <v>46014</v>
      </c>
      <c r="C87" s="15">
        <f>WEEKNUM(Orders[[#This Row],[OrderDate]])</f>
        <v>52</v>
      </c>
      <c r="D87" s="4" t="s">
        <v>184</v>
      </c>
      <c r="E87" s="4" t="s">
        <v>20</v>
      </c>
      <c r="F87" s="4">
        <v>10</v>
      </c>
      <c r="G87" s="4">
        <v>5027</v>
      </c>
      <c r="H87">
        <v>4272.95</v>
      </c>
      <c r="I87">
        <f>Orders[[#This Row],[Quantity]]*Orders[[#This Row],[Selling Price]]</f>
        <v>50270</v>
      </c>
      <c r="J87">
        <f>Orders[[#This Row],[Quantity]]*Orders[[#This Row],[Cost Price]]</f>
        <v>42729.5</v>
      </c>
      <c r="K87">
        <f>Orders[[#This Row],[Revenue]]-Orders[[#This Row],[Expenses]]</f>
        <v>7540.5</v>
      </c>
      <c r="L87" t="s">
        <v>2218</v>
      </c>
      <c r="M87" t="str">
        <f>_xlfn.XLOOKUP(Orders[[#This Row],[CustomerID]],Customers[CustomerID],Customers[City])</f>
        <v>Washington</v>
      </c>
      <c r="N87" t="str">
        <f>_xlfn.XLOOKUP(Orders[[#This Row],[CustomerID]],Customers[CustomerID],Customers[CustomerName])</f>
        <v>Ngozi Obi</v>
      </c>
      <c r="O87" t="str">
        <f>_xlfn.XLOOKUP(Orders[[#This Row],[CustomerID]],Customers[CustomerID],Customers[Gender])</f>
        <v>Female</v>
      </c>
      <c r="P87">
        <f>_xlfn.XLOOKUP(Orders[[#This Row],[CustomerID]],Customers[CustomerID],Customers[CustomerAge])</f>
        <v>32</v>
      </c>
      <c r="Q87" t="str">
        <f>IF(Orders[[#This Row],[Age]]&gt;=35,"older","young")</f>
        <v>young</v>
      </c>
      <c r="R87" t="str">
        <f>_xlfn.XLOOKUP(Orders[[#This Row],[ProductID]],Products[ProductID],Products[ProductName])</f>
        <v>GYM BAG</v>
      </c>
      <c r="S87" t="str">
        <f>_xlfn.XLOOKUP(Orders[[#This Row],[ProductID]],Products!A:A,Products!C:C)</f>
        <v>Gym</v>
      </c>
    </row>
    <row r="88" spans="1:19" x14ac:dyDescent="0.2">
      <c r="A88" s="4" t="s">
        <v>185</v>
      </c>
      <c r="B88" s="5">
        <v>45944</v>
      </c>
      <c r="C88" s="15">
        <f>WEEKNUM(Orders[[#This Row],[OrderDate]])</f>
        <v>42</v>
      </c>
      <c r="D88" s="4" t="s">
        <v>186</v>
      </c>
      <c r="E88" s="4" t="s">
        <v>37</v>
      </c>
      <c r="F88" s="4">
        <v>8</v>
      </c>
      <c r="G88" s="4">
        <v>10799.400000000001</v>
      </c>
      <c r="H88">
        <v>9179.4900000000016</v>
      </c>
      <c r="I88">
        <f>Orders[[#This Row],[Quantity]]*Orders[[#This Row],[Selling Price]]</f>
        <v>86395.200000000012</v>
      </c>
      <c r="J88">
        <f>Orders[[#This Row],[Quantity]]*Orders[[#This Row],[Cost Price]]</f>
        <v>73435.920000000013</v>
      </c>
      <c r="K88">
        <f>Orders[[#This Row],[Revenue]]-Orders[[#This Row],[Expenses]]</f>
        <v>12959.279999999999</v>
      </c>
      <c r="L88" t="s">
        <v>2205</v>
      </c>
      <c r="M88" t="str">
        <f>_xlfn.XLOOKUP(Orders[[#This Row],[CustomerID]],Customers[CustomerID],Customers[City])</f>
        <v>Texas</v>
      </c>
      <c r="N88" t="str">
        <f>_xlfn.XLOOKUP(Orders[[#This Row],[CustomerID]],Customers[CustomerID],Customers[CustomerName])</f>
        <v>Ronke Eze</v>
      </c>
      <c r="O88" t="str">
        <f>_xlfn.XLOOKUP(Orders[[#This Row],[CustomerID]],Customers[CustomerID],Customers[Gender])</f>
        <v>Female</v>
      </c>
      <c r="P88">
        <f>_xlfn.XLOOKUP(Orders[[#This Row],[CustomerID]],Customers[CustomerID],Customers[CustomerAge])</f>
        <v>37</v>
      </c>
      <c r="Q88" t="str">
        <f>IF(Orders[[#This Row],[Age]]&gt;=35,"older","young")</f>
        <v>older</v>
      </c>
      <c r="R88" t="str">
        <f>_xlfn.XLOOKUP(Orders[[#This Row],[ProductID]],Products[ProductID],Products[ProductName])</f>
        <v>IRON</v>
      </c>
      <c r="S88" t="str">
        <f>_xlfn.XLOOKUP(Orders[[#This Row],[ProductID]],Products!A:A,Products!C:C)</f>
        <v>Electronics</v>
      </c>
    </row>
    <row r="89" spans="1:19" x14ac:dyDescent="0.2">
      <c r="A89" s="4" t="s">
        <v>187</v>
      </c>
      <c r="B89" s="5">
        <v>45945</v>
      </c>
      <c r="C89" s="15">
        <f>WEEKNUM(Orders[[#This Row],[OrderDate]])</f>
        <v>42</v>
      </c>
      <c r="D89" s="4" t="s">
        <v>80</v>
      </c>
      <c r="E89" s="4" t="s">
        <v>81</v>
      </c>
      <c r="F89" s="4">
        <v>9</v>
      </c>
      <c r="G89" s="4">
        <v>17973.800000000003</v>
      </c>
      <c r="H89">
        <v>15277.730000000003</v>
      </c>
      <c r="I89">
        <f>Orders[[#This Row],[Quantity]]*Orders[[#This Row],[Selling Price]]</f>
        <v>161764.20000000001</v>
      </c>
      <c r="J89">
        <f>Orders[[#This Row],[Quantity]]*Orders[[#This Row],[Cost Price]]</f>
        <v>137499.57000000004</v>
      </c>
      <c r="K89">
        <f>Orders[[#This Row],[Revenue]]-Orders[[#This Row],[Expenses]]</f>
        <v>24264.629999999976</v>
      </c>
      <c r="L89" t="s">
        <v>2204</v>
      </c>
      <c r="M89" t="str">
        <f>_xlfn.XLOOKUP(Orders[[#This Row],[CustomerID]],Customers[CustomerID],Customers[City])</f>
        <v>Texas</v>
      </c>
      <c r="N89" t="str">
        <f>_xlfn.XLOOKUP(Orders[[#This Row],[CustomerID]],Customers[CustomerID],Customers[CustomerName])</f>
        <v>Sani Ojo</v>
      </c>
      <c r="O89" t="str">
        <f>_xlfn.XLOOKUP(Orders[[#This Row],[CustomerID]],Customers[CustomerID],Customers[Gender])</f>
        <v>Male</v>
      </c>
      <c r="P89">
        <f>_xlfn.XLOOKUP(Orders[[#This Row],[CustomerID]],Customers[CustomerID],Customers[CustomerAge])</f>
        <v>35</v>
      </c>
      <c r="Q89" t="str">
        <f>IF(Orders[[#This Row],[Age]]&gt;=35,"older","young")</f>
        <v>older</v>
      </c>
      <c r="R89" t="str">
        <f>_xlfn.XLOOKUP(Orders[[#This Row],[ProductID]],Products[ProductID],Products[ProductName])</f>
        <v>TROUSERS</v>
      </c>
      <c r="S89" t="str">
        <f>_xlfn.XLOOKUP(Orders[[#This Row],[ProductID]],Products!A:A,Products!C:C)</f>
        <v>Clothing</v>
      </c>
    </row>
    <row r="90" spans="1:19" x14ac:dyDescent="0.2">
      <c r="A90" s="4" t="s">
        <v>188</v>
      </c>
      <c r="B90" s="5">
        <v>46008</v>
      </c>
      <c r="C90" s="15">
        <f>WEEKNUM(Orders[[#This Row],[OrderDate]])</f>
        <v>51</v>
      </c>
      <c r="D90" s="4" t="s">
        <v>118</v>
      </c>
      <c r="E90" s="4" t="s">
        <v>189</v>
      </c>
      <c r="F90" s="4">
        <v>5</v>
      </c>
      <c r="G90" s="4">
        <v>5117</v>
      </c>
      <c r="H90">
        <v>4349.45</v>
      </c>
      <c r="I90">
        <f>Orders[[#This Row],[Quantity]]*Orders[[#This Row],[Selling Price]]</f>
        <v>25585</v>
      </c>
      <c r="J90">
        <f>Orders[[#This Row],[Quantity]]*Orders[[#This Row],[Cost Price]]</f>
        <v>21747.25</v>
      </c>
      <c r="K90">
        <f>Orders[[#This Row],[Revenue]]-Orders[[#This Row],[Expenses]]</f>
        <v>3837.75</v>
      </c>
      <c r="L90" t="s">
        <v>2203</v>
      </c>
      <c r="M90" t="str">
        <f>_xlfn.XLOOKUP(Orders[[#This Row],[CustomerID]],Customers[CustomerID],Customers[City])</f>
        <v>Georgia</v>
      </c>
      <c r="N90" t="str">
        <f>_xlfn.XLOOKUP(Orders[[#This Row],[CustomerID]],Customers[CustomerID],Customers[CustomerName])</f>
        <v>Ibrahim Balogun</v>
      </c>
      <c r="O90" t="str">
        <f>_xlfn.XLOOKUP(Orders[[#This Row],[CustomerID]],Customers[CustomerID],Customers[Gender])</f>
        <v>Male</v>
      </c>
      <c r="P90">
        <f>_xlfn.XLOOKUP(Orders[[#This Row],[CustomerID]],Customers[CustomerID],Customers[CustomerAge])</f>
        <v>55</v>
      </c>
      <c r="Q90" t="str">
        <f>IF(Orders[[#This Row],[Age]]&gt;=35,"older","young")</f>
        <v>older</v>
      </c>
      <c r="R90" t="str">
        <f>_xlfn.XLOOKUP(Orders[[#This Row],[ProductID]],Products[ProductID],Products[ProductName])</f>
        <v>SCRABBLE</v>
      </c>
      <c r="S90" t="str">
        <f>_xlfn.XLOOKUP(Orders[[#This Row],[ProductID]],Products!A:A,Products!C:C)</f>
        <v>Games</v>
      </c>
    </row>
    <row r="91" spans="1:19" x14ac:dyDescent="0.2">
      <c r="A91" s="4" t="s">
        <v>190</v>
      </c>
      <c r="B91" s="5">
        <v>45934</v>
      </c>
      <c r="C91" s="15">
        <f>WEEKNUM(Orders[[#This Row],[OrderDate]])</f>
        <v>40</v>
      </c>
      <c r="D91" s="4" t="s">
        <v>107</v>
      </c>
      <c r="E91" s="4" t="s">
        <v>151</v>
      </c>
      <c r="F91" s="4">
        <v>3</v>
      </c>
      <c r="G91" s="4">
        <v>1247.0999999999999</v>
      </c>
      <c r="H91">
        <v>1060.0349999999999</v>
      </c>
      <c r="I91">
        <f>Orders[[#This Row],[Quantity]]*Orders[[#This Row],[Selling Price]]</f>
        <v>3741.2999999999997</v>
      </c>
      <c r="J91">
        <f>Orders[[#This Row],[Quantity]]*Orders[[#This Row],[Cost Price]]</f>
        <v>3180.1049999999996</v>
      </c>
      <c r="K91">
        <f>Orders[[#This Row],[Revenue]]-Orders[[#This Row],[Expenses]]</f>
        <v>561.19500000000016</v>
      </c>
      <c r="L91" t="s">
        <v>2213</v>
      </c>
      <c r="M91" t="str">
        <f>_xlfn.XLOOKUP(Orders[[#This Row],[CustomerID]],Customers[CustomerID],Customers[City])</f>
        <v>Texas</v>
      </c>
      <c r="N91" t="str">
        <f>_xlfn.XLOOKUP(Orders[[#This Row],[CustomerID]],Customers[CustomerID],Customers[CustomerName])</f>
        <v>Blessing Eze</v>
      </c>
      <c r="O91" t="str">
        <f>_xlfn.XLOOKUP(Orders[[#This Row],[CustomerID]],Customers[CustomerID],Customers[Gender])</f>
        <v>Female</v>
      </c>
      <c r="P91">
        <f>_xlfn.XLOOKUP(Orders[[#This Row],[CustomerID]],Customers[CustomerID],Customers[CustomerAge])</f>
        <v>44</v>
      </c>
      <c r="Q91" t="str">
        <f>IF(Orders[[#This Row],[Age]]&gt;=35,"older","young")</f>
        <v>older</v>
      </c>
      <c r="R91" t="str">
        <f>_xlfn.XLOOKUP(Orders[[#This Row],[ProductID]],Products[ProductID],Products[ProductName])</f>
        <v>CHECKERS</v>
      </c>
      <c r="S91" t="str">
        <f>_xlfn.XLOOKUP(Orders[[#This Row],[ProductID]],Products!A:A,Products!C:C)</f>
        <v>Games</v>
      </c>
    </row>
    <row r="92" spans="1:19" x14ac:dyDescent="0.2">
      <c r="A92" s="4" t="s">
        <v>191</v>
      </c>
      <c r="B92" s="5">
        <v>46005</v>
      </c>
      <c r="C92" s="15">
        <f>WEEKNUM(Orders[[#This Row],[OrderDate]])</f>
        <v>51</v>
      </c>
      <c r="D92" s="4" t="s">
        <v>182</v>
      </c>
      <c r="E92" s="4" t="s">
        <v>70</v>
      </c>
      <c r="F92" s="4">
        <v>7</v>
      </c>
      <c r="G92" s="4">
        <v>18898.699999999997</v>
      </c>
      <c r="H92">
        <v>16063.894999999997</v>
      </c>
      <c r="I92">
        <f>Orders[[#This Row],[Quantity]]*Orders[[#This Row],[Selling Price]]</f>
        <v>132290.89999999997</v>
      </c>
      <c r="J92">
        <f>Orders[[#This Row],[Quantity]]*Orders[[#This Row],[Cost Price]]</f>
        <v>112447.26499999998</v>
      </c>
      <c r="K92">
        <f>Orders[[#This Row],[Revenue]]-Orders[[#This Row],[Expenses]]</f>
        <v>19843.63499999998</v>
      </c>
      <c r="L92" t="s">
        <v>2194</v>
      </c>
      <c r="M92" t="str">
        <f>_xlfn.XLOOKUP(Orders[[#This Row],[CustomerID]],Customers[CustomerID],Customers[City])</f>
        <v>Georgia</v>
      </c>
      <c r="N92" t="str">
        <f>_xlfn.XLOOKUP(Orders[[#This Row],[CustomerID]],Customers[CustomerID],Customers[CustomerName])</f>
        <v>Abiola Okonkwo</v>
      </c>
      <c r="O92" t="str">
        <f>_xlfn.XLOOKUP(Orders[[#This Row],[CustomerID]],Customers[CustomerID],Customers[Gender])</f>
        <v>Male</v>
      </c>
      <c r="P92">
        <f>_xlfn.XLOOKUP(Orders[[#This Row],[CustomerID]],Customers[CustomerID],Customers[CustomerAge])</f>
        <v>39</v>
      </c>
      <c r="Q92" t="str">
        <f>IF(Orders[[#This Row],[Age]]&gt;=35,"older","young")</f>
        <v>older</v>
      </c>
      <c r="R92" t="str">
        <f>_xlfn.XLOOKUP(Orders[[#This Row],[ProductID]],Products[ProductID],Products[ProductName])</f>
        <v>YOGA MAT</v>
      </c>
      <c r="S92" t="str">
        <f>_xlfn.XLOOKUP(Orders[[#This Row],[ProductID]],Products!A:A,Products!C:C)</f>
        <v>Gym</v>
      </c>
    </row>
    <row r="93" spans="1:19" x14ac:dyDescent="0.2">
      <c r="A93" s="4" t="s">
        <v>192</v>
      </c>
      <c r="B93" s="5">
        <v>46015</v>
      </c>
      <c r="C93" s="15">
        <f>WEEKNUM(Orders[[#This Row],[OrderDate]])</f>
        <v>52</v>
      </c>
      <c r="D93" s="4" t="s">
        <v>122</v>
      </c>
      <c r="E93" s="4" t="s">
        <v>189</v>
      </c>
      <c r="F93" s="4">
        <v>4</v>
      </c>
      <c r="G93" s="4">
        <v>2922.4</v>
      </c>
      <c r="H93">
        <v>2484.04</v>
      </c>
      <c r="I93">
        <f>Orders[[#This Row],[Quantity]]*Orders[[#This Row],[Selling Price]]</f>
        <v>11689.6</v>
      </c>
      <c r="J93">
        <f>Orders[[#This Row],[Quantity]]*Orders[[#This Row],[Cost Price]]</f>
        <v>9936.16</v>
      </c>
      <c r="K93">
        <f>Orders[[#This Row],[Revenue]]-Orders[[#This Row],[Expenses]]</f>
        <v>1753.4400000000005</v>
      </c>
      <c r="L93" t="s">
        <v>2211</v>
      </c>
      <c r="M93" t="str">
        <f>_xlfn.XLOOKUP(Orders[[#This Row],[CustomerID]],Customers[CustomerID],Customers[City])</f>
        <v>Texas</v>
      </c>
      <c r="N93" t="str">
        <f>_xlfn.XLOOKUP(Orders[[#This Row],[CustomerID]],Customers[CustomerID],Customers[CustomerName])</f>
        <v>Ibrahim Eze</v>
      </c>
      <c r="O93" t="str">
        <f>_xlfn.XLOOKUP(Orders[[#This Row],[CustomerID]],Customers[CustomerID],Customers[Gender])</f>
        <v>Male</v>
      </c>
      <c r="P93">
        <f>_xlfn.XLOOKUP(Orders[[#This Row],[CustomerID]],Customers[CustomerID],Customers[CustomerAge])</f>
        <v>52</v>
      </c>
      <c r="Q93" t="str">
        <f>IF(Orders[[#This Row],[Age]]&gt;=35,"older","young")</f>
        <v>older</v>
      </c>
      <c r="R93" t="str">
        <f>_xlfn.XLOOKUP(Orders[[#This Row],[ProductID]],Products[ProductID],Products[ProductName])</f>
        <v>SCRABBLE</v>
      </c>
      <c r="S93" t="str">
        <f>_xlfn.XLOOKUP(Orders[[#This Row],[ProductID]],Products!A:A,Products!C:C)</f>
        <v>Games</v>
      </c>
    </row>
    <row r="94" spans="1:19" x14ac:dyDescent="0.2">
      <c r="A94" s="4" t="s">
        <v>193</v>
      </c>
      <c r="B94" s="5">
        <v>45977</v>
      </c>
      <c r="C94" s="15">
        <f>WEEKNUM(Orders[[#This Row],[OrderDate]])</f>
        <v>47</v>
      </c>
      <c r="D94" s="4" t="s">
        <v>194</v>
      </c>
      <c r="E94" s="4" t="s">
        <v>31</v>
      </c>
      <c r="F94" s="4">
        <v>7</v>
      </c>
      <c r="G94" s="4">
        <v>15062.3</v>
      </c>
      <c r="H94">
        <v>12802.955</v>
      </c>
      <c r="I94">
        <f>Orders[[#This Row],[Quantity]]*Orders[[#This Row],[Selling Price]]</f>
        <v>105436.09999999999</v>
      </c>
      <c r="J94">
        <f>Orders[[#This Row],[Quantity]]*Orders[[#This Row],[Cost Price]]</f>
        <v>89620.684999999998</v>
      </c>
      <c r="K94">
        <f>Orders[[#This Row],[Revenue]]-Orders[[#This Row],[Expenses]]</f>
        <v>15815.414999999994</v>
      </c>
      <c r="L94" t="s">
        <v>2196</v>
      </c>
      <c r="M94" t="str">
        <f>_xlfn.XLOOKUP(Orders[[#This Row],[CustomerID]],Customers[CustomerID],Customers[City])</f>
        <v>Washington</v>
      </c>
      <c r="N94" t="str">
        <f>_xlfn.XLOOKUP(Orders[[#This Row],[CustomerID]],Customers[CustomerID],Customers[CustomerName])</f>
        <v>Adanma Adeyemi</v>
      </c>
      <c r="O94" t="str">
        <f>_xlfn.XLOOKUP(Orders[[#This Row],[CustomerID]],Customers[CustomerID],Customers[Gender])</f>
        <v>Female</v>
      </c>
      <c r="P94">
        <f>_xlfn.XLOOKUP(Orders[[#This Row],[CustomerID]],Customers[CustomerID],Customers[CustomerAge])</f>
        <v>45</v>
      </c>
      <c r="Q94" t="str">
        <f>IF(Orders[[#This Row],[Age]]&gt;=35,"older","young")</f>
        <v>older</v>
      </c>
      <c r="R94" t="str">
        <f>_xlfn.XLOOKUP(Orders[[#This Row],[ProductID]],Products[ProductID],Products[ProductName])</f>
        <v>KIDS GAMES</v>
      </c>
      <c r="S94" t="str">
        <f>_xlfn.XLOOKUP(Orders[[#This Row],[ProductID]],Products!A:A,Products!C:C)</f>
        <v>Games</v>
      </c>
    </row>
    <row r="95" spans="1:19" x14ac:dyDescent="0.2">
      <c r="A95" s="4" t="s">
        <v>195</v>
      </c>
      <c r="B95" s="5">
        <v>45971</v>
      </c>
      <c r="C95" s="15">
        <f>WEEKNUM(Orders[[#This Row],[OrderDate]])</f>
        <v>46</v>
      </c>
      <c r="D95" s="4" t="s">
        <v>163</v>
      </c>
      <c r="E95" s="4" t="s">
        <v>28</v>
      </c>
      <c r="F95" s="4">
        <v>5</v>
      </c>
      <c r="G95" s="4">
        <v>12379.9</v>
      </c>
      <c r="H95">
        <v>10522.914999999999</v>
      </c>
      <c r="I95">
        <f>Orders[[#This Row],[Quantity]]*Orders[[#This Row],[Selling Price]]</f>
        <v>61899.5</v>
      </c>
      <c r="J95">
        <f>Orders[[#This Row],[Quantity]]*Orders[[#This Row],[Cost Price]]</f>
        <v>52614.574999999997</v>
      </c>
      <c r="K95">
        <f>Orders[[#This Row],[Revenue]]-Orders[[#This Row],[Expenses]]</f>
        <v>9284.9250000000029</v>
      </c>
      <c r="L95" t="s">
        <v>2197</v>
      </c>
      <c r="M95" t="str">
        <f>_xlfn.XLOOKUP(Orders[[#This Row],[CustomerID]],Customers[CustomerID],Customers[City])</f>
        <v>Texas</v>
      </c>
      <c r="N95" t="str">
        <f>_xlfn.XLOOKUP(Orders[[#This Row],[CustomerID]],Customers[CustomerID],Customers[CustomerName])</f>
        <v>Folasade Danladi</v>
      </c>
      <c r="O95" t="str">
        <f>_xlfn.XLOOKUP(Orders[[#This Row],[CustomerID]],Customers[CustomerID],Customers[Gender])</f>
        <v>Female</v>
      </c>
      <c r="P95">
        <f>_xlfn.XLOOKUP(Orders[[#This Row],[CustomerID]],Customers[CustomerID],Customers[CustomerAge])</f>
        <v>32</v>
      </c>
      <c r="Q95" t="str">
        <f>IF(Orders[[#This Row],[Age]]&gt;=35,"older","young")</f>
        <v>young</v>
      </c>
      <c r="R95" t="str">
        <f>_xlfn.XLOOKUP(Orders[[#This Row],[ProductID]],Products[ProductID],Products[ProductName])</f>
        <v>SNEAKERS</v>
      </c>
      <c r="S95" t="str">
        <f>_xlfn.XLOOKUP(Orders[[#This Row],[ProductID]],Products!A:A,Products!C:C)</f>
        <v>Sports</v>
      </c>
    </row>
    <row r="96" spans="1:19" x14ac:dyDescent="0.2">
      <c r="A96" s="4" t="s">
        <v>196</v>
      </c>
      <c r="B96" s="5">
        <v>45996</v>
      </c>
      <c r="C96" s="15">
        <f>WEEKNUM(Orders[[#This Row],[OrderDate]])</f>
        <v>49</v>
      </c>
      <c r="D96" s="4" t="s">
        <v>150</v>
      </c>
      <c r="E96" s="4" t="s">
        <v>9</v>
      </c>
      <c r="F96" s="4">
        <v>5</v>
      </c>
      <c r="G96" s="4">
        <v>5554.2999999999993</v>
      </c>
      <c r="H96">
        <v>4721.1549999999997</v>
      </c>
      <c r="I96">
        <f>Orders[[#This Row],[Quantity]]*Orders[[#This Row],[Selling Price]]</f>
        <v>27771.499999999996</v>
      </c>
      <c r="J96">
        <f>Orders[[#This Row],[Quantity]]*Orders[[#This Row],[Cost Price]]</f>
        <v>23605.774999999998</v>
      </c>
      <c r="K96">
        <f>Orders[[#This Row],[Revenue]]-Orders[[#This Row],[Expenses]]</f>
        <v>4165.7249999999985</v>
      </c>
      <c r="L96" t="s">
        <v>2192</v>
      </c>
      <c r="M96" t="str">
        <f>_xlfn.XLOOKUP(Orders[[#This Row],[CustomerID]],Customers[CustomerID],Customers[City])</f>
        <v>Georgia</v>
      </c>
      <c r="N96" t="str">
        <f>_xlfn.XLOOKUP(Orders[[#This Row],[CustomerID]],Customers[CustomerID],Customers[CustomerName])</f>
        <v>Ronke Eze</v>
      </c>
      <c r="O96" t="str">
        <f>_xlfn.XLOOKUP(Orders[[#This Row],[CustomerID]],Customers[CustomerID],Customers[Gender])</f>
        <v>Female</v>
      </c>
      <c r="P96">
        <f>_xlfn.XLOOKUP(Orders[[#This Row],[CustomerID]],Customers[CustomerID],Customers[CustomerAge])</f>
        <v>23</v>
      </c>
      <c r="Q96" t="str">
        <f>IF(Orders[[#This Row],[Age]]&gt;=35,"older","young")</f>
        <v>young</v>
      </c>
      <c r="R96" t="str">
        <f>_xlfn.XLOOKUP(Orders[[#This Row],[ProductID]],Products[ProductID],Products[ProductName])</f>
        <v>BEADED EARRINGS AND NECKLACES</v>
      </c>
      <c r="S96" t="str">
        <f>_xlfn.XLOOKUP(Orders[[#This Row],[ProductID]],Products!A:A,Products!C:C)</f>
        <v>Accessories</v>
      </c>
    </row>
    <row r="97" spans="1:19" x14ac:dyDescent="0.2">
      <c r="A97" s="4" t="s">
        <v>197</v>
      </c>
      <c r="B97" s="5">
        <v>46017</v>
      </c>
      <c r="C97" s="15">
        <f>WEEKNUM(Orders[[#This Row],[OrderDate]])</f>
        <v>52</v>
      </c>
      <c r="D97" s="4" t="s">
        <v>198</v>
      </c>
      <c r="E97" s="4" t="s">
        <v>46</v>
      </c>
      <c r="F97" s="4">
        <v>9</v>
      </c>
      <c r="G97" s="4">
        <v>17808.900000000001</v>
      </c>
      <c r="H97">
        <v>15137.565000000002</v>
      </c>
      <c r="I97">
        <f>Orders[[#This Row],[Quantity]]*Orders[[#This Row],[Selling Price]]</f>
        <v>160280.1</v>
      </c>
      <c r="J97">
        <f>Orders[[#This Row],[Quantity]]*Orders[[#This Row],[Cost Price]]</f>
        <v>136238.08500000002</v>
      </c>
      <c r="K97">
        <f>Orders[[#This Row],[Revenue]]-Orders[[#This Row],[Expenses]]</f>
        <v>24042.014999999985</v>
      </c>
      <c r="L97" t="s">
        <v>2192</v>
      </c>
      <c r="M97" t="str">
        <f>_xlfn.XLOOKUP(Orders[[#This Row],[CustomerID]],Customers[CustomerID],Customers[City])</f>
        <v>Texas</v>
      </c>
      <c r="N97" t="str">
        <f>_xlfn.XLOOKUP(Orders[[#This Row],[CustomerID]],Customers[CustomerID],Customers[CustomerName])</f>
        <v>Blessing Danladi</v>
      </c>
      <c r="O97" t="str">
        <f>_xlfn.XLOOKUP(Orders[[#This Row],[CustomerID]],Customers[CustomerID],Customers[Gender])</f>
        <v>Female</v>
      </c>
      <c r="P97">
        <f>_xlfn.XLOOKUP(Orders[[#This Row],[CustomerID]],Customers[CustomerID],Customers[CustomerAge])</f>
        <v>19</v>
      </c>
      <c r="Q97" t="str">
        <f>IF(Orders[[#This Row],[Age]]&gt;=35,"older","young")</f>
        <v>young</v>
      </c>
      <c r="R97" t="str">
        <f>_xlfn.XLOOKUP(Orders[[#This Row],[ProductID]],Products[ProductID],Products[ProductName])</f>
        <v>TURTLE NECK</v>
      </c>
      <c r="S97" t="str">
        <f>_xlfn.XLOOKUP(Orders[[#This Row],[ProductID]],Products!A:A,Products!C:C)</f>
        <v>Clothing</v>
      </c>
    </row>
    <row r="98" spans="1:19" x14ac:dyDescent="0.2">
      <c r="A98" s="4" t="s">
        <v>199</v>
      </c>
      <c r="B98" s="5">
        <v>46011</v>
      </c>
      <c r="C98" s="15">
        <f>WEEKNUM(Orders[[#This Row],[OrderDate]])</f>
        <v>51</v>
      </c>
      <c r="D98" s="4" t="s">
        <v>116</v>
      </c>
      <c r="E98" s="4" t="s">
        <v>63</v>
      </c>
      <c r="F98" s="4">
        <v>8</v>
      </c>
      <c r="G98" s="4">
        <v>9839.1999999999989</v>
      </c>
      <c r="H98">
        <v>8363.32</v>
      </c>
      <c r="I98">
        <f>Orders[[#This Row],[Quantity]]*Orders[[#This Row],[Selling Price]]</f>
        <v>78713.599999999991</v>
      </c>
      <c r="J98">
        <f>Orders[[#This Row],[Quantity]]*Orders[[#This Row],[Cost Price]]</f>
        <v>66906.559999999998</v>
      </c>
      <c r="K98">
        <f>Orders[[#This Row],[Revenue]]-Orders[[#This Row],[Expenses]]</f>
        <v>11807.039999999994</v>
      </c>
      <c r="L98" t="s">
        <v>2202</v>
      </c>
      <c r="M98" t="str">
        <f>_xlfn.XLOOKUP(Orders[[#This Row],[CustomerID]],Customers[CustomerID],Customers[City])</f>
        <v>Texas</v>
      </c>
      <c r="N98" t="str">
        <f>_xlfn.XLOOKUP(Orders[[#This Row],[CustomerID]],Customers[CustomerID],Customers[CustomerName])</f>
        <v>Uche Bello</v>
      </c>
      <c r="O98" t="str">
        <f>_xlfn.XLOOKUP(Orders[[#This Row],[CustomerID]],Customers[CustomerID],Customers[Gender])</f>
        <v>Male</v>
      </c>
      <c r="P98">
        <f>_xlfn.XLOOKUP(Orders[[#This Row],[CustomerID]],Customers[CustomerID],Customers[CustomerAge])</f>
        <v>21</v>
      </c>
      <c r="Q98" t="str">
        <f>IF(Orders[[#This Row],[Age]]&gt;=35,"older","young")</f>
        <v>young</v>
      </c>
      <c r="R98" t="str">
        <f>_xlfn.XLOOKUP(Orders[[#This Row],[ProductID]],Products[ProductID],Products[ProductName])</f>
        <v>TENNIS BAT</v>
      </c>
      <c r="S98" t="str">
        <f>_xlfn.XLOOKUP(Orders[[#This Row],[ProductID]],Products!A:A,Products!C:C)</f>
        <v>Sports</v>
      </c>
    </row>
    <row r="99" spans="1:19" x14ac:dyDescent="0.2">
      <c r="A99" s="4" t="s">
        <v>200</v>
      </c>
      <c r="B99" s="5">
        <v>45958</v>
      </c>
      <c r="C99" s="15">
        <f>WEEKNUM(Orders[[#This Row],[OrderDate]])</f>
        <v>44</v>
      </c>
      <c r="D99" s="4" t="s">
        <v>201</v>
      </c>
      <c r="E99" s="4" t="s">
        <v>28</v>
      </c>
      <c r="F99" s="4">
        <v>2</v>
      </c>
      <c r="G99" s="4">
        <v>9086.2999999999993</v>
      </c>
      <c r="H99">
        <v>7723.3549999999996</v>
      </c>
      <c r="I99">
        <f>Orders[[#This Row],[Quantity]]*Orders[[#This Row],[Selling Price]]</f>
        <v>18172.599999999999</v>
      </c>
      <c r="J99">
        <f>Orders[[#This Row],[Quantity]]*Orders[[#This Row],[Cost Price]]</f>
        <v>15446.71</v>
      </c>
      <c r="K99">
        <f>Orders[[#This Row],[Revenue]]-Orders[[#This Row],[Expenses]]</f>
        <v>2725.8899999999994</v>
      </c>
      <c r="L99" t="s">
        <v>2214</v>
      </c>
      <c r="M99" t="str">
        <f>_xlfn.XLOOKUP(Orders[[#This Row],[CustomerID]],Customers[CustomerID],Customers[City])</f>
        <v>Georgia</v>
      </c>
      <c r="N99" t="str">
        <f>_xlfn.XLOOKUP(Orders[[#This Row],[CustomerID]],Customers[CustomerID],Customers[CustomerName])</f>
        <v>Sani Igwe</v>
      </c>
      <c r="O99" t="str">
        <f>_xlfn.XLOOKUP(Orders[[#This Row],[CustomerID]],Customers[CustomerID],Customers[Gender])</f>
        <v>Male</v>
      </c>
      <c r="P99">
        <f>_xlfn.XLOOKUP(Orders[[#This Row],[CustomerID]],Customers[CustomerID],Customers[CustomerAge])</f>
        <v>20</v>
      </c>
      <c r="Q99" t="str">
        <f>IF(Orders[[#This Row],[Age]]&gt;=35,"older","young")</f>
        <v>young</v>
      </c>
      <c r="R99" t="str">
        <f>_xlfn.XLOOKUP(Orders[[#This Row],[ProductID]],Products[ProductID],Products[ProductName])</f>
        <v>SNEAKERS</v>
      </c>
      <c r="S99" t="str">
        <f>_xlfn.XLOOKUP(Orders[[#This Row],[ProductID]],Products!A:A,Products!C:C)</f>
        <v>Sports</v>
      </c>
    </row>
    <row r="100" spans="1:19" x14ac:dyDescent="0.2">
      <c r="A100" s="4" t="s">
        <v>202</v>
      </c>
      <c r="B100" s="5">
        <v>45990</v>
      </c>
      <c r="C100" s="15">
        <f>WEEKNUM(Orders[[#This Row],[OrderDate]])</f>
        <v>48</v>
      </c>
      <c r="D100" s="4" t="s">
        <v>203</v>
      </c>
      <c r="E100" s="4" t="s">
        <v>46</v>
      </c>
      <c r="F100" s="4">
        <v>4</v>
      </c>
      <c r="G100" s="4">
        <v>9502.2000000000007</v>
      </c>
      <c r="H100">
        <v>8076.8700000000008</v>
      </c>
      <c r="I100">
        <f>Orders[[#This Row],[Quantity]]*Orders[[#This Row],[Selling Price]]</f>
        <v>38008.800000000003</v>
      </c>
      <c r="J100">
        <f>Orders[[#This Row],[Quantity]]*Orders[[#This Row],[Cost Price]]</f>
        <v>32307.480000000003</v>
      </c>
      <c r="K100">
        <f>Orders[[#This Row],[Revenue]]-Orders[[#This Row],[Expenses]]</f>
        <v>5701.32</v>
      </c>
      <c r="L100" t="s">
        <v>2206</v>
      </c>
      <c r="M100" t="str">
        <f>_xlfn.XLOOKUP(Orders[[#This Row],[CustomerID]],Customers[CustomerID],Customers[City])</f>
        <v>Texas</v>
      </c>
      <c r="N100" t="str">
        <f>_xlfn.XLOOKUP(Orders[[#This Row],[CustomerID]],Customers[CustomerID],Customers[CustomerName])</f>
        <v>Okon Bello</v>
      </c>
      <c r="O100" t="str">
        <f>_xlfn.XLOOKUP(Orders[[#This Row],[CustomerID]],Customers[CustomerID],Customers[Gender])</f>
        <v>Male</v>
      </c>
      <c r="P100">
        <f>_xlfn.XLOOKUP(Orders[[#This Row],[CustomerID]],Customers[CustomerID],Customers[CustomerAge])</f>
        <v>20</v>
      </c>
      <c r="Q100" t="str">
        <f>IF(Orders[[#This Row],[Age]]&gt;=35,"older","young")</f>
        <v>young</v>
      </c>
      <c r="R100" t="str">
        <f>_xlfn.XLOOKUP(Orders[[#This Row],[ProductID]],Products[ProductID],Products[ProductName])</f>
        <v>TURTLE NECK</v>
      </c>
      <c r="S100" t="str">
        <f>_xlfn.XLOOKUP(Orders[[#This Row],[ProductID]],Products!A:A,Products!C:C)</f>
        <v>Clothing</v>
      </c>
    </row>
    <row r="101" spans="1:19" x14ac:dyDescent="0.2">
      <c r="A101" s="4" t="s">
        <v>204</v>
      </c>
      <c r="B101" s="5">
        <v>45994</v>
      </c>
      <c r="C101" s="15">
        <f>WEEKNUM(Orders[[#This Row],[OrderDate]])</f>
        <v>49</v>
      </c>
      <c r="D101" s="4" t="s">
        <v>205</v>
      </c>
      <c r="E101" s="4" t="s">
        <v>46</v>
      </c>
      <c r="F101" s="4">
        <v>6</v>
      </c>
      <c r="G101" s="4">
        <v>14337.3</v>
      </c>
      <c r="H101">
        <v>12186.705</v>
      </c>
      <c r="I101">
        <f>Orders[[#This Row],[Quantity]]*Orders[[#This Row],[Selling Price]]</f>
        <v>86023.799999999988</v>
      </c>
      <c r="J101">
        <f>Orders[[#This Row],[Quantity]]*Orders[[#This Row],[Cost Price]]</f>
        <v>73120.23</v>
      </c>
      <c r="K101">
        <f>Orders[[#This Row],[Revenue]]-Orders[[#This Row],[Expenses]]</f>
        <v>12903.569999999992</v>
      </c>
      <c r="L101" t="s">
        <v>2192</v>
      </c>
      <c r="M101" t="str">
        <f>_xlfn.XLOOKUP(Orders[[#This Row],[CustomerID]],Customers[CustomerID],Customers[City])</f>
        <v>Washington</v>
      </c>
      <c r="N101" t="str">
        <f>_xlfn.XLOOKUP(Orders[[#This Row],[CustomerID]],Customers[CustomerID],Customers[CustomerName])</f>
        <v>Jide Adeyemi</v>
      </c>
      <c r="O101" t="str">
        <f>_xlfn.XLOOKUP(Orders[[#This Row],[CustomerID]],Customers[CustomerID],Customers[Gender])</f>
        <v>Male</v>
      </c>
      <c r="P101">
        <f>_xlfn.XLOOKUP(Orders[[#This Row],[CustomerID]],Customers[CustomerID],Customers[CustomerAge])</f>
        <v>19</v>
      </c>
      <c r="Q101" t="str">
        <f>IF(Orders[[#This Row],[Age]]&gt;=35,"older","young")</f>
        <v>young</v>
      </c>
      <c r="R101" t="str">
        <f>_xlfn.XLOOKUP(Orders[[#This Row],[ProductID]],Products[ProductID],Products[ProductName])</f>
        <v>TURTLE NECK</v>
      </c>
      <c r="S101" t="str">
        <f>_xlfn.XLOOKUP(Orders[[#This Row],[ProductID]],Products!A:A,Products!C:C)</f>
        <v>Clothing</v>
      </c>
    </row>
    <row r="102" spans="1:19" x14ac:dyDescent="0.2">
      <c r="A102" s="4" t="s">
        <v>206</v>
      </c>
      <c r="B102" s="5">
        <v>45942</v>
      </c>
      <c r="C102" s="15">
        <f>WEEKNUM(Orders[[#This Row],[OrderDate]])</f>
        <v>42</v>
      </c>
      <c r="D102" s="4" t="s">
        <v>207</v>
      </c>
      <c r="E102" s="4" t="s">
        <v>208</v>
      </c>
      <c r="F102" s="4">
        <v>7</v>
      </c>
      <c r="G102" s="4">
        <v>18104.3</v>
      </c>
      <c r="H102">
        <v>15388.654999999999</v>
      </c>
      <c r="I102">
        <f>Orders[[#This Row],[Quantity]]*Orders[[#This Row],[Selling Price]]</f>
        <v>126730.09999999999</v>
      </c>
      <c r="J102">
        <f>Orders[[#This Row],[Quantity]]*Orders[[#This Row],[Cost Price]]</f>
        <v>107720.58499999999</v>
      </c>
      <c r="K102">
        <f>Orders[[#This Row],[Revenue]]-Orders[[#This Row],[Expenses]]</f>
        <v>19009.514999999999</v>
      </c>
      <c r="L102" t="s">
        <v>2201</v>
      </c>
      <c r="M102" t="str">
        <f>_xlfn.XLOOKUP(Orders[[#This Row],[CustomerID]],Customers[CustomerID],Customers[City])</f>
        <v>Florida</v>
      </c>
      <c r="N102" t="str">
        <f>_xlfn.XLOOKUP(Orders[[#This Row],[CustomerID]],Customers[CustomerID],Customers[CustomerName])</f>
        <v>Bisi Eze</v>
      </c>
      <c r="O102" t="str">
        <f>_xlfn.XLOOKUP(Orders[[#This Row],[CustomerID]],Customers[CustomerID],Customers[Gender])</f>
        <v>Female</v>
      </c>
      <c r="P102">
        <f>_xlfn.XLOOKUP(Orders[[#This Row],[CustomerID]],Customers[CustomerID],Customers[CustomerAge])</f>
        <v>37</v>
      </c>
      <c r="Q102" t="str">
        <f>IF(Orders[[#This Row],[Age]]&gt;=35,"older","young")</f>
        <v>older</v>
      </c>
      <c r="R102" t="str">
        <f>_xlfn.XLOOKUP(Orders[[#This Row],[ProductID]],Products[ProductID],Products[ProductName])</f>
        <v>SKIPPING ROPE</v>
      </c>
      <c r="S102" t="str">
        <f>_xlfn.XLOOKUP(Orders[[#This Row],[ProductID]],Products!A:A,Products!C:C)</f>
        <v>Sports</v>
      </c>
    </row>
    <row r="103" spans="1:19" x14ac:dyDescent="0.2">
      <c r="A103" s="4" t="s">
        <v>209</v>
      </c>
      <c r="B103" s="5">
        <v>46018</v>
      </c>
      <c r="C103" s="15">
        <f>WEEKNUM(Orders[[#This Row],[OrderDate]])</f>
        <v>52</v>
      </c>
      <c r="D103" s="4" t="s">
        <v>210</v>
      </c>
      <c r="E103" s="4" t="s">
        <v>53</v>
      </c>
      <c r="F103" s="4">
        <v>8</v>
      </c>
      <c r="G103" s="4">
        <v>19591.199999999997</v>
      </c>
      <c r="H103">
        <v>16652.519999999997</v>
      </c>
      <c r="I103">
        <f>Orders[[#This Row],[Quantity]]*Orders[[#This Row],[Selling Price]]</f>
        <v>156729.59999999998</v>
      </c>
      <c r="J103">
        <f>Orders[[#This Row],[Quantity]]*Orders[[#This Row],[Cost Price]]</f>
        <v>133220.15999999997</v>
      </c>
      <c r="K103">
        <f>Orders[[#This Row],[Revenue]]-Orders[[#This Row],[Expenses]]</f>
        <v>23509.440000000002</v>
      </c>
      <c r="L103" t="s">
        <v>2192</v>
      </c>
      <c r="M103" t="str">
        <f>_xlfn.XLOOKUP(Orders[[#This Row],[CustomerID]],Customers[CustomerID],Customers[City])</f>
        <v>Illinois</v>
      </c>
      <c r="N103" t="str">
        <f>_xlfn.XLOOKUP(Orders[[#This Row],[CustomerID]],Customers[CustomerID],Customers[CustomerName])</f>
        <v>Zainab Bello</v>
      </c>
      <c r="O103" t="str">
        <f>_xlfn.XLOOKUP(Orders[[#This Row],[CustomerID]],Customers[CustomerID],Customers[Gender])</f>
        <v>Female</v>
      </c>
      <c r="P103">
        <f>_xlfn.XLOOKUP(Orders[[#This Row],[CustomerID]],Customers[CustomerID],Customers[CustomerAge])</f>
        <v>27</v>
      </c>
      <c r="Q103" t="str">
        <f>IF(Orders[[#This Row],[Age]]&gt;=35,"older","young")</f>
        <v>young</v>
      </c>
      <c r="R103" t="str">
        <f>_xlfn.XLOOKUP(Orders[[#This Row],[ProductID]],Products[ProductID],Products[ProductName])</f>
        <v>SILVER BANGLES</v>
      </c>
      <c r="S103" t="str">
        <f>_xlfn.XLOOKUP(Orders[[#This Row],[ProductID]],Products!A:A,Products!C:C)</f>
        <v>Accessories</v>
      </c>
    </row>
    <row r="104" spans="1:19" x14ac:dyDescent="0.2">
      <c r="A104" s="4" t="s">
        <v>211</v>
      </c>
      <c r="B104" s="5">
        <v>45980</v>
      </c>
      <c r="C104" s="15">
        <f>WEEKNUM(Orders[[#This Row],[OrderDate]])</f>
        <v>47</v>
      </c>
      <c r="D104" s="4" t="s">
        <v>212</v>
      </c>
      <c r="E104" s="4" t="s">
        <v>15</v>
      </c>
      <c r="F104" s="4">
        <v>10</v>
      </c>
      <c r="G104" s="4">
        <v>11178</v>
      </c>
      <c r="H104">
        <v>9501.2999999999993</v>
      </c>
      <c r="I104">
        <f>Orders[[#This Row],[Quantity]]*Orders[[#This Row],[Selling Price]]</f>
        <v>111780</v>
      </c>
      <c r="J104">
        <f>Orders[[#This Row],[Quantity]]*Orders[[#This Row],[Cost Price]]</f>
        <v>95013</v>
      </c>
      <c r="K104">
        <f>Orders[[#This Row],[Revenue]]-Orders[[#This Row],[Expenses]]</f>
        <v>16767</v>
      </c>
      <c r="L104" t="s">
        <v>2220</v>
      </c>
      <c r="M104" t="str">
        <f>_xlfn.XLOOKUP(Orders[[#This Row],[CustomerID]],Customers[CustomerID],Customers[City])</f>
        <v>Illinois</v>
      </c>
      <c r="N104" t="str">
        <f>_xlfn.XLOOKUP(Orders[[#This Row],[CustomerID]],Customers[CustomerID],Customers[CustomerName])</f>
        <v>Ngozi Ojo</v>
      </c>
      <c r="O104" t="str">
        <f>_xlfn.XLOOKUP(Orders[[#This Row],[CustomerID]],Customers[CustomerID],Customers[Gender])</f>
        <v>Female</v>
      </c>
      <c r="P104">
        <f>_xlfn.XLOOKUP(Orders[[#This Row],[CustomerID]],Customers[CustomerID],Customers[CustomerAge])</f>
        <v>53</v>
      </c>
      <c r="Q104" t="str">
        <f>IF(Orders[[#This Row],[Age]]&gt;=35,"older","young")</f>
        <v>older</v>
      </c>
      <c r="R104" t="str">
        <f>_xlfn.XLOOKUP(Orders[[#This Row],[ProductID]],Products[ProductID],Products[ProductName])</f>
        <v>MONOPOLY</v>
      </c>
      <c r="S104" t="str">
        <f>_xlfn.XLOOKUP(Orders[[#This Row],[ProductID]],Products!A:A,Products!C:C)</f>
        <v>Games</v>
      </c>
    </row>
    <row r="105" spans="1:19" x14ac:dyDescent="0.2">
      <c r="A105" s="4" t="s">
        <v>213</v>
      </c>
      <c r="B105" s="5">
        <v>45977</v>
      </c>
      <c r="C105" s="15">
        <f>WEEKNUM(Orders[[#This Row],[OrderDate]])</f>
        <v>47</v>
      </c>
      <c r="D105" s="4" t="s">
        <v>214</v>
      </c>
      <c r="E105" s="4" t="s">
        <v>37</v>
      </c>
      <c r="F105" s="4">
        <v>4</v>
      </c>
      <c r="G105" s="4">
        <v>17904.400000000001</v>
      </c>
      <c r="H105">
        <v>15218.740000000002</v>
      </c>
      <c r="I105">
        <f>Orders[[#This Row],[Quantity]]*Orders[[#This Row],[Selling Price]]</f>
        <v>71617.600000000006</v>
      </c>
      <c r="J105">
        <f>Orders[[#This Row],[Quantity]]*Orders[[#This Row],[Cost Price]]</f>
        <v>60874.960000000006</v>
      </c>
      <c r="K105">
        <f>Orders[[#This Row],[Revenue]]-Orders[[#This Row],[Expenses]]</f>
        <v>10742.64</v>
      </c>
      <c r="L105" t="s">
        <v>2218</v>
      </c>
      <c r="M105" t="str">
        <f>_xlfn.XLOOKUP(Orders[[#This Row],[CustomerID]],Customers[CustomerID],Customers[City])</f>
        <v>California</v>
      </c>
      <c r="N105" t="str">
        <f>_xlfn.XLOOKUP(Orders[[#This Row],[CustomerID]],Customers[CustomerID],Customers[CustomerName])</f>
        <v>Adanma Okonkwo</v>
      </c>
      <c r="O105" t="str">
        <f>_xlfn.XLOOKUP(Orders[[#This Row],[CustomerID]],Customers[CustomerID],Customers[Gender])</f>
        <v>Female</v>
      </c>
      <c r="P105">
        <f>_xlfn.XLOOKUP(Orders[[#This Row],[CustomerID]],Customers[CustomerID],Customers[CustomerAge])</f>
        <v>20</v>
      </c>
      <c r="Q105" t="str">
        <f>IF(Orders[[#This Row],[Age]]&gt;=35,"older","young")</f>
        <v>young</v>
      </c>
      <c r="R105" t="str">
        <f>_xlfn.XLOOKUP(Orders[[#This Row],[ProductID]],Products[ProductID],Products[ProductName])</f>
        <v>IRON</v>
      </c>
      <c r="S105" t="str">
        <f>_xlfn.XLOOKUP(Orders[[#This Row],[ProductID]],Products!A:A,Products!C:C)</f>
        <v>Electronics</v>
      </c>
    </row>
    <row r="106" spans="1:19" x14ac:dyDescent="0.2">
      <c r="A106" s="4" t="s">
        <v>215</v>
      </c>
      <c r="B106" s="5">
        <v>46020</v>
      </c>
      <c r="C106" s="15">
        <f>WEEKNUM(Orders[[#This Row],[OrderDate]])</f>
        <v>53</v>
      </c>
      <c r="D106" s="4" t="s">
        <v>216</v>
      </c>
      <c r="E106" s="4" t="s">
        <v>151</v>
      </c>
      <c r="F106" s="4">
        <v>4</v>
      </c>
      <c r="G106" s="4">
        <v>1529.9</v>
      </c>
      <c r="H106">
        <v>1300.415</v>
      </c>
      <c r="I106">
        <f>Orders[[#This Row],[Quantity]]*Orders[[#This Row],[Selling Price]]</f>
        <v>6119.6</v>
      </c>
      <c r="J106">
        <f>Orders[[#This Row],[Quantity]]*Orders[[#This Row],[Cost Price]]</f>
        <v>5201.66</v>
      </c>
      <c r="K106">
        <f>Orders[[#This Row],[Revenue]]-Orders[[#This Row],[Expenses]]</f>
        <v>917.94000000000051</v>
      </c>
      <c r="L106" t="s">
        <v>2218</v>
      </c>
      <c r="M106" t="str">
        <f>_xlfn.XLOOKUP(Orders[[#This Row],[CustomerID]],Customers[CustomerID],Customers[City])</f>
        <v>California</v>
      </c>
      <c r="N106" t="str">
        <f>_xlfn.XLOOKUP(Orders[[#This Row],[CustomerID]],Customers[CustomerID],Customers[CustomerName])</f>
        <v>Ngozi Obi</v>
      </c>
      <c r="O106" t="str">
        <f>_xlfn.XLOOKUP(Orders[[#This Row],[CustomerID]],Customers[CustomerID],Customers[Gender])</f>
        <v>Female</v>
      </c>
      <c r="P106">
        <f>_xlfn.XLOOKUP(Orders[[#This Row],[CustomerID]],Customers[CustomerID],Customers[CustomerAge])</f>
        <v>54</v>
      </c>
      <c r="Q106" t="str">
        <f>IF(Orders[[#This Row],[Age]]&gt;=35,"older","young")</f>
        <v>older</v>
      </c>
      <c r="R106" t="str">
        <f>_xlfn.XLOOKUP(Orders[[#This Row],[ProductID]],Products[ProductID],Products[ProductName])</f>
        <v>CHECKERS</v>
      </c>
      <c r="S106" t="str">
        <f>_xlfn.XLOOKUP(Orders[[#This Row],[ProductID]],Products!A:A,Products!C:C)</f>
        <v>Games</v>
      </c>
    </row>
    <row r="107" spans="1:19" x14ac:dyDescent="0.2">
      <c r="A107" s="4" t="s">
        <v>217</v>
      </c>
      <c r="B107" s="5">
        <v>45939</v>
      </c>
      <c r="C107" s="15">
        <f>WEEKNUM(Orders[[#This Row],[OrderDate]])</f>
        <v>41</v>
      </c>
      <c r="D107" s="4" t="s">
        <v>218</v>
      </c>
      <c r="E107" s="4" t="s">
        <v>57</v>
      </c>
      <c r="F107" s="4">
        <v>9</v>
      </c>
      <c r="G107" s="4">
        <v>16956.199999999997</v>
      </c>
      <c r="H107">
        <v>14412.769999999997</v>
      </c>
      <c r="I107">
        <f>Orders[[#This Row],[Quantity]]*Orders[[#This Row],[Selling Price]]</f>
        <v>152605.79999999999</v>
      </c>
      <c r="J107">
        <f>Orders[[#This Row],[Quantity]]*Orders[[#This Row],[Cost Price]]</f>
        <v>129714.92999999996</v>
      </c>
      <c r="K107">
        <f>Orders[[#This Row],[Revenue]]-Orders[[#This Row],[Expenses]]</f>
        <v>22890.870000000024</v>
      </c>
      <c r="L107" t="s">
        <v>2207</v>
      </c>
      <c r="M107" t="str">
        <f>_xlfn.XLOOKUP(Orders[[#This Row],[CustomerID]],Customers[CustomerID],Customers[City])</f>
        <v>Florida</v>
      </c>
      <c r="N107" t="str">
        <f>_xlfn.XLOOKUP(Orders[[#This Row],[CustomerID]],Customers[CustomerID],Customers[CustomerName])</f>
        <v>Temi Danladi</v>
      </c>
      <c r="O107" t="str">
        <f>_xlfn.XLOOKUP(Orders[[#This Row],[CustomerID]],Customers[CustomerID],Customers[Gender])</f>
        <v>Female</v>
      </c>
      <c r="P107">
        <f>_xlfn.XLOOKUP(Orders[[#This Row],[CustomerID]],Customers[CustomerID],Customers[CustomerAge])</f>
        <v>48</v>
      </c>
      <c r="Q107" t="str">
        <f>IF(Orders[[#This Row],[Age]]&gt;=35,"older","young")</f>
        <v>older</v>
      </c>
      <c r="R107" t="str">
        <f>_xlfn.XLOOKUP(Orders[[#This Row],[ProductID]],Products[ProductID],Products[ProductName])</f>
        <v>BADMINTON RACKET</v>
      </c>
      <c r="S107" t="str">
        <f>_xlfn.XLOOKUP(Orders[[#This Row],[ProductID]],Products!A:A,Products!C:C)</f>
        <v>Sports</v>
      </c>
    </row>
    <row r="108" spans="1:19" x14ac:dyDescent="0.2">
      <c r="A108" s="4" t="s">
        <v>219</v>
      </c>
      <c r="B108" s="5">
        <v>45954</v>
      </c>
      <c r="C108" s="15">
        <f>WEEKNUM(Orders[[#This Row],[OrderDate]])</f>
        <v>43</v>
      </c>
      <c r="D108" s="4" t="s">
        <v>103</v>
      </c>
      <c r="E108" s="4" t="s">
        <v>53</v>
      </c>
      <c r="F108" s="4">
        <v>3</v>
      </c>
      <c r="G108" s="4">
        <v>16711.400000000001</v>
      </c>
      <c r="H108">
        <v>14204.690000000002</v>
      </c>
      <c r="I108">
        <f>Orders[[#This Row],[Quantity]]*Orders[[#This Row],[Selling Price]]</f>
        <v>50134.200000000004</v>
      </c>
      <c r="J108">
        <f>Orders[[#This Row],[Quantity]]*Orders[[#This Row],[Cost Price]]</f>
        <v>42614.070000000007</v>
      </c>
      <c r="K108">
        <f>Orders[[#This Row],[Revenue]]-Orders[[#This Row],[Expenses]]</f>
        <v>7520.1299999999974</v>
      </c>
      <c r="L108" t="s">
        <v>2194</v>
      </c>
      <c r="M108" t="str">
        <f>_xlfn.XLOOKUP(Orders[[#This Row],[CustomerID]],Customers[CustomerID],Customers[City])</f>
        <v>Georgia</v>
      </c>
      <c r="N108" t="str">
        <f>_xlfn.XLOOKUP(Orders[[#This Row],[CustomerID]],Customers[CustomerID],Customers[CustomerName])</f>
        <v>Chioma Adeyemi</v>
      </c>
      <c r="O108" t="str">
        <f>_xlfn.XLOOKUP(Orders[[#This Row],[CustomerID]],Customers[CustomerID],Customers[Gender])</f>
        <v>Female</v>
      </c>
      <c r="P108">
        <f>_xlfn.XLOOKUP(Orders[[#This Row],[CustomerID]],Customers[CustomerID],Customers[CustomerAge])</f>
        <v>31</v>
      </c>
      <c r="Q108" t="str">
        <f>IF(Orders[[#This Row],[Age]]&gt;=35,"older","young")</f>
        <v>young</v>
      </c>
      <c r="R108" t="str">
        <f>_xlfn.XLOOKUP(Orders[[#This Row],[ProductID]],Products[ProductID],Products[ProductName])</f>
        <v>SILVER BANGLES</v>
      </c>
      <c r="S108" t="str">
        <f>_xlfn.XLOOKUP(Orders[[#This Row],[ProductID]],Products!A:A,Products!C:C)</f>
        <v>Accessories</v>
      </c>
    </row>
    <row r="109" spans="1:19" x14ac:dyDescent="0.2">
      <c r="A109" s="4" t="s">
        <v>220</v>
      </c>
      <c r="B109" s="5">
        <v>45996</v>
      </c>
      <c r="C109" s="15">
        <f>WEEKNUM(Orders[[#This Row],[OrderDate]])</f>
        <v>49</v>
      </c>
      <c r="D109" s="4" t="s">
        <v>221</v>
      </c>
      <c r="E109" s="4" t="s">
        <v>15</v>
      </c>
      <c r="F109" s="4">
        <v>3</v>
      </c>
      <c r="G109" s="4">
        <v>9147.1</v>
      </c>
      <c r="H109">
        <v>7775.0349999999999</v>
      </c>
      <c r="I109">
        <f>Orders[[#This Row],[Quantity]]*Orders[[#This Row],[Selling Price]]</f>
        <v>27441.300000000003</v>
      </c>
      <c r="J109">
        <f>Orders[[#This Row],[Quantity]]*Orders[[#This Row],[Cost Price]]</f>
        <v>23325.105</v>
      </c>
      <c r="K109">
        <f>Orders[[#This Row],[Revenue]]-Orders[[#This Row],[Expenses]]</f>
        <v>4116.1950000000033</v>
      </c>
      <c r="L109" t="s">
        <v>2196</v>
      </c>
      <c r="M109" t="str">
        <f>_xlfn.XLOOKUP(Orders[[#This Row],[CustomerID]],Customers[CustomerID],Customers[City])</f>
        <v>Texas</v>
      </c>
      <c r="N109" t="str">
        <f>_xlfn.XLOOKUP(Orders[[#This Row],[CustomerID]],Customers[CustomerID],Customers[CustomerName])</f>
        <v>Obi Bello</v>
      </c>
      <c r="O109" t="str">
        <f>_xlfn.XLOOKUP(Orders[[#This Row],[CustomerID]],Customers[CustomerID],Customers[Gender])</f>
        <v>Male</v>
      </c>
      <c r="P109">
        <f>_xlfn.XLOOKUP(Orders[[#This Row],[CustomerID]],Customers[CustomerID],Customers[CustomerAge])</f>
        <v>18</v>
      </c>
      <c r="Q109" t="str">
        <f>IF(Orders[[#This Row],[Age]]&gt;=35,"older","young")</f>
        <v>young</v>
      </c>
      <c r="R109" t="str">
        <f>_xlfn.XLOOKUP(Orders[[#This Row],[ProductID]],Products[ProductID],Products[ProductName])</f>
        <v>MONOPOLY</v>
      </c>
      <c r="S109" t="str">
        <f>_xlfn.XLOOKUP(Orders[[#This Row],[ProductID]],Products!A:A,Products!C:C)</f>
        <v>Games</v>
      </c>
    </row>
    <row r="110" spans="1:19" x14ac:dyDescent="0.2">
      <c r="A110" s="4" t="s">
        <v>222</v>
      </c>
      <c r="B110" s="5">
        <v>46003</v>
      </c>
      <c r="C110" s="15">
        <f>WEEKNUM(Orders[[#This Row],[OrderDate]])</f>
        <v>50</v>
      </c>
      <c r="D110" s="4" t="s">
        <v>223</v>
      </c>
      <c r="E110" s="4" t="s">
        <v>63</v>
      </c>
      <c r="F110" s="4">
        <v>8</v>
      </c>
      <c r="G110" s="4">
        <v>13817.8</v>
      </c>
      <c r="H110">
        <v>11745.13</v>
      </c>
      <c r="I110">
        <f>Orders[[#This Row],[Quantity]]*Orders[[#This Row],[Selling Price]]</f>
        <v>110542.39999999999</v>
      </c>
      <c r="J110">
        <f>Orders[[#This Row],[Quantity]]*Orders[[#This Row],[Cost Price]]</f>
        <v>93961.04</v>
      </c>
      <c r="K110">
        <f>Orders[[#This Row],[Revenue]]-Orders[[#This Row],[Expenses]]</f>
        <v>16581.36</v>
      </c>
      <c r="L110" t="s">
        <v>2196</v>
      </c>
      <c r="M110" t="str">
        <f>_xlfn.XLOOKUP(Orders[[#This Row],[CustomerID]],Customers[CustomerID],Customers[City])</f>
        <v>Washington</v>
      </c>
      <c r="N110" t="str">
        <f>_xlfn.XLOOKUP(Orders[[#This Row],[CustomerID]],Customers[CustomerID],Customers[CustomerName])</f>
        <v>Blessing Danladi</v>
      </c>
      <c r="O110" t="str">
        <f>_xlfn.XLOOKUP(Orders[[#This Row],[CustomerID]],Customers[CustomerID],Customers[Gender])</f>
        <v>Female</v>
      </c>
      <c r="P110">
        <f>_xlfn.XLOOKUP(Orders[[#This Row],[CustomerID]],Customers[CustomerID],Customers[CustomerAge])</f>
        <v>20</v>
      </c>
      <c r="Q110" t="str">
        <f>IF(Orders[[#This Row],[Age]]&gt;=35,"older","young")</f>
        <v>young</v>
      </c>
      <c r="R110" t="str">
        <f>_xlfn.XLOOKUP(Orders[[#This Row],[ProductID]],Products[ProductID],Products[ProductName])</f>
        <v>TENNIS BAT</v>
      </c>
      <c r="S110" t="str">
        <f>_xlfn.XLOOKUP(Orders[[#This Row],[ProductID]],Products!A:A,Products!C:C)</f>
        <v>Sports</v>
      </c>
    </row>
    <row r="111" spans="1:19" x14ac:dyDescent="0.2">
      <c r="A111" s="4" t="s">
        <v>224</v>
      </c>
      <c r="B111" s="5">
        <v>45991</v>
      </c>
      <c r="C111" s="15">
        <f>WEEKNUM(Orders[[#This Row],[OrderDate]])</f>
        <v>49</v>
      </c>
      <c r="D111" s="4" t="s">
        <v>225</v>
      </c>
      <c r="E111" s="4" t="s">
        <v>157</v>
      </c>
      <c r="F111" s="4">
        <v>4</v>
      </c>
      <c r="G111" s="4">
        <v>10327.4</v>
      </c>
      <c r="H111">
        <v>8778.2899999999991</v>
      </c>
      <c r="I111">
        <f>Orders[[#This Row],[Quantity]]*Orders[[#This Row],[Selling Price]]</f>
        <v>41309.599999999999</v>
      </c>
      <c r="J111">
        <f>Orders[[#This Row],[Quantity]]*Orders[[#This Row],[Cost Price]]</f>
        <v>35113.159999999996</v>
      </c>
      <c r="K111">
        <f>Orders[[#This Row],[Revenue]]-Orders[[#This Row],[Expenses]]</f>
        <v>6196.4400000000023</v>
      </c>
      <c r="L111" t="s">
        <v>2210</v>
      </c>
      <c r="M111" t="str">
        <f>_xlfn.XLOOKUP(Orders[[#This Row],[CustomerID]],Customers[CustomerID],Customers[City])</f>
        <v>Texas</v>
      </c>
      <c r="N111" t="str">
        <f>_xlfn.XLOOKUP(Orders[[#This Row],[CustomerID]],Customers[CustomerID],Customers[CustomerName])</f>
        <v>Uche Danladi</v>
      </c>
      <c r="O111" t="str">
        <f>_xlfn.XLOOKUP(Orders[[#This Row],[CustomerID]],Customers[CustomerID],Customers[Gender])</f>
        <v>Male</v>
      </c>
      <c r="P111">
        <f>_xlfn.XLOOKUP(Orders[[#This Row],[CustomerID]],Customers[CustomerID],Customers[CustomerAge])</f>
        <v>45</v>
      </c>
      <c r="Q111" t="str">
        <f>IF(Orders[[#This Row],[Age]]&gt;=35,"older","young")</f>
        <v>older</v>
      </c>
      <c r="R111" t="str">
        <f>_xlfn.XLOOKUP(Orders[[#This Row],[ProductID]],Products[ProductID],Products[ProductName])</f>
        <v>FOOTBALL</v>
      </c>
      <c r="S111" t="str">
        <f>_xlfn.XLOOKUP(Orders[[#This Row],[ProductID]],Products!A:A,Products!C:C)</f>
        <v>Sports</v>
      </c>
    </row>
    <row r="112" spans="1:19" x14ac:dyDescent="0.2">
      <c r="A112" s="4" t="s">
        <v>226</v>
      </c>
      <c r="B112" s="5">
        <v>45950</v>
      </c>
      <c r="C112" s="15">
        <f>WEEKNUM(Orders[[#This Row],[OrderDate]])</f>
        <v>43</v>
      </c>
      <c r="D112" s="4" t="s">
        <v>227</v>
      </c>
      <c r="E112" s="4" t="s">
        <v>189</v>
      </c>
      <c r="F112" s="4">
        <v>1</v>
      </c>
      <c r="G112" s="4">
        <v>13073.099999999999</v>
      </c>
      <c r="H112">
        <v>11112.134999999998</v>
      </c>
      <c r="I112">
        <f>Orders[[#This Row],[Quantity]]*Orders[[#This Row],[Selling Price]]</f>
        <v>13073.099999999999</v>
      </c>
      <c r="J112">
        <f>Orders[[#This Row],[Quantity]]*Orders[[#This Row],[Cost Price]]</f>
        <v>11112.134999999998</v>
      </c>
      <c r="K112">
        <f>Orders[[#This Row],[Revenue]]-Orders[[#This Row],[Expenses]]</f>
        <v>1960.9650000000001</v>
      </c>
      <c r="L112" t="s">
        <v>2214</v>
      </c>
      <c r="M112" t="str">
        <f>_xlfn.XLOOKUP(Orders[[#This Row],[CustomerID]],Customers[CustomerID],Customers[City])</f>
        <v>Washington</v>
      </c>
      <c r="N112" t="str">
        <f>_xlfn.XLOOKUP(Orders[[#This Row],[CustomerID]],Customers[CustomerID],Customers[CustomerName])</f>
        <v>Emmanuel Victor</v>
      </c>
      <c r="O112" t="str">
        <f>_xlfn.XLOOKUP(Orders[[#This Row],[CustomerID]],Customers[CustomerID],Customers[Gender])</f>
        <v>Male</v>
      </c>
      <c r="P112">
        <f>_xlfn.XLOOKUP(Orders[[#This Row],[CustomerID]],Customers[CustomerID],Customers[CustomerAge])</f>
        <v>35</v>
      </c>
      <c r="Q112" t="str">
        <f>IF(Orders[[#This Row],[Age]]&gt;=35,"older","young")</f>
        <v>older</v>
      </c>
      <c r="R112" t="str">
        <f>_xlfn.XLOOKUP(Orders[[#This Row],[ProductID]],Products[ProductID],Products[ProductName])</f>
        <v>SCRABBLE</v>
      </c>
      <c r="S112" t="str">
        <f>_xlfn.XLOOKUP(Orders[[#This Row],[ProductID]],Products!A:A,Products!C:C)</f>
        <v>Games</v>
      </c>
    </row>
    <row r="113" spans="1:19" x14ac:dyDescent="0.2">
      <c r="A113" s="4" t="s">
        <v>228</v>
      </c>
      <c r="B113" s="5">
        <v>45959</v>
      </c>
      <c r="C113" s="15">
        <f>WEEKNUM(Orders[[#This Row],[OrderDate]])</f>
        <v>44</v>
      </c>
      <c r="D113" s="4" t="s">
        <v>229</v>
      </c>
      <c r="E113" s="4" t="s">
        <v>92</v>
      </c>
      <c r="F113" s="4">
        <v>7</v>
      </c>
      <c r="G113" s="4">
        <v>8422.7000000000007</v>
      </c>
      <c r="H113">
        <v>7159.295000000001</v>
      </c>
      <c r="I113">
        <f>Orders[[#This Row],[Quantity]]*Orders[[#This Row],[Selling Price]]</f>
        <v>58958.900000000009</v>
      </c>
      <c r="J113">
        <f>Orders[[#This Row],[Quantity]]*Orders[[#This Row],[Cost Price]]</f>
        <v>50115.06500000001</v>
      </c>
      <c r="K113">
        <f>Orders[[#This Row],[Revenue]]-Orders[[#This Row],[Expenses]]</f>
        <v>8843.8349999999991</v>
      </c>
      <c r="L113" t="s">
        <v>2193</v>
      </c>
      <c r="M113" t="str">
        <f>_xlfn.XLOOKUP(Orders[[#This Row],[CustomerID]],Customers[CustomerID],Customers[City])</f>
        <v>Florida</v>
      </c>
      <c r="N113" t="str">
        <f>_xlfn.XLOOKUP(Orders[[#This Row],[CustomerID]],Customers[CustomerID],Customers[CustomerName])</f>
        <v>Uche Abubakar</v>
      </c>
      <c r="O113" t="str">
        <f>_xlfn.XLOOKUP(Orders[[#This Row],[CustomerID]],Customers[CustomerID],Customers[Gender])</f>
        <v>Male</v>
      </c>
      <c r="P113">
        <f>_xlfn.XLOOKUP(Orders[[#This Row],[CustomerID]],Customers[CustomerID],Customers[CustomerAge])</f>
        <v>43</v>
      </c>
      <c r="Q113" t="str">
        <f>IF(Orders[[#This Row],[Age]]&gt;=35,"older","young")</f>
        <v>older</v>
      </c>
      <c r="R113" t="str">
        <f>_xlfn.XLOOKUP(Orders[[#This Row],[ProductID]],Products[ProductID],Products[ProductName])</f>
        <v>CHEST EXPANDER</v>
      </c>
      <c r="S113" t="str">
        <f>_xlfn.XLOOKUP(Orders[[#This Row],[ProductID]],Products!A:A,Products!C:C)</f>
        <v>Gym</v>
      </c>
    </row>
    <row r="114" spans="1:19" x14ac:dyDescent="0.2">
      <c r="A114" s="4" t="s">
        <v>230</v>
      </c>
      <c r="B114" s="5">
        <v>45983</v>
      </c>
      <c r="C114" s="15">
        <f>WEEKNUM(Orders[[#This Row],[OrderDate]])</f>
        <v>47</v>
      </c>
      <c r="D114" s="4" t="s">
        <v>221</v>
      </c>
      <c r="E114" s="4" t="s">
        <v>66</v>
      </c>
      <c r="F114" s="4">
        <v>9</v>
      </c>
      <c r="G114" s="4">
        <v>16603.900000000001</v>
      </c>
      <c r="H114">
        <v>14113.315000000002</v>
      </c>
      <c r="I114">
        <f>Orders[[#This Row],[Quantity]]*Orders[[#This Row],[Selling Price]]</f>
        <v>149435.1</v>
      </c>
      <c r="J114">
        <f>Orders[[#This Row],[Quantity]]*Orders[[#This Row],[Cost Price]]</f>
        <v>127019.83500000002</v>
      </c>
      <c r="K114">
        <f>Orders[[#This Row],[Revenue]]-Orders[[#This Row],[Expenses]]</f>
        <v>22415.264999999985</v>
      </c>
      <c r="L114" t="s">
        <v>2196</v>
      </c>
      <c r="M114" t="str">
        <f>_xlfn.XLOOKUP(Orders[[#This Row],[CustomerID]],Customers[CustomerID],Customers[City])</f>
        <v>Texas</v>
      </c>
      <c r="N114" t="str">
        <f>_xlfn.XLOOKUP(Orders[[#This Row],[CustomerID]],Customers[CustomerID],Customers[CustomerName])</f>
        <v>Obi Bello</v>
      </c>
      <c r="O114" t="str">
        <f>_xlfn.XLOOKUP(Orders[[#This Row],[CustomerID]],Customers[CustomerID],Customers[Gender])</f>
        <v>Male</v>
      </c>
      <c r="P114">
        <f>_xlfn.XLOOKUP(Orders[[#This Row],[CustomerID]],Customers[CustomerID],Customers[CustomerAge])</f>
        <v>18</v>
      </c>
      <c r="Q114" t="str">
        <f>IF(Orders[[#This Row],[Age]]&gt;=35,"older","young")</f>
        <v>young</v>
      </c>
      <c r="R114" t="str">
        <f>_xlfn.XLOOKUP(Orders[[#This Row],[ProductID]],Products[ProductID],Products[ProductName])</f>
        <v>MICROWAVE</v>
      </c>
      <c r="S114" t="str">
        <f>_xlfn.XLOOKUP(Orders[[#This Row],[ProductID]],Products!A:A,Products!C:C)</f>
        <v>Electronics</v>
      </c>
    </row>
    <row r="115" spans="1:19" x14ac:dyDescent="0.2">
      <c r="A115" s="4" t="s">
        <v>231</v>
      </c>
      <c r="B115" s="5">
        <v>45966</v>
      </c>
      <c r="C115" s="15">
        <f>WEEKNUM(Orders[[#This Row],[OrderDate]])</f>
        <v>45</v>
      </c>
      <c r="D115" s="4" t="s">
        <v>11</v>
      </c>
      <c r="E115" s="4" t="s">
        <v>232</v>
      </c>
      <c r="F115" s="4">
        <v>7</v>
      </c>
      <c r="G115" s="4">
        <v>16682.900000000001</v>
      </c>
      <c r="H115">
        <v>14180.465000000002</v>
      </c>
      <c r="I115">
        <f>Orders[[#This Row],[Quantity]]*Orders[[#This Row],[Selling Price]]</f>
        <v>116780.30000000002</v>
      </c>
      <c r="J115">
        <f>Orders[[#This Row],[Quantity]]*Orders[[#This Row],[Cost Price]]</f>
        <v>99263.255000000019</v>
      </c>
      <c r="K115">
        <f>Orders[[#This Row],[Revenue]]-Orders[[#This Row],[Expenses]]</f>
        <v>17517.044999999998</v>
      </c>
      <c r="L115" t="s">
        <v>2193</v>
      </c>
      <c r="M115" t="str">
        <f>_xlfn.XLOOKUP(Orders[[#This Row],[CustomerID]],Customers[CustomerID],Customers[City])</f>
        <v>Texas</v>
      </c>
      <c r="N115" t="str">
        <f>_xlfn.XLOOKUP(Orders[[#This Row],[CustomerID]],Customers[CustomerID],Customers[CustomerName])</f>
        <v>Efe Ojo</v>
      </c>
      <c r="O115" t="str">
        <f>_xlfn.XLOOKUP(Orders[[#This Row],[CustomerID]],Customers[CustomerID],Customers[Gender])</f>
        <v>Female</v>
      </c>
      <c r="P115">
        <f>_xlfn.XLOOKUP(Orders[[#This Row],[CustomerID]],Customers[CustomerID],Customers[CustomerAge])</f>
        <v>55</v>
      </c>
      <c r="Q115" t="str">
        <f>IF(Orders[[#This Row],[Age]]&gt;=35,"older","young")</f>
        <v>older</v>
      </c>
      <c r="R115" t="str">
        <f>_xlfn.XLOOKUP(Orders[[#This Row],[ProductID]],Products[ProductID],Products[ProductName])</f>
        <v>ANKARA</v>
      </c>
      <c r="S115" t="str">
        <f>_xlfn.XLOOKUP(Orders[[#This Row],[ProductID]],Products!A:A,Products!C:C)</f>
        <v>Clothing</v>
      </c>
    </row>
    <row r="116" spans="1:19" x14ac:dyDescent="0.2">
      <c r="A116" s="4" t="s">
        <v>233</v>
      </c>
      <c r="B116" s="5">
        <v>45959</v>
      </c>
      <c r="C116" s="15">
        <f>WEEKNUM(Orders[[#This Row],[OrderDate]])</f>
        <v>44</v>
      </c>
      <c r="D116" s="4" t="s">
        <v>234</v>
      </c>
      <c r="E116" s="4" t="s">
        <v>20</v>
      </c>
      <c r="F116" s="4">
        <v>5</v>
      </c>
      <c r="G116" s="4">
        <v>7715.9000000000005</v>
      </c>
      <c r="H116">
        <v>6558.5150000000003</v>
      </c>
      <c r="I116">
        <f>Orders[[#This Row],[Quantity]]*Orders[[#This Row],[Selling Price]]</f>
        <v>38579.5</v>
      </c>
      <c r="J116">
        <f>Orders[[#This Row],[Quantity]]*Orders[[#This Row],[Cost Price]]</f>
        <v>32792.575000000004</v>
      </c>
      <c r="K116">
        <f>Orders[[#This Row],[Revenue]]-Orders[[#This Row],[Expenses]]</f>
        <v>5786.9249999999956</v>
      </c>
      <c r="L116" t="s">
        <v>2208</v>
      </c>
      <c r="M116" t="str">
        <f>_xlfn.XLOOKUP(Orders[[#This Row],[CustomerID]],Customers[CustomerID],Customers[City])</f>
        <v>Texas</v>
      </c>
      <c r="N116" t="str">
        <f>_xlfn.XLOOKUP(Orders[[#This Row],[CustomerID]],Customers[CustomerID],Customers[CustomerName])</f>
        <v>Adanma Ojo</v>
      </c>
      <c r="O116" t="str">
        <f>_xlfn.XLOOKUP(Orders[[#This Row],[CustomerID]],Customers[CustomerID],Customers[Gender])</f>
        <v>Female</v>
      </c>
      <c r="P116">
        <f>_xlfn.XLOOKUP(Orders[[#This Row],[CustomerID]],Customers[CustomerID],Customers[CustomerAge])</f>
        <v>18</v>
      </c>
      <c r="Q116" t="str">
        <f>IF(Orders[[#This Row],[Age]]&gt;=35,"older","young")</f>
        <v>young</v>
      </c>
      <c r="R116" t="str">
        <f>_xlfn.XLOOKUP(Orders[[#This Row],[ProductID]],Products[ProductID],Products[ProductName])</f>
        <v>GYM BAG</v>
      </c>
      <c r="S116" t="str">
        <f>_xlfn.XLOOKUP(Orders[[#This Row],[ProductID]],Products!A:A,Products!C:C)</f>
        <v>Gym</v>
      </c>
    </row>
    <row r="117" spans="1:19" x14ac:dyDescent="0.2">
      <c r="A117" s="4" t="s">
        <v>235</v>
      </c>
      <c r="B117" s="5">
        <v>46019</v>
      </c>
      <c r="C117" s="15">
        <f>WEEKNUM(Orders[[#This Row],[OrderDate]])</f>
        <v>53</v>
      </c>
      <c r="D117" s="4" t="s">
        <v>229</v>
      </c>
      <c r="E117" s="4" t="s">
        <v>25</v>
      </c>
      <c r="F117" s="4">
        <v>2</v>
      </c>
      <c r="G117" s="4">
        <v>16985.8</v>
      </c>
      <c r="H117">
        <v>14437.93</v>
      </c>
      <c r="I117">
        <f>Orders[[#This Row],[Quantity]]*Orders[[#This Row],[Selling Price]]</f>
        <v>33971.599999999999</v>
      </c>
      <c r="J117">
        <f>Orders[[#This Row],[Quantity]]*Orders[[#This Row],[Cost Price]]</f>
        <v>28875.86</v>
      </c>
      <c r="K117">
        <f>Orders[[#This Row],[Revenue]]-Orders[[#This Row],[Expenses]]</f>
        <v>5095.739999999998</v>
      </c>
      <c r="L117" t="s">
        <v>2217</v>
      </c>
      <c r="M117" t="str">
        <f>_xlfn.XLOOKUP(Orders[[#This Row],[CustomerID]],Customers[CustomerID],Customers[City])</f>
        <v>Florida</v>
      </c>
      <c r="N117" t="str">
        <f>_xlfn.XLOOKUP(Orders[[#This Row],[CustomerID]],Customers[CustomerID],Customers[CustomerName])</f>
        <v>Uche Abubakar</v>
      </c>
      <c r="O117" t="str">
        <f>_xlfn.XLOOKUP(Orders[[#This Row],[CustomerID]],Customers[CustomerID],Customers[Gender])</f>
        <v>Male</v>
      </c>
      <c r="P117">
        <f>_xlfn.XLOOKUP(Orders[[#This Row],[CustomerID]],Customers[CustomerID],Customers[CustomerAge])</f>
        <v>43</v>
      </c>
      <c r="Q117" t="str">
        <f>IF(Orders[[#This Row],[Age]]&gt;=35,"older","young")</f>
        <v>older</v>
      </c>
      <c r="R117" t="str">
        <f>_xlfn.XLOOKUP(Orders[[#This Row],[ProductID]],Products[ProductID],Products[ProductName])</f>
        <v>GOLD RINGS</v>
      </c>
      <c r="S117" t="str">
        <f>_xlfn.XLOOKUP(Orders[[#This Row],[ProductID]],Products!A:A,Products!C:C)</f>
        <v>Accessories</v>
      </c>
    </row>
    <row r="118" spans="1:19" x14ac:dyDescent="0.2">
      <c r="A118" s="4" t="s">
        <v>236</v>
      </c>
      <c r="B118" s="5">
        <v>45972</v>
      </c>
      <c r="C118" s="15">
        <f>WEEKNUM(Orders[[#This Row],[OrderDate]])</f>
        <v>46</v>
      </c>
      <c r="D118" s="4" t="s">
        <v>237</v>
      </c>
      <c r="E118" s="4" t="s">
        <v>20</v>
      </c>
      <c r="F118" s="4">
        <v>5</v>
      </c>
      <c r="G118" s="4">
        <v>12898.5</v>
      </c>
      <c r="H118">
        <v>10963.725</v>
      </c>
      <c r="I118">
        <f>Orders[[#This Row],[Quantity]]*Orders[[#This Row],[Selling Price]]</f>
        <v>64492.5</v>
      </c>
      <c r="J118">
        <f>Orders[[#This Row],[Quantity]]*Orders[[#This Row],[Cost Price]]</f>
        <v>54818.625</v>
      </c>
      <c r="K118">
        <f>Orders[[#This Row],[Revenue]]-Orders[[#This Row],[Expenses]]</f>
        <v>9673.875</v>
      </c>
      <c r="L118" t="s">
        <v>2216</v>
      </c>
      <c r="M118" t="str">
        <f>_xlfn.XLOOKUP(Orders[[#This Row],[CustomerID]],Customers[CustomerID],Customers[City])</f>
        <v>Florida</v>
      </c>
      <c r="N118" t="str">
        <f>_xlfn.XLOOKUP(Orders[[#This Row],[CustomerID]],Customers[CustomerID],Customers[CustomerName])</f>
        <v>Ronke Danladi</v>
      </c>
      <c r="O118" t="str">
        <f>_xlfn.XLOOKUP(Orders[[#This Row],[CustomerID]],Customers[CustomerID],Customers[Gender])</f>
        <v>Female</v>
      </c>
      <c r="P118">
        <f>_xlfn.XLOOKUP(Orders[[#This Row],[CustomerID]],Customers[CustomerID],Customers[CustomerAge])</f>
        <v>25</v>
      </c>
      <c r="Q118" t="str">
        <f>IF(Orders[[#This Row],[Age]]&gt;=35,"older","young")</f>
        <v>young</v>
      </c>
      <c r="R118" t="str">
        <f>_xlfn.XLOOKUP(Orders[[#This Row],[ProductID]],Products[ProductID],Products[ProductName])</f>
        <v>GYM BAG</v>
      </c>
      <c r="S118" t="str">
        <f>_xlfn.XLOOKUP(Orders[[#This Row],[ProductID]],Products!A:A,Products!C:C)</f>
        <v>Gym</v>
      </c>
    </row>
    <row r="119" spans="1:19" x14ac:dyDescent="0.2">
      <c r="A119" s="4" t="s">
        <v>238</v>
      </c>
      <c r="B119" s="5">
        <v>45947</v>
      </c>
      <c r="C119" s="15">
        <f>WEEKNUM(Orders[[#This Row],[OrderDate]])</f>
        <v>42</v>
      </c>
      <c r="D119" s="4" t="s">
        <v>239</v>
      </c>
      <c r="E119" s="4" t="s">
        <v>63</v>
      </c>
      <c r="F119" s="4">
        <v>8</v>
      </c>
      <c r="G119" s="4">
        <v>15743.199999999999</v>
      </c>
      <c r="H119">
        <v>13381.72</v>
      </c>
      <c r="I119">
        <f>Orders[[#This Row],[Quantity]]*Orders[[#This Row],[Selling Price]]</f>
        <v>125945.59999999999</v>
      </c>
      <c r="J119">
        <f>Orders[[#This Row],[Quantity]]*Orders[[#This Row],[Cost Price]]</f>
        <v>107053.75999999999</v>
      </c>
      <c r="K119">
        <f>Orders[[#This Row],[Revenue]]-Orders[[#This Row],[Expenses]]</f>
        <v>18891.839999999997</v>
      </c>
      <c r="L119" t="s">
        <v>2193</v>
      </c>
      <c r="M119" t="str">
        <f>_xlfn.XLOOKUP(Orders[[#This Row],[CustomerID]],Customers[CustomerID],Customers[City])</f>
        <v>Florida</v>
      </c>
      <c r="N119" t="str">
        <f>_xlfn.XLOOKUP(Orders[[#This Row],[CustomerID]],Customers[CustomerID],Customers[CustomerName])</f>
        <v>Emeka Danladi</v>
      </c>
      <c r="O119" t="str">
        <f>_xlfn.XLOOKUP(Orders[[#This Row],[CustomerID]],Customers[CustomerID],Customers[Gender])</f>
        <v>Male</v>
      </c>
      <c r="P119">
        <f>_xlfn.XLOOKUP(Orders[[#This Row],[CustomerID]],Customers[CustomerID],Customers[CustomerAge])</f>
        <v>23</v>
      </c>
      <c r="Q119" t="str">
        <f>IF(Orders[[#This Row],[Age]]&gt;=35,"older","young")</f>
        <v>young</v>
      </c>
      <c r="R119" t="str">
        <f>_xlfn.XLOOKUP(Orders[[#This Row],[ProductID]],Products[ProductID],Products[ProductName])</f>
        <v>TENNIS BAT</v>
      </c>
      <c r="S119" t="str">
        <f>_xlfn.XLOOKUP(Orders[[#This Row],[ProductID]],Products!A:A,Products!C:C)</f>
        <v>Sports</v>
      </c>
    </row>
    <row r="120" spans="1:19" x14ac:dyDescent="0.2">
      <c r="A120" s="4" t="s">
        <v>240</v>
      </c>
      <c r="B120" s="5">
        <v>45947</v>
      </c>
      <c r="C120" s="15">
        <f>WEEKNUM(Orders[[#This Row],[OrderDate]])</f>
        <v>42</v>
      </c>
      <c r="D120" s="4" t="s">
        <v>163</v>
      </c>
      <c r="E120" s="4" t="s">
        <v>60</v>
      </c>
      <c r="F120" s="4">
        <v>4</v>
      </c>
      <c r="G120" s="4">
        <v>9601</v>
      </c>
      <c r="H120">
        <v>8160.85</v>
      </c>
      <c r="I120">
        <f>Orders[[#This Row],[Quantity]]*Orders[[#This Row],[Selling Price]]</f>
        <v>38404</v>
      </c>
      <c r="J120">
        <f>Orders[[#This Row],[Quantity]]*Orders[[#This Row],[Cost Price]]</f>
        <v>32643.4</v>
      </c>
      <c r="K120">
        <f>Orders[[#This Row],[Revenue]]-Orders[[#This Row],[Expenses]]</f>
        <v>5760.5999999999985</v>
      </c>
      <c r="L120" t="s">
        <v>2200</v>
      </c>
      <c r="M120" t="str">
        <f>_xlfn.XLOOKUP(Orders[[#This Row],[CustomerID]],Customers[CustomerID],Customers[City])</f>
        <v>Texas</v>
      </c>
      <c r="N120" t="str">
        <f>_xlfn.XLOOKUP(Orders[[#This Row],[CustomerID]],Customers[CustomerID],Customers[CustomerName])</f>
        <v>Folasade Danladi</v>
      </c>
      <c r="O120" t="str">
        <f>_xlfn.XLOOKUP(Orders[[#This Row],[CustomerID]],Customers[CustomerID],Customers[Gender])</f>
        <v>Female</v>
      </c>
      <c r="P120">
        <f>_xlfn.XLOOKUP(Orders[[#This Row],[CustomerID]],Customers[CustomerID],Customers[CustomerAge])</f>
        <v>32</v>
      </c>
      <c r="Q120" t="str">
        <f>IF(Orders[[#This Row],[Age]]&gt;=35,"older","young")</f>
        <v>young</v>
      </c>
      <c r="R120" t="str">
        <f>_xlfn.XLOOKUP(Orders[[#This Row],[ProductID]],Products[ProductID],Products[ProductName])</f>
        <v>SILVER RINGS</v>
      </c>
      <c r="S120" t="str">
        <f>_xlfn.XLOOKUP(Orders[[#This Row],[ProductID]],Products!A:A,Products!C:C)</f>
        <v>Accessories</v>
      </c>
    </row>
    <row r="121" spans="1:19" x14ac:dyDescent="0.2">
      <c r="A121" s="4" t="s">
        <v>241</v>
      </c>
      <c r="B121" s="5">
        <v>45998</v>
      </c>
      <c r="C121" s="15">
        <f>WEEKNUM(Orders[[#This Row],[OrderDate]])</f>
        <v>50</v>
      </c>
      <c r="D121" s="4" t="s">
        <v>33</v>
      </c>
      <c r="E121" s="4" t="s">
        <v>57</v>
      </c>
      <c r="F121" s="4">
        <v>9</v>
      </c>
      <c r="G121" s="4">
        <v>845.69999999999993</v>
      </c>
      <c r="H121">
        <v>718.84499999999991</v>
      </c>
      <c r="I121">
        <f>Orders[[#This Row],[Quantity]]*Orders[[#This Row],[Selling Price]]</f>
        <v>7611.2999999999993</v>
      </c>
      <c r="J121">
        <f>Orders[[#This Row],[Quantity]]*Orders[[#This Row],[Cost Price]]</f>
        <v>6469.6049999999996</v>
      </c>
      <c r="K121">
        <f>Orders[[#This Row],[Revenue]]-Orders[[#This Row],[Expenses]]</f>
        <v>1141.6949999999997</v>
      </c>
      <c r="L121" t="s">
        <v>2202</v>
      </c>
      <c r="M121" t="str">
        <f>_xlfn.XLOOKUP(Orders[[#This Row],[CustomerID]],Customers[CustomerID],Customers[City])</f>
        <v>Texas</v>
      </c>
      <c r="N121" t="str">
        <f>_xlfn.XLOOKUP(Orders[[#This Row],[CustomerID]],Customers[CustomerID],Customers[CustomerName])</f>
        <v>Okon Balogun</v>
      </c>
      <c r="O121" t="str">
        <f>_xlfn.XLOOKUP(Orders[[#This Row],[CustomerID]],Customers[CustomerID],Customers[Gender])</f>
        <v>Male</v>
      </c>
      <c r="P121">
        <f>_xlfn.XLOOKUP(Orders[[#This Row],[CustomerID]],Customers[CustomerID],Customers[CustomerAge])</f>
        <v>28</v>
      </c>
      <c r="Q121" t="str">
        <f>IF(Orders[[#This Row],[Age]]&gt;=35,"older","young")</f>
        <v>young</v>
      </c>
      <c r="R121" t="str">
        <f>_xlfn.XLOOKUP(Orders[[#This Row],[ProductID]],Products[ProductID],Products[ProductName])</f>
        <v>BADMINTON RACKET</v>
      </c>
      <c r="S121" t="str">
        <f>_xlfn.XLOOKUP(Orders[[#This Row],[ProductID]],Products!A:A,Products!C:C)</f>
        <v>Sports</v>
      </c>
    </row>
    <row r="122" spans="1:19" x14ac:dyDescent="0.2">
      <c r="A122" s="4" t="s">
        <v>242</v>
      </c>
      <c r="B122" s="5">
        <v>45992</v>
      </c>
      <c r="C122" s="15">
        <f>WEEKNUM(Orders[[#This Row],[OrderDate]])</f>
        <v>49</v>
      </c>
      <c r="D122" s="4" t="s">
        <v>50</v>
      </c>
      <c r="E122" s="4" t="s">
        <v>232</v>
      </c>
      <c r="F122" s="4">
        <v>2</v>
      </c>
      <c r="G122" s="4">
        <v>16608.3</v>
      </c>
      <c r="H122">
        <v>14117.055</v>
      </c>
      <c r="I122">
        <f>Orders[[#This Row],[Quantity]]*Orders[[#This Row],[Selling Price]]</f>
        <v>33216.6</v>
      </c>
      <c r="J122">
        <f>Orders[[#This Row],[Quantity]]*Orders[[#This Row],[Cost Price]]</f>
        <v>28234.11</v>
      </c>
      <c r="K122">
        <f>Orders[[#This Row],[Revenue]]-Orders[[#This Row],[Expenses]]</f>
        <v>4982.489999999998</v>
      </c>
      <c r="L122" t="s">
        <v>2218</v>
      </c>
      <c r="M122" t="str">
        <f>_xlfn.XLOOKUP(Orders[[#This Row],[CustomerID]],Customers[CustomerID],Customers[City])</f>
        <v>California</v>
      </c>
      <c r="N122" t="str">
        <f>_xlfn.XLOOKUP(Orders[[#This Row],[CustomerID]],Customers[CustomerID],Customers[CustomerName])</f>
        <v>Funke Danladi</v>
      </c>
      <c r="O122" t="str">
        <f>_xlfn.XLOOKUP(Orders[[#This Row],[CustomerID]],Customers[CustomerID],Customers[Gender])</f>
        <v>Female</v>
      </c>
      <c r="P122">
        <f>_xlfn.XLOOKUP(Orders[[#This Row],[CustomerID]],Customers[CustomerID],Customers[CustomerAge])</f>
        <v>31</v>
      </c>
      <c r="Q122" t="str">
        <f>IF(Orders[[#This Row],[Age]]&gt;=35,"older","young")</f>
        <v>young</v>
      </c>
      <c r="R122" t="str">
        <f>_xlfn.XLOOKUP(Orders[[#This Row],[ProductID]],Products[ProductID],Products[ProductName])</f>
        <v>ANKARA</v>
      </c>
      <c r="S122" t="str">
        <f>_xlfn.XLOOKUP(Orders[[#This Row],[ProductID]],Products!A:A,Products!C:C)</f>
        <v>Clothing</v>
      </c>
    </row>
    <row r="123" spans="1:19" x14ac:dyDescent="0.2">
      <c r="A123" s="4" t="s">
        <v>243</v>
      </c>
      <c r="B123" s="5">
        <v>45983</v>
      </c>
      <c r="C123" s="15">
        <f>WEEKNUM(Orders[[#This Row],[OrderDate]])</f>
        <v>47</v>
      </c>
      <c r="D123" s="4" t="s">
        <v>244</v>
      </c>
      <c r="E123" s="4" t="s">
        <v>46</v>
      </c>
      <c r="F123" s="4">
        <v>10</v>
      </c>
      <c r="G123" s="4">
        <v>14140.3</v>
      </c>
      <c r="H123">
        <v>12019.254999999999</v>
      </c>
      <c r="I123">
        <f>Orders[[#This Row],[Quantity]]*Orders[[#This Row],[Selling Price]]</f>
        <v>141403</v>
      </c>
      <c r="J123">
        <f>Orders[[#This Row],[Quantity]]*Orders[[#This Row],[Cost Price]]</f>
        <v>120192.54999999999</v>
      </c>
      <c r="K123">
        <f>Orders[[#This Row],[Revenue]]-Orders[[#This Row],[Expenses]]</f>
        <v>21210.450000000012</v>
      </c>
      <c r="L123" t="s">
        <v>2210</v>
      </c>
      <c r="M123" t="str">
        <f>_xlfn.XLOOKUP(Orders[[#This Row],[CustomerID]],Customers[CustomerID],Customers[City])</f>
        <v>Texas</v>
      </c>
      <c r="N123" t="str">
        <f>_xlfn.XLOOKUP(Orders[[#This Row],[CustomerID]],Customers[CustomerID],Customers[CustomerName])</f>
        <v>Zainab Abubakar</v>
      </c>
      <c r="O123" t="str">
        <f>_xlfn.XLOOKUP(Orders[[#This Row],[CustomerID]],Customers[CustomerID],Customers[Gender])</f>
        <v>Female</v>
      </c>
      <c r="P123">
        <f>_xlfn.XLOOKUP(Orders[[#This Row],[CustomerID]],Customers[CustomerID],Customers[CustomerAge])</f>
        <v>33</v>
      </c>
      <c r="Q123" t="str">
        <f>IF(Orders[[#This Row],[Age]]&gt;=35,"older","young")</f>
        <v>young</v>
      </c>
      <c r="R123" t="str">
        <f>_xlfn.XLOOKUP(Orders[[#This Row],[ProductID]],Products[ProductID],Products[ProductName])</f>
        <v>TURTLE NECK</v>
      </c>
      <c r="S123" t="str">
        <f>_xlfn.XLOOKUP(Orders[[#This Row],[ProductID]],Products!A:A,Products!C:C)</f>
        <v>Clothing</v>
      </c>
    </row>
    <row r="124" spans="1:19" x14ac:dyDescent="0.2">
      <c r="A124" s="4" t="s">
        <v>245</v>
      </c>
      <c r="B124" s="5">
        <v>45966</v>
      </c>
      <c r="C124" s="15">
        <f>WEEKNUM(Orders[[#This Row],[OrderDate]])</f>
        <v>45</v>
      </c>
      <c r="D124" s="4" t="s">
        <v>246</v>
      </c>
      <c r="E124" s="4" t="s">
        <v>157</v>
      </c>
      <c r="F124" s="4">
        <v>1</v>
      </c>
      <c r="G124" s="4">
        <v>17300.2</v>
      </c>
      <c r="H124">
        <v>14705.17</v>
      </c>
      <c r="I124">
        <f>Orders[[#This Row],[Quantity]]*Orders[[#This Row],[Selling Price]]</f>
        <v>17300.2</v>
      </c>
      <c r="J124">
        <f>Orders[[#This Row],[Quantity]]*Orders[[#This Row],[Cost Price]]</f>
        <v>14705.17</v>
      </c>
      <c r="K124">
        <f>Orders[[#This Row],[Revenue]]-Orders[[#This Row],[Expenses]]</f>
        <v>2595.0300000000007</v>
      </c>
      <c r="L124" t="s">
        <v>2195</v>
      </c>
      <c r="M124" t="str">
        <f>_xlfn.XLOOKUP(Orders[[#This Row],[CustomerID]],Customers[CustomerID],Customers[City])</f>
        <v>Florida</v>
      </c>
      <c r="N124" t="str">
        <f>_xlfn.XLOOKUP(Orders[[#This Row],[CustomerID]],Customers[CustomerID],Customers[CustomerName])</f>
        <v>Emeka Abubakar</v>
      </c>
      <c r="O124" t="str">
        <f>_xlfn.XLOOKUP(Orders[[#This Row],[CustomerID]],Customers[CustomerID],Customers[Gender])</f>
        <v>Male</v>
      </c>
      <c r="P124">
        <f>_xlfn.XLOOKUP(Orders[[#This Row],[CustomerID]],Customers[CustomerID],Customers[CustomerAge])</f>
        <v>28</v>
      </c>
      <c r="Q124" t="str">
        <f>IF(Orders[[#This Row],[Age]]&gt;=35,"older","young")</f>
        <v>young</v>
      </c>
      <c r="R124" t="str">
        <f>_xlfn.XLOOKUP(Orders[[#This Row],[ProductID]],Products[ProductID],Products[ProductName])</f>
        <v>FOOTBALL</v>
      </c>
      <c r="S124" t="str">
        <f>_xlfn.XLOOKUP(Orders[[#This Row],[ProductID]],Products!A:A,Products!C:C)</f>
        <v>Sports</v>
      </c>
    </row>
    <row r="125" spans="1:19" x14ac:dyDescent="0.2">
      <c r="A125" s="4" t="s">
        <v>247</v>
      </c>
      <c r="B125" s="5">
        <v>45946</v>
      </c>
      <c r="C125" s="15">
        <f>WEEKNUM(Orders[[#This Row],[OrderDate]])</f>
        <v>42</v>
      </c>
      <c r="D125" s="4" t="s">
        <v>216</v>
      </c>
      <c r="E125" s="4" t="s">
        <v>25</v>
      </c>
      <c r="F125" s="4">
        <v>4</v>
      </c>
      <c r="G125" s="4">
        <v>15307.1</v>
      </c>
      <c r="H125">
        <v>13011.035</v>
      </c>
      <c r="I125">
        <f>Orders[[#This Row],[Quantity]]*Orders[[#This Row],[Selling Price]]</f>
        <v>61228.4</v>
      </c>
      <c r="J125">
        <f>Orders[[#This Row],[Quantity]]*Orders[[#This Row],[Cost Price]]</f>
        <v>52044.14</v>
      </c>
      <c r="K125">
        <f>Orders[[#This Row],[Revenue]]-Orders[[#This Row],[Expenses]]</f>
        <v>9184.260000000002</v>
      </c>
      <c r="L125" t="s">
        <v>2202</v>
      </c>
      <c r="M125" t="str">
        <f>_xlfn.XLOOKUP(Orders[[#This Row],[CustomerID]],Customers[CustomerID],Customers[City])</f>
        <v>California</v>
      </c>
      <c r="N125" t="str">
        <f>_xlfn.XLOOKUP(Orders[[#This Row],[CustomerID]],Customers[CustomerID],Customers[CustomerName])</f>
        <v>Ngozi Obi</v>
      </c>
      <c r="O125" t="str">
        <f>_xlfn.XLOOKUP(Orders[[#This Row],[CustomerID]],Customers[CustomerID],Customers[Gender])</f>
        <v>Female</v>
      </c>
      <c r="P125">
        <f>_xlfn.XLOOKUP(Orders[[#This Row],[CustomerID]],Customers[CustomerID],Customers[CustomerAge])</f>
        <v>54</v>
      </c>
      <c r="Q125" t="str">
        <f>IF(Orders[[#This Row],[Age]]&gt;=35,"older","young")</f>
        <v>older</v>
      </c>
      <c r="R125" t="str">
        <f>_xlfn.XLOOKUP(Orders[[#This Row],[ProductID]],Products[ProductID],Products[ProductName])</f>
        <v>GOLD RINGS</v>
      </c>
      <c r="S125" t="str">
        <f>_xlfn.XLOOKUP(Orders[[#This Row],[ProductID]],Products!A:A,Products!C:C)</f>
        <v>Accessories</v>
      </c>
    </row>
    <row r="126" spans="1:19" x14ac:dyDescent="0.2">
      <c r="A126" s="4" t="s">
        <v>248</v>
      </c>
      <c r="B126" s="5">
        <v>45936</v>
      </c>
      <c r="C126" s="15">
        <f>WEEKNUM(Orders[[#This Row],[OrderDate]])</f>
        <v>41</v>
      </c>
      <c r="D126" s="4" t="s">
        <v>30</v>
      </c>
      <c r="E126" s="4" t="s">
        <v>63</v>
      </c>
      <c r="F126" s="4">
        <v>5</v>
      </c>
      <c r="G126" s="4">
        <v>5361.5999999999995</v>
      </c>
      <c r="H126">
        <v>4557.3599999999997</v>
      </c>
      <c r="I126">
        <f>Orders[[#This Row],[Quantity]]*Orders[[#This Row],[Selling Price]]</f>
        <v>26807.999999999996</v>
      </c>
      <c r="J126">
        <f>Orders[[#This Row],[Quantity]]*Orders[[#This Row],[Cost Price]]</f>
        <v>22786.799999999999</v>
      </c>
      <c r="K126">
        <f>Orders[[#This Row],[Revenue]]-Orders[[#This Row],[Expenses]]</f>
        <v>4021.1999999999971</v>
      </c>
      <c r="L126" t="s">
        <v>2194</v>
      </c>
      <c r="M126" t="str">
        <f>_xlfn.XLOOKUP(Orders[[#This Row],[CustomerID]],Customers[CustomerID],Customers[City])</f>
        <v>Florida</v>
      </c>
      <c r="N126" t="str">
        <f>_xlfn.XLOOKUP(Orders[[#This Row],[CustomerID]],Customers[CustomerID],Customers[CustomerName])</f>
        <v>Amina Danladi</v>
      </c>
      <c r="O126" t="str">
        <f>_xlfn.XLOOKUP(Orders[[#This Row],[CustomerID]],Customers[CustomerID],Customers[Gender])</f>
        <v>Female</v>
      </c>
      <c r="P126">
        <f>_xlfn.XLOOKUP(Orders[[#This Row],[CustomerID]],Customers[CustomerID],Customers[CustomerAge])</f>
        <v>42</v>
      </c>
      <c r="Q126" t="str">
        <f>IF(Orders[[#This Row],[Age]]&gt;=35,"older","young")</f>
        <v>older</v>
      </c>
      <c r="R126" t="str">
        <f>_xlfn.XLOOKUP(Orders[[#This Row],[ProductID]],Products[ProductID],Products[ProductName])</f>
        <v>TENNIS BAT</v>
      </c>
      <c r="S126" t="str">
        <f>_xlfn.XLOOKUP(Orders[[#This Row],[ProductID]],Products!A:A,Products!C:C)</f>
        <v>Sports</v>
      </c>
    </row>
    <row r="127" spans="1:19" x14ac:dyDescent="0.2">
      <c r="A127" s="4" t="s">
        <v>249</v>
      </c>
      <c r="B127" s="5">
        <v>45973</v>
      </c>
      <c r="C127" s="15">
        <f>WEEKNUM(Orders[[#This Row],[OrderDate]])</f>
        <v>46</v>
      </c>
      <c r="D127" s="4" t="s">
        <v>8</v>
      </c>
      <c r="E127" s="4" t="s">
        <v>46</v>
      </c>
      <c r="F127" s="4">
        <v>9</v>
      </c>
      <c r="G127" s="4">
        <v>11953.800000000001</v>
      </c>
      <c r="H127">
        <v>10160.730000000001</v>
      </c>
      <c r="I127">
        <f>Orders[[#This Row],[Quantity]]*Orders[[#This Row],[Selling Price]]</f>
        <v>107584.20000000001</v>
      </c>
      <c r="J127">
        <f>Orders[[#This Row],[Quantity]]*Orders[[#This Row],[Cost Price]]</f>
        <v>91446.57</v>
      </c>
      <c r="K127">
        <f>Orders[[#This Row],[Revenue]]-Orders[[#This Row],[Expenses]]</f>
        <v>16137.630000000005</v>
      </c>
      <c r="L127" t="s">
        <v>2200</v>
      </c>
      <c r="M127" t="str">
        <f>_xlfn.XLOOKUP(Orders[[#This Row],[CustomerID]],Customers[CustomerID],Customers[City])</f>
        <v>Washington</v>
      </c>
      <c r="N127" t="str">
        <f>_xlfn.XLOOKUP(Orders[[#This Row],[CustomerID]],Customers[CustomerID],Customers[CustomerName])</f>
        <v>Bi si Bello</v>
      </c>
      <c r="O127" t="str">
        <f>_xlfn.XLOOKUP(Orders[[#This Row],[CustomerID]],Customers[CustomerID],Customers[Gender])</f>
        <v>Female</v>
      </c>
      <c r="P127">
        <f>_xlfn.XLOOKUP(Orders[[#This Row],[CustomerID]],Customers[CustomerID],Customers[CustomerAge])</f>
        <v>38</v>
      </c>
      <c r="Q127" t="str">
        <f>IF(Orders[[#This Row],[Age]]&gt;=35,"older","young")</f>
        <v>older</v>
      </c>
      <c r="R127" t="str">
        <f>_xlfn.XLOOKUP(Orders[[#This Row],[ProductID]],Products[ProductID],Products[ProductName])</f>
        <v>TURTLE NECK</v>
      </c>
      <c r="S127" t="str">
        <f>_xlfn.XLOOKUP(Orders[[#This Row],[ProductID]],Products!A:A,Products!C:C)</f>
        <v>Clothing</v>
      </c>
    </row>
    <row r="128" spans="1:19" x14ac:dyDescent="0.2">
      <c r="A128" s="4" t="s">
        <v>250</v>
      </c>
      <c r="B128" s="5">
        <v>45976</v>
      </c>
      <c r="C128" s="15">
        <f>WEEKNUM(Orders[[#This Row],[OrderDate]])</f>
        <v>46</v>
      </c>
      <c r="D128" s="4" t="s">
        <v>68</v>
      </c>
      <c r="E128" s="4" t="s">
        <v>66</v>
      </c>
      <c r="F128" s="4">
        <v>5</v>
      </c>
      <c r="G128" s="4">
        <v>2489.1999999999998</v>
      </c>
      <c r="H128">
        <v>2115.8199999999997</v>
      </c>
      <c r="I128">
        <f>Orders[[#This Row],[Quantity]]*Orders[[#This Row],[Selling Price]]</f>
        <v>12446</v>
      </c>
      <c r="J128">
        <f>Orders[[#This Row],[Quantity]]*Orders[[#This Row],[Cost Price]]</f>
        <v>10579.099999999999</v>
      </c>
      <c r="K128">
        <f>Orders[[#This Row],[Revenue]]-Orders[[#This Row],[Expenses]]</f>
        <v>1866.9000000000015</v>
      </c>
      <c r="L128" t="s">
        <v>2211</v>
      </c>
      <c r="M128" t="str">
        <f>_xlfn.XLOOKUP(Orders[[#This Row],[CustomerID]],Customers[CustomerID],Customers[City])</f>
        <v>Texas</v>
      </c>
      <c r="N128" t="str">
        <f>_xlfn.XLOOKUP(Orders[[#This Row],[CustomerID]],Customers[CustomerID],Customers[CustomerName])</f>
        <v>Abiola Balogun</v>
      </c>
      <c r="O128" t="str">
        <f>_xlfn.XLOOKUP(Orders[[#This Row],[CustomerID]],Customers[CustomerID],Customers[Gender])</f>
        <v>Male</v>
      </c>
      <c r="P128">
        <f>_xlfn.XLOOKUP(Orders[[#This Row],[CustomerID]],Customers[CustomerID],Customers[CustomerAge])</f>
        <v>29</v>
      </c>
      <c r="Q128" t="str">
        <f>IF(Orders[[#This Row],[Age]]&gt;=35,"older","young")</f>
        <v>young</v>
      </c>
      <c r="R128" t="str">
        <f>_xlfn.XLOOKUP(Orders[[#This Row],[ProductID]],Products[ProductID],Products[ProductName])</f>
        <v>MICROWAVE</v>
      </c>
      <c r="S128" t="str">
        <f>_xlfn.XLOOKUP(Orders[[#This Row],[ProductID]],Products!A:A,Products!C:C)</f>
        <v>Electronics</v>
      </c>
    </row>
    <row r="129" spans="1:19" x14ac:dyDescent="0.2">
      <c r="A129" s="4" t="s">
        <v>251</v>
      </c>
      <c r="B129" s="5">
        <v>46011</v>
      </c>
      <c r="C129" s="15">
        <f>WEEKNUM(Orders[[#This Row],[OrderDate]])</f>
        <v>51</v>
      </c>
      <c r="D129" s="4" t="s">
        <v>252</v>
      </c>
      <c r="E129" s="4" t="s">
        <v>253</v>
      </c>
      <c r="F129" s="4">
        <v>5</v>
      </c>
      <c r="G129" s="4">
        <v>16639.900000000001</v>
      </c>
      <c r="H129">
        <v>14143.915000000001</v>
      </c>
      <c r="I129">
        <f>Orders[[#This Row],[Quantity]]*Orders[[#This Row],[Selling Price]]</f>
        <v>83199.5</v>
      </c>
      <c r="J129">
        <f>Orders[[#This Row],[Quantity]]*Orders[[#This Row],[Cost Price]]</f>
        <v>70719.575000000012</v>
      </c>
      <c r="K129">
        <f>Orders[[#This Row],[Revenue]]-Orders[[#This Row],[Expenses]]</f>
        <v>12479.924999999988</v>
      </c>
      <c r="L129" t="s">
        <v>2192</v>
      </c>
      <c r="M129" t="str">
        <f>_xlfn.XLOOKUP(Orders[[#This Row],[CustomerID]],Customers[CustomerID],Customers[City])</f>
        <v>Texas</v>
      </c>
      <c r="N129" t="str">
        <f>_xlfn.XLOOKUP(Orders[[#This Row],[CustomerID]],Customers[CustomerID],Customers[CustomerName])</f>
        <v>Chioma Adeyemi</v>
      </c>
      <c r="O129" t="str">
        <f>_xlfn.XLOOKUP(Orders[[#This Row],[CustomerID]],Customers[CustomerID],Customers[Gender])</f>
        <v>Female</v>
      </c>
      <c r="P129">
        <f>_xlfn.XLOOKUP(Orders[[#This Row],[CustomerID]],Customers[CustomerID],Customers[CustomerAge])</f>
        <v>20</v>
      </c>
      <c r="Q129" t="str">
        <f>IF(Orders[[#This Row],[Age]]&gt;=35,"older","young")</f>
        <v>young</v>
      </c>
      <c r="R129" t="str">
        <f>_xlfn.XLOOKUP(Orders[[#This Row],[ProductID]],Products[ProductID],Products[ProductName])</f>
        <v>NOSE RINGS</v>
      </c>
      <c r="S129" t="str">
        <f>_xlfn.XLOOKUP(Orders[[#This Row],[ProductID]],Products!A:A,Products!C:C)</f>
        <v>Accessories</v>
      </c>
    </row>
    <row r="130" spans="1:19" x14ac:dyDescent="0.2">
      <c r="A130" s="4" t="s">
        <v>254</v>
      </c>
      <c r="B130" s="5">
        <v>45990</v>
      </c>
      <c r="C130" s="15">
        <f>WEEKNUM(Orders[[#This Row],[OrderDate]])</f>
        <v>48</v>
      </c>
      <c r="D130" s="4" t="s">
        <v>225</v>
      </c>
      <c r="E130" s="4" t="s">
        <v>168</v>
      </c>
      <c r="F130" s="4">
        <v>8</v>
      </c>
      <c r="G130" s="4">
        <v>6649.7000000000007</v>
      </c>
      <c r="H130">
        <v>5652.2450000000008</v>
      </c>
      <c r="I130">
        <f>Orders[[#This Row],[Quantity]]*Orders[[#This Row],[Selling Price]]</f>
        <v>53197.600000000006</v>
      </c>
      <c r="J130">
        <f>Orders[[#This Row],[Quantity]]*Orders[[#This Row],[Cost Price]]</f>
        <v>45217.960000000006</v>
      </c>
      <c r="K130">
        <f>Orders[[#This Row],[Revenue]]-Orders[[#This Row],[Expenses]]</f>
        <v>7979.6399999999994</v>
      </c>
      <c r="L130" t="s">
        <v>2197</v>
      </c>
      <c r="M130" t="str">
        <f>_xlfn.XLOOKUP(Orders[[#This Row],[CustomerID]],Customers[CustomerID],Customers[City])</f>
        <v>Texas</v>
      </c>
      <c r="N130" t="str">
        <f>_xlfn.XLOOKUP(Orders[[#This Row],[CustomerID]],Customers[CustomerID],Customers[CustomerName])</f>
        <v>Uche Danladi</v>
      </c>
      <c r="O130" t="str">
        <f>_xlfn.XLOOKUP(Orders[[#This Row],[CustomerID]],Customers[CustomerID],Customers[Gender])</f>
        <v>Male</v>
      </c>
      <c r="P130">
        <f>_xlfn.XLOOKUP(Orders[[#This Row],[CustomerID]],Customers[CustomerID],Customers[CustomerAge])</f>
        <v>45</v>
      </c>
      <c r="Q130" t="str">
        <f>IF(Orders[[#This Row],[Age]]&gt;=35,"older","young")</f>
        <v>older</v>
      </c>
      <c r="R130" t="str">
        <f>_xlfn.XLOOKUP(Orders[[#This Row],[ProductID]],Products[ProductID],Products[ProductName])</f>
        <v>DUMB BELLS</v>
      </c>
      <c r="S130" t="str">
        <f>_xlfn.XLOOKUP(Orders[[#This Row],[ProductID]],Products!A:A,Products!C:C)</f>
        <v>Gym</v>
      </c>
    </row>
    <row r="131" spans="1:19" x14ac:dyDescent="0.2">
      <c r="A131" s="4" t="s">
        <v>255</v>
      </c>
      <c r="B131" s="5">
        <v>45938</v>
      </c>
      <c r="C131" s="15">
        <f>WEEKNUM(Orders[[#This Row],[OrderDate]])</f>
        <v>41</v>
      </c>
      <c r="D131" s="4" t="s">
        <v>256</v>
      </c>
      <c r="E131" s="4" t="s">
        <v>28</v>
      </c>
      <c r="F131" s="4">
        <v>6</v>
      </c>
      <c r="G131" s="4">
        <v>16556.300000000003</v>
      </c>
      <c r="H131">
        <v>14072.855000000003</v>
      </c>
      <c r="I131">
        <f>Orders[[#This Row],[Quantity]]*Orders[[#This Row],[Selling Price]]</f>
        <v>99337.800000000017</v>
      </c>
      <c r="J131">
        <f>Orders[[#This Row],[Quantity]]*Orders[[#This Row],[Cost Price]]</f>
        <v>84437.130000000019</v>
      </c>
      <c r="K131">
        <f>Orders[[#This Row],[Revenue]]-Orders[[#This Row],[Expenses]]</f>
        <v>14900.669999999998</v>
      </c>
      <c r="L131" t="s">
        <v>2211</v>
      </c>
      <c r="M131" t="str">
        <f>_xlfn.XLOOKUP(Orders[[#This Row],[CustomerID]],Customers[CustomerID],Customers[City])</f>
        <v>Georgia</v>
      </c>
      <c r="N131" t="str">
        <f>_xlfn.XLOOKUP(Orders[[#This Row],[CustomerID]],Customers[CustomerID],Customers[CustomerName])</f>
        <v>Efe Ojo</v>
      </c>
      <c r="O131" t="str">
        <f>_xlfn.XLOOKUP(Orders[[#This Row],[CustomerID]],Customers[CustomerID],Customers[Gender])</f>
        <v>Female</v>
      </c>
      <c r="P131">
        <f>_xlfn.XLOOKUP(Orders[[#This Row],[CustomerID]],Customers[CustomerID],Customers[CustomerAge])</f>
        <v>23</v>
      </c>
      <c r="Q131" t="str">
        <f>IF(Orders[[#This Row],[Age]]&gt;=35,"older","young")</f>
        <v>young</v>
      </c>
      <c r="R131" t="str">
        <f>_xlfn.XLOOKUP(Orders[[#This Row],[ProductID]],Products[ProductID],Products[ProductName])</f>
        <v>SNEAKERS</v>
      </c>
      <c r="S131" t="str">
        <f>_xlfn.XLOOKUP(Orders[[#This Row],[ProductID]],Products!A:A,Products!C:C)</f>
        <v>Sports</v>
      </c>
    </row>
    <row r="132" spans="1:19" x14ac:dyDescent="0.2">
      <c r="A132" s="4" t="s">
        <v>257</v>
      </c>
      <c r="B132" s="5">
        <v>45976</v>
      </c>
      <c r="C132" s="15">
        <f>WEEKNUM(Orders[[#This Row],[OrderDate]])</f>
        <v>46</v>
      </c>
      <c r="D132" s="4" t="s">
        <v>258</v>
      </c>
      <c r="E132" s="4" t="s">
        <v>151</v>
      </c>
      <c r="F132" s="4">
        <v>10</v>
      </c>
      <c r="G132" s="4">
        <v>10361.199999999999</v>
      </c>
      <c r="H132">
        <v>8807.0199999999986</v>
      </c>
      <c r="I132">
        <f>Orders[[#This Row],[Quantity]]*Orders[[#This Row],[Selling Price]]</f>
        <v>103611.99999999999</v>
      </c>
      <c r="J132">
        <f>Orders[[#This Row],[Quantity]]*Orders[[#This Row],[Cost Price]]</f>
        <v>88070.199999999983</v>
      </c>
      <c r="K132">
        <f>Orders[[#This Row],[Revenue]]-Orders[[#This Row],[Expenses]]</f>
        <v>15541.800000000003</v>
      </c>
      <c r="L132" t="s">
        <v>2211</v>
      </c>
      <c r="M132" t="str">
        <f>_xlfn.XLOOKUP(Orders[[#This Row],[CustomerID]],Customers[CustomerID],Customers[City])</f>
        <v>Washington</v>
      </c>
      <c r="N132" t="str">
        <f>_xlfn.XLOOKUP(Orders[[#This Row],[CustomerID]],Customers[CustomerID],Customers[CustomerName])</f>
        <v>Sani Abubakar</v>
      </c>
      <c r="O132" t="str">
        <f>_xlfn.XLOOKUP(Orders[[#This Row],[CustomerID]],Customers[CustomerID],Customers[Gender])</f>
        <v>Male</v>
      </c>
      <c r="P132">
        <f>_xlfn.XLOOKUP(Orders[[#This Row],[CustomerID]],Customers[CustomerID],Customers[CustomerAge])</f>
        <v>37</v>
      </c>
      <c r="Q132" t="str">
        <f>IF(Orders[[#This Row],[Age]]&gt;=35,"older","young")</f>
        <v>older</v>
      </c>
      <c r="R132" t="str">
        <f>_xlfn.XLOOKUP(Orders[[#This Row],[ProductID]],Products[ProductID],Products[ProductName])</f>
        <v>CHECKERS</v>
      </c>
      <c r="S132" t="str">
        <f>_xlfn.XLOOKUP(Orders[[#This Row],[ProductID]],Products!A:A,Products!C:C)</f>
        <v>Games</v>
      </c>
    </row>
    <row r="133" spans="1:19" x14ac:dyDescent="0.2">
      <c r="A133" s="4" t="s">
        <v>259</v>
      </c>
      <c r="B133" s="5">
        <v>45978</v>
      </c>
      <c r="C133" s="15">
        <f>WEEKNUM(Orders[[#This Row],[OrderDate]])</f>
        <v>47</v>
      </c>
      <c r="D133" s="4" t="s">
        <v>260</v>
      </c>
      <c r="E133" s="4" t="s">
        <v>189</v>
      </c>
      <c r="F133" s="4">
        <v>2</v>
      </c>
      <c r="G133" s="4">
        <v>7295.1</v>
      </c>
      <c r="H133">
        <v>6200.835</v>
      </c>
      <c r="I133">
        <f>Orders[[#This Row],[Quantity]]*Orders[[#This Row],[Selling Price]]</f>
        <v>14590.2</v>
      </c>
      <c r="J133">
        <f>Orders[[#This Row],[Quantity]]*Orders[[#This Row],[Cost Price]]</f>
        <v>12401.67</v>
      </c>
      <c r="K133">
        <f>Orders[[#This Row],[Revenue]]-Orders[[#This Row],[Expenses]]</f>
        <v>2188.5300000000007</v>
      </c>
      <c r="L133" t="s">
        <v>2209</v>
      </c>
      <c r="M133" t="str">
        <f>_xlfn.XLOOKUP(Orders[[#This Row],[CustomerID]],Customers[CustomerID],Customers[City])</f>
        <v>Florida</v>
      </c>
      <c r="N133" t="str">
        <f>_xlfn.XLOOKUP(Orders[[#This Row],[CustomerID]],Customers[CustomerID],Customers[CustomerName])</f>
        <v>Amina Obi</v>
      </c>
      <c r="O133" t="str">
        <f>_xlfn.XLOOKUP(Orders[[#This Row],[CustomerID]],Customers[CustomerID],Customers[Gender])</f>
        <v>Female</v>
      </c>
      <c r="P133">
        <f>_xlfn.XLOOKUP(Orders[[#This Row],[CustomerID]],Customers[CustomerID],Customers[CustomerAge])</f>
        <v>29</v>
      </c>
      <c r="Q133" t="str">
        <f>IF(Orders[[#This Row],[Age]]&gt;=35,"older","young")</f>
        <v>young</v>
      </c>
      <c r="R133" t="str">
        <f>_xlfn.XLOOKUP(Orders[[#This Row],[ProductID]],Products[ProductID],Products[ProductName])</f>
        <v>SCRABBLE</v>
      </c>
      <c r="S133" t="str">
        <f>_xlfn.XLOOKUP(Orders[[#This Row],[ProductID]],Products!A:A,Products!C:C)</f>
        <v>Games</v>
      </c>
    </row>
    <row r="134" spans="1:19" x14ac:dyDescent="0.2">
      <c r="A134" s="4" t="s">
        <v>261</v>
      </c>
      <c r="B134" s="5">
        <v>46019</v>
      </c>
      <c r="C134" s="15">
        <f>WEEKNUM(Orders[[#This Row],[OrderDate]])</f>
        <v>53</v>
      </c>
      <c r="D134" s="4" t="s">
        <v>89</v>
      </c>
      <c r="E134" s="4" t="s">
        <v>208</v>
      </c>
      <c r="F134" s="4">
        <v>9</v>
      </c>
      <c r="G134" s="4">
        <v>5387.5</v>
      </c>
      <c r="H134">
        <v>4579.375</v>
      </c>
      <c r="I134">
        <f>Orders[[#This Row],[Quantity]]*Orders[[#This Row],[Selling Price]]</f>
        <v>48487.5</v>
      </c>
      <c r="J134">
        <f>Orders[[#This Row],[Quantity]]*Orders[[#This Row],[Cost Price]]</f>
        <v>41214.375</v>
      </c>
      <c r="K134">
        <f>Orders[[#This Row],[Revenue]]-Orders[[#This Row],[Expenses]]</f>
        <v>7273.125</v>
      </c>
      <c r="L134" t="s">
        <v>2215</v>
      </c>
      <c r="M134" t="str">
        <f>_xlfn.XLOOKUP(Orders[[#This Row],[CustomerID]],Customers[CustomerID],Customers[City])</f>
        <v>Washington</v>
      </c>
      <c r="N134" t="str">
        <f>_xlfn.XLOOKUP(Orders[[#This Row],[CustomerID]],Customers[CustomerID],Customers[CustomerName])</f>
        <v>Blessing Balogun</v>
      </c>
      <c r="O134" t="str">
        <f>_xlfn.XLOOKUP(Orders[[#This Row],[CustomerID]],Customers[CustomerID],Customers[Gender])</f>
        <v>Female</v>
      </c>
      <c r="P134">
        <f>_xlfn.XLOOKUP(Orders[[#This Row],[CustomerID]],Customers[CustomerID],Customers[CustomerAge])</f>
        <v>19</v>
      </c>
      <c r="Q134" t="str">
        <f>IF(Orders[[#This Row],[Age]]&gt;=35,"older","young")</f>
        <v>young</v>
      </c>
      <c r="R134" t="str">
        <f>_xlfn.XLOOKUP(Orders[[#This Row],[ProductID]],Products[ProductID],Products[ProductName])</f>
        <v>SKIPPING ROPE</v>
      </c>
      <c r="S134" t="str">
        <f>_xlfn.XLOOKUP(Orders[[#This Row],[ProductID]],Products!A:A,Products!C:C)</f>
        <v>Sports</v>
      </c>
    </row>
    <row r="135" spans="1:19" x14ac:dyDescent="0.2">
      <c r="A135" s="4" t="s">
        <v>262</v>
      </c>
      <c r="B135" s="5">
        <v>46003</v>
      </c>
      <c r="C135" s="15">
        <f>WEEKNUM(Orders[[#This Row],[OrderDate]])</f>
        <v>50</v>
      </c>
      <c r="D135" s="4" t="s">
        <v>30</v>
      </c>
      <c r="E135" s="4" t="s">
        <v>25</v>
      </c>
      <c r="F135" s="4">
        <v>3</v>
      </c>
      <c r="G135" s="4">
        <v>851.1</v>
      </c>
      <c r="H135">
        <v>723.43500000000006</v>
      </c>
      <c r="I135">
        <f>Orders[[#This Row],[Quantity]]*Orders[[#This Row],[Selling Price]]</f>
        <v>2553.3000000000002</v>
      </c>
      <c r="J135">
        <f>Orders[[#This Row],[Quantity]]*Orders[[#This Row],[Cost Price]]</f>
        <v>2170.3050000000003</v>
      </c>
      <c r="K135">
        <f>Orders[[#This Row],[Revenue]]-Orders[[#This Row],[Expenses]]</f>
        <v>382.99499999999989</v>
      </c>
      <c r="L135" t="s">
        <v>2194</v>
      </c>
      <c r="M135" t="str">
        <f>_xlfn.XLOOKUP(Orders[[#This Row],[CustomerID]],Customers[CustomerID],Customers[City])</f>
        <v>Florida</v>
      </c>
      <c r="N135" t="str">
        <f>_xlfn.XLOOKUP(Orders[[#This Row],[CustomerID]],Customers[CustomerID],Customers[CustomerName])</f>
        <v>Amina Danladi</v>
      </c>
      <c r="O135" t="str">
        <f>_xlfn.XLOOKUP(Orders[[#This Row],[CustomerID]],Customers[CustomerID],Customers[Gender])</f>
        <v>Female</v>
      </c>
      <c r="P135">
        <f>_xlfn.XLOOKUP(Orders[[#This Row],[CustomerID]],Customers[CustomerID],Customers[CustomerAge])</f>
        <v>42</v>
      </c>
      <c r="Q135" t="str">
        <f>IF(Orders[[#This Row],[Age]]&gt;=35,"older","young")</f>
        <v>older</v>
      </c>
      <c r="R135" t="str">
        <f>_xlfn.XLOOKUP(Orders[[#This Row],[ProductID]],Products[ProductID],Products[ProductName])</f>
        <v>GOLD RINGS</v>
      </c>
      <c r="S135" t="str">
        <f>_xlfn.XLOOKUP(Orders[[#This Row],[ProductID]],Products!A:A,Products!C:C)</f>
        <v>Accessories</v>
      </c>
    </row>
    <row r="136" spans="1:19" x14ac:dyDescent="0.2">
      <c r="A136" s="4" t="s">
        <v>263</v>
      </c>
      <c r="B136" s="5">
        <v>45978</v>
      </c>
      <c r="C136" s="15">
        <f>WEEKNUM(Orders[[#This Row],[OrderDate]])</f>
        <v>47</v>
      </c>
      <c r="D136" s="4" t="s">
        <v>264</v>
      </c>
      <c r="E136" s="4" t="s">
        <v>189</v>
      </c>
      <c r="F136" s="4">
        <v>6</v>
      </c>
      <c r="G136" s="4">
        <v>7519.8</v>
      </c>
      <c r="H136">
        <v>6391.83</v>
      </c>
      <c r="I136">
        <f>Orders[[#This Row],[Quantity]]*Orders[[#This Row],[Selling Price]]</f>
        <v>45118.8</v>
      </c>
      <c r="J136">
        <f>Orders[[#This Row],[Quantity]]*Orders[[#This Row],[Cost Price]]</f>
        <v>38350.979999999996</v>
      </c>
      <c r="K136">
        <f>Orders[[#This Row],[Revenue]]-Orders[[#This Row],[Expenses]]</f>
        <v>6767.820000000007</v>
      </c>
      <c r="L136" t="s">
        <v>2217</v>
      </c>
      <c r="M136" t="str">
        <f>_xlfn.XLOOKUP(Orders[[#This Row],[CustomerID]],Customers[CustomerID],Customers[City])</f>
        <v>Georgia</v>
      </c>
      <c r="N136" t="str">
        <f>_xlfn.XLOOKUP(Orders[[#This Row],[CustomerID]],Customers[CustomerID],Customers[CustomerName])</f>
        <v>Ronke Adeyemi</v>
      </c>
      <c r="O136" t="str">
        <f>_xlfn.XLOOKUP(Orders[[#This Row],[CustomerID]],Customers[CustomerID],Customers[Gender])</f>
        <v>Female</v>
      </c>
      <c r="P136">
        <f>_xlfn.XLOOKUP(Orders[[#This Row],[CustomerID]],Customers[CustomerID],Customers[CustomerAge])</f>
        <v>19</v>
      </c>
      <c r="Q136" t="str">
        <f>IF(Orders[[#This Row],[Age]]&gt;=35,"older","young")</f>
        <v>young</v>
      </c>
      <c r="R136" t="str">
        <f>_xlfn.XLOOKUP(Orders[[#This Row],[ProductID]],Products[ProductID],Products[ProductName])</f>
        <v>SCRABBLE</v>
      </c>
      <c r="S136" t="str">
        <f>_xlfn.XLOOKUP(Orders[[#This Row],[ProductID]],Products!A:A,Products!C:C)</f>
        <v>Games</v>
      </c>
    </row>
    <row r="137" spans="1:19" x14ac:dyDescent="0.2">
      <c r="A137" s="4" t="s">
        <v>265</v>
      </c>
      <c r="B137" s="5">
        <v>45995</v>
      </c>
      <c r="C137" s="15">
        <f>WEEKNUM(Orders[[#This Row],[OrderDate]])</f>
        <v>49</v>
      </c>
      <c r="D137" s="4" t="s">
        <v>239</v>
      </c>
      <c r="E137" s="4" t="s">
        <v>168</v>
      </c>
      <c r="F137" s="4">
        <v>2</v>
      </c>
      <c r="G137" s="4">
        <v>4957</v>
      </c>
      <c r="H137">
        <v>4213.45</v>
      </c>
      <c r="I137">
        <f>Orders[[#This Row],[Quantity]]*Orders[[#This Row],[Selling Price]]</f>
        <v>9914</v>
      </c>
      <c r="J137">
        <f>Orders[[#This Row],[Quantity]]*Orders[[#This Row],[Cost Price]]</f>
        <v>8426.9</v>
      </c>
      <c r="K137">
        <f>Orders[[#This Row],[Revenue]]-Orders[[#This Row],[Expenses]]</f>
        <v>1487.1000000000004</v>
      </c>
      <c r="L137" t="s">
        <v>2193</v>
      </c>
      <c r="M137" t="str">
        <f>_xlfn.XLOOKUP(Orders[[#This Row],[CustomerID]],Customers[CustomerID],Customers[City])</f>
        <v>Florida</v>
      </c>
      <c r="N137" t="str">
        <f>_xlfn.XLOOKUP(Orders[[#This Row],[CustomerID]],Customers[CustomerID],Customers[CustomerName])</f>
        <v>Emeka Danladi</v>
      </c>
      <c r="O137" t="str">
        <f>_xlfn.XLOOKUP(Orders[[#This Row],[CustomerID]],Customers[CustomerID],Customers[Gender])</f>
        <v>Male</v>
      </c>
      <c r="P137">
        <f>_xlfn.XLOOKUP(Orders[[#This Row],[CustomerID]],Customers[CustomerID],Customers[CustomerAge])</f>
        <v>23</v>
      </c>
      <c r="Q137" t="str">
        <f>IF(Orders[[#This Row],[Age]]&gt;=35,"older","young")</f>
        <v>young</v>
      </c>
      <c r="R137" t="str">
        <f>_xlfn.XLOOKUP(Orders[[#This Row],[ProductID]],Products[ProductID],Products[ProductName])</f>
        <v>DUMB BELLS</v>
      </c>
      <c r="S137" t="str">
        <f>_xlfn.XLOOKUP(Orders[[#This Row],[ProductID]],Products!A:A,Products!C:C)</f>
        <v>Gym</v>
      </c>
    </row>
    <row r="138" spans="1:19" x14ac:dyDescent="0.2">
      <c r="A138" s="4" t="s">
        <v>266</v>
      </c>
      <c r="B138" s="5">
        <v>45997</v>
      </c>
      <c r="C138" s="15">
        <f>WEEKNUM(Orders[[#This Row],[OrderDate]])</f>
        <v>49</v>
      </c>
      <c r="D138" s="4" t="s">
        <v>227</v>
      </c>
      <c r="E138" s="4" t="s">
        <v>70</v>
      </c>
      <c r="F138" s="4">
        <v>4</v>
      </c>
      <c r="G138" s="4">
        <v>6845.5</v>
      </c>
      <c r="H138">
        <v>5818.6750000000002</v>
      </c>
      <c r="I138">
        <f>Orders[[#This Row],[Quantity]]*Orders[[#This Row],[Selling Price]]</f>
        <v>27382</v>
      </c>
      <c r="J138">
        <f>Orders[[#This Row],[Quantity]]*Orders[[#This Row],[Cost Price]]</f>
        <v>23274.7</v>
      </c>
      <c r="K138">
        <f>Orders[[#This Row],[Revenue]]-Orders[[#This Row],[Expenses]]</f>
        <v>4107.2999999999993</v>
      </c>
      <c r="L138" t="s">
        <v>2202</v>
      </c>
      <c r="M138" t="str">
        <f>_xlfn.XLOOKUP(Orders[[#This Row],[CustomerID]],Customers[CustomerID],Customers[City])</f>
        <v>Washington</v>
      </c>
      <c r="N138" t="str">
        <f>_xlfn.XLOOKUP(Orders[[#This Row],[CustomerID]],Customers[CustomerID],Customers[CustomerName])</f>
        <v>Emmanuel Victor</v>
      </c>
      <c r="O138" t="str">
        <f>_xlfn.XLOOKUP(Orders[[#This Row],[CustomerID]],Customers[CustomerID],Customers[Gender])</f>
        <v>Male</v>
      </c>
      <c r="P138">
        <f>_xlfn.XLOOKUP(Orders[[#This Row],[CustomerID]],Customers[CustomerID],Customers[CustomerAge])</f>
        <v>35</v>
      </c>
      <c r="Q138" t="str">
        <f>IF(Orders[[#This Row],[Age]]&gt;=35,"older","young")</f>
        <v>older</v>
      </c>
      <c r="R138" t="str">
        <f>_xlfn.XLOOKUP(Orders[[#This Row],[ProductID]],Products[ProductID],Products[ProductName])</f>
        <v>YOGA MAT</v>
      </c>
      <c r="S138" t="str">
        <f>_xlfn.XLOOKUP(Orders[[#This Row],[ProductID]],Products!A:A,Products!C:C)</f>
        <v>Gym</v>
      </c>
    </row>
    <row r="139" spans="1:19" x14ac:dyDescent="0.2">
      <c r="A139" s="4" t="s">
        <v>267</v>
      </c>
      <c r="B139" s="5">
        <v>45985</v>
      </c>
      <c r="C139" s="15">
        <f>WEEKNUM(Orders[[#This Row],[OrderDate]])</f>
        <v>48</v>
      </c>
      <c r="D139" s="4" t="s">
        <v>48</v>
      </c>
      <c r="E139" s="4" t="s">
        <v>20</v>
      </c>
      <c r="F139" s="4">
        <v>7</v>
      </c>
      <c r="G139" s="4">
        <v>12488.699999999999</v>
      </c>
      <c r="H139">
        <v>10615.394999999999</v>
      </c>
      <c r="I139">
        <f>Orders[[#This Row],[Quantity]]*Orders[[#This Row],[Selling Price]]</f>
        <v>87420.9</v>
      </c>
      <c r="J139">
        <f>Orders[[#This Row],[Quantity]]*Orders[[#This Row],[Cost Price]]</f>
        <v>74307.764999999985</v>
      </c>
      <c r="K139">
        <f>Orders[[#This Row],[Revenue]]-Orders[[#This Row],[Expenses]]</f>
        <v>13113.135000000009</v>
      </c>
      <c r="L139" t="s">
        <v>2219</v>
      </c>
      <c r="M139" t="str">
        <f>_xlfn.XLOOKUP(Orders[[#This Row],[CustomerID]],Customers[CustomerID],Customers[City])</f>
        <v>California</v>
      </c>
      <c r="N139" t="str">
        <f>_xlfn.XLOOKUP(Orders[[#This Row],[CustomerID]],Customers[CustomerID],Customers[CustomerName])</f>
        <v>Mustafa Obi</v>
      </c>
      <c r="O139" t="str">
        <f>_xlfn.XLOOKUP(Orders[[#This Row],[CustomerID]],Customers[CustomerID],Customers[Gender])</f>
        <v>Male</v>
      </c>
      <c r="P139">
        <f>_xlfn.XLOOKUP(Orders[[#This Row],[CustomerID]],Customers[CustomerID],Customers[CustomerAge])</f>
        <v>23</v>
      </c>
      <c r="Q139" t="str">
        <f>IF(Orders[[#This Row],[Age]]&gt;=35,"older","young")</f>
        <v>young</v>
      </c>
      <c r="R139" t="str">
        <f>_xlfn.XLOOKUP(Orders[[#This Row],[ProductID]],Products[ProductID],Products[ProductName])</f>
        <v>GYM BAG</v>
      </c>
      <c r="S139" t="str">
        <f>_xlfn.XLOOKUP(Orders[[#This Row],[ProductID]],Products!A:A,Products!C:C)</f>
        <v>Gym</v>
      </c>
    </row>
    <row r="140" spans="1:19" x14ac:dyDescent="0.2">
      <c r="A140" s="4" t="s">
        <v>268</v>
      </c>
      <c r="B140" s="5">
        <v>45983</v>
      </c>
      <c r="C140" s="15">
        <f>WEEKNUM(Orders[[#This Row],[OrderDate]])</f>
        <v>47</v>
      </c>
      <c r="D140" s="4" t="s">
        <v>101</v>
      </c>
      <c r="E140" s="4" t="s">
        <v>31</v>
      </c>
      <c r="F140" s="4">
        <v>4</v>
      </c>
      <c r="G140" s="4">
        <v>1448.3000000000002</v>
      </c>
      <c r="H140">
        <v>1231.0550000000001</v>
      </c>
      <c r="I140">
        <f>Orders[[#This Row],[Quantity]]*Orders[[#This Row],[Selling Price]]</f>
        <v>5793.2000000000007</v>
      </c>
      <c r="J140">
        <f>Orders[[#This Row],[Quantity]]*Orders[[#This Row],[Cost Price]]</f>
        <v>4924.22</v>
      </c>
      <c r="K140">
        <f>Orders[[#This Row],[Revenue]]-Orders[[#This Row],[Expenses]]</f>
        <v>868.98000000000047</v>
      </c>
      <c r="L140" t="s">
        <v>2193</v>
      </c>
      <c r="M140" t="str">
        <f>_xlfn.XLOOKUP(Orders[[#This Row],[CustomerID]],Customers[CustomerID],Customers[City])</f>
        <v>Texas</v>
      </c>
      <c r="N140" t="str">
        <f>_xlfn.XLOOKUP(Orders[[#This Row],[CustomerID]],Customers[CustomerID],Customers[CustomerName])</f>
        <v>Blessing Eze</v>
      </c>
      <c r="O140" t="str">
        <f>_xlfn.XLOOKUP(Orders[[#This Row],[CustomerID]],Customers[CustomerID],Customers[Gender])</f>
        <v>Female</v>
      </c>
      <c r="P140">
        <f>_xlfn.XLOOKUP(Orders[[#This Row],[CustomerID]],Customers[CustomerID],Customers[CustomerAge])</f>
        <v>55</v>
      </c>
      <c r="Q140" t="str">
        <f>IF(Orders[[#This Row],[Age]]&gt;=35,"older","young")</f>
        <v>older</v>
      </c>
      <c r="R140" t="str">
        <f>_xlfn.XLOOKUP(Orders[[#This Row],[ProductID]],Products[ProductID],Products[ProductName])</f>
        <v>KIDS GAMES</v>
      </c>
      <c r="S140" t="str">
        <f>_xlfn.XLOOKUP(Orders[[#This Row],[ProductID]],Products!A:A,Products!C:C)</f>
        <v>Games</v>
      </c>
    </row>
    <row r="141" spans="1:19" x14ac:dyDescent="0.2">
      <c r="A141" s="4" t="s">
        <v>269</v>
      </c>
      <c r="B141" s="5">
        <v>45984</v>
      </c>
      <c r="C141" s="15">
        <f>WEEKNUM(Orders[[#This Row],[OrderDate]])</f>
        <v>48</v>
      </c>
      <c r="D141" s="4" t="s">
        <v>122</v>
      </c>
      <c r="E141" s="4" t="s">
        <v>57</v>
      </c>
      <c r="F141" s="4">
        <v>6</v>
      </c>
      <c r="G141" s="4">
        <v>18254</v>
      </c>
      <c r="H141">
        <v>15515.9</v>
      </c>
      <c r="I141">
        <f>Orders[[#This Row],[Quantity]]*Orders[[#This Row],[Selling Price]]</f>
        <v>109524</v>
      </c>
      <c r="J141">
        <f>Orders[[#This Row],[Quantity]]*Orders[[#This Row],[Cost Price]]</f>
        <v>93095.4</v>
      </c>
      <c r="K141">
        <f>Orders[[#This Row],[Revenue]]-Orders[[#This Row],[Expenses]]</f>
        <v>16428.600000000006</v>
      </c>
      <c r="L141" t="s">
        <v>2194</v>
      </c>
      <c r="M141" t="str">
        <f>_xlfn.XLOOKUP(Orders[[#This Row],[CustomerID]],Customers[CustomerID],Customers[City])</f>
        <v>Texas</v>
      </c>
      <c r="N141" t="str">
        <f>_xlfn.XLOOKUP(Orders[[#This Row],[CustomerID]],Customers[CustomerID],Customers[CustomerName])</f>
        <v>Ibrahim Eze</v>
      </c>
      <c r="O141" t="str">
        <f>_xlfn.XLOOKUP(Orders[[#This Row],[CustomerID]],Customers[CustomerID],Customers[Gender])</f>
        <v>Male</v>
      </c>
      <c r="P141">
        <f>_xlfn.XLOOKUP(Orders[[#This Row],[CustomerID]],Customers[CustomerID],Customers[CustomerAge])</f>
        <v>52</v>
      </c>
      <c r="Q141" t="str">
        <f>IF(Orders[[#This Row],[Age]]&gt;=35,"older","young")</f>
        <v>older</v>
      </c>
      <c r="R141" t="str">
        <f>_xlfn.XLOOKUP(Orders[[#This Row],[ProductID]],Products[ProductID],Products[ProductName])</f>
        <v>BADMINTON RACKET</v>
      </c>
      <c r="S141" t="str">
        <f>_xlfn.XLOOKUP(Orders[[#This Row],[ProductID]],Products!A:A,Products!C:C)</f>
        <v>Sports</v>
      </c>
    </row>
    <row r="142" spans="1:19" x14ac:dyDescent="0.2">
      <c r="A142" s="4" t="s">
        <v>270</v>
      </c>
      <c r="B142" s="5">
        <v>45946</v>
      </c>
      <c r="C142" s="15">
        <f>WEEKNUM(Orders[[#This Row],[OrderDate]])</f>
        <v>42</v>
      </c>
      <c r="D142" s="4" t="s">
        <v>96</v>
      </c>
      <c r="E142" s="4" t="s">
        <v>189</v>
      </c>
      <c r="F142" s="4">
        <v>4</v>
      </c>
      <c r="G142" s="4">
        <v>18942</v>
      </c>
      <c r="H142">
        <v>16100.7</v>
      </c>
      <c r="I142">
        <f>Orders[[#This Row],[Quantity]]*Orders[[#This Row],[Selling Price]]</f>
        <v>75768</v>
      </c>
      <c r="J142">
        <f>Orders[[#This Row],[Quantity]]*Orders[[#This Row],[Cost Price]]</f>
        <v>64402.8</v>
      </c>
      <c r="K142">
        <f>Orders[[#This Row],[Revenue]]-Orders[[#This Row],[Expenses]]</f>
        <v>11365.199999999997</v>
      </c>
      <c r="L142" t="s">
        <v>2216</v>
      </c>
      <c r="M142" t="str">
        <f>_xlfn.XLOOKUP(Orders[[#This Row],[CustomerID]],Customers[CustomerID],Customers[City])</f>
        <v>Texas</v>
      </c>
      <c r="N142" t="str">
        <f>_xlfn.XLOOKUP(Orders[[#This Row],[CustomerID]],Customers[CustomerID],Customers[CustomerName])</f>
        <v>Amina Abubakar</v>
      </c>
      <c r="O142" t="str">
        <f>_xlfn.XLOOKUP(Orders[[#This Row],[CustomerID]],Customers[CustomerID],Customers[Gender])</f>
        <v>Female</v>
      </c>
      <c r="P142">
        <f>_xlfn.XLOOKUP(Orders[[#This Row],[CustomerID]],Customers[CustomerID],Customers[CustomerAge])</f>
        <v>35</v>
      </c>
      <c r="Q142" t="str">
        <f>IF(Orders[[#This Row],[Age]]&gt;=35,"older","young")</f>
        <v>older</v>
      </c>
      <c r="R142" t="str">
        <f>_xlfn.XLOOKUP(Orders[[#This Row],[ProductID]],Products[ProductID],Products[ProductName])</f>
        <v>SCRABBLE</v>
      </c>
      <c r="S142" t="str">
        <f>_xlfn.XLOOKUP(Orders[[#This Row],[ProductID]],Products!A:A,Products!C:C)</f>
        <v>Games</v>
      </c>
    </row>
    <row r="143" spans="1:19" x14ac:dyDescent="0.2">
      <c r="A143" s="4" t="s">
        <v>271</v>
      </c>
      <c r="B143" s="5">
        <v>45992</v>
      </c>
      <c r="C143" s="15">
        <f>WEEKNUM(Orders[[#This Row],[OrderDate]])</f>
        <v>49</v>
      </c>
      <c r="D143" s="4" t="s">
        <v>272</v>
      </c>
      <c r="E143" s="4" t="s">
        <v>15</v>
      </c>
      <c r="F143" s="4">
        <v>5</v>
      </c>
      <c r="G143" s="4">
        <v>14403.3</v>
      </c>
      <c r="H143">
        <v>12242.805</v>
      </c>
      <c r="I143">
        <f>Orders[[#This Row],[Quantity]]*Orders[[#This Row],[Selling Price]]</f>
        <v>72016.5</v>
      </c>
      <c r="J143">
        <f>Orders[[#This Row],[Quantity]]*Orders[[#This Row],[Cost Price]]</f>
        <v>61214.025000000001</v>
      </c>
      <c r="K143">
        <f>Orders[[#This Row],[Revenue]]-Orders[[#This Row],[Expenses]]</f>
        <v>10802.474999999999</v>
      </c>
      <c r="L143" t="s">
        <v>2214</v>
      </c>
      <c r="M143" t="str">
        <f>_xlfn.XLOOKUP(Orders[[#This Row],[CustomerID]],Customers[CustomerID],Customers[City])</f>
        <v>Florida</v>
      </c>
      <c r="N143" t="str">
        <f>_xlfn.XLOOKUP(Orders[[#This Row],[CustomerID]],Customers[CustomerID],Customers[CustomerName])</f>
        <v>Blessing Bello</v>
      </c>
      <c r="O143" t="str">
        <f>_xlfn.XLOOKUP(Orders[[#This Row],[CustomerID]],Customers[CustomerID],Customers[Gender])</f>
        <v>Female</v>
      </c>
      <c r="P143">
        <f>_xlfn.XLOOKUP(Orders[[#This Row],[CustomerID]],Customers[CustomerID],Customers[CustomerAge])</f>
        <v>38</v>
      </c>
      <c r="Q143" t="str">
        <f>IF(Orders[[#This Row],[Age]]&gt;=35,"older","young")</f>
        <v>older</v>
      </c>
      <c r="R143" t="str">
        <f>_xlfn.XLOOKUP(Orders[[#This Row],[ProductID]],Products[ProductID],Products[ProductName])</f>
        <v>MONOPOLY</v>
      </c>
      <c r="S143" t="str">
        <f>_xlfn.XLOOKUP(Orders[[#This Row],[ProductID]],Products!A:A,Products!C:C)</f>
        <v>Games</v>
      </c>
    </row>
    <row r="144" spans="1:19" x14ac:dyDescent="0.2">
      <c r="A144" s="4" t="s">
        <v>273</v>
      </c>
      <c r="B144" s="5">
        <v>46009</v>
      </c>
      <c r="C144" s="15">
        <f>WEEKNUM(Orders[[#This Row],[OrderDate]])</f>
        <v>51</v>
      </c>
      <c r="D144" s="4" t="s">
        <v>33</v>
      </c>
      <c r="E144" s="4" t="s">
        <v>23</v>
      </c>
      <c r="F144" s="4">
        <v>3</v>
      </c>
      <c r="G144" s="4">
        <v>11874.1</v>
      </c>
      <c r="H144">
        <v>10092.985000000001</v>
      </c>
      <c r="I144">
        <f>Orders[[#This Row],[Quantity]]*Orders[[#This Row],[Selling Price]]</f>
        <v>35622.300000000003</v>
      </c>
      <c r="J144">
        <f>Orders[[#This Row],[Quantity]]*Orders[[#This Row],[Cost Price]]</f>
        <v>30278.955000000002</v>
      </c>
      <c r="K144">
        <f>Orders[[#This Row],[Revenue]]-Orders[[#This Row],[Expenses]]</f>
        <v>5343.3450000000012</v>
      </c>
      <c r="L144" t="s">
        <v>2215</v>
      </c>
      <c r="M144" t="str">
        <f>_xlfn.XLOOKUP(Orders[[#This Row],[CustomerID]],Customers[CustomerID],Customers[City])</f>
        <v>Texas</v>
      </c>
      <c r="N144" t="str">
        <f>_xlfn.XLOOKUP(Orders[[#This Row],[CustomerID]],Customers[CustomerID],Customers[CustomerName])</f>
        <v>Okon Balogun</v>
      </c>
      <c r="O144" t="str">
        <f>_xlfn.XLOOKUP(Orders[[#This Row],[CustomerID]],Customers[CustomerID],Customers[Gender])</f>
        <v>Male</v>
      </c>
      <c r="P144">
        <f>_xlfn.XLOOKUP(Orders[[#This Row],[CustomerID]],Customers[CustomerID],Customers[CustomerAge])</f>
        <v>28</v>
      </c>
      <c r="Q144" t="str">
        <f>IF(Orders[[#This Row],[Age]]&gt;=35,"older","young")</f>
        <v>young</v>
      </c>
      <c r="R144" t="str">
        <f>_xlfn.XLOOKUP(Orders[[#This Row],[ProductID]],Products[ProductID],Products[ProductName])</f>
        <v>GYM GLOVES</v>
      </c>
      <c r="S144" t="str">
        <f>_xlfn.XLOOKUP(Orders[[#This Row],[ProductID]],Products!A:A,Products!C:C)</f>
        <v>Gym</v>
      </c>
    </row>
    <row r="145" spans="1:19" x14ac:dyDescent="0.2">
      <c r="A145" s="4" t="s">
        <v>274</v>
      </c>
      <c r="B145" s="5">
        <v>45946</v>
      </c>
      <c r="C145" s="15">
        <f>WEEKNUM(Orders[[#This Row],[OrderDate]])</f>
        <v>42</v>
      </c>
      <c r="D145" s="4" t="s">
        <v>275</v>
      </c>
      <c r="E145" s="4" t="s">
        <v>25</v>
      </c>
      <c r="F145" s="4">
        <v>2</v>
      </c>
      <c r="G145" s="4">
        <v>10376.099999999999</v>
      </c>
      <c r="H145">
        <v>8819.6849999999995</v>
      </c>
      <c r="I145">
        <f>Orders[[#This Row],[Quantity]]*Orders[[#This Row],[Selling Price]]</f>
        <v>20752.199999999997</v>
      </c>
      <c r="J145">
        <f>Orders[[#This Row],[Quantity]]*Orders[[#This Row],[Cost Price]]</f>
        <v>17639.37</v>
      </c>
      <c r="K145">
        <f>Orders[[#This Row],[Revenue]]-Orders[[#This Row],[Expenses]]</f>
        <v>3112.8299999999981</v>
      </c>
      <c r="L145" t="s">
        <v>2205</v>
      </c>
      <c r="M145" t="str">
        <f>_xlfn.XLOOKUP(Orders[[#This Row],[CustomerID]],Customers[CustomerID],Customers[City])</f>
        <v>Texas</v>
      </c>
      <c r="N145" t="str">
        <f>_xlfn.XLOOKUP(Orders[[#This Row],[CustomerID]],Customers[CustomerID],Customers[CustomerName])</f>
        <v>Ngozi Danladi</v>
      </c>
      <c r="O145" t="str">
        <f>_xlfn.XLOOKUP(Orders[[#This Row],[CustomerID]],Customers[CustomerID],Customers[Gender])</f>
        <v>Female</v>
      </c>
      <c r="P145">
        <f>_xlfn.XLOOKUP(Orders[[#This Row],[CustomerID]],Customers[CustomerID],Customers[CustomerAge])</f>
        <v>25</v>
      </c>
      <c r="Q145" t="str">
        <f>IF(Orders[[#This Row],[Age]]&gt;=35,"older","young")</f>
        <v>young</v>
      </c>
      <c r="R145" t="str">
        <f>_xlfn.XLOOKUP(Orders[[#This Row],[ProductID]],Products[ProductID],Products[ProductName])</f>
        <v>GOLD RINGS</v>
      </c>
      <c r="S145" t="str">
        <f>_xlfn.XLOOKUP(Orders[[#This Row],[ProductID]],Products!A:A,Products!C:C)</f>
        <v>Accessories</v>
      </c>
    </row>
    <row r="146" spans="1:19" x14ac:dyDescent="0.2">
      <c r="A146" s="4" t="s">
        <v>276</v>
      </c>
      <c r="B146" s="5">
        <v>45971</v>
      </c>
      <c r="C146" s="15">
        <f>WEEKNUM(Orders[[#This Row],[OrderDate]])</f>
        <v>46</v>
      </c>
      <c r="D146" s="4" t="s">
        <v>205</v>
      </c>
      <c r="E146" s="4" t="s">
        <v>92</v>
      </c>
      <c r="F146" s="4">
        <v>9</v>
      </c>
      <c r="G146" s="4">
        <v>7100</v>
      </c>
      <c r="H146">
        <v>6035</v>
      </c>
      <c r="I146">
        <f>Orders[[#This Row],[Quantity]]*Orders[[#This Row],[Selling Price]]</f>
        <v>63900</v>
      </c>
      <c r="J146">
        <f>Orders[[#This Row],[Quantity]]*Orders[[#This Row],[Cost Price]]</f>
        <v>54315</v>
      </c>
      <c r="K146">
        <f>Orders[[#This Row],[Revenue]]-Orders[[#This Row],[Expenses]]</f>
        <v>9585</v>
      </c>
      <c r="L146" t="s">
        <v>2197</v>
      </c>
      <c r="M146" t="str">
        <f>_xlfn.XLOOKUP(Orders[[#This Row],[CustomerID]],Customers[CustomerID],Customers[City])</f>
        <v>Washington</v>
      </c>
      <c r="N146" t="str">
        <f>_xlfn.XLOOKUP(Orders[[#This Row],[CustomerID]],Customers[CustomerID],Customers[CustomerName])</f>
        <v>Jide Adeyemi</v>
      </c>
      <c r="O146" t="str">
        <f>_xlfn.XLOOKUP(Orders[[#This Row],[CustomerID]],Customers[CustomerID],Customers[Gender])</f>
        <v>Male</v>
      </c>
      <c r="P146">
        <f>_xlfn.XLOOKUP(Orders[[#This Row],[CustomerID]],Customers[CustomerID],Customers[CustomerAge])</f>
        <v>19</v>
      </c>
      <c r="Q146" t="str">
        <f>IF(Orders[[#This Row],[Age]]&gt;=35,"older","young")</f>
        <v>young</v>
      </c>
      <c r="R146" t="str">
        <f>_xlfn.XLOOKUP(Orders[[#This Row],[ProductID]],Products[ProductID],Products[ProductName])</f>
        <v>CHEST EXPANDER</v>
      </c>
      <c r="S146" t="str">
        <f>_xlfn.XLOOKUP(Orders[[#This Row],[ProductID]],Products!A:A,Products!C:C)</f>
        <v>Gym</v>
      </c>
    </row>
    <row r="147" spans="1:19" x14ac:dyDescent="0.2">
      <c r="A147" s="4" t="s">
        <v>277</v>
      </c>
      <c r="B147" s="5">
        <v>45981</v>
      </c>
      <c r="C147" s="15">
        <f>WEEKNUM(Orders[[#This Row],[OrderDate]])</f>
        <v>47</v>
      </c>
      <c r="D147" s="4" t="s">
        <v>207</v>
      </c>
      <c r="E147" s="4" t="s">
        <v>151</v>
      </c>
      <c r="F147" s="4">
        <v>5</v>
      </c>
      <c r="G147" s="4">
        <v>12556.199999999999</v>
      </c>
      <c r="H147">
        <v>10672.769999999999</v>
      </c>
      <c r="I147">
        <f>Orders[[#This Row],[Quantity]]*Orders[[#This Row],[Selling Price]]</f>
        <v>62780.999999999993</v>
      </c>
      <c r="J147">
        <f>Orders[[#This Row],[Quantity]]*Orders[[#This Row],[Cost Price]]</f>
        <v>53363.849999999991</v>
      </c>
      <c r="K147">
        <f>Orders[[#This Row],[Revenue]]-Orders[[#This Row],[Expenses]]</f>
        <v>9417.1500000000015</v>
      </c>
      <c r="L147" t="s">
        <v>2207</v>
      </c>
      <c r="M147" t="str">
        <f>_xlfn.XLOOKUP(Orders[[#This Row],[CustomerID]],Customers[CustomerID],Customers[City])</f>
        <v>Florida</v>
      </c>
      <c r="N147" t="str">
        <f>_xlfn.XLOOKUP(Orders[[#This Row],[CustomerID]],Customers[CustomerID],Customers[CustomerName])</f>
        <v>Bisi Eze</v>
      </c>
      <c r="O147" t="str">
        <f>_xlfn.XLOOKUP(Orders[[#This Row],[CustomerID]],Customers[CustomerID],Customers[Gender])</f>
        <v>Female</v>
      </c>
      <c r="P147">
        <f>_xlfn.XLOOKUP(Orders[[#This Row],[CustomerID]],Customers[CustomerID],Customers[CustomerAge])</f>
        <v>37</v>
      </c>
      <c r="Q147" t="str">
        <f>IF(Orders[[#This Row],[Age]]&gt;=35,"older","young")</f>
        <v>older</v>
      </c>
      <c r="R147" t="str">
        <f>_xlfn.XLOOKUP(Orders[[#This Row],[ProductID]],Products[ProductID],Products[ProductName])</f>
        <v>CHECKERS</v>
      </c>
      <c r="S147" t="str">
        <f>_xlfn.XLOOKUP(Orders[[#This Row],[ProductID]],Products!A:A,Products!C:C)</f>
        <v>Games</v>
      </c>
    </row>
    <row r="148" spans="1:19" x14ac:dyDescent="0.2">
      <c r="A148" s="4" t="s">
        <v>278</v>
      </c>
      <c r="B148" s="5">
        <v>45974</v>
      </c>
      <c r="C148" s="15">
        <f>WEEKNUM(Orders[[#This Row],[OrderDate]])</f>
        <v>46</v>
      </c>
      <c r="D148" s="4" t="s">
        <v>98</v>
      </c>
      <c r="E148" s="4" t="s">
        <v>46</v>
      </c>
      <c r="F148" s="4">
        <v>3</v>
      </c>
      <c r="G148" s="4">
        <v>8828.2000000000007</v>
      </c>
      <c r="H148">
        <v>7503.9700000000012</v>
      </c>
      <c r="I148">
        <f>Orders[[#This Row],[Quantity]]*Orders[[#This Row],[Selling Price]]</f>
        <v>26484.600000000002</v>
      </c>
      <c r="J148">
        <f>Orders[[#This Row],[Quantity]]*Orders[[#This Row],[Cost Price]]</f>
        <v>22511.910000000003</v>
      </c>
      <c r="K148">
        <f>Orders[[#This Row],[Revenue]]-Orders[[#This Row],[Expenses]]</f>
        <v>3972.6899999999987</v>
      </c>
      <c r="L148" t="s">
        <v>2194</v>
      </c>
      <c r="M148" t="str">
        <f>_xlfn.XLOOKUP(Orders[[#This Row],[CustomerID]],Customers[CustomerID],Customers[City])</f>
        <v>Illinois</v>
      </c>
      <c r="N148" t="str">
        <f>_xlfn.XLOOKUP(Orders[[#This Row],[CustomerID]],Customers[CustomerID],Customers[CustomerName])</f>
        <v>Chioma Adeyemi</v>
      </c>
      <c r="O148" t="str">
        <f>_xlfn.XLOOKUP(Orders[[#This Row],[CustomerID]],Customers[CustomerID],Customers[Gender])</f>
        <v>Female</v>
      </c>
      <c r="P148">
        <f>_xlfn.XLOOKUP(Orders[[#This Row],[CustomerID]],Customers[CustomerID],Customers[CustomerAge])</f>
        <v>23</v>
      </c>
      <c r="Q148" t="str">
        <f>IF(Orders[[#This Row],[Age]]&gt;=35,"older","young")</f>
        <v>young</v>
      </c>
      <c r="R148" t="str">
        <f>_xlfn.XLOOKUP(Orders[[#This Row],[ProductID]],Products[ProductID],Products[ProductName])</f>
        <v>TURTLE NECK</v>
      </c>
      <c r="S148" t="str">
        <f>_xlfn.XLOOKUP(Orders[[#This Row],[ProductID]],Products!A:A,Products!C:C)</f>
        <v>Clothing</v>
      </c>
    </row>
    <row r="149" spans="1:19" x14ac:dyDescent="0.2">
      <c r="A149" s="4" t="s">
        <v>279</v>
      </c>
      <c r="B149" s="5">
        <v>46015</v>
      </c>
      <c r="C149" s="15">
        <f>WEEKNUM(Orders[[#This Row],[OrderDate]])</f>
        <v>52</v>
      </c>
      <c r="D149" s="4" t="s">
        <v>280</v>
      </c>
      <c r="E149" s="4" t="s">
        <v>31</v>
      </c>
      <c r="F149" s="4">
        <v>9</v>
      </c>
      <c r="G149" s="4">
        <v>18070.400000000001</v>
      </c>
      <c r="H149">
        <v>15359.840000000002</v>
      </c>
      <c r="I149">
        <f>Orders[[#This Row],[Quantity]]*Orders[[#This Row],[Selling Price]]</f>
        <v>162633.60000000001</v>
      </c>
      <c r="J149">
        <f>Orders[[#This Row],[Quantity]]*Orders[[#This Row],[Cost Price]]</f>
        <v>138238.56000000003</v>
      </c>
      <c r="K149">
        <f>Orders[[#This Row],[Revenue]]-Orders[[#This Row],[Expenses]]</f>
        <v>24395.039999999979</v>
      </c>
      <c r="L149" t="s">
        <v>2194</v>
      </c>
      <c r="M149" t="str">
        <f>_xlfn.XLOOKUP(Orders[[#This Row],[CustomerID]],Customers[CustomerID],Customers[City])</f>
        <v>Texas</v>
      </c>
      <c r="N149" t="str">
        <f>_xlfn.XLOOKUP(Orders[[#This Row],[CustomerID]],Customers[CustomerID],Customers[CustomerName])</f>
        <v>Folasade Okonkwo</v>
      </c>
      <c r="O149" t="str">
        <f>_xlfn.XLOOKUP(Orders[[#This Row],[CustomerID]],Customers[CustomerID],Customers[Gender])</f>
        <v>Female</v>
      </c>
      <c r="P149">
        <f>_xlfn.XLOOKUP(Orders[[#This Row],[CustomerID]],Customers[CustomerID],Customers[CustomerAge])</f>
        <v>21</v>
      </c>
      <c r="Q149" t="str">
        <f>IF(Orders[[#This Row],[Age]]&gt;=35,"older","young")</f>
        <v>young</v>
      </c>
      <c r="R149" t="str">
        <f>_xlfn.XLOOKUP(Orders[[#This Row],[ProductID]],Products[ProductID],Products[ProductName])</f>
        <v>KIDS GAMES</v>
      </c>
      <c r="S149" t="str">
        <f>_xlfn.XLOOKUP(Orders[[#This Row],[ProductID]],Products!A:A,Products!C:C)</f>
        <v>Games</v>
      </c>
    </row>
    <row r="150" spans="1:19" x14ac:dyDescent="0.2">
      <c r="A150" s="4" t="s">
        <v>281</v>
      </c>
      <c r="B150" s="5">
        <v>45942</v>
      </c>
      <c r="C150" s="15">
        <f>WEEKNUM(Orders[[#This Row],[OrderDate]])</f>
        <v>42</v>
      </c>
      <c r="D150" s="4" t="s">
        <v>282</v>
      </c>
      <c r="E150" s="4" t="s">
        <v>76</v>
      </c>
      <c r="F150" s="4">
        <v>4</v>
      </c>
      <c r="G150" s="4">
        <v>4979.5</v>
      </c>
      <c r="H150">
        <v>4232.5749999999998</v>
      </c>
      <c r="I150">
        <f>Orders[[#This Row],[Quantity]]*Orders[[#This Row],[Selling Price]]</f>
        <v>19918</v>
      </c>
      <c r="J150">
        <f>Orders[[#This Row],[Quantity]]*Orders[[#This Row],[Cost Price]]</f>
        <v>16930.3</v>
      </c>
      <c r="K150">
        <f>Orders[[#This Row],[Revenue]]-Orders[[#This Row],[Expenses]]</f>
        <v>2987.7000000000007</v>
      </c>
      <c r="L150" t="s">
        <v>2204</v>
      </c>
      <c r="M150" t="str">
        <f>_xlfn.XLOOKUP(Orders[[#This Row],[CustomerID]],Customers[CustomerID],Customers[City])</f>
        <v>Texas</v>
      </c>
      <c r="N150" t="str">
        <f>_xlfn.XLOOKUP(Orders[[#This Row],[CustomerID]],Customers[CustomerID],Customers[CustomerName])</f>
        <v>Bisi Ojo</v>
      </c>
      <c r="O150" t="str">
        <f>_xlfn.XLOOKUP(Orders[[#This Row],[CustomerID]],Customers[CustomerID],Customers[Gender])</f>
        <v>Female</v>
      </c>
      <c r="P150">
        <f>_xlfn.XLOOKUP(Orders[[#This Row],[CustomerID]],Customers[CustomerID],Customers[CustomerAge])</f>
        <v>26</v>
      </c>
      <c r="Q150" t="str">
        <f>IF(Orders[[#This Row],[Age]]&gt;=35,"older","young")</f>
        <v>young</v>
      </c>
      <c r="R150" t="str">
        <f>_xlfn.XLOOKUP(Orders[[#This Row],[ProductID]],Products[ProductID],Products[ProductName])</f>
        <v>BLENDER</v>
      </c>
      <c r="S150" t="str">
        <f>_xlfn.XLOOKUP(Orders[[#This Row],[ProductID]],Products!A:A,Products!C:C)</f>
        <v>Electronics</v>
      </c>
    </row>
    <row r="151" spans="1:19" x14ac:dyDescent="0.2">
      <c r="A151" s="4" t="s">
        <v>283</v>
      </c>
      <c r="B151" s="5">
        <v>46008</v>
      </c>
      <c r="C151" s="15">
        <f>WEEKNUM(Orders[[#This Row],[OrderDate]])</f>
        <v>51</v>
      </c>
      <c r="D151" s="4" t="s">
        <v>239</v>
      </c>
      <c r="E151" s="4" t="s">
        <v>23</v>
      </c>
      <c r="F151" s="4">
        <v>6</v>
      </c>
      <c r="G151" s="4">
        <v>12767.6</v>
      </c>
      <c r="H151">
        <v>10852.460000000001</v>
      </c>
      <c r="I151">
        <f>Orders[[#This Row],[Quantity]]*Orders[[#This Row],[Selling Price]]</f>
        <v>76605.600000000006</v>
      </c>
      <c r="J151">
        <f>Orders[[#This Row],[Quantity]]*Orders[[#This Row],[Cost Price]]</f>
        <v>65114.760000000009</v>
      </c>
      <c r="K151">
        <f>Orders[[#This Row],[Revenue]]-Orders[[#This Row],[Expenses]]</f>
        <v>11490.839999999997</v>
      </c>
      <c r="L151" t="s">
        <v>2192</v>
      </c>
      <c r="M151" t="str">
        <f>_xlfn.XLOOKUP(Orders[[#This Row],[CustomerID]],Customers[CustomerID],Customers[City])</f>
        <v>Florida</v>
      </c>
      <c r="N151" t="str">
        <f>_xlfn.XLOOKUP(Orders[[#This Row],[CustomerID]],Customers[CustomerID],Customers[CustomerName])</f>
        <v>Emeka Danladi</v>
      </c>
      <c r="O151" t="str">
        <f>_xlfn.XLOOKUP(Orders[[#This Row],[CustomerID]],Customers[CustomerID],Customers[Gender])</f>
        <v>Male</v>
      </c>
      <c r="P151">
        <f>_xlfn.XLOOKUP(Orders[[#This Row],[CustomerID]],Customers[CustomerID],Customers[CustomerAge])</f>
        <v>23</v>
      </c>
      <c r="Q151" t="str">
        <f>IF(Orders[[#This Row],[Age]]&gt;=35,"older","young")</f>
        <v>young</v>
      </c>
      <c r="R151" t="str">
        <f>_xlfn.XLOOKUP(Orders[[#This Row],[ProductID]],Products[ProductID],Products[ProductName])</f>
        <v>GYM GLOVES</v>
      </c>
      <c r="S151" t="str">
        <f>_xlfn.XLOOKUP(Orders[[#This Row],[ProductID]],Products!A:A,Products!C:C)</f>
        <v>Gym</v>
      </c>
    </row>
    <row r="152" spans="1:19" x14ac:dyDescent="0.2">
      <c r="A152" s="4" t="s">
        <v>284</v>
      </c>
      <c r="B152" s="5">
        <v>45976</v>
      </c>
      <c r="C152" s="15">
        <f>WEEKNUM(Orders[[#This Row],[OrderDate]])</f>
        <v>46</v>
      </c>
      <c r="D152" s="4" t="s">
        <v>285</v>
      </c>
      <c r="E152" s="4" t="s">
        <v>70</v>
      </c>
      <c r="F152" s="4">
        <v>9</v>
      </c>
      <c r="G152" s="4">
        <v>15305.4</v>
      </c>
      <c r="H152">
        <v>13009.59</v>
      </c>
      <c r="I152">
        <f>Orders[[#This Row],[Quantity]]*Orders[[#This Row],[Selling Price]]</f>
        <v>137748.6</v>
      </c>
      <c r="J152">
        <f>Orders[[#This Row],[Quantity]]*Orders[[#This Row],[Cost Price]]</f>
        <v>117086.31</v>
      </c>
      <c r="K152">
        <f>Orders[[#This Row],[Revenue]]-Orders[[#This Row],[Expenses]]</f>
        <v>20662.290000000008</v>
      </c>
      <c r="L152" t="s">
        <v>2218</v>
      </c>
      <c r="M152" t="str">
        <f>_xlfn.XLOOKUP(Orders[[#This Row],[CustomerID]],Customers[CustomerID],Customers[City])</f>
        <v>California</v>
      </c>
      <c r="N152" t="str">
        <f>_xlfn.XLOOKUP(Orders[[#This Row],[CustomerID]],Customers[CustomerID],Customers[CustomerName])</f>
        <v>Sani Balogun</v>
      </c>
      <c r="O152" t="str">
        <f>_xlfn.XLOOKUP(Orders[[#This Row],[CustomerID]],Customers[CustomerID],Customers[Gender])</f>
        <v>Male</v>
      </c>
      <c r="P152">
        <f>_xlfn.XLOOKUP(Orders[[#This Row],[CustomerID]],Customers[CustomerID],Customers[CustomerAge])</f>
        <v>27</v>
      </c>
      <c r="Q152" t="str">
        <f>IF(Orders[[#This Row],[Age]]&gt;=35,"older","young")</f>
        <v>young</v>
      </c>
      <c r="R152" t="str">
        <f>_xlfn.XLOOKUP(Orders[[#This Row],[ProductID]],Products[ProductID],Products[ProductName])</f>
        <v>YOGA MAT</v>
      </c>
      <c r="S152" t="str">
        <f>_xlfn.XLOOKUP(Orders[[#This Row],[ProductID]],Products!A:A,Products!C:C)</f>
        <v>Gym</v>
      </c>
    </row>
    <row r="153" spans="1:19" x14ac:dyDescent="0.2">
      <c r="A153" s="4" t="s">
        <v>286</v>
      </c>
      <c r="B153" s="5">
        <v>46000</v>
      </c>
      <c r="C153" s="15">
        <f>WEEKNUM(Orders[[#This Row],[OrderDate]])</f>
        <v>50</v>
      </c>
      <c r="D153" s="4" t="s">
        <v>287</v>
      </c>
      <c r="E153" s="4" t="s">
        <v>76</v>
      </c>
      <c r="F153" s="4">
        <v>1</v>
      </c>
      <c r="G153" s="4">
        <v>1249</v>
      </c>
      <c r="H153">
        <v>1061.6500000000001</v>
      </c>
      <c r="I153">
        <f>Orders[[#This Row],[Quantity]]*Orders[[#This Row],[Selling Price]]</f>
        <v>1249</v>
      </c>
      <c r="J153">
        <f>Orders[[#This Row],[Quantity]]*Orders[[#This Row],[Cost Price]]</f>
        <v>1061.6500000000001</v>
      </c>
      <c r="K153">
        <f>Orders[[#This Row],[Revenue]]-Orders[[#This Row],[Expenses]]</f>
        <v>187.34999999999991</v>
      </c>
      <c r="L153" t="s">
        <v>2208</v>
      </c>
      <c r="M153" t="str">
        <f>_xlfn.XLOOKUP(Orders[[#This Row],[CustomerID]],Customers[CustomerID],Customers[City])</f>
        <v>Texas</v>
      </c>
      <c r="N153" t="str">
        <f>_xlfn.XLOOKUP(Orders[[#This Row],[CustomerID]],Customers[CustomerID],Customers[CustomerName])</f>
        <v>Okon Obi</v>
      </c>
      <c r="O153" t="str">
        <f>_xlfn.XLOOKUP(Orders[[#This Row],[CustomerID]],Customers[CustomerID],Customers[Gender])</f>
        <v>Male</v>
      </c>
      <c r="P153">
        <f>_xlfn.XLOOKUP(Orders[[#This Row],[CustomerID]],Customers[CustomerID],Customers[CustomerAge])</f>
        <v>55</v>
      </c>
      <c r="Q153" t="str">
        <f>IF(Orders[[#This Row],[Age]]&gt;=35,"older","young")</f>
        <v>older</v>
      </c>
      <c r="R153" t="str">
        <f>_xlfn.XLOOKUP(Orders[[#This Row],[ProductID]],Products[ProductID],Products[ProductName])</f>
        <v>BLENDER</v>
      </c>
      <c r="S153" t="str">
        <f>_xlfn.XLOOKUP(Orders[[#This Row],[ProductID]],Products!A:A,Products!C:C)</f>
        <v>Electronics</v>
      </c>
    </row>
    <row r="154" spans="1:19" x14ac:dyDescent="0.2">
      <c r="A154" s="4" t="s">
        <v>288</v>
      </c>
      <c r="B154" s="5">
        <v>45941</v>
      </c>
      <c r="C154" s="15">
        <f>WEEKNUM(Orders[[#This Row],[OrderDate]])</f>
        <v>41</v>
      </c>
      <c r="D154" s="4" t="s">
        <v>41</v>
      </c>
      <c r="E154" s="4" t="s">
        <v>60</v>
      </c>
      <c r="F154" s="4">
        <v>5</v>
      </c>
      <c r="G154" s="4">
        <v>15483</v>
      </c>
      <c r="H154">
        <v>13160.55</v>
      </c>
      <c r="I154">
        <f>Orders[[#This Row],[Quantity]]*Orders[[#This Row],[Selling Price]]</f>
        <v>77415</v>
      </c>
      <c r="J154">
        <f>Orders[[#This Row],[Quantity]]*Orders[[#This Row],[Cost Price]]</f>
        <v>65802.75</v>
      </c>
      <c r="K154">
        <f>Orders[[#This Row],[Revenue]]-Orders[[#This Row],[Expenses]]</f>
        <v>11612.25</v>
      </c>
      <c r="L154" t="s">
        <v>2206</v>
      </c>
      <c r="M154" t="str">
        <f>_xlfn.XLOOKUP(Orders[[#This Row],[CustomerID]],Customers[CustomerID],Customers[City])</f>
        <v>Texas</v>
      </c>
      <c r="N154" t="str">
        <f>_xlfn.XLOOKUP(Orders[[#This Row],[CustomerID]],Customers[CustomerID],Customers[CustomerName])</f>
        <v>Mustafa Balogun</v>
      </c>
      <c r="O154" t="str">
        <f>_xlfn.XLOOKUP(Orders[[#This Row],[CustomerID]],Customers[CustomerID],Customers[Gender])</f>
        <v>Male</v>
      </c>
      <c r="P154">
        <f>_xlfn.XLOOKUP(Orders[[#This Row],[CustomerID]],Customers[CustomerID],Customers[CustomerAge])</f>
        <v>40</v>
      </c>
      <c r="Q154" t="str">
        <f>IF(Orders[[#This Row],[Age]]&gt;=35,"older","young")</f>
        <v>older</v>
      </c>
      <c r="R154" t="str">
        <f>_xlfn.XLOOKUP(Orders[[#This Row],[ProductID]],Products[ProductID],Products[ProductName])</f>
        <v>SILVER RINGS</v>
      </c>
      <c r="S154" t="str">
        <f>_xlfn.XLOOKUP(Orders[[#This Row],[ProductID]],Products!A:A,Products!C:C)</f>
        <v>Accessories</v>
      </c>
    </row>
    <row r="155" spans="1:19" x14ac:dyDescent="0.2">
      <c r="A155" s="4" t="s">
        <v>289</v>
      </c>
      <c r="B155" s="5">
        <v>45968</v>
      </c>
      <c r="C155" s="15">
        <f>WEEKNUM(Orders[[#This Row],[OrderDate]])</f>
        <v>45</v>
      </c>
      <c r="D155" s="4" t="s">
        <v>113</v>
      </c>
      <c r="E155" s="4" t="s">
        <v>92</v>
      </c>
      <c r="F155" s="4">
        <v>9</v>
      </c>
      <c r="G155" s="4">
        <v>13406.7</v>
      </c>
      <c r="H155">
        <v>11395.695</v>
      </c>
      <c r="I155">
        <f>Orders[[#This Row],[Quantity]]*Orders[[#This Row],[Selling Price]]</f>
        <v>120660.3</v>
      </c>
      <c r="J155">
        <f>Orders[[#This Row],[Quantity]]*Orders[[#This Row],[Cost Price]]</f>
        <v>102561.255</v>
      </c>
      <c r="K155">
        <f>Orders[[#This Row],[Revenue]]-Orders[[#This Row],[Expenses]]</f>
        <v>18099.044999999998</v>
      </c>
      <c r="L155" t="s">
        <v>2202</v>
      </c>
      <c r="M155" t="str">
        <f>_xlfn.XLOOKUP(Orders[[#This Row],[CustomerID]],Customers[CustomerID],Customers[City])</f>
        <v>Texas</v>
      </c>
      <c r="N155" t="str">
        <f>_xlfn.XLOOKUP(Orders[[#This Row],[CustomerID]],Customers[CustomerID],Customers[CustomerName])</f>
        <v>Uche Igwe</v>
      </c>
      <c r="O155" t="str">
        <f>_xlfn.XLOOKUP(Orders[[#This Row],[CustomerID]],Customers[CustomerID],Customers[Gender])</f>
        <v>Male</v>
      </c>
      <c r="P155">
        <f>_xlfn.XLOOKUP(Orders[[#This Row],[CustomerID]],Customers[CustomerID],Customers[CustomerAge])</f>
        <v>35</v>
      </c>
      <c r="Q155" t="str">
        <f>IF(Orders[[#This Row],[Age]]&gt;=35,"older","young")</f>
        <v>older</v>
      </c>
      <c r="R155" t="str">
        <f>_xlfn.XLOOKUP(Orders[[#This Row],[ProductID]],Products[ProductID],Products[ProductName])</f>
        <v>CHEST EXPANDER</v>
      </c>
      <c r="S155" t="str">
        <f>_xlfn.XLOOKUP(Orders[[#This Row],[ProductID]],Products!A:A,Products!C:C)</f>
        <v>Gym</v>
      </c>
    </row>
    <row r="156" spans="1:19" x14ac:dyDescent="0.2">
      <c r="A156" s="4" t="s">
        <v>290</v>
      </c>
      <c r="B156" s="5">
        <v>45976</v>
      </c>
      <c r="C156" s="15">
        <f>WEEKNUM(Orders[[#This Row],[OrderDate]])</f>
        <v>46</v>
      </c>
      <c r="D156" s="4" t="s">
        <v>291</v>
      </c>
      <c r="E156" s="4" t="s">
        <v>57</v>
      </c>
      <c r="F156" s="4">
        <v>8</v>
      </c>
      <c r="G156" s="4">
        <v>14047</v>
      </c>
      <c r="H156">
        <v>11939.95</v>
      </c>
      <c r="I156">
        <f>Orders[[#This Row],[Quantity]]*Orders[[#This Row],[Selling Price]]</f>
        <v>112376</v>
      </c>
      <c r="J156">
        <f>Orders[[#This Row],[Quantity]]*Orders[[#This Row],[Cost Price]]</f>
        <v>95519.6</v>
      </c>
      <c r="K156">
        <f>Orders[[#This Row],[Revenue]]-Orders[[#This Row],[Expenses]]</f>
        <v>16856.399999999994</v>
      </c>
      <c r="L156" t="s">
        <v>2211</v>
      </c>
      <c r="M156" t="str">
        <f>_xlfn.XLOOKUP(Orders[[#This Row],[CustomerID]],Customers[CustomerID],Customers[City])</f>
        <v>Texas</v>
      </c>
      <c r="N156" t="str">
        <f>_xlfn.XLOOKUP(Orders[[#This Row],[CustomerID]],Customers[CustomerID],Customers[CustomerName])</f>
        <v>Okon Igwe</v>
      </c>
      <c r="O156" t="str">
        <f>_xlfn.XLOOKUP(Orders[[#This Row],[CustomerID]],Customers[CustomerID],Customers[Gender])</f>
        <v>Male</v>
      </c>
      <c r="P156">
        <f>_xlfn.XLOOKUP(Orders[[#This Row],[CustomerID]],Customers[CustomerID],Customers[CustomerAge])</f>
        <v>33</v>
      </c>
      <c r="Q156" t="str">
        <f>IF(Orders[[#This Row],[Age]]&gt;=35,"older","young")</f>
        <v>young</v>
      </c>
      <c r="R156" t="str">
        <f>_xlfn.XLOOKUP(Orders[[#This Row],[ProductID]],Products[ProductID],Products[ProductName])</f>
        <v>BADMINTON RACKET</v>
      </c>
      <c r="S156" t="str">
        <f>_xlfn.XLOOKUP(Orders[[#This Row],[ProductID]],Products!A:A,Products!C:C)</f>
        <v>Sports</v>
      </c>
    </row>
    <row r="157" spans="1:19" x14ac:dyDescent="0.2">
      <c r="A157" s="4" t="s">
        <v>292</v>
      </c>
      <c r="B157" s="5">
        <v>45945</v>
      </c>
      <c r="C157" s="15">
        <f>WEEKNUM(Orders[[#This Row],[OrderDate]])</f>
        <v>42</v>
      </c>
      <c r="D157" s="4" t="s">
        <v>293</v>
      </c>
      <c r="E157" s="4" t="s">
        <v>76</v>
      </c>
      <c r="F157" s="4">
        <v>10</v>
      </c>
      <c r="G157" s="4">
        <v>9542.2999999999993</v>
      </c>
      <c r="H157">
        <v>8110.9549999999999</v>
      </c>
      <c r="I157">
        <f>Orders[[#This Row],[Quantity]]*Orders[[#This Row],[Selling Price]]</f>
        <v>95423</v>
      </c>
      <c r="J157">
        <f>Orders[[#This Row],[Quantity]]*Orders[[#This Row],[Cost Price]]</f>
        <v>81109.55</v>
      </c>
      <c r="K157">
        <f>Orders[[#This Row],[Revenue]]-Orders[[#This Row],[Expenses]]</f>
        <v>14313.449999999997</v>
      </c>
      <c r="L157" t="s">
        <v>2194</v>
      </c>
      <c r="M157" t="str">
        <f>_xlfn.XLOOKUP(Orders[[#This Row],[CustomerID]],Customers[CustomerID],Customers[City])</f>
        <v>Florida</v>
      </c>
      <c r="N157" t="str">
        <f>_xlfn.XLOOKUP(Orders[[#This Row],[CustomerID]],Customers[CustomerID],Customers[CustomerName])</f>
        <v>Tunde Eze</v>
      </c>
      <c r="O157" t="str">
        <f>_xlfn.XLOOKUP(Orders[[#This Row],[CustomerID]],Customers[CustomerID],Customers[Gender])</f>
        <v>Male</v>
      </c>
      <c r="P157">
        <f>_xlfn.XLOOKUP(Orders[[#This Row],[CustomerID]],Customers[CustomerID],Customers[CustomerAge])</f>
        <v>46</v>
      </c>
      <c r="Q157" t="str">
        <f>IF(Orders[[#This Row],[Age]]&gt;=35,"older","young")</f>
        <v>older</v>
      </c>
      <c r="R157" t="str">
        <f>_xlfn.XLOOKUP(Orders[[#This Row],[ProductID]],Products[ProductID],Products[ProductName])</f>
        <v>BLENDER</v>
      </c>
      <c r="S157" t="str">
        <f>_xlfn.XLOOKUP(Orders[[#This Row],[ProductID]],Products!A:A,Products!C:C)</f>
        <v>Electronics</v>
      </c>
    </row>
    <row r="158" spans="1:19" x14ac:dyDescent="0.2">
      <c r="A158" s="4" t="s">
        <v>294</v>
      </c>
      <c r="B158" s="5">
        <v>45952</v>
      </c>
      <c r="C158" s="15">
        <f>WEEKNUM(Orders[[#This Row],[OrderDate]])</f>
        <v>43</v>
      </c>
      <c r="D158" s="4" t="s">
        <v>295</v>
      </c>
      <c r="E158" s="4" t="s">
        <v>92</v>
      </c>
      <c r="F158" s="4">
        <v>6</v>
      </c>
      <c r="G158" s="4">
        <v>12706.6</v>
      </c>
      <c r="H158">
        <v>10800.61</v>
      </c>
      <c r="I158">
        <f>Orders[[#This Row],[Quantity]]*Orders[[#This Row],[Selling Price]]</f>
        <v>76239.600000000006</v>
      </c>
      <c r="J158">
        <f>Orders[[#This Row],[Quantity]]*Orders[[#This Row],[Cost Price]]</f>
        <v>64803.66</v>
      </c>
      <c r="K158">
        <f>Orders[[#This Row],[Revenue]]-Orders[[#This Row],[Expenses]]</f>
        <v>11435.940000000002</v>
      </c>
      <c r="L158" t="s">
        <v>2202</v>
      </c>
      <c r="M158" t="str">
        <f>_xlfn.XLOOKUP(Orders[[#This Row],[CustomerID]],Customers[CustomerID],Customers[City])</f>
        <v>Texas</v>
      </c>
      <c r="N158" t="str">
        <f>_xlfn.XLOOKUP(Orders[[#This Row],[CustomerID]],Customers[CustomerID],Customers[CustomerName])</f>
        <v>Sani Obi</v>
      </c>
      <c r="O158" t="str">
        <f>_xlfn.XLOOKUP(Orders[[#This Row],[CustomerID]],Customers[CustomerID],Customers[Gender])</f>
        <v>Male</v>
      </c>
      <c r="P158">
        <f>_xlfn.XLOOKUP(Orders[[#This Row],[CustomerID]],Customers[CustomerID],Customers[CustomerAge])</f>
        <v>31</v>
      </c>
      <c r="Q158" t="str">
        <f>IF(Orders[[#This Row],[Age]]&gt;=35,"older","young")</f>
        <v>young</v>
      </c>
      <c r="R158" t="str">
        <f>_xlfn.XLOOKUP(Orders[[#This Row],[ProductID]],Products[ProductID],Products[ProductName])</f>
        <v>CHEST EXPANDER</v>
      </c>
      <c r="S158" t="str">
        <f>_xlfn.XLOOKUP(Orders[[#This Row],[ProductID]],Products!A:A,Products!C:C)</f>
        <v>Gym</v>
      </c>
    </row>
    <row r="159" spans="1:19" x14ac:dyDescent="0.2">
      <c r="A159" s="4" t="s">
        <v>296</v>
      </c>
      <c r="B159" s="5">
        <v>46003</v>
      </c>
      <c r="C159" s="15">
        <f>WEEKNUM(Orders[[#This Row],[OrderDate]])</f>
        <v>50</v>
      </c>
      <c r="D159" s="4" t="s">
        <v>282</v>
      </c>
      <c r="E159" s="4" t="s">
        <v>208</v>
      </c>
      <c r="F159" s="4">
        <v>3</v>
      </c>
      <c r="G159" s="4">
        <v>17094.7</v>
      </c>
      <c r="H159">
        <v>14530.495000000001</v>
      </c>
      <c r="I159">
        <f>Orders[[#This Row],[Quantity]]*Orders[[#This Row],[Selling Price]]</f>
        <v>51284.100000000006</v>
      </c>
      <c r="J159">
        <f>Orders[[#This Row],[Quantity]]*Orders[[#This Row],[Cost Price]]</f>
        <v>43591.485000000001</v>
      </c>
      <c r="K159">
        <f>Orders[[#This Row],[Revenue]]-Orders[[#This Row],[Expenses]]</f>
        <v>7692.6150000000052</v>
      </c>
      <c r="L159" t="s">
        <v>2200</v>
      </c>
      <c r="M159" t="str">
        <f>_xlfn.XLOOKUP(Orders[[#This Row],[CustomerID]],Customers[CustomerID],Customers[City])</f>
        <v>Texas</v>
      </c>
      <c r="N159" t="str">
        <f>_xlfn.XLOOKUP(Orders[[#This Row],[CustomerID]],Customers[CustomerID],Customers[CustomerName])</f>
        <v>Bisi Ojo</v>
      </c>
      <c r="O159" t="str">
        <f>_xlfn.XLOOKUP(Orders[[#This Row],[CustomerID]],Customers[CustomerID],Customers[Gender])</f>
        <v>Female</v>
      </c>
      <c r="P159">
        <f>_xlfn.XLOOKUP(Orders[[#This Row],[CustomerID]],Customers[CustomerID],Customers[CustomerAge])</f>
        <v>26</v>
      </c>
      <c r="Q159" t="str">
        <f>IF(Orders[[#This Row],[Age]]&gt;=35,"older","young")</f>
        <v>young</v>
      </c>
      <c r="R159" t="str">
        <f>_xlfn.XLOOKUP(Orders[[#This Row],[ProductID]],Products[ProductID],Products[ProductName])</f>
        <v>SKIPPING ROPE</v>
      </c>
      <c r="S159" t="str">
        <f>_xlfn.XLOOKUP(Orders[[#This Row],[ProductID]],Products!A:A,Products!C:C)</f>
        <v>Sports</v>
      </c>
    </row>
    <row r="160" spans="1:19" x14ac:dyDescent="0.2">
      <c r="A160" s="4" t="s">
        <v>297</v>
      </c>
      <c r="B160" s="5">
        <v>45968</v>
      </c>
      <c r="C160" s="15">
        <f>WEEKNUM(Orders[[#This Row],[OrderDate]])</f>
        <v>45</v>
      </c>
      <c r="D160" s="4" t="s">
        <v>298</v>
      </c>
      <c r="E160" s="4" t="s">
        <v>12</v>
      </c>
      <c r="F160" s="4">
        <v>6</v>
      </c>
      <c r="G160" s="4">
        <v>14928.5</v>
      </c>
      <c r="H160">
        <v>12689.225</v>
      </c>
      <c r="I160">
        <f>Orders[[#This Row],[Quantity]]*Orders[[#This Row],[Selling Price]]</f>
        <v>89571</v>
      </c>
      <c r="J160">
        <f>Orders[[#This Row],[Quantity]]*Orders[[#This Row],[Cost Price]]</f>
        <v>76135.350000000006</v>
      </c>
      <c r="K160">
        <f>Orders[[#This Row],[Revenue]]-Orders[[#This Row],[Expenses]]</f>
        <v>13435.649999999994</v>
      </c>
      <c r="L160" t="s">
        <v>2220</v>
      </c>
      <c r="M160" t="str">
        <f>_xlfn.XLOOKUP(Orders[[#This Row],[CustomerID]],Customers[CustomerID],Customers[City])</f>
        <v>Florida</v>
      </c>
      <c r="N160" t="str">
        <f>_xlfn.XLOOKUP(Orders[[#This Row],[CustomerID]],Customers[CustomerID],Customers[CustomerName])</f>
        <v>Amina Obi</v>
      </c>
      <c r="O160" t="str">
        <f>_xlfn.XLOOKUP(Orders[[#This Row],[CustomerID]],Customers[CustomerID],Customers[Gender])</f>
        <v>Female</v>
      </c>
      <c r="P160">
        <f>_xlfn.XLOOKUP(Orders[[#This Row],[CustomerID]],Customers[CustomerID],Customers[CustomerAge])</f>
        <v>19</v>
      </c>
      <c r="Q160" t="str">
        <f>IF(Orders[[#This Row],[Age]]&gt;=35,"older","young")</f>
        <v>young</v>
      </c>
      <c r="R160" t="str">
        <f>_xlfn.XLOOKUP(Orders[[#This Row],[ProductID]],Products[ProductID],Products[ProductName])</f>
        <v>BOUBOU</v>
      </c>
      <c r="S160" t="str">
        <f>_xlfn.XLOOKUP(Orders[[#This Row],[ProductID]],Products!A:A,Products!C:C)</f>
        <v>Clothing</v>
      </c>
    </row>
    <row r="161" spans="1:19" x14ac:dyDescent="0.2">
      <c r="A161" s="4" t="s">
        <v>299</v>
      </c>
      <c r="B161" s="5">
        <v>46014</v>
      </c>
      <c r="C161" s="15">
        <f>WEEKNUM(Orders[[#This Row],[OrderDate]])</f>
        <v>52</v>
      </c>
      <c r="D161" s="4" t="s">
        <v>105</v>
      </c>
      <c r="E161" s="4" t="s">
        <v>53</v>
      </c>
      <c r="F161" s="4">
        <v>4</v>
      </c>
      <c r="G161" s="4">
        <v>17026.199999999997</v>
      </c>
      <c r="H161">
        <v>14472.269999999997</v>
      </c>
      <c r="I161">
        <f>Orders[[#This Row],[Quantity]]*Orders[[#This Row],[Selling Price]]</f>
        <v>68104.799999999988</v>
      </c>
      <c r="J161">
        <f>Orders[[#This Row],[Quantity]]*Orders[[#This Row],[Cost Price]]</f>
        <v>57889.079999999987</v>
      </c>
      <c r="K161">
        <f>Orders[[#This Row],[Revenue]]-Orders[[#This Row],[Expenses]]</f>
        <v>10215.720000000001</v>
      </c>
      <c r="L161" t="s">
        <v>2214</v>
      </c>
      <c r="M161" t="str">
        <f>_xlfn.XLOOKUP(Orders[[#This Row],[CustomerID]],Customers[CustomerID],Customers[City])</f>
        <v>Georgia</v>
      </c>
      <c r="N161" t="str">
        <f>_xlfn.XLOOKUP(Orders[[#This Row],[CustomerID]],Customers[CustomerID],Customers[CustomerName])</f>
        <v>Folasade Adeyemi</v>
      </c>
      <c r="O161" t="str">
        <f>_xlfn.XLOOKUP(Orders[[#This Row],[CustomerID]],Customers[CustomerID],Customers[Gender])</f>
        <v>Female</v>
      </c>
      <c r="P161">
        <f>_xlfn.XLOOKUP(Orders[[#This Row],[CustomerID]],Customers[CustomerID],Customers[CustomerAge])</f>
        <v>42</v>
      </c>
      <c r="Q161" t="str">
        <f>IF(Orders[[#This Row],[Age]]&gt;=35,"older","young")</f>
        <v>older</v>
      </c>
      <c r="R161" t="str">
        <f>_xlfn.XLOOKUP(Orders[[#This Row],[ProductID]],Products[ProductID],Products[ProductName])</f>
        <v>SILVER BANGLES</v>
      </c>
      <c r="S161" t="str">
        <f>_xlfn.XLOOKUP(Orders[[#This Row],[ProductID]],Products!A:A,Products!C:C)</f>
        <v>Accessories</v>
      </c>
    </row>
    <row r="162" spans="1:19" x14ac:dyDescent="0.2">
      <c r="A162" s="4" t="s">
        <v>300</v>
      </c>
      <c r="B162" s="5">
        <v>46017</v>
      </c>
      <c r="C162" s="15">
        <f>WEEKNUM(Orders[[#This Row],[OrderDate]])</f>
        <v>52</v>
      </c>
      <c r="D162" s="4" t="s">
        <v>223</v>
      </c>
      <c r="E162" s="4" t="s">
        <v>253</v>
      </c>
      <c r="F162" s="4">
        <v>4</v>
      </c>
      <c r="G162" s="4">
        <v>4102.9000000000005</v>
      </c>
      <c r="H162">
        <v>3487.4650000000006</v>
      </c>
      <c r="I162">
        <f>Orders[[#This Row],[Quantity]]*Orders[[#This Row],[Selling Price]]</f>
        <v>16411.600000000002</v>
      </c>
      <c r="J162">
        <f>Orders[[#This Row],[Quantity]]*Orders[[#This Row],[Cost Price]]</f>
        <v>13949.860000000002</v>
      </c>
      <c r="K162">
        <f>Orders[[#This Row],[Revenue]]-Orders[[#This Row],[Expenses]]</f>
        <v>2461.7399999999998</v>
      </c>
      <c r="L162" t="s">
        <v>2215</v>
      </c>
      <c r="M162" t="str">
        <f>_xlfn.XLOOKUP(Orders[[#This Row],[CustomerID]],Customers[CustomerID],Customers[City])</f>
        <v>Washington</v>
      </c>
      <c r="N162" t="str">
        <f>_xlfn.XLOOKUP(Orders[[#This Row],[CustomerID]],Customers[CustomerID],Customers[CustomerName])</f>
        <v>Blessing Danladi</v>
      </c>
      <c r="O162" t="str">
        <f>_xlfn.XLOOKUP(Orders[[#This Row],[CustomerID]],Customers[CustomerID],Customers[Gender])</f>
        <v>Female</v>
      </c>
      <c r="P162">
        <f>_xlfn.XLOOKUP(Orders[[#This Row],[CustomerID]],Customers[CustomerID],Customers[CustomerAge])</f>
        <v>20</v>
      </c>
      <c r="Q162" t="str">
        <f>IF(Orders[[#This Row],[Age]]&gt;=35,"older","young")</f>
        <v>young</v>
      </c>
      <c r="R162" t="str">
        <f>_xlfn.XLOOKUP(Orders[[#This Row],[ProductID]],Products[ProductID],Products[ProductName])</f>
        <v>NOSE RINGS</v>
      </c>
      <c r="S162" t="str">
        <f>_xlfn.XLOOKUP(Orders[[#This Row],[ProductID]],Products!A:A,Products!C:C)</f>
        <v>Accessories</v>
      </c>
    </row>
    <row r="163" spans="1:19" x14ac:dyDescent="0.2">
      <c r="A163" s="4" t="s">
        <v>301</v>
      </c>
      <c r="B163" s="5">
        <v>45992</v>
      </c>
      <c r="C163" s="15">
        <f>WEEKNUM(Orders[[#This Row],[OrderDate]])</f>
        <v>49</v>
      </c>
      <c r="D163" s="4" t="s">
        <v>302</v>
      </c>
      <c r="E163" s="4" t="s">
        <v>66</v>
      </c>
      <c r="F163" s="4">
        <v>5</v>
      </c>
      <c r="G163" s="4">
        <v>1207</v>
      </c>
      <c r="H163">
        <v>1025.95</v>
      </c>
      <c r="I163">
        <f>Orders[[#This Row],[Quantity]]*Orders[[#This Row],[Selling Price]]</f>
        <v>6035</v>
      </c>
      <c r="J163">
        <f>Orders[[#This Row],[Quantity]]*Orders[[#This Row],[Cost Price]]</f>
        <v>5129.75</v>
      </c>
      <c r="K163">
        <f>Orders[[#This Row],[Revenue]]-Orders[[#This Row],[Expenses]]</f>
        <v>905.25</v>
      </c>
      <c r="L163" t="s">
        <v>2214</v>
      </c>
      <c r="M163" t="str">
        <f>_xlfn.XLOOKUP(Orders[[#This Row],[CustomerID]],Customers[CustomerID],Customers[City])</f>
        <v>Washington</v>
      </c>
      <c r="N163" t="str">
        <f>_xlfn.XLOOKUP(Orders[[#This Row],[CustomerID]],Customers[CustomerID],Customers[CustomerName])</f>
        <v>Sani Bello</v>
      </c>
      <c r="O163" t="str">
        <f>_xlfn.XLOOKUP(Orders[[#This Row],[CustomerID]],Customers[CustomerID],Customers[Gender])</f>
        <v>Male</v>
      </c>
      <c r="P163">
        <f>_xlfn.XLOOKUP(Orders[[#This Row],[CustomerID]],Customers[CustomerID],Customers[CustomerAge])</f>
        <v>23</v>
      </c>
      <c r="Q163" t="str">
        <f>IF(Orders[[#This Row],[Age]]&gt;=35,"older","young")</f>
        <v>young</v>
      </c>
      <c r="R163" t="str">
        <f>_xlfn.XLOOKUP(Orders[[#This Row],[ProductID]],Products[ProductID],Products[ProductName])</f>
        <v>MICROWAVE</v>
      </c>
      <c r="S163" t="str">
        <f>_xlfn.XLOOKUP(Orders[[#This Row],[ProductID]],Products!A:A,Products!C:C)</f>
        <v>Electronics</v>
      </c>
    </row>
    <row r="164" spans="1:19" x14ac:dyDescent="0.2">
      <c r="A164" s="4" t="s">
        <v>303</v>
      </c>
      <c r="B164" s="5">
        <v>46020</v>
      </c>
      <c r="C164" s="15">
        <f>WEEKNUM(Orders[[#This Row],[OrderDate]])</f>
        <v>53</v>
      </c>
      <c r="D164" s="4" t="s">
        <v>244</v>
      </c>
      <c r="E164" s="4" t="s">
        <v>57</v>
      </c>
      <c r="F164" s="4">
        <v>6</v>
      </c>
      <c r="G164" s="4">
        <v>6985.8</v>
      </c>
      <c r="H164">
        <v>5937.93</v>
      </c>
      <c r="I164">
        <f>Orders[[#This Row],[Quantity]]*Orders[[#This Row],[Selling Price]]</f>
        <v>41914.800000000003</v>
      </c>
      <c r="J164">
        <f>Orders[[#This Row],[Quantity]]*Orders[[#This Row],[Cost Price]]</f>
        <v>35627.58</v>
      </c>
      <c r="K164">
        <f>Orders[[#This Row],[Revenue]]-Orders[[#This Row],[Expenses]]</f>
        <v>6287.2200000000012</v>
      </c>
      <c r="L164" t="s">
        <v>2211</v>
      </c>
      <c r="M164" t="str">
        <f>_xlfn.XLOOKUP(Orders[[#This Row],[CustomerID]],Customers[CustomerID],Customers[City])</f>
        <v>Texas</v>
      </c>
      <c r="N164" t="str">
        <f>_xlfn.XLOOKUP(Orders[[#This Row],[CustomerID]],Customers[CustomerID],Customers[CustomerName])</f>
        <v>Zainab Abubakar</v>
      </c>
      <c r="O164" t="str">
        <f>_xlfn.XLOOKUP(Orders[[#This Row],[CustomerID]],Customers[CustomerID],Customers[Gender])</f>
        <v>Female</v>
      </c>
      <c r="P164">
        <f>_xlfn.XLOOKUP(Orders[[#This Row],[CustomerID]],Customers[CustomerID],Customers[CustomerAge])</f>
        <v>33</v>
      </c>
      <c r="Q164" t="str">
        <f>IF(Orders[[#This Row],[Age]]&gt;=35,"older","young")</f>
        <v>young</v>
      </c>
      <c r="R164" t="str">
        <f>_xlfn.XLOOKUP(Orders[[#This Row],[ProductID]],Products[ProductID],Products[ProductName])</f>
        <v>BADMINTON RACKET</v>
      </c>
      <c r="S164" t="str">
        <f>_xlfn.XLOOKUP(Orders[[#This Row],[ProductID]],Products!A:A,Products!C:C)</f>
        <v>Sports</v>
      </c>
    </row>
    <row r="165" spans="1:19" x14ac:dyDescent="0.2">
      <c r="A165" s="4" t="s">
        <v>304</v>
      </c>
      <c r="B165" s="5">
        <v>45988</v>
      </c>
      <c r="C165" s="15">
        <f>WEEKNUM(Orders[[#This Row],[OrderDate]])</f>
        <v>48</v>
      </c>
      <c r="D165" s="4" t="s">
        <v>305</v>
      </c>
      <c r="E165" s="4" t="s">
        <v>157</v>
      </c>
      <c r="F165" s="4">
        <v>8</v>
      </c>
      <c r="G165" s="4">
        <v>5136.7</v>
      </c>
      <c r="H165">
        <v>4366.1949999999997</v>
      </c>
      <c r="I165">
        <f>Orders[[#This Row],[Quantity]]*Orders[[#This Row],[Selling Price]]</f>
        <v>41093.599999999999</v>
      </c>
      <c r="J165">
        <f>Orders[[#This Row],[Quantity]]*Orders[[#This Row],[Cost Price]]</f>
        <v>34929.56</v>
      </c>
      <c r="K165">
        <f>Orders[[#This Row],[Revenue]]-Orders[[#This Row],[Expenses]]</f>
        <v>6164.0400000000009</v>
      </c>
      <c r="L165" t="s">
        <v>2193</v>
      </c>
      <c r="M165" t="str">
        <f>_xlfn.XLOOKUP(Orders[[#This Row],[CustomerID]],Customers[CustomerID],Customers[City])</f>
        <v>California</v>
      </c>
      <c r="N165" t="str">
        <f>_xlfn.XLOOKUP(Orders[[#This Row],[CustomerID]],Customers[CustomerID],Customers[CustomerName])</f>
        <v>Tunde Danladi</v>
      </c>
      <c r="O165" t="str">
        <f>_xlfn.XLOOKUP(Orders[[#This Row],[CustomerID]],Customers[CustomerID],Customers[Gender])</f>
        <v>Male</v>
      </c>
      <c r="P165">
        <f>_xlfn.XLOOKUP(Orders[[#This Row],[CustomerID]],Customers[CustomerID],Customers[CustomerAge])</f>
        <v>40</v>
      </c>
      <c r="Q165" t="str">
        <f>IF(Orders[[#This Row],[Age]]&gt;=35,"older","young")</f>
        <v>older</v>
      </c>
      <c r="R165" t="str">
        <f>_xlfn.XLOOKUP(Orders[[#This Row],[ProductID]],Products[ProductID],Products[ProductName])</f>
        <v>FOOTBALL</v>
      </c>
      <c r="S165" t="str">
        <f>_xlfn.XLOOKUP(Orders[[#This Row],[ProductID]],Products!A:A,Products!C:C)</f>
        <v>Sports</v>
      </c>
    </row>
    <row r="166" spans="1:19" x14ac:dyDescent="0.2">
      <c r="A166" s="4" t="s">
        <v>306</v>
      </c>
      <c r="B166" s="5">
        <v>45998</v>
      </c>
      <c r="C166" s="15">
        <f>WEEKNUM(Orders[[#This Row],[OrderDate]])</f>
        <v>50</v>
      </c>
      <c r="D166" s="4" t="s">
        <v>307</v>
      </c>
      <c r="E166" s="4" t="s">
        <v>111</v>
      </c>
      <c r="F166" s="4">
        <v>3</v>
      </c>
      <c r="G166" s="4">
        <v>11310.1</v>
      </c>
      <c r="H166">
        <v>9613.5850000000009</v>
      </c>
      <c r="I166">
        <f>Orders[[#This Row],[Quantity]]*Orders[[#This Row],[Selling Price]]</f>
        <v>33930.300000000003</v>
      </c>
      <c r="J166">
        <f>Orders[[#This Row],[Quantity]]*Orders[[#This Row],[Cost Price]]</f>
        <v>28840.755000000005</v>
      </c>
      <c r="K166">
        <f>Orders[[#This Row],[Revenue]]-Orders[[#This Row],[Expenses]]</f>
        <v>5089.5449999999983</v>
      </c>
      <c r="L166" t="s">
        <v>2192</v>
      </c>
      <c r="M166" t="str">
        <f>_xlfn.XLOOKUP(Orders[[#This Row],[CustomerID]],Customers[CustomerID],Customers[City])</f>
        <v>Illinois</v>
      </c>
      <c r="N166" t="str">
        <f>_xlfn.XLOOKUP(Orders[[#This Row],[CustomerID]],Customers[CustomerID],Customers[CustomerName])</f>
        <v>Adanma Bello</v>
      </c>
      <c r="O166" t="str">
        <f>_xlfn.XLOOKUP(Orders[[#This Row],[CustomerID]],Customers[CustomerID],Customers[Gender])</f>
        <v>Female</v>
      </c>
      <c r="P166">
        <f>_xlfn.XLOOKUP(Orders[[#This Row],[CustomerID]],Customers[CustomerID],Customers[CustomerAge])</f>
        <v>51</v>
      </c>
      <c r="Q166" t="str">
        <f>IF(Orders[[#This Row],[Age]]&gt;=35,"older","young")</f>
        <v>older</v>
      </c>
      <c r="R166" t="str">
        <f>_xlfn.XLOOKUP(Orders[[#This Row],[ProductID]],Products[ProductID],Products[ProductName])</f>
        <v>REFRIGERATOR</v>
      </c>
      <c r="S166" t="str">
        <f>_xlfn.XLOOKUP(Orders[[#This Row],[ProductID]],Products!A:A,Products!C:C)</f>
        <v>Electronics</v>
      </c>
    </row>
    <row r="167" spans="1:19" x14ac:dyDescent="0.2">
      <c r="A167" s="4" t="s">
        <v>308</v>
      </c>
      <c r="B167" s="5">
        <v>45954</v>
      </c>
      <c r="C167" s="15">
        <f>WEEKNUM(Orders[[#This Row],[OrderDate]])</f>
        <v>43</v>
      </c>
      <c r="D167" s="4" t="s">
        <v>309</v>
      </c>
      <c r="E167" s="4" t="s">
        <v>151</v>
      </c>
      <c r="F167" s="4">
        <v>7</v>
      </c>
      <c r="G167" s="4">
        <v>9256.4</v>
      </c>
      <c r="H167">
        <v>7867.94</v>
      </c>
      <c r="I167">
        <f>Orders[[#This Row],[Quantity]]*Orders[[#This Row],[Selling Price]]</f>
        <v>64794.799999999996</v>
      </c>
      <c r="J167">
        <f>Orders[[#This Row],[Quantity]]*Orders[[#This Row],[Cost Price]]</f>
        <v>55075.579999999994</v>
      </c>
      <c r="K167">
        <f>Orders[[#This Row],[Revenue]]-Orders[[#This Row],[Expenses]]</f>
        <v>9719.2200000000012</v>
      </c>
      <c r="L167" t="s">
        <v>2214</v>
      </c>
      <c r="M167" t="str">
        <f>_xlfn.XLOOKUP(Orders[[#This Row],[CustomerID]],Customers[CustomerID],Customers[City])</f>
        <v>Washington</v>
      </c>
      <c r="N167" t="str">
        <f>_xlfn.XLOOKUP(Orders[[#This Row],[CustomerID]],Customers[CustomerID],Customers[CustomerName])</f>
        <v>Temi Ojo</v>
      </c>
      <c r="O167" t="str">
        <f>_xlfn.XLOOKUP(Orders[[#This Row],[CustomerID]],Customers[CustomerID],Customers[Gender])</f>
        <v>Female</v>
      </c>
      <c r="P167">
        <f>_xlfn.XLOOKUP(Orders[[#This Row],[CustomerID]],Customers[CustomerID],Customers[CustomerAge])</f>
        <v>36</v>
      </c>
      <c r="Q167" t="str">
        <f>IF(Orders[[#This Row],[Age]]&gt;=35,"older","young")</f>
        <v>older</v>
      </c>
      <c r="R167" t="str">
        <f>_xlfn.XLOOKUP(Orders[[#This Row],[ProductID]],Products[ProductID],Products[ProductName])</f>
        <v>CHECKERS</v>
      </c>
      <c r="S167" t="str">
        <f>_xlfn.XLOOKUP(Orders[[#This Row],[ProductID]],Products!A:A,Products!C:C)</f>
        <v>Games</v>
      </c>
    </row>
    <row r="168" spans="1:19" x14ac:dyDescent="0.2">
      <c r="A168" s="4" t="s">
        <v>310</v>
      </c>
      <c r="B168" s="5">
        <v>45964</v>
      </c>
      <c r="C168" s="15">
        <f>WEEKNUM(Orders[[#This Row],[OrderDate]])</f>
        <v>45</v>
      </c>
      <c r="D168" s="4" t="s">
        <v>311</v>
      </c>
      <c r="E168" s="4" t="s">
        <v>37</v>
      </c>
      <c r="F168" s="4">
        <v>8</v>
      </c>
      <c r="G168" s="4">
        <v>12148.800000000001</v>
      </c>
      <c r="H168">
        <v>10326.480000000001</v>
      </c>
      <c r="I168">
        <f>Orders[[#This Row],[Quantity]]*Orders[[#This Row],[Selling Price]]</f>
        <v>97190.400000000009</v>
      </c>
      <c r="J168">
        <f>Orders[[#This Row],[Quantity]]*Orders[[#This Row],[Cost Price]]</f>
        <v>82611.840000000011</v>
      </c>
      <c r="K168">
        <f>Orders[[#This Row],[Revenue]]-Orders[[#This Row],[Expenses]]</f>
        <v>14578.559999999998</v>
      </c>
      <c r="L168" t="s">
        <v>2197</v>
      </c>
      <c r="M168" t="str">
        <f>_xlfn.XLOOKUP(Orders[[#This Row],[CustomerID]],Customers[CustomerID],Customers[City])</f>
        <v>Georgia</v>
      </c>
      <c r="N168" t="str">
        <f>_xlfn.XLOOKUP(Orders[[#This Row],[CustomerID]],Customers[CustomerID],Customers[CustomerName])</f>
        <v>Bisi Bello</v>
      </c>
      <c r="O168" t="str">
        <f>_xlfn.XLOOKUP(Orders[[#This Row],[CustomerID]],Customers[CustomerID],Customers[Gender])</f>
        <v>Female</v>
      </c>
      <c r="P168">
        <f>_xlfn.XLOOKUP(Orders[[#This Row],[CustomerID]],Customers[CustomerID],Customers[CustomerAge])</f>
        <v>31</v>
      </c>
      <c r="Q168" t="str">
        <f>IF(Orders[[#This Row],[Age]]&gt;=35,"older","young")</f>
        <v>young</v>
      </c>
      <c r="R168" t="str">
        <f>_xlfn.XLOOKUP(Orders[[#This Row],[ProductID]],Products[ProductID],Products[ProductName])</f>
        <v>IRON</v>
      </c>
      <c r="S168" t="str">
        <f>_xlfn.XLOOKUP(Orders[[#This Row],[ProductID]],Products!A:A,Products!C:C)</f>
        <v>Electronics</v>
      </c>
    </row>
    <row r="169" spans="1:19" x14ac:dyDescent="0.2">
      <c r="A169" s="4" t="s">
        <v>312</v>
      </c>
      <c r="B169" s="5">
        <v>45933</v>
      </c>
      <c r="C169" s="15">
        <f>WEEKNUM(Orders[[#This Row],[OrderDate]])</f>
        <v>40</v>
      </c>
      <c r="D169" s="4" t="s">
        <v>45</v>
      </c>
      <c r="E169" s="4" t="s">
        <v>37</v>
      </c>
      <c r="F169" s="4">
        <v>9</v>
      </c>
      <c r="G169" s="4">
        <v>2133.8000000000002</v>
      </c>
      <c r="H169">
        <v>1813.7300000000002</v>
      </c>
      <c r="I169">
        <f>Orders[[#This Row],[Quantity]]*Orders[[#This Row],[Selling Price]]</f>
        <v>19204.2</v>
      </c>
      <c r="J169">
        <f>Orders[[#This Row],[Quantity]]*Orders[[#This Row],[Cost Price]]</f>
        <v>16323.570000000002</v>
      </c>
      <c r="K169">
        <f>Orders[[#This Row],[Revenue]]-Orders[[#This Row],[Expenses]]</f>
        <v>2880.6299999999992</v>
      </c>
      <c r="L169" t="s">
        <v>2216</v>
      </c>
      <c r="M169" t="str">
        <f>_xlfn.XLOOKUP(Orders[[#This Row],[CustomerID]],Customers[CustomerID],Customers[City])</f>
        <v>Florida</v>
      </c>
      <c r="N169" t="str">
        <f>_xlfn.XLOOKUP(Orders[[#This Row],[CustomerID]],Customers[CustomerID],Customers[CustomerName])</f>
        <v>Abiola Abubakar</v>
      </c>
      <c r="O169" t="str">
        <f>_xlfn.XLOOKUP(Orders[[#This Row],[CustomerID]],Customers[CustomerID],Customers[Gender])</f>
        <v>Male</v>
      </c>
      <c r="P169">
        <f>_xlfn.XLOOKUP(Orders[[#This Row],[CustomerID]],Customers[CustomerID],Customers[CustomerAge])</f>
        <v>26</v>
      </c>
      <c r="Q169" t="str">
        <f>IF(Orders[[#This Row],[Age]]&gt;=35,"older","young")</f>
        <v>young</v>
      </c>
      <c r="R169" t="str">
        <f>_xlfn.XLOOKUP(Orders[[#This Row],[ProductID]],Products[ProductID],Products[ProductName])</f>
        <v>IRON</v>
      </c>
      <c r="S169" t="str">
        <f>_xlfn.XLOOKUP(Orders[[#This Row],[ProductID]],Products!A:A,Products!C:C)</f>
        <v>Electronics</v>
      </c>
    </row>
    <row r="170" spans="1:19" x14ac:dyDescent="0.2">
      <c r="A170" s="4" t="s">
        <v>313</v>
      </c>
      <c r="B170" s="5">
        <v>45983</v>
      </c>
      <c r="C170" s="15">
        <f>WEEKNUM(Orders[[#This Row],[OrderDate]])</f>
        <v>47</v>
      </c>
      <c r="D170" s="4" t="s">
        <v>314</v>
      </c>
      <c r="E170" s="4" t="s">
        <v>60</v>
      </c>
      <c r="F170" s="4">
        <v>1</v>
      </c>
      <c r="G170" s="4">
        <v>14000.2</v>
      </c>
      <c r="H170">
        <v>11900.17</v>
      </c>
      <c r="I170">
        <f>Orders[[#This Row],[Quantity]]*Orders[[#This Row],[Selling Price]]</f>
        <v>14000.2</v>
      </c>
      <c r="J170">
        <f>Orders[[#This Row],[Quantity]]*Orders[[#This Row],[Cost Price]]</f>
        <v>11900.17</v>
      </c>
      <c r="K170">
        <f>Orders[[#This Row],[Revenue]]-Orders[[#This Row],[Expenses]]</f>
        <v>2100.0300000000007</v>
      </c>
      <c r="L170" t="s">
        <v>2212</v>
      </c>
      <c r="M170" t="str">
        <f>_xlfn.XLOOKUP(Orders[[#This Row],[CustomerID]],Customers[CustomerID],Customers[City])</f>
        <v>Washington</v>
      </c>
      <c r="N170" t="str">
        <f>_xlfn.XLOOKUP(Orders[[#This Row],[CustomerID]],Customers[CustomerID],Customers[CustomerName])</f>
        <v>Bisi Ojo</v>
      </c>
      <c r="O170" t="str">
        <f>_xlfn.XLOOKUP(Orders[[#This Row],[CustomerID]],Customers[CustomerID],Customers[Gender])</f>
        <v>Female</v>
      </c>
      <c r="P170">
        <f>_xlfn.XLOOKUP(Orders[[#This Row],[CustomerID]],Customers[CustomerID],Customers[CustomerAge])</f>
        <v>18</v>
      </c>
      <c r="Q170" t="str">
        <f>IF(Orders[[#This Row],[Age]]&gt;=35,"older","young")</f>
        <v>young</v>
      </c>
      <c r="R170" t="str">
        <f>_xlfn.XLOOKUP(Orders[[#This Row],[ProductID]],Products[ProductID],Products[ProductName])</f>
        <v>SILVER RINGS</v>
      </c>
      <c r="S170" t="str">
        <f>_xlfn.XLOOKUP(Orders[[#This Row],[ProductID]],Products!A:A,Products!C:C)</f>
        <v>Accessories</v>
      </c>
    </row>
    <row r="171" spans="1:19" x14ac:dyDescent="0.2">
      <c r="A171" s="4" t="s">
        <v>315</v>
      </c>
      <c r="B171" s="5">
        <v>46009</v>
      </c>
      <c r="C171" s="15">
        <f>WEEKNUM(Orders[[#This Row],[OrderDate]])</f>
        <v>51</v>
      </c>
      <c r="D171" s="4" t="s">
        <v>27</v>
      </c>
      <c r="E171" s="4" t="s">
        <v>23</v>
      </c>
      <c r="F171" s="4">
        <v>2</v>
      </c>
      <c r="G171" s="4">
        <v>10903.599999999999</v>
      </c>
      <c r="H171">
        <v>9268.06</v>
      </c>
      <c r="I171">
        <f>Orders[[#This Row],[Quantity]]*Orders[[#This Row],[Selling Price]]</f>
        <v>21807.199999999997</v>
      </c>
      <c r="J171">
        <f>Orders[[#This Row],[Quantity]]*Orders[[#This Row],[Cost Price]]</f>
        <v>18536.12</v>
      </c>
      <c r="K171">
        <f>Orders[[#This Row],[Revenue]]-Orders[[#This Row],[Expenses]]</f>
        <v>3271.0799999999981</v>
      </c>
      <c r="L171" t="s">
        <v>2195</v>
      </c>
      <c r="M171" t="str">
        <f>_xlfn.XLOOKUP(Orders[[#This Row],[CustomerID]],Customers[CustomerID],Customers[City])</f>
        <v>Illinois</v>
      </c>
      <c r="N171" t="str">
        <f>_xlfn.XLOOKUP(Orders[[#This Row],[CustomerID]],Customers[CustomerID],Customers[CustomerName])</f>
        <v>Okon Ojo</v>
      </c>
      <c r="O171" t="str">
        <f>_xlfn.XLOOKUP(Orders[[#This Row],[CustomerID]],Customers[CustomerID],Customers[Gender])</f>
        <v>Male</v>
      </c>
      <c r="P171">
        <f>_xlfn.XLOOKUP(Orders[[#This Row],[CustomerID]],Customers[CustomerID],Customers[CustomerAge])</f>
        <v>32</v>
      </c>
      <c r="Q171" t="str">
        <f>IF(Orders[[#This Row],[Age]]&gt;=35,"older","young")</f>
        <v>young</v>
      </c>
      <c r="R171" t="str">
        <f>_xlfn.XLOOKUP(Orders[[#This Row],[ProductID]],Products[ProductID],Products[ProductName])</f>
        <v>GYM GLOVES</v>
      </c>
      <c r="S171" t="str">
        <f>_xlfn.XLOOKUP(Orders[[#This Row],[ProductID]],Products!A:A,Products!C:C)</f>
        <v>Gym</v>
      </c>
    </row>
    <row r="172" spans="1:19" x14ac:dyDescent="0.2">
      <c r="A172" s="4" t="s">
        <v>316</v>
      </c>
      <c r="B172" s="5">
        <v>45955</v>
      </c>
      <c r="C172" s="15">
        <f>WEEKNUM(Orders[[#This Row],[OrderDate]])</f>
        <v>43</v>
      </c>
      <c r="D172" s="4" t="s">
        <v>317</v>
      </c>
      <c r="E172" s="4" t="s">
        <v>253</v>
      </c>
      <c r="F172" s="4">
        <v>5</v>
      </c>
      <c r="G172" s="4">
        <v>2775.7</v>
      </c>
      <c r="H172">
        <v>2359.3449999999998</v>
      </c>
      <c r="I172">
        <f>Orders[[#This Row],[Quantity]]*Orders[[#This Row],[Selling Price]]</f>
        <v>13878.5</v>
      </c>
      <c r="J172">
        <f>Orders[[#This Row],[Quantity]]*Orders[[#This Row],[Cost Price]]</f>
        <v>11796.724999999999</v>
      </c>
      <c r="K172">
        <f>Orders[[#This Row],[Revenue]]-Orders[[#This Row],[Expenses]]</f>
        <v>2081.7750000000015</v>
      </c>
      <c r="L172" t="s">
        <v>2203</v>
      </c>
      <c r="M172" t="str">
        <f>_xlfn.XLOOKUP(Orders[[#This Row],[CustomerID]],Customers[CustomerID],Customers[City])</f>
        <v>Texas</v>
      </c>
      <c r="N172" t="str">
        <f>_xlfn.XLOOKUP(Orders[[#This Row],[CustomerID]],Customers[CustomerID],Customers[CustomerName])</f>
        <v>Folasade Danladi</v>
      </c>
      <c r="O172" t="str">
        <f>_xlfn.XLOOKUP(Orders[[#This Row],[CustomerID]],Customers[CustomerID],Customers[Gender])</f>
        <v>Female</v>
      </c>
      <c r="P172">
        <f>_xlfn.XLOOKUP(Orders[[#This Row],[CustomerID]],Customers[CustomerID],Customers[CustomerAge])</f>
        <v>28</v>
      </c>
      <c r="Q172" t="str">
        <f>IF(Orders[[#This Row],[Age]]&gt;=35,"older","young")</f>
        <v>young</v>
      </c>
      <c r="R172" t="str">
        <f>_xlfn.XLOOKUP(Orders[[#This Row],[ProductID]],Products[ProductID],Products[ProductName])</f>
        <v>NOSE RINGS</v>
      </c>
      <c r="S172" t="str">
        <f>_xlfn.XLOOKUP(Orders[[#This Row],[ProductID]],Products!A:A,Products!C:C)</f>
        <v>Accessories</v>
      </c>
    </row>
    <row r="173" spans="1:19" x14ac:dyDescent="0.2">
      <c r="A173" s="4" t="s">
        <v>318</v>
      </c>
      <c r="B173" s="5">
        <v>45935</v>
      </c>
      <c r="C173" s="15">
        <f>WEEKNUM(Orders[[#This Row],[OrderDate]])</f>
        <v>41</v>
      </c>
      <c r="D173" s="4" t="s">
        <v>198</v>
      </c>
      <c r="E173" s="4" t="s">
        <v>111</v>
      </c>
      <c r="F173" s="4">
        <v>8</v>
      </c>
      <c r="G173" s="4">
        <v>4035.6</v>
      </c>
      <c r="H173">
        <v>3430.26</v>
      </c>
      <c r="I173">
        <f>Orders[[#This Row],[Quantity]]*Orders[[#This Row],[Selling Price]]</f>
        <v>32284.799999999999</v>
      </c>
      <c r="J173">
        <f>Orders[[#This Row],[Quantity]]*Orders[[#This Row],[Cost Price]]</f>
        <v>27442.080000000002</v>
      </c>
      <c r="K173">
        <f>Orders[[#This Row],[Revenue]]-Orders[[#This Row],[Expenses]]</f>
        <v>4842.7199999999975</v>
      </c>
      <c r="L173" t="s">
        <v>2196</v>
      </c>
      <c r="M173" t="str">
        <f>_xlfn.XLOOKUP(Orders[[#This Row],[CustomerID]],Customers[CustomerID],Customers[City])</f>
        <v>Texas</v>
      </c>
      <c r="N173" t="str">
        <f>_xlfn.XLOOKUP(Orders[[#This Row],[CustomerID]],Customers[CustomerID],Customers[CustomerName])</f>
        <v>Blessing Danladi</v>
      </c>
      <c r="O173" t="str">
        <f>_xlfn.XLOOKUP(Orders[[#This Row],[CustomerID]],Customers[CustomerID],Customers[Gender])</f>
        <v>Female</v>
      </c>
      <c r="P173">
        <f>_xlfn.XLOOKUP(Orders[[#This Row],[CustomerID]],Customers[CustomerID],Customers[CustomerAge])</f>
        <v>19</v>
      </c>
      <c r="Q173" t="str">
        <f>IF(Orders[[#This Row],[Age]]&gt;=35,"older","young")</f>
        <v>young</v>
      </c>
      <c r="R173" t="str">
        <f>_xlfn.XLOOKUP(Orders[[#This Row],[ProductID]],Products[ProductID],Products[ProductName])</f>
        <v>REFRIGERATOR</v>
      </c>
      <c r="S173" t="str">
        <f>_xlfn.XLOOKUP(Orders[[#This Row],[ProductID]],Products!A:A,Products!C:C)</f>
        <v>Electronics</v>
      </c>
    </row>
    <row r="174" spans="1:19" x14ac:dyDescent="0.2">
      <c r="A174" s="4" t="s">
        <v>319</v>
      </c>
      <c r="B174" s="5">
        <v>45940</v>
      </c>
      <c r="C174" s="15">
        <f>WEEKNUM(Orders[[#This Row],[OrderDate]])</f>
        <v>41</v>
      </c>
      <c r="D174" s="4" t="s">
        <v>320</v>
      </c>
      <c r="E174" s="4" t="s">
        <v>20</v>
      </c>
      <c r="F174" s="4">
        <v>1</v>
      </c>
      <c r="G174" s="4">
        <v>4471.3999999999996</v>
      </c>
      <c r="H174">
        <v>3800.6899999999996</v>
      </c>
      <c r="I174">
        <f>Orders[[#This Row],[Quantity]]*Orders[[#This Row],[Selling Price]]</f>
        <v>4471.3999999999996</v>
      </c>
      <c r="J174">
        <f>Orders[[#This Row],[Quantity]]*Orders[[#This Row],[Cost Price]]</f>
        <v>3800.6899999999996</v>
      </c>
      <c r="K174">
        <f>Orders[[#This Row],[Revenue]]-Orders[[#This Row],[Expenses]]</f>
        <v>670.71</v>
      </c>
      <c r="L174" t="s">
        <v>2198</v>
      </c>
      <c r="M174" t="str">
        <f>_xlfn.XLOOKUP(Orders[[#This Row],[CustomerID]],Customers[CustomerID],Customers[City])</f>
        <v>Texas</v>
      </c>
      <c r="N174" t="str">
        <f>_xlfn.XLOOKUP(Orders[[#This Row],[CustomerID]],Customers[CustomerID],Customers[CustomerName])</f>
        <v>Temi Okonkwo</v>
      </c>
      <c r="O174" t="str">
        <f>_xlfn.XLOOKUP(Orders[[#This Row],[CustomerID]],Customers[CustomerID],Customers[Gender])</f>
        <v>Female</v>
      </c>
      <c r="P174">
        <f>_xlfn.XLOOKUP(Orders[[#This Row],[CustomerID]],Customers[CustomerID],Customers[CustomerAge])</f>
        <v>31</v>
      </c>
      <c r="Q174" t="str">
        <f>IF(Orders[[#This Row],[Age]]&gt;=35,"older","young")</f>
        <v>young</v>
      </c>
      <c r="R174" t="str">
        <f>_xlfn.XLOOKUP(Orders[[#This Row],[ProductID]],Products[ProductID],Products[ProductName])</f>
        <v>GYM BAG</v>
      </c>
      <c r="S174" t="str">
        <f>_xlfn.XLOOKUP(Orders[[#This Row],[ProductID]],Products!A:A,Products!C:C)</f>
        <v>Gym</v>
      </c>
    </row>
    <row r="175" spans="1:19" x14ac:dyDescent="0.2">
      <c r="A175" s="4" t="s">
        <v>321</v>
      </c>
      <c r="B175" s="5">
        <v>45972</v>
      </c>
      <c r="C175" s="15">
        <f>WEEKNUM(Orders[[#This Row],[OrderDate]])</f>
        <v>46</v>
      </c>
      <c r="D175" s="4" t="s">
        <v>322</v>
      </c>
      <c r="E175" s="4" t="s">
        <v>31</v>
      </c>
      <c r="F175" s="4">
        <v>7</v>
      </c>
      <c r="G175" s="4">
        <v>2442.5</v>
      </c>
      <c r="H175">
        <v>2076.125</v>
      </c>
      <c r="I175">
        <f>Orders[[#This Row],[Quantity]]*Orders[[#This Row],[Selling Price]]</f>
        <v>17097.5</v>
      </c>
      <c r="J175">
        <f>Orders[[#This Row],[Quantity]]*Orders[[#This Row],[Cost Price]]</f>
        <v>14532.875</v>
      </c>
      <c r="K175">
        <f>Orders[[#This Row],[Revenue]]-Orders[[#This Row],[Expenses]]</f>
        <v>2564.625</v>
      </c>
      <c r="L175" t="s">
        <v>2205</v>
      </c>
      <c r="M175" t="str">
        <f>_xlfn.XLOOKUP(Orders[[#This Row],[CustomerID]],Customers[CustomerID],Customers[City])</f>
        <v>Washington</v>
      </c>
      <c r="N175" t="str">
        <f>_xlfn.XLOOKUP(Orders[[#This Row],[CustomerID]],Customers[CustomerID],Customers[CustomerName])</f>
        <v>Ngozi Bello</v>
      </c>
      <c r="O175" t="str">
        <f>_xlfn.XLOOKUP(Orders[[#This Row],[CustomerID]],Customers[CustomerID],Customers[Gender])</f>
        <v>Female</v>
      </c>
      <c r="P175">
        <f>_xlfn.XLOOKUP(Orders[[#This Row],[CustomerID]],Customers[CustomerID],Customers[CustomerAge])</f>
        <v>32</v>
      </c>
      <c r="Q175" t="str">
        <f>IF(Orders[[#This Row],[Age]]&gt;=35,"older","young")</f>
        <v>young</v>
      </c>
      <c r="R175" t="str">
        <f>_xlfn.XLOOKUP(Orders[[#This Row],[ProductID]],Products[ProductID],Products[ProductName])</f>
        <v>KIDS GAMES</v>
      </c>
      <c r="S175" t="str">
        <f>_xlfn.XLOOKUP(Orders[[#This Row],[ProductID]],Products!A:A,Products!C:C)</f>
        <v>Games</v>
      </c>
    </row>
    <row r="176" spans="1:19" x14ac:dyDescent="0.2">
      <c r="A176" s="4" t="s">
        <v>323</v>
      </c>
      <c r="B176" s="5">
        <v>46010</v>
      </c>
      <c r="C176" s="15">
        <f>WEEKNUM(Orders[[#This Row],[OrderDate]])</f>
        <v>51</v>
      </c>
      <c r="D176" s="4" t="s">
        <v>324</v>
      </c>
      <c r="E176" s="4" t="s">
        <v>34</v>
      </c>
      <c r="F176" s="4">
        <v>8</v>
      </c>
      <c r="G176" s="4">
        <v>6491.7999999999993</v>
      </c>
      <c r="H176">
        <v>5518.03</v>
      </c>
      <c r="I176">
        <f>Orders[[#This Row],[Quantity]]*Orders[[#This Row],[Selling Price]]</f>
        <v>51934.399999999994</v>
      </c>
      <c r="J176">
        <f>Orders[[#This Row],[Quantity]]*Orders[[#This Row],[Cost Price]]</f>
        <v>44144.24</v>
      </c>
      <c r="K176">
        <f>Orders[[#This Row],[Revenue]]-Orders[[#This Row],[Expenses]]</f>
        <v>7790.1599999999962</v>
      </c>
      <c r="L176" t="s">
        <v>2218</v>
      </c>
      <c r="M176" t="str">
        <f>_xlfn.XLOOKUP(Orders[[#This Row],[CustomerID]],Customers[CustomerID],Customers[City])</f>
        <v>Texas</v>
      </c>
      <c r="N176" t="str">
        <f>_xlfn.XLOOKUP(Orders[[#This Row],[CustomerID]],Customers[CustomerID],Customers[CustomerName])</f>
        <v>Tunde Okonkwo</v>
      </c>
      <c r="O176" t="str">
        <f>_xlfn.XLOOKUP(Orders[[#This Row],[CustomerID]],Customers[CustomerID],Customers[Gender])</f>
        <v>Male</v>
      </c>
      <c r="P176">
        <f>_xlfn.XLOOKUP(Orders[[#This Row],[CustomerID]],Customers[CustomerID],Customers[CustomerAge])</f>
        <v>25</v>
      </c>
      <c r="Q176" t="str">
        <f>IF(Orders[[#This Row],[Age]]&gt;=35,"older","young")</f>
        <v>young</v>
      </c>
      <c r="R176" t="str">
        <f>_xlfn.XLOOKUP(Orders[[#This Row],[ProductID]],Products[ProductID],Products[ProductName])</f>
        <v>GOLD BRACELETS</v>
      </c>
      <c r="S176" t="str">
        <f>_xlfn.XLOOKUP(Orders[[#This Row],[ProductID]],Products!A:A,Products!C:C)</f>
        <v>Accessories</v>
      </c>
    </row>
    <row r="177" spans="1:19" x14ac:dyDescent="0.2">
      <c r="A177" s="4" t="s">
        <v>325</v>
      </c>
      <c r="B177" s="5">
        <v>45986</v>
      </c>
      <c r="C177" s="15">
        <f>WEEKNUM(Orders[[#This Row],[OrderDate]])</f>
        <v>48</v>
      </c>
      <c r="D177" s="4" t="s">
        <v>50</v>
      </c>
      <c r="E177" s="4" t="s">
        <v>125</v>
      </c>
      <c r="F177" s="4">
        <v>5</v>
      </c>
      <c r="G177" s="4">
        <v>7564.8</v>
      </c>
      <c r="H177">
        <v>6430.08</v>
      </c>
      <c r="I177">
        <f>Orders[[#This Row],[Quantity]]*Orders[[#This Row],[Selling Price]]</f>
        <v>37824</v>
      </c>
      <c r="J177">
        <f>Orders[[#This Row],[Quantity]]*Orders[[#This Row],[Cost Price]]</f>
        <v>32150.400000000001</v>
      </c>
      <c r="K177">
        <f>Orders[[#This Row],[Revenue]]-Orders[[#This Row],[Expenses]]</f>
        <v>5673.5999999999985</v>
      </c>
      <c r="L177" t="s">
        <v>2213</v>
      </c>
      <c r="M177" t="str">
        <f>_xlfn.XLOOKUP(Orders[[#This Row],[CustomerID]],Customers[CustomerID],Customers[City])</f>
        <v>California</v>
      </c>
      <c r="N177" t="str">
        <f>_xlfn.XLOOKUP(Orders[[#This Row],[CustomerID]],Customers[CustomerID],Customers[CustomerName])</f>
        <v>Funke Danladi</v>
      </c>
      <c r="O177" t="str">
        <f>_xlfn.XLOOKUP(Orders[[#This Row],[CustomerID]],Customers[CustomerID],Customers[Gender])</f>
        <v>Female</v>
      </c>
      <c r="P177">
        <f>_xlfn.XLOOKUP(Orders[[#This Row],[CustomerID]],Customers[CustomerID],Customers[CustomerAge])</f>
        <v>31</v>
      </c>
      <c r="Q177" t="str">
        <f>IF(Orders[[#This Row],[Age]]&gt;=35,"older","young")</f>
        <v>young</v>
      </c>
      <c r="R177" t="str">
        <f>_xlfn.XLOOKUP(Orders[[#This Row],[ProductID]],Products[ProductID],Products[ProductName])</f>
        <v>EARRINGS</v>
      </c>
      <c r="S177" t="str">
        <f>_xlfn.XLOOKUP(Orders[[#This Row],[ProductID]],Products!A:A,Products!C:C)</f>
        <v>Accessories</v>
      </c>
    </row>
    <row r="178" spans="1:19" x14ac:dyDescent="0.2">
      <c r="A178" s="4" t="s">
        <v>326</v>
      </c>
      <c r="B178" s="5">
        <v>45959</v>
      </c>
      <c r="C178" s="15">
        <f>WEEKNUM(Orders[[#This Row],[OrderDate]])</f>
        <v>44</v>
      </c>
      <c r="D178" s="4" t="s">
        <v>327</v>
      </c>
      <c r="E178" s="4" t="s">
        <v>12</v>
      </c>
      <c r="F178" s="4">
        <v>6</v>
      </c>
      <c r="G178" s="4">
        <v>3384.7000000000003</v>
      </c>
      <c r="H178">
        <v>2876.9950000000003</v>
      </c>
      <c r="I178">
        <f>Orders[[#This Row],[Quantity]]*Orders[[#This Row],[Selling Price]]</f>
        <v>20308.2</v>
      </c>
      <c r="J178">
        <f>Orders[[#This Row],[Quantity]]*Orders[[#This Row],[Cost Price]]</f>
        <v>17261.97</v>
      </c>
      <c r="K178">
        <f>Orders[[#This Row],[Revenue]]-Orders[[#This Row],[Expenses]]</f>
        <v>3046.2299999999996</v>
      </c>
      <c r="L178" t="s">
        <v>2196</v>
      </c>
      <c r="M178" t="str">
        <f>_xlfn.XLOOKUP(Orders[[#This Row],[CustomerID]],Customers[CustomerID],Customers[City])</f>
        <v>Washington</v>
      </c>
      <c r="N178" t="str">
        <f>_xlfn.XLOOKUP(Orders[[#This Row],[CustomerID]],Customers[CustomerID],Customers[CustomerName])</f>
        <v>Folasade Ojo</v>
      </c>
      <c r="O178" t="str">
        <f>_xlfn.XLOOKUP(Orders[[#This Row],[CustomerID]],Customers[CustomerID],Customers[Gender])</f>
        <v>Female</v>
      </c>
      <c r="P178">
        <f>_xlfn.XLOOKUP(Orders[[#This Row],[CustomerID]],Customers[CustomerID],Customers[CustomerAge])</f>
        <v>24</v>
      </c>
      <c r="Q178" t="str">
        <f>IF(Orders[[#This Row],[Age]]&gt;=35,"older","young")</f>
        <v>young</v>
      </c>
      <c r="R178" t="str">
        <f>_xlfn.XLOOKUP(Orders[[#This Row],[ProductID]],Products[ProductID],Products[ProductName])</f>
        <v>BOUBOU</v>
      </c>
      <c r="S178" t="str">
        <f>_xlfn.XLOOKUP(Orders[[#This Row],[ProductID]],Products!A:A,Products!C:C)</f>
        <v>Clothing</v>
      </c>
    </row>
    <row r="179" spans="1:19" x14ac:dyDescent="0.2">
      <c r="A179" s="4" t="s">
        <v>328</v>
      </c>
      <c r="B179" s="5">
        <v>46002</v>
      </c>
      <c r="C179" s="15">
        <f>WEEKNUM(Orders[[#This Row],[OrderDate]])</f>
        <v>50</v>
      </c>
      <c r="D179" s="4" t="s">
        <v>293</v>
      </c>
      <c r="E179" s="4" t="s">
        <v>34</v>
      </c>
      <c r="F179" s="4">
        <v>4</v>
      </c>
      <c r="G179" s="4">
        <v>6436.2</v>
      </c>
      <c r="H179">
        <v>5470.7699999999995</v>
      </c>
      <c r="I179">
        <f>Orders[[#This Row],[Quantity]]*Orders[[#This Row],[Selling Price]]</f>
        <v>25744.799999999999</v>
      </c>
      <c r="J179">
        <f>Orders[[#This Row],[Quantity]]*Orders[[#This Row],[Cost Price]]</f>
        <v>21883.079999999998</v>
      </c>
      <c r="K179">
        <f>Orders[[#This Row],[Revenue]]-Orders[[#This Row],[Expenses]]</f>
        <v>3861.7200000000012</v>
      </c>
      <c r="L179" t="s">
        <v>2213</v>
      </c>
      <c r="M179" t="str">
        <f>_xlfn.XLOOKUP(Orders[[#This Row],[CustomerID]],Customers[CustomerID],Customers[City])</f>
        <v>Florida</v>
      </c>
      <c r="N179" t="str">
        <f>_xlfn.XLOOKUP(Orders[[#This Row],[CustomerID]],Customers[CustomerID],Customers[CustomerName])</f>
        <v>Tunde Eze</v>
      </c>
      <c r="O179" t="str">
        <f>_xlfn.XLOOKUP(Orders[[#This Row],[CustomerID]],Customers[CustomerID],Customers[Gender])</f>
        <v>Male</v>
      </c>
      <c r="P179">
        <f>_xlfn.XLOOKUP(Orders[[#This Row],[CustomerID]],Customers[CustomerID],Customers[CustomerAge])</f>
        <v>46</v>
      </c>
      <c r="Q179" t="str">
        <f>IF(Orders[[#This Row],[Age]]&gt;=35,"older","young")</f>
        <v>older</v>
      </c>
      <c r="R179" t="str">
        <f>_xlfn.XLOOKUP(Orders[[#This Row],[ProductID]],Products[ProductID],Products[ProductName])</f>
        <v>GOLD BRACELETS</v>
      </c>
      <c r="S179" t="str">
        <f>_xlfn.XLOOKUP(Orders[[#This Row],[ProductID]],Products!A:A,Products!C:C)</f>
        <v>Accessories</v>
      </c>
    </row>
    <row r="180" spans="1:19" x14ac:dyDescent="0.2">
      <c r="A180" s="4" t="s">
        <v>329</v>
      </c>
      <c r="B180" s="5">
        <v>45935</v>
      </c>
      <c r="C180" s="15">
        <f>WEEKNUM(Orders[[#This Row],[OrderDate]])</f>
        <v>41</v>
      </c>
      <c r="D180" s="4" t="s">
        <v>146</v>
      </c>
      <c r="E180" s="4" t="s">
        <v>60</v>
      </c>
      <c r="F180" s="4">
        <v>7</v>
      </c>
      <c r="G180" s="4">
        <v>7285.1</v>
      </c>
      <c r="H180">
        <v>6192.335</v>
      </c>
      <c r="I180">
        <f>Orders[[#This Row],[Quantity]]*Orders[[#This Row],[Selling Price]]</f>
        <v>50995.700000000004</v>
      </c>
      <c r="J180">
        <f>Orders[[#This Row],[Quantity]]*Orders[[#This Row],[Cost Price]]</f>
        <v>43346.345000000001</v>
      </c>
      <c r="K180">
        <f>Orders[[#This Row],[Revenue]]-Orders[[#This Row],[Expenses]]</f>
        <v>7649.3550000000032</v>
      </c>
      <c r="L180" t="s">
        <v>2204</v>
      </c>
      <c r="M180" t="str">
        <f>_xlfn.XLOOKUP(Orders[[#This Row],[CustomerID]],Customers[CustomerID],Customers[City])</f>
        <v>Texas</v>
      </c>
      <c r="N180" t="str">
        <f>_xlfn.XLOOKUP(Orders[[#This Row],[CustomerID]],Customers[CustomerID],Customers[CustomerName])</f>
        <v>Mustafa Igwe</v>
      </c>
      <c r="O180" t="str">
        <f>_xlfn.XLOOKUP(Orders[[#This Row],[CustomerID]],Customers[CustomerID],Customers[Gender])</f>
        <v>Male</v>
      </c>
      <c r="P180">
        <f>_xlfn.XLOOKUP(Orders[[#This Row],[CustomerID]],Customers[CustomerID],Customers[CustomerAge])</f>
        <v>27</v>
      </c>
      <c r="Q180" t="str">
        <f>IF(Orders[[#This Row],[Age]]&gt;=35,"older","young")</f>
        <v>young</v>
      </c>
      <c r="R180" t="str">
        <f>_xlfn.XLOOKUP(Orders[[#This Row],[ProductID]],Products[ProductID],Products[ProductName])</f>
        <v>SILVER RINGS</v>
      </c>
      <c r="S180" t="str">
        <f>_xlfn.XLOOKUP(Orders[[#This Row],[ProductID]],Products!A:A,Products!C:C)</f>
        <v>Accessories</v>
      </c>
    </row>
    <row r="181" spans="1:19" x14ac:dyDescent="0.2">
      <c r="A181" s="4" t="s">
        <v>330</v>
      </c>
      <c r="B181" s="5">
        <v>45983</v>
      </c>
      <c r="C181" s="15">
        <f>WEEKNUM(Orders[[#This Row],[OrderDate]])</f>
        <v>47</v>
      </c>
      <c r="D181" s="4" t="s">
        <v>27</v>
      </c>
      <c r="E181" s="4" t="s">
        <v>34</v>
      </c>
      <c r="F181" s="4">
        <v>6</v>
      </c>
      <c r="G181" s="4">
        <v>943.3</v>
      </c>
      <c r="H181">
        <v>801.80499999999995</v>
      </c>
      <c r="I181">
        <f>Orders[[#This Row],[Quantity]]*Orders[[#This Row],[Selling Price]]</f>
        <v>5659.7999999999993</v>
      </c>
      <c r="J181">
        <f>Orders[[#This Row],[Quantity]]*Orders[[#This Row],[Cost Price]]</f>
        <v>4810.83</v>
      </c>
      <c r="K181">
        <f>Orders[[#This Row],[Revenue]]-Orders[[#This Row],[Expenses]]</f>
        <v>848.96999999999935</v>
      </c>
      <c r="L181" t="s">
        <v>2207</v>
      </c>
      <c r="M181" t="str">
        <f>_xlfn.XLOOKUP(Orders[[#This Row],[CustomerID]],Customers[CustomerID],Customers[City])</f>
        <v>Illinois</v>
      </c>
      <c r="N181" t="str">
        <f>_xlfn.XLOOKUP(Orders[[#This Row],[CustomerID]],Customers[CustomerID],Customers[CustomerName])</f>
        <v>Okon Ojo</v>
      </c>
      <c r="O181" t="str">
        <f>_xlfn.XLOOKUP(Orders[[#This Row],[CustomerID]],Customers[CustomerID],Customers[Gender])</f>
        <v>Male</v>
      </c>
      <c r="P181">
        <f>_xlfn.XLOOKUP(Orders[[#This Row],[CustomerID]],Customers[CustomerID],Customers[CustomerAge])</f>
        <v>32</v>
      </c>
      <c r="Q181" t="str">
        <f>IF(Orders[[#This Row],[Age]]&gt;=35,"older","young")</f>
        <v>young</v>
      </c>
      <c r="R181" t="str">
        <f>_xlfn.XLOOKUP(Orders[[#This Row],[ProductID]],Products[ProductID],Products[ProductName])</f>
        <v>GOLD BRACELETS</v>
      </c>
      <c r="S181" t="str">
        <f>_xlfn.XLOOKUP(Orders[[#This Row],[ProductID]],Products!A:A,Products!C:C)</f>
        <v>Accessories</v>
      </c>
    </row>
    <row r="182" spans="1:19" x14ac:dyDescent="0.2">
      <c r="A182" s="4" t="s">
        <v>331</v>
      </c>
      <c r="B182" s="5">
        <v>45988</v>
      </c>
      <c r="C182" s="15">
        <f>WEEKNUM(Orders[[#This Row],[OrderDate]])</f>
        <v>48</v>
      </c>
      <c r="D182" s="4" t="s">
        <v>136</v>
      </c>
      <c r="E182" s="4" t="s">
        <v>120</v>
      </c>
      <c r="F182" s="4">
        <v>3</v>
      </c>
      <c r="G182" s="4">
        <v>11091</v>
      </c>
      <c r="H182">
        <v>9427.35</v>
      </c>
      <c r="I182">
        <f>Orders[[#This Row],[Quantity]]*Orders[[#This Row],[Selling Price]]</f>
        <v>33273</v>
      </c>
      <c r="J182">
        <f>Orders[[#This Row],[Quantity]]*Orders[[#This Row],[Cost Price]]</f>
        <v>28282.050000000003</v>
      </c>
      <c r="K182">
        <f>Orders[[#This Row],[Revenue]]-Orders[[#This Row],[Expenses]]</f>
        <v>4990.9499999999971</v>
      </c>
      <c r="L182" t="s">
        <v>2218</v>
      </c>
      <c r="M182" t="str">
        <f>_xlfn.XLOOKUP(Orders[[#This Row],[CustomerID]],Customers[CustomerID],Customers[City])</f>
        <v>California</v>
      </c>
      <c r="N182" t="str">
        <f>_xlfn.XLOOKUP(Orders[[#This Row],[CustomerID]],Customers[CustomerID],Customers[CustomerName])</f>
        <v>Chinedu Obi</v>
      </c>
      <c r="O182" t="str">
        <f>_xlfn.XLOOKUP(Orders[[#This Row],[CustomerID]],Customers[CustomerID],Customers[Gender])</f>
        <v>Male</v>
      </c>
      <c r="P182">
        <f>_xlfn.XLOOKUP(Orders[[#This Row],[CustomerID]],Customers[CustomerID],Customers[CustomerAge])</f>
        <v>27</v>
      </c>
      <c r="Q182" t="str">
        <f>IF(Orders[[#This Row],[Age]]&gt;=35,"older","young")</f>
        <v>young</v>
      </c>
      <c r="R182" t="str">
        <f>_xlfn.XLOOKUP(Orders[[#This Row],[ProductID]],Products[ProductID],Products[ProductName])</f>
        <v>CHESS</v>
      </c>
      <c r="S182" t="str">
        <f>_xlfn.XLOOKUP(Orders[[#This Row],[ProductID]],Products!A:A,Products!C:C)</f>
        <v>Games</v>
      </c>
    </row>
    <row r="183" spans="1:19" x14ac:dyDescent="0.2">
      <c r="A183" s="4" t="s">
        <v>332</v>
      </c>
      <c r="B183" s="5">
        <v>45986</v>
      </c>
      <c r="C183" s="15">
        <f>WEEKNUM(Orders[[#This Row],[OrderDate]])</f>
        <v>48</v>
      </c>
      <c r="D183" s="4" t="s">
        <v>333</v>
      </c>
      <c r="E183" s="4" t="s">
        <v>66</v>
      </c>
      <c r="F183" s="4">
        <v>10</v>
      </c>
      <c r="G183" s="4">
        <v>18569.100000000002</v>
      </c>
      <c r="H183">
        <v>15783.735000000002</v>
      </c>
      <c r="I183">
        <f>Orders[[#This Row],[Quantity]]*Orders[[#This Row],[Selling Price]]</f>
        <v>185691.00000000003</v>
      </c>
      <c r="J183">
        <f>Orders[[#This Row],[Quantity]]*Orders[[#This Row],[Cost Price]]</f>
        <v>157837.35000000003</v>
      </c>
      <c r="K183">
        <f>Orders[[#This Row],[Revenue]]-Orders[[#This Row],[Expenses]]</f>
        <v>27853.649999999994</v>
      </c>
      <c r="L183" t="s">
        <v>2209</v>
      </c>
      <c r="M183" t="str">
        <f>_xlfn.XLOOKUP(Orders[[#This Row],[CustomerID]],Customers[CustomerID],Customers[City])</f>
        <v>Washington</v>
      </c>
      <c r="N183" t="str">
        <f>_xlfn.XLOOKUP(Orders[[#This Row],[CustomerID]],Customers[CustomerID],Customers[CustomerName])</f>
        <v>Emeka Obi</v>
      </c>
      <c r="O183" t="str">
        <f>_xlfn.XLOOKUP(Orders[[#This Row],[CustomerID]],Customers[CustomerID],Customers[Gender])</f>
        <v>Male</v>
      </c>
      <c r="P183">
        <f>_xlfn.XLOOKUP(Orders[[#This Row],[CustomerID]],Customers[CustomerID],Customers[CustomerAge])</f>
        <v>44</v>
      </c>
      <c r="Q183" t="str">
        <f>IF(Orders[[#This Row],[Age]]&gt;=35,"older","young")</f>
        <v>older</v>
      </c>
      <c r="R183" t="str">
        <f>_xlfn.XLOOKUP(Orders[[#This Row],[ProductID]],Products[ProductID],Products[ProductName])</f>
        <v>MICROWAVE</v>
      </c>
      <c r="S183" t="str">
        <f>_xlfn.XLOOKUP(Orders[[#This Row],[ProductID]],Products!A:A,Products!C:C)</f>
        <v>Electronics</v>
      </c>
    </row>
    <row r="184" spans="1:19" x14ac:dyDescent="0.2">
      <c r="A184" s="4" t="s">
        <v>334</v>
      </c>
      <c r="B184" s="5">
        <v>45975</v>
      </c>
      <c r="C184" s="15">
        <f>WEEKNUM(Orders[[#This Row],[OrderDate]])</f>
        <v>46</v>
      </c>
      <c r="D184" s="4" t="s">
        <v>272</v>
      </c>
      <c r="E184" s="4" t="s">
        <v>76</v>
      </c>
      <c r="F184" s="4">
        <v>7</v>
      </c>
      <c r="G184" s="4">
        <v>15527.6</v>
      </c>
      <c r="H184">
        <v>13198.460000000001</v>
      </c>
      <c r="I184">
        <f>Orders[[#This Row],[Quantity]]*Orders[[#This Row],[Selling Price]]</f>
        <v>108693.2</v>
      </c>
      <c r="J184">
        <f>Orders[[#This Row],[Quantity]]*Orders[[#This Row],[Cost Price]]</f>
        <v>92389.22</v>
      </c>
      <c r="K184">
        <f>Orders[[#This Row],[Revenue]]-Orders[[#This Row],[Expenses]]</f>
        <v>16303.979999999996</v>
      </c>
      <c r="L184" t="s">
        <v>2195</v>
      </c>
      <c r="M184" t="str">
        <f>_xlfn.XLOOKUP(Orders[[#This Row],[CustomerID]],Customers[CustomerID],Customers[City])</f>
        <v>Florida</v>
      </c>
      <c r="N184" t="str">
        <f>_xlfn.XLOOKUP(Orders[[#This Row],[CustomerID]],Customers[CustomerID],Customers[CustomerName])</f>
        <v>Blessing Bello</v>
      </c>
      <c r="O184" t="str">
        <f>_xlfn.XLOOKUP(Orders[[#This Row],[CustomerID]],Customers[CustomerID],Customers[Gender])</f>
        <v>Female</v>
      </c>
      <c r="P184">
        <f>_xlfn.XLOOKUP(Orders[[#This Row],[CustomerID]],Customers[CustomerID],Customers[CustomerAge])</f>
        <v>38</v>
      </c>
      <c r="Q184" t="str">
        <f>IF(Orders[[#This Row],[Age]]&gt;=35,"older","young")</f>
        <v>older</v>
      </c>
      <c r="R184" t="str">
        <f>_xlfn.XLOOKUP(Orders[[#This Row],[ProductID]],Products[ProductID],Products[ProductName])</f>
        <v>BLENDER</v>
      </c>
      <c r="S184" t="str">
        <f>_xlfn.XLOOKUP(Orders[[#This Row],[ProductID]],Products!A:A,Products!C:C)</f>
        <v>Electronics</v>
      </c>
    </row>
    <row r="185" spans="1:19" x14ac:dyDescent="0.2">
      <c r="A185" s="4" t="s">
        <v>335</v>
      </c>
      <c r="B185" s="5">
        <v>45970</v>
      </c>
      <c r="C185" s="15">
        <f>WEEKNUM(Orders[[#This Row],[OrderDate]])</f>
        <v>46</v>
      </c>
      <c r="D185" s="4" t="s">
        <v>182</v>
      </c>
      <c r="E185" s="4" t="s">
        <v>28</v>
      </c>
      <c r="F185" s="4">
        <v>2</v>
      </c>
      <c r="G185" s="4">
        <v>7252.6</v>
      </c>
      <c r="H185">
        <v>6164.71</v>
      </c>
      <c r="I185">
        <f>Orders[[#This Row],[Quantity]]*Orders[[#This Row],[Selling Price]]</f>
        <v>14505.2</v>
      </c>
      <c r="J185">
        <f>Orders[[#This Row],[Quantity]]*Orders[[#This Row],[Cost Price]]</f>
        <v>12329.42</v>
      </c>
      <c r="K185">
        <f>Orders[[#This Row],[Revenue]]-Orders[[#This Row],[Expenses]]</f>
        <v>2175.7800000000007</v>
      </c>
      <c r="L185" t="s">
        <v>2205</v>
      </c>
      <c r="M185" t="str">
        <f>_xlfn.XLOOKUP(Orders[[#This Row],[CustomerID]],Customers[CustomerID],Customers[City])</f>
        <v>Georgia</v>
      </c>
      <c r="N185" t="str">
        <f>_xlfn.XLOOKUP(Orders[[#This Row],[CustomerID]],Customers[CustomerID],Customers[CustomerName])</f>
        <v>Abiola Okonkwo</v>
      </c>
      <c r="O185" t="str">
        <f>_xlfn.XLOOKUP(Orders[[#This Row],[CustomerID]],Customers[CustomerID],Customers[Gender])</f>
        <v>Male</v>
      </c>
      <c r="P185">
        <f>_xlfn.XLOOKUP(Orders[[#This Row],[CustomerID]],Customers[CustomerID],Customers[CustomerAge])</f>
        <v>39</v>
      </c>
      <c r="Q185" t="str">
        <f>IF(Orders[[#This Row],[Age]]&gt;=35,"older","young")</f>
        <v>older</v>
      </c>
      <c r="R185" t="str">
        <f>_xlfn.XLOOKUP(Orders[[#This Row],[ProductID]],Products[ProductID],Products[ProductName])</f>
        <v>SNEAKERS</v>
      </c>
      <c r="S185" t="str">
        <f>_xlfn.XLOOKUP(Orders[[#This Row],[ProductID]],Products!A:A,Products!C:C)</f>
        <v>Sports</v>
      </c>
    </row>
    <row r="186" spans="1:19" x14ac:dyDescent="0.2">
      <c r="A186" s="4" t="s">
        <v>336</v>
      </c>
      <c r="B186" s="5">
        <v>45933</v>
      </c>
      <c r="C186" s="15">
        <f>WEEKNUM(Orders[[#This Row],[OrderDate]])</f>
        <v>40</v>
      </c>
      <c r="D186" s="4" t="s">
        <v>22</v>
      </c>
      <c r="E186" s="4" t="s">
        <v>70</v>
      </c>
      <c r="F186" s="4">
        <v>7</v>
      </c>
      <c r="G186" s="4">
        <v>15153.199999999999</v>
      </c>
      <c r="H186">
        <v>12880.22</v>
      </c>
      <c r="I186">
        <f>Orders[[#This Row],[Quantity]]*Orders[[#This Row],[Selling Price]]</f>
        <v>106072.4</v>
      </c>
      <c r="J186">
        <f>Orders[[#This Row],[Quantity]]*Orders[[#This Row],[Cost Price]]</f>
        <v>90161.54</v>
      </c>
      <c r="K186">
        <f>Orders[[#This Row],[Revenue]]-Orders[[#This Row],[Expenses]]</f>
        <v>15910.86</v>
      </c>
      <c r="L186" t="s">
        <v>2207</v>
      </c>
      <c r="M186" t="str">
        <f>_xlfn.XLOOKUP(Orders[[#This Row],[CustomerID]],Customers[CustomerID],Customers[City])</f>
        <v>Texas</v>
      </c>
      <c r="N186" t="str">
        <f>_xlfn.XLOOKUP(Orders[[#This Row],[CustomerID]],Customers[CustomerID],Customers[CustomerName])</f>
        <v>Temi Bello</v>
      </c>
      <c r="O186" t="str">
        <f>_xlfn.XLOOKUP(Orders[[#This Row],[CustomerID]],Customers[CustomerID],Customers[Gender])</f>
        <v>Female</v>
      </c>
      <c r="P186">
        <f>_xlfn.XLOOKUP(Orders[[#This Row],[CustomerID]],Customers[CustomerID],Customers[CustomerAge])</f>
        <v>52</v>
      </c>
      <c r="Q186" t="str">
        <f>IF(Orders[[#This Row],[Age]]&gt;=35,"older","young")</f>
        <v>older</v>
      </c>
      <c r="R186" t="str">
        <f>_xlfn.XLOOKUP(Orders[[#This Row],[ProductID]],Products[ProductID],Products[ProductName])</f>
        <v>YOGA MAT</v>
      </c>
      <c r="S186" t="str">
        <f>_xlfn.XLOOKUP(Orders[[#This Row],[ProductID]],Products!A:A,Products!C:C)</f>
        <v>Gym</v>
      </c>
    </row>
    <row r="187" spans="1:19" x14ac:dyDescent="0.2">
      <c r="A187" s="4" t="s">
        <v>337</v>
      </c>
      <c r="B187" s="5">
        <v>46000</v>
      </c>
      <c r="C187" s="15">
        <f>WEEKNUM(Orders[[#This Row],[OrderDate]])</f>
        <v>50</v>
      </c>
      <c r="D187" s="4" t="s">
        <v>311</v>
      </c>
      <c r="E187" s="4" t="s">
        <v>34</v>
      </c>
      <c r="F187" s="4">
        <v>9</v>
      </c>
      <c r="G187" s="4">
        <v>13752.3</v>
      </c>
      <c r="H187">
        <v>11689.455</v>
      </c>
      <c r="I187">
        <f>Orders[[#This Row],[Quantity]]*Orders[[#This Row],[Selling Price]]</f>
        <v>123770.7</v>
      </c>
      <c r="J187">
        <f>Orders[[#This Row],[Quantity]]*Orders[[#This Row],[Cost Price]]</f>
        <v>105205.095</v>
      </c>
      <c r="K187">
        <f>Orders[[#This Row],[Revenue]]-Orders[[#This Row],[Expenses]]</f>
        <v>18565.604999999996</v>
      </c>
      <c r="L187" t="s">
        <v>2220</v>
      </c>
      <c r="M187" t="str">
        <f>_xlfn.XLOOKUP(Orders[[#This Row],[CustomerID]],Customers[CustomerID],Customers[City])</f>
        <v>Georgia</v>
      </c>
      <c r="N187" t="str">
        <f>_xlfn.XLOOKUP(Orders[[#This Row],[CustomerID]],Customers[CustomerID],Customers[CustomerName])</f>
        <v>Bisi Bello</v>
      </c>
      <c r="O187" t="str">
        <f>_xlfn.XLOOKUP(Orders[[#This Row],[CustomerID]],Customers[CustomerID],Customers[Gender])</f>
        <v>Female</v>
      </c>
      <c r="P187">
        <f>_xlfn.XLOOKUP(Orders[[#This Row],[CustomerID]],Customers[CustomerID],Customers[CustomerAge])</f>
        <v>31</v>
      </c>
      <c r="Q187" t="str">
        <f>IF(Orders[[#This Row],[Age]]&gt;=35,"older","young")</f>
        <v>young</v>
      </c>
      <c r="R187" t="str">
        <f>_xlfn.XLOOKUP(Orders[[#This Row],[ProductID]],Products[ProductID],Products[ProductName])</f>
        <v>GOLD BRACELETS</v>
      </c>
      <c r="S187" t="str">
        <f>_xlfn.XLOOKUP(Orders[[#This Row],[ProductID]],Products!A:A,Products!C:C)</f>
        <v>Accessories</v>
      </c>
    </row>
    <row r="188" spans="1:19" x14ac:dyDescent="0.2">
      <c r="A188" s="4" t="s">
        <v>338</v>
      </c>
      <c r="B188" s="5">
        <v>46010</v>
      </c>
      <c r="C188" s="15">
        <f>WEEKNUM(Orders[[#This Row],[OrderDate]])</f>
        <v>51</v>
      </c>
      <c r="D188" s="4" t="s">
        <v>275</v>
      </c>
      <c r="E188" s="4" t="s">
        <v>76</v>
      </c>
      <c r="F188" s="4">
        <v>7</v>
      </c>
      <c r="G188" s="4">
        <v>4978.3999999999996</v>
      </c>
      <c r="H188">
        <v>4231.6399999999994</v>
      </c>
      <c r="I188">
        <f>Orders[[#This Row],[Quantity]]*Orders[[#This Row],[Selling Price]]</f>
        <v>34848.799999999996</v>
      </c>
      <c r="J188">
        <f>Orders[[#This Row],[Quantity]]*Orders[[#This Row],[Cost Price]]</f>
        <v>29621.479999999996</v>
      </c>
      <c r="K188">
        <f>Orders[[#This Row],[Revenue]]-Orders[[#This Row],[Expenses]]</f>
        <v>5227.32</v>
      </c>
      <c r="L188" t="s">
        <v>2210</v>
      </c>
      <c r="M188" t="str">
        <f>_xlfn.XLOOKUP(Orders[[#This Row],[CustomerID]],Customers[CustomerID],Customers[City])</f>
        <v>Texas</v>
      </c>
      <c r="N188" t="str">
        <f>_xlfn.XLOOKUP(Orders[[#This Row],[CustomerID]],Customers[CustomerID],Customers[CustomerName])</f>
        <v>Ngozi Danladi</v>
      </c>
      <c r="O188" t="str">
        <f>_xlfn.XLOOKUP(Orders[[#This Row],[CustomerID]],Customers[CustomerID],Customers[Gender])</f>
        <v>Female</v>
      </c>
      <c r="P188">
        <f>_xlfn.XLOOKUP(Orders[[#This Row],[CustomerID]],Customers[CustomerID],Customers[CustomerAge])</f>
        <v>25</v>
      </c>
      <c r="Q188" t="str">
        <f>IF(Orders[[#This Row],[Age]]&gt;=35,"older","young")</f>
        <v>young</v>
      </c>
      <c r="R188" t="str">
        <f>_xlfn.XLOOKUP(Orders[[#This Row],[ProductID]],Products[ProductID],Products[ProductName])</f>
        <v>BLENDER</v>
      </c>
      <c r="S188" t="str">
        <f>_xlfn.XLOOKUP(Orders[[#This Row],[ProductID]],Products!A:A,Products!C:C)</f>
        <v>Electronics</v>
      </c>
    </row>
    <row r="189" spans="1:19" x14ac:dyDescent="0.2">
      <c r="A189" s="4" t="s">
        <v>339</v>
      </c>
      <c r="B189" s="5">
        <v>45946</v>
      </c>
      <c r="C189" s="15">
        <f>WEEKNUM(Orders[[#This Row],[OrderDate]])</f>
        <v>42</v>
      </c>
      <c r="D189" s="4" t="s">
        <v>340</v>
      </c>
      <c r="E189" s="4" t="s">
        <v>70</v>
      </c>
      <c r="F189" s="4">
        <v>9</v>
      </c>
      <c r="G189" s="4">
        <v>10397.4</v>
      </c>
      <c r="H189">
        <v>8837.7899999999991</v>
      </c>
      <c r="I189">
        <f>Orders[[#This Row],[Quantity]]*Orders[[#This Row],[Selling Price]]</f>
        <v>93576.599999999991</v>
      </c>
      <c r="J189">
        <f>Orders[[#This Row],[Quantity]]*Orders[[#This Row],[Cost Price]]</f>
        <v>79540.109999999986</v>
      </c>
      <c r="K189">
        <f>Orders[[#This Row],[Revenue]]-Orders[[#This Row],[Expenses]]</f>
        <v>14036.490000000005</v>
      </c>
      <c r="L189" t="s">
        <v>2194</v>
      </c>
      <c r="M189" t="str">
        <f>_xlfn.XLOOKUP(Orders[[#This Row],[CustomerID]],Customers[CustomerID],Customers[City])</f>
        <v>Illinois</v>
      </c>
      <c r="N189" t="str">
        <f>_xlfn.XLOOKUP(Orders[[#This Row],[CustomerID]],Customers[CustomerID],Customers[CustomerName])</f>
        <v>Uche Abubakar</v>
      </c>
      <c r="O189" t="str">
        <f>_xlfn.XLOOKUP(Orders[[#This Row],[CustomerID]],Customers[CustomerID],Customers[Gender])</f>
        <v>Male</v>
      </c>
      <c r="P189">
        <f>_xlfn.XLOOKUP(Orders[[#This Row],[CustomerID]],Customers[CustomerID],Customers[CustomerAge])</f>
        <v>18</v>
      </c>
      <c r="Q189" t="str">
        <f>IF(Orders[[#This Row],[Age]]&gt;=35,"older","young")</f>
        <v>young</v>
      </c>
      <c r="R189" t="str">
        <f>_xlfn.XLOOKUP(Orders[[#This Row],[ProductID]],Products[ProductID],Products[ProductName])</f>
        <v>YOGA MAT</v>
      </c>
      <c r="S189" t="str">
        <f>_xlfn.XLOOKUP(Orders[[#This Row],[ProductID]],Products!A:A,Products!C:C)</f>
        <v>Gym</v>
      </c>
    </row>
    <row r="190" spans="1:19" x14ac:dyDescent="0.2">
      <c r="A190" s="4" t="s">
        <v>341</v>
      </c>
      <c r="B190" s="5">
        <v>45981</v>
      </c>
      <c r="C190" s="15">
        <f>WEEKNUM(Orders[[#This Row],[OrderDate]])</f>
        <v>47</v>
      </c>
      <c r="D190" s="4" t="s">
        <v>36</v>
      </c>
      <c r="E190" s="4" t="s">
        <v>111</v>
      </c>
      <c r="F190" s="4">
        <v>9</v>
      </c>
      <c r="G190" s="4">
        <v>14849.2</v>
      </c>
      <c r="H190">
        <v>12621.82</v>
      </c>
      <c r="I190">
        <f>Orders[[#This Row],[Quantity]]*Orders[[#This Row],[Selling Price]]</f>
        <v>133642.80000000002</v>
      </c>
      <c r="J190">
        <f>Orders[[#This Row],[Quantity]]*Orders[[#This Row],[Cost Price]]</f>
        <v>113596.38</v>
      </c>
      <c r="K190">
        <f>Orders[[#This Row],[Revenue]]-Orders[[#This Row],[Expenses]]</f>
        <v>20046.420000000013</v>
      </c>
      <c r="L190" t="s">
        <v>2211</v>
      </c>
      <c r="M190" t="str">
        <f>_xlfn.XLOOKUP(Orders[[#This Row],[CustomerID]],Customers[CustomerID],Customers[City])</f>
        <v>California</v>
      </c>
      <c r="N190" t="str">
        <f>_xlfn.XLOOKUP(Orders[[#This Row],[CustomerID]],Customers[CustomerID],Customers[CustomerName])</f>
        <v>Jide Eze</v>
      </c>
      <c r="O190" t="str">
        <f>_xlfn.XLOOKUP(Orders[[#This Row],[CustomerID]],Customers[CustomerID],Customers[Gender])</f>
        <v>Male</v>
      </c>
      <c r="P190">
        <f>_xlfn.XLOOKUP(Orders[[#This Row],[CustomerID]],Customers[CustomerID],Customers[CustomerAge])</f>
        <v>21</v>
      </c>
      <c r="Q190" t="str">
        <f>IF(Orders[[#This Row],[Age]]&gt;=35,"older","young")</f>
        <v>young</v>
      </c>
      <c r="R190" t="str">
        <f>_xlfn.XLOOKUP(Orders[[#This Row],[ProductID]],Products[ProductID],Products[ProductName])</f>
        <v>REFRIGERATOR</v>
      </c>
      <c r="S190" t="str">
        <f>_xlfn.XLOOKUP(Orders[[#This Row],[ProductID]],Products!A:A,Products!C:C)</f>
        <v>Electronics</v>
      </c>
    </row>
    <row r="191" spans="1:19" x14ac:dyDescent="0.2">
      <c r="A191" s="4" t="s">
        <v>342</v>
      </c>
      <c r="B191" s="5">
        <v>45936</v>
      </c>
      <c r="C191" s="15">
        <f>WEEKNUM(Orders[[#This Row],[OrderDate]])</f>
        <v>41</v>
      </c>
      <c r="D191" s="4" t="s">
        <v>343</v>
      </c>
      <c r="E191" s="4" t="s">
        <v>127</v>
      </c>
      <c r="F191" s="4">
        <v>1</v>
      </c>
      <c r="G191" s="4">
        <v>13695.3</v>
      </c>
      <c r="H191">
        <v>11641.004999999999</v>
      </c>
      <c r="I191">
        <f>Orders[[#This Row],[Quantity]]*Orders[[#This Row],[Selling Price]]</f>
        <v>13695.3</v>
      </c>
      <c r="J191">
        <f>Orders[[#This Row],[Quantity]]*Orders[[#This Row],[Cost Price]]</f>
        <v>11641.004999999999</v>
      </c>
      <c r="K191">
        <f>Orders[[#This Row],[Revenue]]-Orders[[#This Row],[Expenses]]</f>
        <v>2054.2950000000001</v>
      </c>
      <c r="L191" t="s">
        <v>2212</v>
      </c>
      <c r="M191" t="str">
        <f>_xlfn.XLOOKUP(Orders[[#This Row],[CustomerID]],Customers[CustomerID],Customers[City])</f>
        <v>Washington</v>
      </c>
      <c r="N191" t="str">
        <f>_xlfn.XLOOKUP(Orders[[#This Row],[CustomerID]],Customers[CustomerID],Customers[CustomerName])</f>
        <v>Ronke Obi</v>
      </c>
      <c r="O191" t="str">
        <f>_xlfn.XLOOKUP(Orders[[#This Row],[CustomerID]],Customers[CustomerID],Customers[Gender])</f>
        <v>Female</v>
      </c>
      <c r="P191">
        <f>_xlfn.XLOOKUP(Orders[[#This Row],[CustomerID]],Customers[CustomerID],Customers[CustomerAge])</f>
        <v>31</v>
      </c>
      <c r="Q191" t="str">
        <f>IF(Orders[[#This Row],[Age]]&gt;=35,"older","young")</f>
        <v>young</v>
      </c>
      <c r="R191" t="str">
        <f>_xlfn.XLOOKUP(Orders[[#This Row],[ProductID]],Products[ProductID],Products[ProductName])</f>
        <v>TOPS</v>
      </c>
      <c r="S191" t="str">
        <f>_xlfn.XLOOKUP(Orders[[#This Row],[ProductID]],Products!A:A,Products!C:C)</f>
        <v>Clothing</v>
      </c>
    </row>
    <row r="192" spans="1:19" x14ac:dyDescent="0.2">
      <c r="A192" s="4" t="s">
        <v>344</v>
      </c>
      <c r="B192" s="5">
        <v>45985</v>
      </c>
      <c r="C192" s="15">
        <f>WEEKNUM(Orders[[#This Row],[OrderDate]])</f>
        <v>48</v>
      </c>
      <c r="D192" s="4" t="s">
        <v>237</v>
      </c>
      <c r="E192" s="4" t="s">
        <v>46</v>
      </c>
      <c r="F192" s="4">
        <v>10</v>
      </c>
      <c r="G192" s="4">
        <v>2514.1999999999998</v>
      </c>
      <c r="H192">
        <v>2137.0699999999997</v>
      </c>
      <c r="I192">
        <f>Orders[[#This Row],[Quantity]]*Orders[[#This Row],[Selling Price]]</f>
        <v>25142</v>
      </c>
      <c r="J192">
        <f>Orders[[#This Row],[Quantity]]*Orders[[#This Row],[Cost Price]]</f>
        <v>21370.699999999997</v>
      </c>
      <c r="K192">
        <f>Orders[[#This Row],[Revenue]]-Orders[[#This Row],[Expenses]]</f>
        <v>3771.3000000000029</v>
      </c>
      <c r="L192" t="s">
        <v>2193</v>
      </c>
      <c r="M192" t="str">
        <f>_xlfn.XLOOKUP(Orders[[#This Row],[CustomerID]],Customers[CustomerID],Customers[City])</f>
        <v>Florida</v>
      </c>
      <c r="N192" t="str">
        <f>_xlfn.XLOOKUP(Orders[[#This Row],[CustomerID]],Customers[CustomerID],Customers[CustomerName])</f>
        <v>Ronke Danladi</v>
      </c>
      <c r="O192" t="str">
        <f>_xlfn.XLOOKUP(Orders[[#This Row],[CustomerID]],Customers[CustomerID],Customers[Gender])</f>
        <v>Female</v>
      </c>
      <c r="P192">
        <f>_xlfn.XLOOKUP(Orders[[#This Row],[CustomerID]],Customers[CustomerID],Customers[CustomerAge])</f>
        <v>25</v>
      </c>
      <c r="Q192" t="str">
        <f>IF(Orders[[#This Row],[Age]]&gt;=35,"older","young")</f>
        <v>young</v>
      </c>
      <c r="R192" t="str">
        <f>_xlfn.XLOOKUP(Orders[[#This Row],[ProductID]],Products[ProductID],Products[ProductName])</f>
        <v>TURTLE NECK</v>
      </c>
      <c r="S192" t="str">
        <f>_xlfn.XLOOKUP(Orders[[#This Row],[ProductID]],Products!A:A,Products!C:C)</f>
        <v>Clothing</v>
      </c>
    </row>
    <row r="193" spans="1:19" x14ac:dyDescent="0.2">
      <c r="A193" s="4" t="s">
        <v>345</v>
      </c>
      <c r="B193" s="5">
        <v>46010</v>
      </c>
      <c r="C193" s="15">
        <f>WEEKNUM(Orders[[#This Row],[OrderDate]])</f>
        <v>51</v>
      </c>
      <c r="D193" s="4" t="s">
        <v>346</v>
      </c>
      <c r="E193" s="4" t="s">
        <v>232</v>
      </c>
      <c r="F193" s="4">
        <v>3</v>
      </c>
      <c r="G193" s="4">
        <v>10684.6</v>
      </c>
      <c r="H193">
        <v>9081.91</v>
      </c>
      <c r="I193">
        <f>Orders[[#This Row],[Quantity]]*Orders[[#This Row],[Selling Price]]</f>
        <v>32053.800000000003</v>
      </c>
      <c r="J193">
        <f>Orders[[#This Row],[Quantity]]*Orders[[#This Row],[Cost Price]]</f>
        <v>27245.73</v>
      </c>
      <c r="K193">
        <f>Orders[[#This Row],[Revenue]]-Orders[[#This Row],[Expenses]]</f>
        <v>4808.0700000000033</v>
      </c>
      <c r="L193" t="s">
        <v>2216</v>
      </c>
      <c r="M193" t="str">
        <f>_xlfn.XLOOKUP(Orders[[#This Row],[CustomerID]],Customers[CustomerID],Customers[City])</f>
        <v>California</v>
      </c>
      <c r="N193" t="str">
        <f>_xlfn.XLOOKUP(Orders[[#This Row],[CustomerID]],Customers[CustomerID],Customers[CustomerName])</f>
        <v>Ngozi Danladi</v>
      </c>
      <c r="O193" t="str">
        <f>_xlfn.XLOOKUP(Orders[[#This Row],[CustomerID]],Customers[CustomerID],Customers[Gender])</f>
        <v>Female</v>
      </c>
      <c r="P193">
        <f>_xlfn.XLOOKUP(Orders[[#This Row],[CustomerID]],Customers[CustomerID],Customers[CustomerAge])</f>
        <v>30</v>
      </c>
      <c r="Q193" t="str">
        <f>IF(Orders[[#This Row],[Age]]&gt;=35,"older","young")</f>
        <v>young</v>
      </c>
      <c r="R193" t="str">
        <f>_xlfn.XLOOKUP(Orders[[#This Row],[ProductID]],Products[ProductID],Products[ProductName])</f>
        <v>ANKARA</v>
      </c>
      <c r="S193" t="str">
        <f>_xlfn.XLOOKUP(Orders[[#This Row],[ProductID]],Products!A:A,Products!C:C)</f>
        <v>Clothing</v>
      </c>
    </row>
    <row r="194" spans="1:19" x14ac:dyDescent="0.2">
      <c r="A194" s="4" t="s">
        <v>347</v>
      </c>
      <c r="B194" s="5">
        <v>45984</v>
      </c>
      <c r="C194" s="15">
        <f>WEEKNUM(Orders[[#This Row],[OrderDate]])</f>
        <v>48</v>
      </c>
      <c r="D194" s="4" t="s">
        <v>148</v>
      </c>
      <c r="E194" s="4" t="s">
        <v>84</v>
      </c>
      <c r="F194" s="4">
        <v>5</v>
      </c>
      <c r="G194" s="4">
        <v>4340.7</v>
      </c>
      <c r="H194">
        <v>3689.5949999999998</v>
      </c>
      <c r="I194">
        <f>Orders[[#This Row],[Quantity]]*Orders[[#This Row],[Selling Price]]</f>
        <v>21703.5</v>
      </c>
      <c r="J194">
        <f>Orders[[#This Row],[Quantity]]*Orders[[#This Row],[Cost Price]]</f>
        <v>18447.974999999999</v>
      </c>
      <c r="K194">
        <f>Orders[[#This Row],[Revenue]]-Orders[[#This Row],[Expenses]]</f>
        <v>3255.5250000000015</v>
      </c>
      <c r="L194" t="s">
        <v>2193</v>
      </c>
      <c r="M194" t="str">
        <f>_xlfn.XLOOKUP(Orders[[#This Row],[CustomerID]],Customers[CustomerID],Customers[City])</f>
        <v>Florida</v>
      </c>
      <c r="N194" t="str">
        <f>_xlfn.XLOOKUP(Orders[[#This Row],[CustomerID]],Customers[CustomerID],Customers[CustomerName])</f>
        <v>Zainab Abubakar</v>
      </c>
      <c r="O194" t="str">
        <f>_xlfn.XLOOKUP(Orders[[#This Row],[CustomerID]],Customers[CustomerID],Customers[Gender])</f>
        <v>Female</v>
      </c>
      <c r="P194">
        <f>_xlfn.XLOOKUP(Orders[[#This Row],[CustomerID]],Customers[CustomerID],Customers[CustomerAge])</f>
        <v>29</v>
      </c>
      <c r="Q194" t="str">
        <f>IF(Orders[[#This Row],[Age]]&gt;=35,"older","young")</f>
        <v>young</v>
      </c>
      <c r="R194" t="str">
        <f>_xlfn.XLOOKUP(Orders[[#This Row],[ProductID]],Products[ProductID],Products[ProductName])</f>
        <v>GYM WEARS</v>
      </c>
      <c r="S194" t="str">
        <f>_xlfn.XLOOKUP(Orders[[#This Row],[ProductID]],Products!A:A,Products!C:C)</f>
        <v>Clothing</v>
      </c>
    </row>
    <row r="195" spans="1:19" x14ac:dyDescent="0.2">
      <c r="A195" s="4" t="s">
        <v>348</v>
      </c>
      <c r="B195" s="5">
        <v>45991</v>
      </c>
      <c r="C195" s="15">
        <f>WEEKNUM(Orders[[#This Row],[OrderDate]])</f>
        <v>49</v>
      </c>
      <c r="D195" s="4" t="s">
        <v>216</v>
      </c>
      <c r="E195" s="4" t="s">
        <v>53</v>
      </c>
      <c r="F195" s="4">
        <v>1</v>
      </c>
      <c r="G195" s="4">
        <v>19083.900000000001</v>
      </c>
      <c r="H195">
        <v>16221.315000000002</v>
      </c>
      <c r="I195">
        <f>Orders[[#This Row],[Quantity]]*Orders[[#This Row],[Selling Price]]</f>
        <v>19083.900000000001</v>
      </c>
      <c r="J195">
        <f>Orders[[#This Row],[Quantity]]*Orders[[#This Row],[Cost Price]]</f>
        <v>16221.315000000002</v>
      </c>
      <c r="K195">
        <f>Orders[[#This Row],[Revenue]]-Orders[[#This Row],[Expenses]]</f>
        <v>2862.5849999999991</v>
      </c>
      <c r="L195" t="s">
        <v>2216</v>
      </c>
      <c r="M195" t="str">
        <f>_xlfn.XLOOKUP(Orders[[#This Row],[CustomerID]],Customers[CustomerID],Customers[City])</f>
        <v>California</v>
      </c>
      <c r="N195" t="str">
        <f>_xlfn.XLOOKUP(Orders[[#This Row],[CustomerID]],Customers[CustomerID],Customers[CustomerName])</f>
        <v>Ngozi Obi</v>
      </c>
      <c r="O195" t="str">
        <f>_xlfn.XLOOKUP(Orders[[#This Row],[CustomerID]],Customers[CustomerID],Customers[Gender])</f>
        <v>Female</v>
      </c>
      <c r="P195">
        <f>_xlfn.XLOOKUP(Orders[[#This Row],[CustomerID]],Customers[CustomerID],Customers[CustomerAge])</f>
        <v>54</v>
      </c>
      <c r="Q195" t="str">
        <f>IF(Orders[[#This Row],[Age]]&gt;=35,"older","young")</f>
        <v>older</v>
      </c>
      <c r="R195" t="str">
        <f>_xlfn.XLOOKUP(Orders[[#This Row],[ProductID]],Products[ProductID],Products[ProductName])</f>
        <v>SILVER BANGLES</v>
      </c>
      <c r="S195" t="str">
        <f>_xlfn.XLOOKUP(Orders[[#This Row],[ProductID]],Products!A:A,Products!C:C)</f>
        <v>Accessories</v>
      </c>
    </row>
    <row r="196" spans="1:19" x14ac:dyDescent="0.2">
      <c r="A196" s="4" t="s">
        <v>349</v>
      </c>
      <c r="B196" s="5">
        <v>45998</v>
      </c>
      <c r="C196" s="15">
        <f>WEEKNUM(Orders[[#This Row],[OrderDate]])</f>
        <v>50</v>
      </c>
      <c r="D196" s="4" t="s">
        <v>258</v>
      </c>
      <c r="E196" s="4" t="s">
        <v>168</v>
      </c>
      <c r="F196" s="4">
        <v>8</v>
      </c>
      <c r="G196" s="4">
        <v>926.59999999999991</v>
      </c>
      <c r="H196">
        <v>787.6099999999999</v>
      </c>
      <c r="I196">
        <f>Orders[[#This Row],[Quantity]]*Orders[[#This Row],[Selling Price]]</f>
        <v>7412.7999999999993</v>
      </c>
      <c r="J196">
        <f>Orders[[#This Row],[Quantity]]*Orders[[#This Row],[Cost Price]]</f>
        <v>6300.8799999999992</v>
      </c>
      <c r="K196">
        <f>Orders[[#This Row],[Revenue]]-Orders[[#This Row],[Expenses]]</f>
        <v>1111.92</v>
      </c>
      <c r="L196" t="s">
        <v>2194</v>
      </c>
      <c r="M196" t="str">
        <f>_xlfn.XLOOKUP(Orders[[#This Row],[CustomerID]],Customers[CustomerID],Customers[City])</f>
        <v>Washington</v>
      </c>
      <c r="N196" t="str">
        <f>_xlfn.XLOOKUP(Orders[[#This Row],[CustomerID]],Customers[CustomerID],Customers[CustomerName])</f>
        <v>Sani Abubakar</v>
      </c>
      <c r="O196" t="str">
        <f>_xlfn.XLOOKUP(Orders[[#This Row],[CustomerID]],Customers[CustomerID],Customers[Gender])</f>
        <v>Male</v>
      </c>
      <c r="P196">
        <f>_xlfn.XLOOKUP(Orders[[#This Row],[CustomerID]],Customers[CustomerID],Customers[CustomerAge])</f>
        <v>37</v>
      </c>
      <c r="Q196" t="str">
        <f>IF(Orders[[#This Row],[Age]]&gt;=35,"older","young")</f>
        <v>older</v>
      </c>
      <c r="R196" t="str">
        <f>_xlfn.XLOOKUP(Orders[[#This Row],[ProductID]],Products[ProductID],Products[ProductName])</f>
        <v>DUMB BELLS</v>
      </c>
      <c r="S196" t="str">
        <f>_xlfn.XLOOKUP(Orders[[#This Row],[ProductID]],Products!A:A,Products!C:C)</f>
        <v>Gym</v>
      </c>
    </row>
    <row r="197" spans="1:19" x14ac:dyDescent="0.2">
      <c r="A197" s="4" t="s">
        <v>350</v>
      </c>
      <c r="B197" s="5">
        <v>46013</v>
      </c>
      <c r="C197" s="15">
        <f>WEEKNUM(Orders[[#This Row],[OrderDate]])</f>
        <v>52</v>
      </c>
      <c r="D197" s="4" t="s">
        <v>291</v>
      </c>
      <c r="E197" s="4" t="s">
        <v>81</v>
      </c>
      <c r="F197" s="4">
        <v>8</v>
      </c>
      <c r="G197" s="4">
        <v>10893.900000000001</v>
      </c>
      <c r="H197">
        <v>9259.8150000000005</v>
      </c>
      <c r="I197">
        <f>Orders[[#This Row],[Quantity]]*Orders[[#This Row],[Selling Price]]</f>
        <v>87151.200000000012</v>
      </c>
      <c r="J197">
        <f>Orders[[#This Row],[Quantity]]*Orders[[#This Row],[Cost Price]]</f>
        <v>74078.52</v>
      </c>
      <c r="K197">
        <f>Orders[[#This Row],[Revenue]]-Orders[[#This Row],[Expenses]]</f>
        <v>13072.680000000008</v>
      </c>
      <c r="L197" t="s">
        <v>2199</v>
      </c>
      <c r="M197" t="str">
        <f>_xlfn.XLOOKUP(Orders[[#This Row],[CustomerID]],Customers[CustomerID],Customers[City])</f>
        <v>Texas</v>
      </c>
      <c r="N197" t="str">
        <f>_xlfn.XLOOKUP(Orders[[#This Row],[CustomerID]],Customers[CustomerID],Customers[CustomerName])</f>
        <v>Okon Igwe</v>
      </c>
      <c r="O197" t="str">
        <f>_xlfn.XLOOKUP(Orders[[#This Row],[CustomerID]],Customers[CustomerID],Customers[Gender])</f>
        <v>Male</v>
      </c>
      <c r="P197">
        <f>_xlfn.XLOOKUP(Orders[[#This Row],[CustomerID]],Customers[CustomerID],Customers[CustomerAge])</f>
        <v>33</v>
      </c>
      <c r="Q197" t="str">
        <f>IF(Orders[[#This Row],[Age]]&gt;=35,"older","young")</f>
        <v>young</v>
      </c>
      <c r="R197" t="str">
        <f>_xlfn.XLOOKUP(Orders[[#This Row],[ProductID]],Products[ProductID],Products[ProductName])</f>
        <v>TROUSERS</v>
      </c>
      <c r="S197" t="str">
        <f>_xlfn.XLOOKUP(Orders[[#This Row],[ProductID]],Products!A:A,Products!C:C)</f>
        <v>Clothing</v>
      </c>
    </row>
    <row r="198" spans="1:19" x14ac:dyDescent="0.2">
      <c r="A198" s="4" t="s">
        <v>351</v>
      </c>
      <c r="B198" s="5">
        <v>45975</v>
      </c>
      <c r="C198" s="15">
        <f>WEEKNUM(Orders[[#This Row],[OrderDate]])</f>
        <v>46</v>
      </c>
      <c r="D198" s="4" t="s">
        <v>352</v>
      </c>
      <c r="E198" s="4" t="s">
        <v>353</v>
      </c>
      <c r="F198" s="4">
        <v>2</v>
      </c>
      <c r="G198" s="4">
        <v>7183.5</v>
      </c>
      <c r="H198">
        <v>6105.9750000000004</v>
      </c>
      <c r="I198">
        <f>Orders[[#This Row],[Quantity]]*Orders[[#This Row],[Selling Price]]</f>
        <v>14367</v>
      </c>
      <c r="J198">
        <f>Orders[[#This Row],[Quantity]]*Orders[[#This Row],[Cost Price]]</f>
        <v>12211.95</v>
      </c>
      <c r="K198">
        <f>Orders[[#This Row],[Revenue]]-Orders[[#This Row],[Expenses]]</f>
        <v>2155.0499999999993</v>
      </c>
      <c r="L198" t="s">
        <v>2210</v>
      </c>
      <c r="M198" t="str">
        <f>_xlfn.XLOOKUP(Orders[[#This Row],[CustomerID]],Customers[CustomerID],Customers[City])</f>
        <v>Texas</v>
      </c>
      <c r="N198" t="str">
        <f>_xlfn.XLOOKUP(Orders[[#This Row],[CustomerID]],Customers[CustomerID],Customers[CustomerName])</f>
        <v>Zainab Eze</v>
      </c>
      <c r="O198" t="str">
        <f>_xlfn.XLOOKUP(Orders[[#This Row],[CustomerID]],Customers[CustomerID],Customers[Gender])</f>
        <v>Female</v>
      </c>
      <c r="P198">
        <f>_xlfn.XLOOKUP(Orders[[#This Row],[CustomerID]],Customers[CustomerID],Customers[CustomerAge])</f>
        <v>40</v>
      </c>
      <c r="Q198" t="str">
        <f>IF(Orders[[#This Row],[Age]]&gt;=35,"older","young")</f>
        <v>older</v>
      </c>
      <c r="R198" t="str">
        <f>_xlfn.XLOOKUP(Orders[[#This Row],[ProductID]],Products[ProductID],Products[ProductName])</f>
        <v>SILVER EARRINGS AND NECKLACES</v>
      </c>
      <c r="S198" t="str">
        <f>_xlfn.XLOOKUP(Orders[[#This Row],[ProductID]],Products!A:A,Products!C:C)</f>
        <v>Accessories</v>
      </c>
    </row>
    <row r="199" spans="1:19" x14ac:dyDescent="0.2">
      <c r="A199" s="4" t="s">
        <v>354</v>
      </c>
      <c r="B199" s="5">
        <v>45972</v>
      </c>
      <c r="C199" s="15">
        <f>WEEKNUM(Orders[[#This Row],[OrderDate]])</f>
        <v>46</v>
      </c>
      <c r="D199" s="4" t="s">
        <v>198</v>
      </c>
      <c r="E199" s="4" t="s">
        <v>12</v>
      </c>
      <c r="F199" s="4">
        <v>7</v>
      </c>
      <c r="G199" s="4">
        <v>7657.4</v>
      </c>
      <c r="H199">
        <v>6508.79</v>
      </c>
      <c r="I199">
        <f>Orders[[#This Row],[Quantity]]*Orders[[#This Row],[Selling Price]]</f>
        <v>53601.799999999996</v>
      </c>
      <c r="J199">
        <f>Orders[[#This Row],[Quantity]]*Orders[[#This Row],[Cost Price]]</f>
        <v>45561.53</v>
      </c>
      <c r="K199">
        <f>Orders[[#This Row],[Revenue]]-Orders[[#This Row],[Expenses]]</f>
        <v>8040.2699999999968</v>
      </c>
      <c r="L199" t="s">
        <v>2200</v>
      </c>
      <c r="M199" t="str">
        <f>_xlfn.XLOOKUP(Orders[[#This Row],[CustomerID]],Customers[CustomerID],Customers[City])</f>
        <v>Texas</v>
      </c>
      <c r="N199" t="str">
        <f>_xlfn.XLOOKUP(Orders[[#This Row],[CustomerID]],Customers[CustomerID],Customers[CustomerName])</f>
        <v>Blessing Danladi</v>
      </c>
      <c r="O199" t="str">
        <f>_xlfn.XLOOKUP(Orders[[#This Row],[CustomerID]],Customers[CustomerID],Customers[Gender])</f>
        <v>Female</v>
      </c>
      <c r="P199">
        <f>_xlfn.XLOOKUP(Orders[[#This Row],[CustomerID]],Customers[CustomerID],Customers[CustomerAge])</f>
        <v>19</v>
      </c>
      <c r="Q199" t="str">
        <f>IF(Orders[[#This Row],[Age]]&gt;=35,"older","young")</f>
        <v>young</v>
      </c>
      <c r="R199" t="str">
        <f>_xlfn.XLOOKUP(Orders[[#This Row],[ProductID]],Products[ProductID],Products[ProductName])</f>
        <v>BOUBOU</v>
      </c>
      <c r="S199" t="str">
        <f>_xlfn.XLOOKUP(Orders[[#This Row],[ProductID]],Products!A:A,Products!C:C)</f>
        <v>Clothing</v>
      </c>
    </row>
    <row r="200" spans="1:19" x14ac:dyDescent="0.2">
      <c r="A200" s="4" t="s">
        <v>355</v>
      </c>
      <c r="B200" s="5">
        <v>45971</v>
      </c>
      <c r="C200" s="15">
        <f>WEEKNUM(Orders[[#This Row],[OrderDate]])</f>
        <v>46</v>
      </c>
      <c r="D200" s="4" t="s">
        <v>314</v>
      </c>
      <c r="E200" s="4" t="s">
        <v>76</v>
      </c>
      <c r="F200" s="4">
        <v>4</v>
      </c>
      <c r="G200" s="4">
        <v>7262.7</v>
      </c>
      <c r="H200">
        <v>6173.2950000000001</v>
      </c>
      <c r="I200">
        <f>Orders[[#This Row],[Quantity]]*Orders[[#This Row],[Selling Price]]</f>
        <v>29050.799999999999</v>
      </c>
      <c r="J200">
        <f>Orders[[#This Row],[Quantity]]*Orders[[#This Row],[Cost Price]]</f>
        <v>24693.18</v>
      </c>
      <c r="K200">
        <f>Orders[[#This Row],[Revenue]]-Orders[[#This Row],[Expenses]]</f>
        <v>4357.619999999999</v>
      </c>
      <c r="L200" t="s">
        <v>2204</v>
      </c>
      <c r="M200" t="str">
        <f>_xlfn.XLOOKUP(Orders[[#This Row],[CustomerID]],Customers[CustomerID],Customers[City])</f>
        <v>Washington</v>
      </c>
      <c r="N200" t="str">
        <f>_xlfn.XLOOKUP(Orders[[#This Row],[CustomerID]],Customers[CustomerID],Customers[CustomerName])</f>
        <v>Bisi Ojo</v>
      </c>
      <c r="O200" t="str">
        <f>_xlfn.XLOOKUP(Orders[[#This Row],[CustomerID]],Customers[CustomerID],Customers[Gender])</f>
        <v>Female</v>
      </c>
      <c r="P200">
        <f>_xlfn.XLOOKUP(Orders[[#This Row],[CustomerID]],Customers[CustomerID],Customers[CustomerAge])</f>
        <v>18</v>
      </c>
      <c r="Q200" t="str">
        <f>IF(Orders[[#This Row],[Age]]&gt;=35,"older","young")</f>
        <v>young</v>
      </c>
      <c r="R200" t="str">
        <f>_xlfn.XLOOKUP(Orders[[#This Row],[ProductID]],Products[ProductID],Products[ProductName])</f>
        <v>BLENDER</v>
      </c>
      <c r="S200" t="str">
        <f>_xlfn.XLOOKUP(Orders[[#This Row],[ProductID]],Products!A:A,Products!C:C)</f>
        <v>Electronics</v>
      </c>
    </row>
    <row r="201" spans="1:19" x14ac:dyDescent="0.2">
      <c r="A201" s="4" t="s">
        <v>356</v>
      </c>
      <c r="B201" s="5">
        <v>45960</v>
      </c>
      <c r="C201" s="15">
        <f>WEEKNUM(Orders[[#This Row],[OrderDate]])</f>
        <v>44</v>
      </c>
      <c r="D201" s="4" t="s">
        <v>311</v>
      </c>
      <c r="E201" s="4" t="s">
        <v>57</v>
      </c>
      <c r="F201" s="4">
        <v>7</v>
      </c>
      <c r="G201" s="4">
        <v>10366.400000000001</v>
      </c>
      <c r="H201">
        <v>8811.44</v>
      </c>
      <c r="I201">
        <f>Orders[[#This Row],[Quantity]]*Orders[[#This Row],[Selling Price]]</f>
        <v>72564.800000000017</v>
      </c>
      <c r="J201">
        <f>Orders[[#This Row],[Quantity]]*Orders[[#This Row],[Cost Price]]</f>
        <v>61680.08</v>
      </c>
      <c r="K201">
        <f>Orders[[#This Row],[Revenue]]-Orders[[#This Row],[Expenses]]</f>
        <v>10884.720000000016</v>
      </c>
      <c r="L201" t="s">
        <v>2216</v>
      </c>
      <c r="M201" t="str">
        <f>_xlfn.XLOOKUP(Orders[[#This Row],[CustomerID]],Customers[CustomerID],Customers[City])</f>
        <v>Georgia</v>
      </c>
      <c r="N201" t="str">
        <f>_xlfn.XLOOKUP(Orders[[#This Row],[CustomerID]],Customers[CustomerID],Customers[CustomerName])</f>
        <v>Bisi Bello</v>
      </c>
      <c r="O201" t="str">
        <f>_xlfn.XLOOKUP(Orders[[#This Row],[CustomerID]],Customers[CustomerID],Customers[Gender])</f>
        <v>Female</v>
      </c>
      <c r="P201">
        <f>_xlfn.XLOOKUP(Orders[[#This Row],[CustomerID]],Customers[CustomerID],Customers[CustomerAge])</f>
        <v>31</v>
      </c>
      <c r="Q201" t="str">
        <f>IF(Orders[[#This Row],[Age]]&gt;=35,"older","young")</f>
        <v>young</v>
      </c>
      <c r="R201" t="str">
        <f>_xlfn.XLOOKUP(Orders[[#This Row],[ProductID]],Products[ProductID],Products[ProductName])</f>
        <v>BADMINTON RACKET</v>
      </c>
      <c r="S201" t="str">
        <f>_xlfn.XLOOKUP(Orders[[#This Row],[ProductID]],Products!A:A,Products!C:C)</f>
        <v>Sports</v>
      </c>
    </row>
    <row r="202" spans="1:19" x14ac:dyDescent="0.2">
      <c r="A202" s="4" t="s">
        <v>357</v>
      </c>
      <c r="B202" s="5">
        <v>46010</v>
      </c>
      <c r="C202" s="15">
        <f>WEEKNUM(Orders[[#This Row],[OrderDate]])</f>
        <v>51</v>
      </c>
      <c r="D202" s="4" t="s">
        <v>30</v>
      </c>
      <c r="E202" s="4" t="s">
        <v>9</v>
      </c>
      <c r="F202" s="4">
        <v>10</v>
      </c>
      <c r="G202" s="4">
        <v>3038.2999999999997</v>
      </c>
      <c r="H202">
        <v>2582.5549999999998</v>
      </c>
      <c r="I202">
        <f>Orders[[#This Row],[Quantity]]*Orders[[#This Row],[Selling Price]]</f>
        <v>30382.999999999996</v>
      </c>
      <c r="J202">
        <f>Orders[[#This Row],[Quantity]]*Orders[[#This Row],[Cost Price]]</f>
        <v>25825.55</v>
      </c>
      <c r="K202">
        <f>Orders[[#This Row],[Revenue]]-Orders[[#This Row],[Expenses]]</f>
        <v>4557.4499999999971</v>
      </c>
      <c r="L202" t="s">
        <v>2220</v>
      </c>
      <c r="M202" t="str">
        <f>_xlfn.XLOOKUP(Orders[[#This Row],[CustomerID]],Customers[CustomerID],Customers[City])</f>
        <v>Florida</v>
      </c>
      <c r="N202" t="str">
        <f>_xlfn.XLOOKUP(Orders[[#This Row],[CustomerID]],Customers[CustomerID],Customers[CustomerName])</f>
        <v>Amina Danladi</v>
      </c>
      <c r="O202" t="str">
        <f>_xlfn.XLOOKUP(Orders[[#This Row],[CustomerID]],Customers[CustomerID],Customers[Gender])</f>
        <v>Female</v>
      </c>
      <c r="P202">
        <f>_xlfn.XLOOKUP(Orders[[#This Row],[CustomerID]],Customers[CustomerID],Customers[CustomerAge])</f>
        <v>42</v>
      </c>
      <c r="Q202" t="str">
        <f>IF(Orders[[#This Row],[Age]]&gt;=35,"older","young")</f>
        <v>older</v>
      </c>
      <c r="R202" t="str">
        <f>_xlfn.XLOOKUP(Orders[[#This Row],[ProductID]],Products[ProductID],Products[ProductName])</f>
        <v>BEADED EARRINGS AND NECKLACES</v>
      </c>
      <c r="S202" t="str">
        <f>_xlfn.XLOOKUP(Orders[[#This Row],[ProductID]],Products!A:A,Products!C:C)</f>
        <v>Accessories</v>
      </c>
    </row>
    <row r="203" spans="1:19" x14ac:dyDescent="0.2">
      <c r="A203" s="4" t="s">
        <v>358</v>
      </c>
      <c r="B203" s="5">
        <v>46009</v>
      </c>
      <c r="C203" s="15">
        <f>WEEKNUM(Orders[[#This Row],[OrderDate]])</f>
        <v>51</v>
      </c>
      <c r="D203" s="4" t="s">
        <v>11</v>
      </c>
      <c r="E203" s="4" t="s">
        <v>28</v>
      </c>
      <c r="F203" s="4">
        <v>10</v>
      </c>
      <c r="G203" s="4">
        <v>936</v>
      </c>
      <c r="H203">
        <v>795.6</v>
      </c>
      <c r="I203">
        <f>Orders[[#This Row],[Quantity]]*Orders[[#This Row],[Selling Price]]</f>
        <v>9360</v>
      </c>
      <c r="J203">
        <f>Orders[[#This Row],[Quantity]]*Orders[[#This Row],[Cost Price]]</f>
        <v>7956</v>
      </c>
      <c r="K203">
        <f>Orders[[#This Row],[Revenue]]-Orders[[#This Row],[Expenses]]</f>
        <v>1404</v>
      </c>
      <c r="L203" t="s">
        <v>2209</v>
      </c>
      <c r="M203" t="str">
        <f>_xlfn.XLOOKUP(Orders[[#This Row],[CustomerID]],Customers[CustomerID],Customers[City])</f>
        <v>Texas</v>
      </c>
      <c r="N203" t="str">
        <f>_xlfn.XLOOKUP(Orders[[#This Row],[CustomerID]],Customers[CustomerID],Customers[CustomerName])</f>
        <v>Efe Ojo</v>
      </c>
      <c r="O203" t="str">
        <f>_xlfn.XLOOKUP(Orders[[#This Row],[CustomerID]],Customers[CustomerID],Customers[Gender])</f>
        <v>Female</v>
      </c>
      <c r="P203">
        <f>_xlfn.XLOOKUP(Orders[[#This Row],[CustomerID]],Customers[CustomerID],Customers[CustomerAge])</f>
        <v>55</v>
      </c>
      <c r="Q203" t="str">
        <f>IF(Orders[[#This Row],[Age]]&gt;=35,"older","young")</f>
        <v>older</v>
      </c>
      <c r="R203" t="str">
        <f>_xlfn.XLOOKUP(Orders[[#This Row],[ProductID]],Products[ProductID],Products[ProductName])</f>
        <v>SNEAKERS</v>
      </c>
      <c r="S203" t="str">
        <f>_xlfn.XLOOKUP(Orders[[#This Row],[ProductID]],Products!A:A,Products!C:C)</f>
        <v>Sports</v>
      </c>
    </row>
    <row r="204" spans="1:19" x14ac:dyDescent="0.2">
      <c r="A204" s="4" t="s">
        <v>359</v>
      </c>
      <c r="B204" s="5">
        <v>45937</v>
      </c>
      <c r="C204" s="15">
        <f>WEEKNUM(Orders[[#This Row],[OrderDate]])</f>
        <v>41</v>
      </c>
      <c r="D204" s="4" t="s">
        <v>293</v>
      </c>
      <c r="E204" s="4" t="s">
        <v>111</v>
      </c>
      <c r="F204" s="4">
        <v>3</v>
      </c>
      <c r="G204" s="4">
        <v>6432.1</v>
      </c>
      <c r="H204">
        <v>5467.2849999999999</v>
      </c>
      <c r="I204">
        <f>Orders[[#This Row],[Quantity]]*Orders[[#This Row],[Selling Price]]</f>
        <v>19296.300000000003</v>
      </c>
      <c r="J204">
        <f>Orders[[#This Row],[Quantity]]*Orders[[#This Row],[Cost Price]]</f>
        <v>16401.855</v>
      </c>
      <c r="K204">
        <f>Orders[[#This Row],[Revenue]]-Orders[[#This Row],[Expenses]]</f>
        <v>2894.4450000000033</v>
      </c>
      <c r="L204" t="s">
        <v>2202</v>
      </c>
      <c r="M204" t="str">
        <f>_xlfn.XLOOKUP(Orders[[#This Row],[CustomerID]],Customers[CustomerID],Customers[City])</f>
        <v>Florida</v>
      </c>
      <c r="N204" t="str">
        <f>_xlfn.XLOOKUP(Orders[[#This Row],[CustomerID]],Customers[CustomerID],Customers[CustomerName])</f>
        <v>Tunde Eze</v>
      </c>
      <c r="O204" t="str">
        <f>_xlfn.XLOOKUP(Orders[[#This Row],[CustomerID]],Customers[CustomerID],Customers[Gender])</f>
        <v>Male</v>
      </c>
      <c r="P204">
        <f>_xlfn.XLOOKUP(Orders[[#This Row],[CustomerID]],Customers[CustomerID],Customers[CustomerAge])</f>
        <v>46</v>
      </c>
      <c r="Q204" t="str">
        <f>IF(Orders[[#This Row],[Age]]&gt;=35,"older","young")</f>
        <v>older</v>
      </c>
      <c r="R204" t="str">
        <f>_xlfn.XLOOKUP(Orders[[#This Row],[ProductID]],Products[ProductID],Products[ProductName])</f>
        <v>REFRIGERATOR</v>
      </c>
      <c r="S204" t="str">
        <f>_xlfn.XLOOKUP(Orders[[#This Row],[ProductID]],Products!A:A,Products!C:C)</f>
        <v>Electronics</v>
      </c>
    </row>
    <row r="205" spans="1:19" x14ac:dyDescent="0.2">
      <c r="A205" s="4" t="s">
        <v>360</v>
      </c>
      <c r="B205" s="5">
        <v>45943</v>
      </c>
      <c r="C205" s="15">
        <f>WEEKNUM(Orders[[#This Row],[OrderDate]])</f>
        <v>42</v>
      </c>
      <c r="D205" s="4" t="s">
        <v>146</v>
      </c>
      <c r="E205" s="4" t="s">
        <v>34</v>
      </c>
      <c r="F205" s="4">
        <v>9</v>
      </c>
      <c r="G205" s="4">
        <v>6793.3</v>
      </c>
      <c r="H205">
        <v>5774.3050000000003</v>
      </c>
      <c r="I205">
        <f>Orders[[#This Row],[Quantity]]*Orders[[#This Row],[Selling Price]]</f>
        <v>61139.700000000004</v>
      </c>
      <c r="J205">
        <f>Orders[[#This Row],[Quantity]]*Orders[[#This Row],[Cost Price]]</f>
        <v>51968.745000000003</v>
      </c>
      <c r="K205">
        <f>Orders[[#This Row],[Revenue]]-Orders[[#This Row],[Expenses]]</f>
        <v>9170.9550000000017</v>
      </c>
      <c r="L205" t="s">
        <v>2205</v>
      </c>
      <c r="M205" t="str">
        <f>_xlfn.XLOOKUP(Orders[[#This Row],[CustomerID]],Customers[CustomerID],Customers[City])</f>
        <v>Texas</v>
      </c>
      <c r="N205" t="str">
        <f>_xlfn.XLOOKUP(Orders[[#This Row],[CustomerID]],Customers[CustomerID],Customers[CustomerName])</f>
        <v>Mustafa Igwe</v>
      </c>
      <c r="O205" t="str">
        <f>_xlfn.XLOOKUP(Orders[[#This Row],[CustomerID]],Customers[CustomerID],Customers[Gender])</f>
        <v>Male</v>
      </c>
      <c r="P205">
        <f>_xlfn.XLOOKUP(Orders[[#This Row],[CustomerID]],Customers[CustomerID],Customers[CustomerAge])</f>
        <v>27</v>
      </c>
      <c r="Q205" t="str">
        <f>IF(Orders[[#This Row],[Age]]&gt;=35,"older","young")</f>
        <v>young</v>
      </c>
      <c r="R205" t="str">
        <f>_xlfn.XLOOKUP(Orders[[#This Row],[ProductID]],Products[ProductID],Products[ProductName])</f>
        <v>GOLD BRACELETS</v>
      </c>
      <c r="S205" t="str">
        <f>_xlfn.XLOOKUP(Orders[[#This Row],[ProductID]],Products!A:A,Products!C:C)</f>
        <v>Accessories</v>
      </c>
    </row>
    <row r="206" spans="1:19" x14ac:dyDescent="0.2">
      <c r="A206" s="4" t="s">
        <v>361</v>
      </c>
      <c r="B206" s="5">
        <v>45949</v>
      </c>
      <c r="C206" s="15">
        <f>WEEKNUM(Orders[[#This Row],[OrderDate]])</f>
        <v>43</v>
      </c>
      <c r="D206" s="4" t="s">
        <v>207</v>
      </c>
      <c r="E206" s="4" t="s">
        <v>63</v>
      </c>
      <c r="F206" s="4">
        <v>8</v>
      </c>
      <c r="G206" s="4">
        <v>17404.3</v>
      </c>
      <c r="H206">
        <v>14793.654999999999</v>
      </c>
      <c r="I206">
        <f>Orders[[#This Row],[Quantity]]*Orders[[#This Row],[Selling Price]]</f>
        <v>139234.4</v>
      </c>
      <c r="J206">
        <f>Orders[[#This Row],[Quantity]]*Orders[[#This Row],[Cost Price]]</f>
        <v>118349.23999999999</v>
      </c>
      <c r="K206">
        <f>Orders[[#This Row],[Revenue]]-Orders[[#This Row],[Expenses]]</f>
        <v>20885.160000000003</v>
      </c>
      <c r="L206" t="s">
        <v>2215</v>
      </c>
      <c r="M206" t="str">
        <f>_xlfn.XLOOKUP(Orders[[#This Row],[CustomerID]],Customers[CustomerID],Customers[City])</f>
        <v>Florida</v>
      </c>
      <c r="N206" t="str">
        <f>_xlfn.XLOOKUP(Orders[[#This Row],[CustomerID]],Customers[CustomerID],Customers[CustomerName])</f>
        <v>Bisi Eze</v>
      </c>
      <c r="O206" t="str">
        <f>_xlfn.XLOOKUP(Orders[[#This Row],[CustomerID]],Customers[CustomerID],Customers[Gender])</f>
        <v>Female</v>
      </c>
      <c r="P206">
        <f>_xlfn.XLOOKUP(Orders[[#This Row],[CustomerID]],Customers[CustomerID],Customers[CustomerAge])</f>
        <v>37</v>
      </c>
      <c r="Q206" t="str">
        <f>IF(Orders[[#This Row],[Age]]&gt;=35,"older","young")</f>
        <v>older</v>
      </c>
      <c r="R206" t="str">
        <f>_xlfn.XLOOKUP(Orders[[#This Row],[ProductID]],Products[ProductID],Products[ProductName])</f>
        <v>TENNIS BAT</v>
      </c>
      <c r="S206" t="str">
        <f>_xlfn.XLOOKUP(Orders[[#This Row],[ProductID]],Products!A:A,Products!C:C)</f>
        <v>Sports</v>
      </c>
    </row>
    <row r="207" spans="1:19" x14ac:dyDescent="0.2">
      <c r="A207" s="4" t="s">
        <v>362</v>
      </c>
      <c r="B207" s="5">
        <v>45953</v>
      </c>
      <c r="C207" s="15">
        <f>WEEKNUM(Orders[[#This Row],[OrderDate]])</f>
        <v>43</v>
      </c>
      <c r="D207" s="4" t="s">
        <v>45</v>
      </c>
      <c r="E207" s="4" t="s">
        <v>151</v>
      </c>
      <c r="F207" s="4">
        <v>8</v>
      </c>
      <c r="G207" s="4">
        <v>6436.1</v>
      </c>
      <c r="H207">
        <v>5470.6850000000004</v>
      </c>
      <c r="I207">
        <f>Orders[[#This Row],[Quantity]]*Orders[[#This Row],[Selling Price]]</f>
        <v>51488.800000000003</v>
      </c>
      <c r="J207">
        <f>Orders[[#This Row],[Quantity]]*Orders[[#This Row],[Cost Price]]</f>
        <v>43765.48</v>
      </c>
      <c r="K207">
        <f>Orders[[#This Row],[Revenue]]-Orders[[#This Row],[Expenses]]</f>
        <v>7723.32</v>
      </c>
      <c r="L207" t="s">
        <v>2200</v>
      </c>
      <c r="M207" t="str">
        <f>_xlfn.XLOOKUP(Orders[[#This Row],[CustomerID]],Customers[CustomerID],Customers[City])</f>
        <v>Florida</v>
      </c>
      <c r="N207" t="str">
        <f>_xlfn.XLOOKUP(Orders[[#This Row],[CustomerID]],Customers[CustomerID],Customers[CustomerName])</f>
        <v>Abiola Abubakar</v>
      </c>
      <c r="O207" t="str">
        <f>_xlfn.XLOOKUP(Orders[[#This Row],[CustomerID]],Customers[CustomerID],Customers[Gender])</f>
        <v>Male</v>
      </c>
      <c r="P207">
        <f>_xlfn.XLOOKUP(Orders[[#This Row],[CustomerID]],Customers[CustomerID],Customers[CustomerAge])</f>
        <v>26</v>
      </c>
      <c r="Q207" t="str">
        <f>IF(Orders[[#This Row],[Age]]&gt;=35,"older","young")</f>
        <v>young</v>
      </c>
      <c r="R207" t="str">
        <f>_xlfn.XLOOKUP(Orders[[#This Row],[ProductID]],Products[ProductID],Products[ProductName])</f>
        <v>CHECKERS</v>
      </c>
      <c r="S207" t="str">
        <f>_xlfn.XLOOKUP(Orders[[#This Row],[ProductID]],Products!A:A,Products!C:C)</f>
        <v>Games</v>
      </c>
    </row>
    <row r="208" spans="1:19" x14ac:dyDescent="0.2">
      <c r="A208" s="4" t="s">
        <v>363</v>
      </c>
      <c r="B208" s="5">
        <v>45974</v>
      </c>
      <c r="C208" s="15">
        <f>WEEKNUM(Orders[[#This Row],[OrderDate]])</f>
        <v>46</v>
      </c>
      <c r="D208" s="4" t="s">
        <v>260</v>
      </c>
      <c r="E208" s="4" t="s">
        <v>63</v>
      </c>
      <c r="F208" s="4">
        <v>7</v>
      </c>
      <c r="G208" s="4">
        <v>12393.599999999999</v>
      </c>
      <c r="H208">
        <v>10534.56</v>
      </c>
      <c r="I208">
        <f>Orders[[#This Row],[Quantity]]*Orders[[#This Row],[Selling Price]]</f>
        <v>86755.199999999983</v>
      </c>
      <c r="J208">
        <f>Orders[[#This Row],[Quantity]]*Orders[[#This Row],[Cost Price]]</f>
        <v>73741.919999999998</v>
      </c>
      <c r="K208">
        <f>Orders[[#This Row],[Revenue]]-Orders[[#This Row],[Expenses]]</f>
        <v>13013.279999999984</v>
      </c>
      <c r="L208" t="s">
        <v>2196</v>
      </c>
      <c r="M208" t="str">
        <f>_xlfn.XLOOKUP(Orders[[#This Row],[CustomerID]],Customers[CustomerID],Customers[City])</f>
        <v>Florida</v>
      </c>
      <c r="N208" t="str">
        <f>_xlfn.XLOOKUP(Orders[[#This Row],[CustomerID]],Customers[CustomerID],Customers[CustomerName])</f>
        <v>Amina Obi</v>
      </c>
      <c r="O208" t="str">
        <f>_xlfn.XLOOKUP(Orders[[#This Row],[CustomerID]],Customers[CustomerID],Customers[Gender])</f>
        <v>Female</v>
      </c>
      <c r="P208">
        <f>_xlfn.XLOOKUP(Orders[[#This Row],[CustomerID]],Customers[CustomerID],Customers[CustomerAge])</f>
        <v>29</v>
      </c>
      <c r="Q208" t="str">
        <f>IF(Orders[[#This Row],[Age]]&gt;=35,"older","young")</f>
        <v>young</v>
      </c>
      <c r="R208" t="str">
        <f>_xlfn.XLOOKUP(Orders[[#This Row],[ProductID]],Products[ProductID],Products[ProductName])</f>
        <v>TENNIS BAT</v>
      </c>
      <c r="S208" t="str">
        <f>_xlfn.XLOOKUP(Orders[[#This Row],[ProductID]],Products!A:A,Products!C:C)</f>
        <v>Sports</v>
      </c>
    </row>
    <row r="209" spans="1:19" x14ac:dyDescent="0.2">
      <c r="A209" s="4" t="s">
        <v>364</v>
      </c>
      <c r="B209" s="5">
        <v>45959</v>
      </c>
      <c r="C209" s="15">
        <f>WEEKNUM(Orders[[#This Row],[OrderDate]])</f>
        <v>44</v>
      </c>
      <c r="D209" s="4" t="s">
        <v>78</v>
      </c>
      <c r="E209" s="4" t="s">
        <v>57</v>
      </c>
      <c r="F209" s="4">
        <v>10</v>
      </c>
      <c r="G209" s="4">
        <v>4897</v>
      </c>
      <c r="H209">
        <v>4162.45</v>
      </c>
      <c r="I209">
        <f>Orders[[#This Row],[Quantity]]*Orders[[#This Row],[Selling Price]]</f>
        <v>48970</v>
      </c>
      <c r="J209">
        <f>Orders[[#This Row],[Quantity]]*Orders[[#This Row],[Cost Price]]</f>
        <v>41624.5</v>
      </c>
      <c r="K209">
        <f>Orders[[#This Row],[Revenue]]-Orders[[#This Row],[Expenses]]</f>
        <v>7345.5</v>
      </c>
      <c r="L209" t="s">
        <v>2212</v>
      </c>
      <c r="M209" t="str">
        <f>_xlfn.XLOOKUP(Orders[[#This Row],[CustomerID]],Customers[CustomerID],Customers[City])</f>
        <v>Washington</v>
      </c>
      <c r="N209" t="str">
        <f>_xlfn.XLOOKUP(Orders[[#This Row],[CustomerID]],Customers[CustomerID],Customers[CustomerName])</f>
        <v>Chinedu Obi</v>
      </c>
      <c r="O209" t="str">
        <f>_xlfn.XLOOKUP(Orders[[#This Row],[CustomerID]],Customers[CustomerID],Customers[Gender])</f>
        <v>Male</v>
      </c>
      <c r="P209">
        <f>_xlfn.XLOOKUP(Orders[[#This Row],[CustomerID]],Customers[CustomerID],Customers[CustomerAge])</f>
        <v>38</v>
      </c>
      <c r="Q209" t="str">
        <f>IF(Orders[[#This Row],[Age]]&gt;=35,"older","young")</f>
        <v>older</v>
      </c>
      <c r="R209" t="str">
        <f>_xlfn.XLOOKUP(Orders[[#This Row],[ProductID]],Products[ProductID],Products[ProductName])</f>
        <v>BADMINTON RACKET</v>
      </c>
      <c r="S209" t="str">
        <f>_xlfn.XLOOKUP(Orders[[#This Row],[ProductID]],Products!A:A,Products!C:C)</f>
        <v>Sports</v>
      </c>
    </row>
    <row r="210" spans="1:19" x14ac:dyDescent="0.2">
      <c r="A210" s="4" t="s">
        <v>365</v>
      </c>
      <c r="B210" s="5">
        <v>46001</v>
      </c>
      <c r="C210" s="15">
        <f>WEEKNUM(Orders[[#This Row],[OrderDate]])</f>
        <v>50</v>
      </c>
      <c r="D210" s="4" t="s">
        <v>39</v>
      </c>
      <c r="E210" s="4" t="s">
        <v>253</v>
      </c>
      <c r="F210" s="4">
        <v>7</v>
      </c>
      <c r="G210" s="4">
        <v>15667.4</v>
      </c>
      <c r="H210">
        <v>13317.29</v>
      </c>
      <c r="I210">
        <f>Orders[[#This Row],[Quantity]]*Orders[[#This Row],[Selling Price]]</f>
        <v>109671.8</v>
      </c>
      <c r="J210">
        <f>Orders[[#This Row],[Quantity]]*Orders[[#This Row],[Cost Price]]</f>
        <v>93221.03</v>
      </c>
      <c r="K210">
        <f>Orders[[#This Row],[Revenue]]-Orders[[#This Row],[Expenses]]</f>
        <v>16450.770000000004</v>
      </c>
      <c r="L210" t="s">
        <v>2198</v>
      </c>
      <c r="M210" t="str">
        <f>_xlfn.XLOOKUP(Orders[[#This Row],[CustomerID]],Customers[CustomerID],Customers[City])</f>
        <v>Florida</v>
      </c>
      <c r="N210" t="str">
        <f>_xlfn.XLOOKUP(Orders[[#This Row],[CustomerID]],Customers[CustomerID],Customers[CustomerName])</f>
        <v>Efe Adeyemi</v>
      </c>
      <c r="O210" t="str">
        <f>_xlfn.XLOOKUP(Orders[[#This Row],[CustomerID]],Customers[CustomerID],Customers[Gender])</f>
        <v>Female</v>
      </c>
      <c r="P210">
        <f>_xlfn.XLOOKUP(Orders[[#This Row],[CustomerID]],Customers[CustomerID],Customers[CustomerAge])</f>
        <v>20</v>
      </c>
      <c r="Q210" t="str">
        <f>IF(Orders[[#This Row],[Age]]&gt;=35,"older","young")</f>
        <v>young</v>
      </c>
      <c r="R210" t="str">
        <f>_xlfn.XLOOKUP(Orders[[#This Row],[ProductID]],Products[ProductID],Products[ProductName])</f>
        <v>NOSE RINGS</v>
      </c>
      <c r="S210" t="str">
        <f>_xlfn.XLOOKUP(Orders[[#This Row],[ProductID]],Products!A:A,Products!C:C)</f>
        <v>Accessories</v>
      </c>
    </row>
    <row r="211" spans="1:19" x14ac:dyDescent="0.2">
      <c r="A211" s="4" t="s">
        <v>366</v>
      </c>
      <c r="B211" s="5">
        <v>45933</v>
      </c>
      <c r="C211" s="15">
        <f>WEEKNUM(Orders[[#This Row],[OrderDate]])</f>
        <v>40</v>
      </c>
      <c r="D211" s="4" t="s">
        <v>62</v>
      </c>
      <c r="E211" s="4" t="s">
        <v>208</v>
      </c>
      <c r="F211" s="4">
        <v>6</v>
      </c>
      <c r="G211" s="4">
        <v>13887.8</v>
      </c>
      <c r="H211">
        <v>11804.63</v>
      </c>
      <c r="I211">
        <f>Orders[[#This Row],[Quantity]]*Orders[[#This Row],[Selling Price]]</f>
        <v>83326.799999999988</v>
      </c>
      <c r="J211">
        <f>Orders[[#This Row],[Quantity]]*Orders[[#This Row],[Cost Price]]</f>
        <v>70827.78</v>
      </c>
      <c r="K211">
        <f>Orders[[#This Row],[Revenue]]-Orders[[#This Row],[Expenses]]</f>
        <v>12499.01999999999</v>
      </c>
      <c r="L211" t="s">
        <v>2216</v>
      </c>
      <c r="M211" t="str">
        <f>_xlfn.XLOOKUP(Orders[[#This Row],[CustomerID]],Customers[CustomerID],Customers[City])</f>
        <v>Texas</v>
      </c>
      <c r="N211" t="str">
        <f>_xlfn.XLOOKUP(Orders[[#This Row],[CustomerID]],Customers[CustomerID],Customers[CustomerName])</f>
        <v>Ronke Okonkwo</v>
      </c>
      <c r="O211" t="str">
        <f>_xlfn.XLOOKUP(Orders[[#This Row],[CustomerID]],Customers[CustomerID],Customers[Gender])</f>
        <v>Female</v>
      </c>
      <c r="P211">
        <f>_xlfn.XLOOKUP(Orders[[#This Row],[CustomerID]],Customers[CustomerID],Customers[CustomerAge])</f>
        <v>36</v>
      </c>
      <c r="Q211" t="str">
        <f>IF(Orders[[#This Row],[Age]]&gt;=35,"older","young")</f>
        <v>older</v>
      </c>
      <c r="R211" t="str">
        <f>_xlfn.XLOOKUP(Orders[[#This Row],[ProductID]],Products[ProductID],Products[ProductName])</f>
        <v>SKIPPING ROPE</v>
      </c>
      <c r="S211" t="str">
        <f>_xlfn.XLOOKUP(Orders[[#This Row],[ProductID]],Products!A:A,Products!C:C)</f>
        <v>Sports</v>
      </c>
    </row>
    <row r="212" spans="1:19" x14ac:dyDescent="0.2">
      <c r="A212" s="4" t="s">
        <v>367</v>
      </c>
      <c r="B212" s="5">
        <v>46018</v>
      </c>
      <c r="C212" s="15">
        <f>WEEKNUM(Orders[[#This Row],[OrderDate]])</f>
        <v>52</v>
      </c>
      <c r="D212" s="4" t="s">
        <v>237</v>
      </c>
      <c r="E212" s="4" t="s">
        <v>20</v>
      </c>
      <c r="F212" s="4">
        <v>10</v>
      </c>
      <c r="G212" s="4">
        <v>19588.399999999998</v>
      </c>
      <c r="H212">
        <v>16650.14</v>
      </c>
      <c r="I212">
        <f>Orders[[#This Row],[Quantity]]*Orders[[#This Row],[Selling Price]]</f>
        <v>195883.99999999997</v>
      </c>
      <c r="J212">
        <f>Orders[[#This Row],[Quantity]]*Orders[[#This Row],[Cost Price]]</f>
        <v>166501.4</v>
      </c>
      <c r="K212">
        <f>Orders[[#This Row],[Revenue]]-Orders[[#This Row],[Expenses]]</f>
        <v>29382.599999999977</v>
      </c>
      <c r="L212" t="s">
        <v>2203</v>
      </c>
      <c r="M212" t="str">
        <f>_xlfn.XLOOKUP(Orders[[#This Row],[CustomerID]],Customers[CustomerID],Customers[City])</f>
        <v>Florida</v>
      </c>
      <c r="N212" t="str">
        <f>_xlfn.XLOOKUP(Orders[[#This Row],[CustomerID]],Customers[CustomerID],Customers[CustomerName])</f>
        <v>Ronke Danladi</v>
      </c>
      <c r="O212" t="str">
        <f>_xlfn.XLOOKUP(Orders[[#This Row],[CustomerID]],Customers[CustomerID],Customers[Gender])</f>
        <v>Female</v>
      </c>
      <c r="P212">
        <f>_xlfn.XLOOKUP(Orders[[#This Row],[CustomerID]],Customers[CustomerID],Customers[CustomerAge])</f>
        <v>25</v>
      </c>
      <c r="Q212" t="str">
        <f>IF(Orders[[#This Row],[Age]]&gt;=35,"older","young")</f>
        <v>young</v>
      </c>
      <c r="R212" t="str">
        <f>_xlfn.XLOOKUP(Orders[[#This Row],[ProductID]],Products[ProductID],Products[ProductName])</f>
        <v>GYM BAG</v>
      </c>
      <c r="S212" t="str">
        <f>_xlfn.XLOOKUP(Orders[[#This Row],[ProductID]],Products!A:A,Products!C:C)</f>
        <v>Gym</v>
      </c>
    </row>
    <row r="213" spans="1:19" x14ac:dyDescent="0.2">
      <c r="A213" s="4" t="s">
        <v>368</v>
      </c>
      <c r="B213" s="5">
        <v>45991</v>
      </c>
      <c r="C213" s="15">
        <f>WEEKNUM(Orders[[#This Row],[OrderDate]])</f>
        <v>49</v>
      </c>
      <c r="D213" s="4" t="s">
        <v>369</v>
      </c>
      <c r="E213" s="4" t="s">
        <v>189</v>
      </c>
      <c r="F213" s="4">
        <v>4</v>
      </c>
      <c r="G213" s="4">
        <v>12419</v>
      </c>
      <c r="H213">
        <v>10556.15</v>
      </c>
      <c r="I213">
        <f>Orders[[#This Row],[Quantity]]*Orders[[#This Row],[Selling Price]]</f>
        <v>49676</v>
      </c>
      <c r="J213">
        <f>Orders[[#This Row],[Quantity]]*Orders[[#This Row],[Cost Price]]</f>
        <v>42224.6</v>
      </c>
      <c r="K213">
        <f>Orders[[#This Row],[Revenue]]-Orders[[#This Row],[Expenses]]</f>
        <v>7451.4000000000015</v>
      </c>
      <c r="L213" t="s">
        <v>2219</v>
      </c>
      <c r="M213" t="str">
        <f>_xlfn.XLOOKUP(Orders[[#This Row],[CustomerID]],Customers[CustomerID],Customers[City])</f>
        <v>Washington</v>
      </c>
      <c r="N213" t="str">
        <f>_xlfn.XLOOKUP(Orders[[#This Row],[CustomerID]],Customers[CustomerID],Customers[CustomerName])</f>
        <v>Ibrahim Bello</v>
      </c>
      <c r="O213" t="str">
        <f>_xlfn.XLOOKUP(Orders[[#This Row],[CustomerID]],Customers[CustomerID],Customers[Gender])</f>
        <v>Male</v>
      </c>
      <c r="P213">
        <f>_xlfn.XLOOKUP(Orders[[#This Row],[CustomerID]],Customers[CustomerID],Customers[CustomerAge])</f>
        <v>40</v>
      </c>
      <c r="Q213" t="str">
        <f>IF(Orders[[#This Row],[Age]]&gt;=35,"older","young")</f>
        <v>older</v>
      </c>
      <c r="R213" t="str">
        <f>_xlfn.XLOOKUP(Orders[[#This Row],[ProductID]],Products[ProductID],Products[ProductName])</f>
        <v>SCRABBLE</v>
      </c>
      <c r="S213" t="str">
        <f>_xlfn.XLOOKUP(Orders[[#This Row],[ProductID]],Products!A:A,Products!C:C)</f>
        <v>Games</v>
      </c>
    </row>
    <row r="214" spans="1:19" x14ac:dyDescent="0.2">
      <c r="A214" s="4" t="s">
        <v>370</v>
      </c>
      <c r="B214" s="5">
        <v>45978</v>
      </c>
      <c r="C214" s="15">
        <f>WEEKNUM(Orders[[#This Row],[OrderDate]])</f>
        <v>47</v>
      </c>
      <c r="D214" s="4" t="s">
        <v>239</v>
      </c>
      <c r="E214" s="4" t="s">
        <v>34</v>
      </c>
      <c r="F214" s="4">
        <v>7</v>
      </c>
      <c r="G214" s="4">
        <v>19236.7</v>
      </c>
      <c r="H214">
        <v>16351.195</v>
      </c>
      <c r="I214">
        <f>Orders[[#This Row],[Quantity]]*Orders[[#This Row],[Selling Price]]</f>
        <v>134656.9</v>
      </c>
      <c r="J214">
        <f>Orders[[#This Row],[Quantity]]*Orders[[#This Row],[Cost Price]]</f>
        <v>114458.36499999999</v>
      </c>
      <c r="K214">
        <f>Orders[[#This Row],[Revenue]]-Orders[[#This Row],[Expenses]]</f>
        <v>20198.535000000003</v>
      </c>
      <c r="L214" t="s">
        <v>2213</v>
      </c>
      <c r="M214" t="str">
        <f>_xlfn.XLOOKUP(Orders[[#This Row],[CustomerID]],Customers[CustomerID],Customers[City])</f>
        <v>Florida</v>
      </c>
      <c r="N214" t="str">
        <f>_xlfn.XLOOKUP(Orders[[#This Row],[CustomerID]],Customers[CustomerID],Customers[CustomerName])</f>
        <v>Emeka Danladi</v>
      </c>
      <c r="O214" t="str">
        <f>_xlfn.XLOOKUP(Orders[[#This Row],[CustomerID]],Customers[CustomerID],Customers[Gender])</f>
        <v>Male</v>
      </c>
      <c r="P214">
        <f>_xlfn.XLOOKUP(Orders[[#This Row],[CustomerID]],Customers[CustomerID],Customers[CustomerAge])</f>
        <v>23</v>
      </c>
      <c r="Q214" t="str">
        <f>IF(Orders[[#This Row],[Age]]&gt;=35,"older","young")</f>
        <v>young</v>
      </c>
      <c r="R214" t="str">
        <f>_xlfn.XLOOKUP(Orders[[#This Row],[ProductID]],Products[ProductID],Products[ProductName])</f>
        <v>GOLD BRACELETS</v>
      </c>
      <c r="S214" t="str">
        <f>_xlfn.XLOOKUP(Orders[[#This Row],[ProductID]],Products!A:A,Products!C:C)</f>
        <v>Accessories</v>
      </c>
    </row>
    <row r="215" spans="1:19" x14ac:dyDescent="0.2">
      <c r="A215" s="4" t="s">
        <v>371</v>
      </c>
      <c r="B215" s="5">
        <v>45942</v>
      </c>
      <c r="C215" s="15">
        <f>WEEKNUM(Orders[[#This Row],[OrderDate]])</f>
        <v>42</v>
      </c>
      <c r="D215" s="4" t="s">
        <v>180</v>
      </c>
      <c r="E215" s="4" t="s">
        <v>111</v>
      </c>
      <c r="F215" s="4">
        <v>7</v>
      </c>
      <c r="G215" s="4">
        <v>19149.3</v>
      </c>
      <c r="H215">
        <v>16276.904999999999</v>
      </c>
      <c r="I215">
        <f>Orders[[#This Row],[Quantity]]*Orders[[#This Row],[Selling Price]]</f>
        <v>134045.1</v>
      </c>
      <c r="J215">
        <f>Orders[[#This Row],[Quantity]]*Orders[[#This Row],[Cost Price]]</f>
        <v>113938.33499999999</v>
      </c>
      <c r="K215">
        <f>Orders[[#This Row],[Revenue]]-Orders[[#This Row],[Expenses]]</f>
        <v>20106.765000000014</v>
      </c>
      <c r="L215" t="s">
        <v>2215</v>
      </c>
      <c r="M215" t="str">
        <f>_xlfn.XLOOKUP(Orders[[#This Row],[CustomerID]],Customers[CustomerID],Customers[City])</f>
        <v>Texas</v>
      </c>
      <c r="N215" t="str">
        <f>_xlfn.XLOOKUP(Orders[[#This Row],[CustomerID]],Customers[CustomerID],Customers[CustomerName])</f>
        <v>Jide Okonkwo</v>
      </c>
      <c r="O215" t="str">
        <f>_xlfn.XLOOKUP(Orders[[#This Row],[CustomerID]],Customers[CustomerID],Customers[Gender])</f>
        <v>Male</v>
      </c>
      <c r="P215">
        <f>_xlfn.XLOOKUP(Orders[[#This Row],[CustomerID]],Customers[CustomerID],Customers[CustomerAge])</f>
        <v>25</v>
      </c>
      <c r="Q215" t="str">
        <f>IF(Orders[[#This Row],[Age]]&gt;=35,"older","young")</f>
        <v>young</v>
      </c>
      <c r="R215" t="str">
        <f>_xlfn.XLOOKUP(Orders[[#This Row],[ProductID]],Products[ProductID],Products[ProductName])</f>
        <v>REFRIGERATOR</v>
      </c>
      <c r="S215" t="str">
        <f>_xlfn.XLOOKUP(Orders[[#This Row],[ProductID]],Products!A:A,Products!C:C)</f>
        <v>Electronics</v>
      </c>
    </row>
    <row r="216" spans="1:19" x14ac:dyDescent="0.2">
      <c r="A216" s="4" t="s">
        <v>372</v>
      </c>
      <c r="B216" s="5">
        <v>45946</v>
      </c>
      <c r="C216" s="15">
        <f>WEEKNUM(Orders[[#This Row],[OrderDate]])</f>
        <v>42</v>
      </c>
      <c r="D216" s="4" t="s">
        <v>154</v>
      </c>
      <c r="E216" s="4" t="s">
        <v>25</v>
      </c>
      <c r="F216" s="4">
        <v>4</v>
      </c>
      <c r="G216" s="4">
        <v>10217</v>
      </c>
      <c r="H216">
        <v>8684.4500000000007</v>
      </c>
      <c r="I216">
        <f>Orders[[#This Row],[Quantity]]*Orders[[#This Row],[Selling Price]]</f>
        <v>40868</v>
      </c>
      <c r="J216">
        <f>Orders[[#This Row],[Quantity]]*Orders[[#This Row],[Cost Price]]</f>
        <v>34737.800000000003</v>
      </c>
      <c r="K216">
        <f>Orders[[#This Row],[Revenue]]-Orders[[#This Row],[Expenses]]</f>
        <v>6130.1999999999971</v>
      </c>
      <c r="L216" t="s">
        <v>2209</v>
      </c>
      <c r="M216" t="str">
        <f>_xlfn.XLOOKUP(Orders[[#This Row],[CustomerID]],Customers[CustomerID],Customers[City])</f>
        <v>Illinois</v>
      </c>
      <c r="N216" t="str">
        <f>_xlfn.XLOOKUP(Orders[[#This Row],[CustomerID]],Customers[CustomerID],Customers[CustomerName])</f>
        <v>Ronke Danladi</v>
      </c>
      <c r="O216" t="str">
        <f>_xlfn.XLOOKUP(Orders[[#This Row],[CustomerID]],Customers[CustomerID],Customers[Gender])</f>
        <v>Female</v>
      </c>
      <c r="P216">
        <f>_xlfn.XLOOKUP(Orders[[#This Row],[CustomerID]],Customers[CustomerID],Customers[CustomerAge])</f>
        <v>46</v>
      </c>
      <c r="Q216" t="str">
        <f>IF(Orders[[#This Row],[Age]]&gt;=35,"older","young")</f>
        <v>older</v>
      </c>
      <c r="R216" t="str">
        <f>_xlfn.XLOOKUP(Orders[[#This Row],[ProductID]],Products[ProductID],Products[ProductName])</f>
        <v>GOLD RINGS</v>
      </c>
      <c r="S216" t="str">
        <f>_xlfn.XLOOKUP(Orders[[#This Row],[ProductID]],Products!A:A,Products!C:C)</f>
        <v>Accessories</v>
      </c>
    </row>
    <row r="217" spans="1:19" x14ac:dyDescent="0.2">
      <c r="A217" s="4" t="s">
        <v>373</v>
      </c>
      <c r="B217" s="5">
        <v>45945</v>
      </c>
      <c r="C217" s="15">
        <f>WEEKNUM(Orders[[#This Row],[OrderDate]])</f>
        <v>42</v>
      </c>
      <c r="D217" s="4" t="s">
        <v>374</v>
      </c>
      <c r="E217" s="4" t="s">
        <v>111</v>
      </c>
      <c r="F217" s="4">
        <v>10</v>
      </c>
      <c r="G217" s="4">
        <v>3127.7999999999997</v>
      </c>
      <c r="H217">
        <v>2658.6299999999997</v>
      </c>
      <c r="I217">
        <f>Orders[[#This Row],[Quantity]]*Orders[[#This Row],[Selling Price]]</f>
        <v>31277.999999999996</v>
      </c>
      <c r="J217">
        <f>Orders[[#This Row],[Quantity]]*Orders[[#This Row],[Cost Price]]</f>
        <v>26586.299999999996</v>
      </c>
      <c r="K217">
        <f>Orders[[#This Row],[Revenue]]-Orders[[#This Row],[Expenses]]</f>
        <v>4691.7000000000007</v>
      </c>
      <c r="L217" t="s">
        <v>2205</v>
      </c>
      <c r="M217" t="str">
        <f>_xlfn.XLOOKUP(Orders[[#This Row],[CustomerID]],Customers[CustomerID],Customers[City])</f>
        <v>Texas</v>
      </c>
      <c r="N217" t="str">
        <f>_xlfn.XLOOKUP(Orders[[#This Row],[CustomerID]],Customers[CustomerID],Customers[CustomerName])</f>
        <v>Uche Okonkwo</v>
      </c>
      <c r="O217" t="str">
        <f>_xlfn.XLOOKUP(Orders[[#This Row],[CustomerID]],Customers[CustomerID],Customers[Gender])</f>
        <v>Male</v>
      </c>
      <c r="P217">
        <f>_xlfn.XLOOKUP(Orders[[#This Row],[CustomerID]],Customers[CustomerID],Customers[CustomerAge])</f>
        <v>27</v>
      </c>
      <c r="Q217" t="str">
        <f>IF(Orders[[#This Row],[Age]]&gt;=35,"older","young")</f>
        <v>young</v>
      </c>
      <c r="R217" t="str">
        <f>_xlfn.XLOOKUP(Orders[[#This Row],[ProductID]],Products[ProductID],Products[ProductName])</f>
        <v>REFRIGERATOR</v>
      </c>
      <c r="S217" t="str">
        <f>_xlfn.XLOOKUP(Orders[[#This Row],[ProductID]],Products!A:A,Products!C:C)</f>
        <v>Electronics</v>
      </c>
    </row>
    <row r="218" spans="1:19" x14ac:dyDescent="0.2">
      <c r="A218" s="4" t="s">
        <v>375</v>
      </c>
      <c r="B218" s="5">
        <v>45983</v>
      </c>
      <c r="C218" s="15">
        <f>WEEKNUM(Orders[[#This Row],[OrderDate]])</f>
        <v>47</v>
      </c>
      <c r="D218" s="4" t="s">
        <v>59</v>
      </c>
      <c r="E218" s="4" t="s">
        <v>353</v>
      </c>
      <c r="F218" s="4">
        <v>7</v>
      </c>
      <c r="G218" s="4">
        <v>12752.2</v>
      </c>
      <c r="H218">
        <v>10839.37</v>
      </c>
      <c r="I218">
        <f>Orders[[#This Row],[Quantity]]*Orders[[#This Row],[Selling Price]]</f>
        <v>89265.400000000009</v>
      </c>
      <c r="J218">
        <f>Orders[[#This Row],[Quantity]]*Orders[[#This Row],[Cost Price]]</f>
        <v>75875.590000000011</v>
      </c>
      <c r="K218">
        <f>Orders[[#This Row],[Revenue]]-Orders[[#This Row],[Expenses]]</f>
        <v>13389.809999999998</v>
      </c>
      <c r="L218" t="s">
        <v>2209</v>
      </c>
      <c r="M218" t="str">
        <f>_xlfn.XLOOKUP(Orders[[#This Row],[CustomerID]],Customers[CustomerID],Customers[City])</f>
        <v>Texas</v>
      </c>
      <c r="N218" t="str">
        <f>_xlfn.XLOOKUP(Orders[[#This Row],[CustomerID]],Customers[CustomerID],Customers[CustomerName])</f>
        <v>Adanma Danladi</v>
      </c>
      <c r="O218" t="str">
        <f>_xlfn.XLOOKUP(Orders[[#This Row],[CustomerID]],Customers[CustomerID],Customers[Gender])</f>
        <v>Female</v>
      </c>
      <c r="P218">
        <f>_xlfn.XLOOKUP(Orders[[#This Row],[CustomerID]],Customers[CustomerID],Customers[CustomerAge])</f>
        <v>24</v>
      </c>
      <c r="Q218" t="str">
        <f>IF(Orders[[#This Row],[Age]]&gt;=35,"older","young")</f>
        <v>young</v>
      </c>
      <c r="R218" t="str">
        <f>_xlfn.XLOOKUP(Orders[[#This Row],[ProductID]],Products[ProductID],Products[ProductName])</f>
        <v>SILVER EARRINGS AND NECKLACES</v>
      </c>
      <c r="S218" t="str">
        <f>_xlfn.XLOOKUP(Orders[[#This Row],[ProductID]],Products!A:A,Products!C:C)</f>
        <v>Accessories</v>
      </c>
    </row>
    <row r="219" spans="1:19" x14ac:dyDescent="0.2">
      <c r="A219" s="4" t="s">
        <v>376</v>
      </c>
      <c r="B219" s="5">
        <v>45941</v>
      </c>
      <c r="C219" s="15">
        <f>WEEKNUM(Orders[[#This Row],[OrderDate]])</f>
        <v>41</v>
      </c>
      <c r="D219" s="4" t="s">
        <v>229</v>
      </c>
      <c r="E219" s="4" t="s">
        <v>81</v>
      </c>
      <c r="F219" s="4">
        <v>7</v>
      </c>
      <c r="G219" s="4">
        <v>552.20000000000005</v>
      </c>
      <c r="H219">
        <v>469.37000000000006</v>
      </c>
      <c r="I219">
        <f>Orders[[#This Row],[Quantity]]*Orders[[#This Row],[Selling Price]]</f>
        <v>3865.4000000000005</v>
      </c>
      <c r="J219">
        <f>Orders[[#This Row],[Quantity]]*Orders[[#This Row],[Cost Price]]</f>
        <v>3285.5900000000006</v>
      </c>
      <c r="K219">
        <f>Orders[[#This Row],[Revenue]]-Orders[[#This Row],[Expenses]]</f>
        <v>579.80999999999995</v>
      </c>
      <c r="L219" t="s">
        <v>2205</v>
      </c>
      <c r="M219" t="str">
        <f>_xlfn.XLOOKUP(Orders[[#This Row],[CustomerID]],Customers[CustomerID],Customers[City])</f>
        <v>Florida</v>
      </c>
      <c r="N219" t="str">
        <f>_xlfn.XLOOKUP(Orders[[#This Row],[CustomerID]],Customers[CustomerID],Customers[CustomerName])</f>
        <v>Uche Abubakar</v>
      </c>
      <c r="O219" t="str">
        <f>_xlfn.XLOOKUP(Orders[[#This Row],[CustomerID]],Customers[CustomerID],Customers[Gender])</f>
        <v>Male</v>
      </c>
      <c r="P219">
        <f>_xlfn.XLOOKUP(Orders[[#This Row],[CustomerID]],Customers[CustomerID],Customers[CustomerAge])</f>
        <v>43</v>
      </c>
      <c r="Q219" t="str">
        <f>IF(Orders[[#This Row],[Age]]&gt;=35,"older","young")</f>
        <v>older</v>
      </c>
      <c r="R219" t="str">
        <f>_xlfn.XLOOKUP(Orders[[#This Row],[ProductID]],Products[ProductID],Products[ProductName])</f>
        <v>TROUSERS</v>
      </c>
      <c r="S219" t="str">
        <f>_xlfn.XLOOKUP(Orders[[#This Row],[ProductID]],Products!A:A,Products!C:C)</f>
        <v>Clothing</v>
      </c>
    </row>
    <row r="220" spans="1:19" x14ac:dyDescent="0.2">
      <c r="A220" s="4" t="s">
        <v>377</v>
      </c>
      <c r="B220" s="5">
        <v>45991</v>
      </c>
      <c r="C220" s="15">
        <f>WEEKNUM(Orders[[#This Row],[OrderDate]])</f>
        <v>49</v>
      </c>
      <c r="D220" s="4" t="s">
        <v>124</v>
      </c>
      <c r="E220" s="4" t="s">
        <v>9</v>
      </c>
      <c r="F220" s="4">
        <v>7</v>
      </c>
      <c r="G220" s="4">
        <v>18935</v>
      </c>
      <c r="H220">
        <v>16094.75</v>
      </c>
      <c r="I220">
        <f>Orders[[#This Row],[Quantity]]*Orders[[#This Row],[Selling Price]]</f>
        <v>132545</v>
      </c>
      <c r="J220">
        <f>Orders[[#This Row],[Quantity]]*Orders[[#This Row],[Cost Price]]</f>
        <v>112663.25</v>
      </c>
      <c r="K220">
        <f>Orders[[#This Row],[Revenue]]-Orders[[#This Row],[Expenses]]</f>
        <v>19881.75</v>
      </c>
      <c r="L220" t="s">
        <v>2207</v>
      </c>
      <c r="M220" t="str">
        <f>_xlfn.XLOOKUP(Orders[[#This Row],[CustomerID]],Customers[CustomerID],Customers[City])</f>
        <v>Texas</v>
      </c>
      <c r="N220" t="str">
        <f>_xlfn.XLOOKUP(Orders[[#This Row],[CustomerID]],Customers[CustomerID],Customers[CustomerName])</f>
        <v>Ngozi Ojo</v>
      </c>
      <c r="O220" t="str">
        <f>_xlfn.XLOOKUP(Orders[[#This Row],[CustomerID]],Customers[CustomerID],Customers[Gender])</f>
        <v>Female</v>
      </c>
      <c r="P220">
        <f>_xlfn.XLOOKUP(Orders[[#This Row],[CustomerID]],Customers[CustomerID],Customers[CustomerAge])</f>
        <v>22</v>
      </c>
      <c r="Q220" t="str">
        <f>IF(Orders[[#This Row],[Age]]&gt;=35,"older","young")</f>
        <v>young</v>
      </c>
      <c r="R220" t="str">
        <f>_xlfn.XLOOKUP(Orders[[#This Row],[ProductID]],Products[ProductID],Products[ProductName])</f>
        <v>BEADED EARRINGS AND NECKLACES</v>
      </c>
      <c r="S220" t="str">
        <f>_xlfn.XLOOKUP(Orders[[#This Row],[ProductID]],Products!A:A,Products!C:C)</f>
        <v>Accessories</v>
      </c>
    </row>
    <row r="221" spans="1:19" x14ac:dyDescent="0.2">
      <c r="A221" s="4" t="s">
        <v>378</v>
      </c>
      <c r="B221" s="5">
        <v>45968</v>
      </c>
      <c r="C221" s="15">
        <f>WEEKNUM(Orders[[#This Row],[OrderDate]])</f>
        <v>45</v>
      </c>
      <c r="D221" s="4" t="s">
        <v>122</v>
      </c>
      <c r="E221" s="4" t="s">
        <v>70</v>
      </c>
      <c r="F221" s="4">
        <v>7</v>
      </c>
      <c r="G221" s="4">
        <v>13534.7</v>
      </c>
      <c r="H221">
        <v>11504.495000000001</v>
      </c>
      <c r="I221">
        <f>Orders[[#This Row],[Quantity]]*Orders[[#This Row],[Selling Price]]</f>
        <v>94742.900000000009</v>
      </c>
      <c r="J221">
        <f>Orders[[#This Row],[Quantity]]*Orders[[#This Row],[Cost Price]]</f>
        <v>80531.465000000011</v>
      </c>
      <c r="K221">
        <f>Orders[[#This Row],[Revenue]]-Orders[[#This Row],[Expenses]]</f>
        <v>14211.434999999998</v>
      </c>
      <c r="L221" t="s">
        <v>2210</v>
      </c>
      <c r="M221" t="str">
        <f>_xlfn.XLOOKUP(Orders[[#This Row],[CustomerID]],Customers[CustomerID],Customers[City])</f>
        <v>Texas</v>
      </c>
      <c r="N221" t="str">
        <f>_xlfn.XLOOKUP(Orders[[#This Row],[CustomerID]],Customers[CustomerID],Customers[CustomerName])</f>
        <v>Ibrahim Eze</v>
      </c>
      <c r="O221" t="str">
        <f>_xlfn.XLOOKUP(Orders[[#This Row],[CustomerID]],Customers[CustomerID],Customers[Gender])</f>
        <v>Male</v>
      </c>
      <c r="P221">
        <f>_xlfn.XLOOKUP(Orders[[#This Row],[CustomerID]],Customers[CustomerID],Customers[CustomerAge])</f>
        <v>52</v>
      </c>
      <c r="Q221" t="str">
        <f>IF(Orders[[#This Row],[Age]]&gt;=35,"older","young")</f>
        <v>older</v>
      </c>
      <c r="R221" t="str">
        <f>_xlfn.XLOOKUP(Orders[[#This Row],[ProductID]],Products[ProductID],Products[ProductName])</f>
        <v>YOGA MAT</v>
      </c>
      <c r="S221" t="str">
        <f>_xlfn.XLOOKUP(Orders[[#This Row],[ProductID]],Products!A:A,Products!C:C)</f>
        <v>Gym</v>
      </c>
    </row>
    <row r="222" spans="1:19" x14ac:dyDescent="0.2">
      <c r="A222" s="4" t="s">
        <v>379</v>
      </c>
      <c r="B222" s="5">
        <v>46000</v>
      </c>
      <c r="C222" s="15">
        <f>WEEKNUM(Orders[[#This Row],[OrderDate]])</f>
        <v>50</v>
      </c>
      <c r="D222" s="4" t="s">
        <v>203</v>
      </c>
      <c r="E222" s="4" t="s">
        <v>31</v>
      </c>
      <c r="F222" s="4">
        <v>10</v>
      </c>
      <c r="G222" s="4">
        <v>19707.8</v>
      </c>
      <c r="H222">
        <v>16751.63</v>
      </c>
      <c r="I222">
        <f>Orders[[#This Row],[Quantity]]*Orders[[#This Row],[Selling Price]]</f>
        <v>197078</v>
      </c>
      <c r="J222">
        <f>Orders[[#This Row],[Quantity]]*Orders[[#This Row],[Cost Price]]</f>
        <v>167516.30000000002</v>
      </c>
      <c r="K222">
        <f>Orders[[#This Row],[Revenue]]-Orders[[#This Row],[Expenses]]</f>
        <v>29561.699999999983</v>
      </c>
      <c r="L222" t="s">
        <v>2196</v>
      </c>
      <c r="M222" t="str">
        <f>_xlfn.XLOOKUP(Orders[[#This Row],[CustomerID]],Customers[CustomerID],Customers[City])</f>
        <v>Texas</v>
      </c>
      <c r="N222" t="str">
        <f>_xlfn.XLOOKUP(Orders[[#This Row],[CustomerID]],Customers[CustomerID],Customers[CustomerName])</f>
        <v>Okon Bello</v>
      </c>
      <c r="O222" t="str">
        <f>_xlfn.XLOOKUP(Orders[[#This Row],[CustomerID]],Customers[CustomerID],Customers[Gender])</f>
        <v>Male</v>
      </c>
      <c r="P222">
        <f>_xlfn.XLOOKUP(Orders[[#This Row],[CustomerID]],Customers[CustomerID],Customers[CustomerAge])</f>
        <v>20</v>
      </c>
      <c r="Q222" t="str">
        <f>IF(Orders[[#This Row],[Age]]&gt;=35,"older","young")</f>
        <v>young</v>
      </c>
      <c r="R222" t="str">
        <f>_xlfn.XLOOKUP(Orders[[#This Row],[ProductID]],Products[ProductID],Products[ProductName])</f>
        <v>KIDS GAMES</v>
      </c>
      <c r="S222" t="str">
        <f>_xlfn.XLOOKUP(Orders[[#This Row],[ProductID]],Products!A:A,Products!C:C)</f>
        <v>Games</v>
      </c>
    </row>
    <row r="223" spans="1:19" x14ac:dyDescent="0.2">
      <c r="A223" s="4" t="s">
        <v>380</v>
      </c>
      <c r="B223" s="5">
        <v>45999</v>
      </c>
      <c r="C223" s="15">
        <f>WEEKNUM(Orders[[#This Row],[OrderDate]])</f>
        <v>50</v>
      </c>
      <c r="D223" s="4" t="s">
        <v>55</v>
      </c>
      <c r="E223" s="4" t="s">
        <v>20</v>
      </c>
      <c r="F223" s="4">
        <v>5</v>
      </c>
      <c r="G223" s="4">
        <v>14827.9</v>
      </c>
      <c r="H223">
        <v>12603.715</v>
      </c>
      <c r="I223">
        <f>Orders[[#This Row],[Quantity]]*Orders[[#This Row],[Selling Price]]</f>
        <v>74139.5</v>
      </c>
      <c r="J223">
        <f>Orders[[#This Row],[Quantity]]*Orders[[#This Row],[Cost Price]]</f>
        <v>63018.574999999997</v>
      </c>
      <c r="K223">
        <f>Orders[[#This Row],[Revenue]]-Orders[[#This Row],[Expenses]]</f>
        <v>11120.925000000003</v>
      </c>
      <c r="L223" t="s">
        <v>2211</v>
      </c>
      <c r="M223" t="str">
        <f>_xlfn.XLOOKUP(Orders[[#This Row],[CustomerID]],Customers[CustomerID],Customers[City])</f>
        <v>California</v>
      </c>
      <c r="N223" t="str">
        <f>_xlfn.XLOOKUP(Orders[[#This Row],[CustomerID]],Customers[CustomerID],Customers[CustomerName])</f>
        <v>Adanma Ojo</v>
      </c>
      <c r="O223" t="str">
        <f>_xlfn.XLOOKUP(Orders[[#This Row],[CustomerID]],Customers[CustomerID],Customers[Gender])</f>
        <v>Female</v>
      </c>
      <c r="P223">
        <f>_xlfn.XLOOKUP(Orders[[#This Row],[CustomerID]],Customers[CustomerID],Customers[CustomerAge])</f>
        <v>48</v>
      </c>
      <c r="Q223" t="str">
        <f>IF(Orders[[#This Row],[Age]]&gt;=35,"older","young")</f>
        <v>older</v>
      </c>
      <c r="R223" t="str">
        <f>_xlfn.XLOOKUP(Orders[[#This Row],[ProductID]],Products[ProductID],Products[ProductName])</f>
        <v>GYM BAG</v>
      </c>
      <c r="S223" t="str">
        <f>_xlfn.XLOOKUP(Orders[[#This Row],[ProductID]],Products!A:A,Products!C:C)</f>
        <v>Gym</v>
      </c>
    </row>
    <row r="224" spans="1:19" x14ac:dyDescent="0.2">
      <c r="A224" s="4" t="s">
        <v>381</v>
      </c>
      <c r="B224" s="5">
        <v>46013</v>
      </c>
      <c r="C224" s="15">
        <f>WEEKNUM(Orders[[#This Row],[OrderDate]])</f>
        <v>52</v>
      </c>
      <c r="D224" s="4" t="s">
        <v>55</v>
      </c>
      <c r="E224" s="4" t="s">
        <v>20</v>
      </c>
      <c r="F224" s="4">
        <v>6</v>
      </c>
      <c r="G224" s="4">
        <v>2194.1</v>
      </c>
      <c r="H224">
        <v>1864.9849999999999</v>
      </c>
      <c r="I224">
        <f>Orders[[#This Row],[Quantity]]*Orders[[#This Row],[Selling Price]]</f>
        <v>13164.599999999999</v>
      </c>
      <c r="J224">
        <f>Orders[[#This Row],[Quantity]]*Orders[[#This Row],[Cost Price]]</f>
        <v>11189.91</v>
      </c>
      <c r="K224">
        <f>Orders[[#This Row],[Revenue]]-Orders[[#This Row],[Expenses]]</f>
        <v>1974.6899999999987</v>
      </c>
      <c r="L224" t="s">
        <v>2208</v>
      </c>
      <c r="M224" t="str">
        <f>_xlfn.XLOOKUP(Orders[[#This Row],[CustomerID]],Customers[CustomerID],Customers[City])</f>
        <v>California</v>
      </c>
      <c r="N224" t="str">
        <f>_xlfn.XLOOKUP(Orders[[#This Row],[CustomerID]],Customers[CustomerID],Customers[CustomerName])</f>
        <v>Adanma Ojo</v>
      </c>
      <c r="O224" t="str">
        <f>_xlfn.XLOOKUP(Orders[[#This Row],[CustomerID]],Customers[CustomerID],Customers[Gender])</f>
        <v>Female</v>
      </c>
      <c r="P224">
        <f>_xlfn.XLOOKUP(Orders[[#This Row],[CustomerID]],Customers[CustomerID],Customers[CustomerAge])</f>
        <v>48</v>
      </c>
      <c r="Q224" t="str">
        <f>IF(Orders[[#This Row],[Age]]&gt;=35,"older","young")</f>
        <v>older</v>
      </c>
      <c r="R224" t="str">
        <f>_xlfn.XLOOKUP(Orders[[#This Row],[ProductID]],Products[ProductID],Products[ProductName])</f>
        <v>GYM BAG</v>
      </c>
      <c r="S224" t="str">
        <f>_xlfn.XLOOKUP(Orders[[#This Row],[ProductID]],Products!A:A,Products!C:C)</f>
        <v>Gym</v>
      </c>
    </row>
    <row r="225" spans="1:19" x14ac:dyDescent="0.2">
      <c r="A225" s="4" t="s">
        <v>382</v>
      </c>
      <c r="B225" s="5">
        <v>46016</v>
      </c>
      <c r="C225" s="15">
        <f>WEEKNUM(Orders[[#This Row],[OrderDate]])</f>
        <v>52</v>
      </c>
      <c r="D225" s="4" t="s">
        <v>383</v>
      </c>
      <c r="E225" s="4" t="s">
        <v>60</v>
      </c>
      <c r="F225" s="4">
        <v>3</v>
      </c>
      <c r="G225" s="4">
        <v>838.19999999999993</v>
      </c>
      <c r="H225">
        <v>712.46999999999991</v>
      </c>
      <c r="I225">
        <f>Orders[[#This Row],[Quantity]]*Orders[[#This Row],[Selling Price]]</f>
        <v>2514.6</v>
      </c>
      <c r="J225">
        <f>Orders[[#This Row],[Quantity]]*Orders[[#This Row],[Cost Price]]</f>
        <v>2137.41</v>
      </c>
      <c r="K225">
        <f>Orders[[#This Row],[Revenue]]-Orders[[#This Row],[Expenses]]</f>
        <v>377.19000000000005</v>
      </c>
      <c r="L225" t="s">
        <v>2204</v>
      </c>
      <c r="M225" t="str">
        <f>_xlfn.XLOOKUP(Orders[[#This Row],[CustomerID]],Customers[CustomerID],Customers[City])</f>
        <v>Florida</v>
      </c>
      <c r="N225" t="str">
        <f>_xlfn.XLOOKUP(Orders[[#This Row],[CustomerID]],Customers[CustomerID],Customers[CustomerName])</f>
        <v>Ibrahim Balogun</v>
      </c>
      <c r="O225" t="str">
        <f>_xlfn.XLOOKUP(Orders[[#This Row],[CustomerID]],Customers[CustomerID],Customers[Gender])</f>
        <v>Male</v>
      </c>
      <c r="P225">
        <f>_xlfn.XLOOKUP(Orders[[#This Row],[CustomerID]],Customers[CustomerID],Customers[CustomerAge])</f>
        <v>27</v>
      </c>
      <c r="Q225" t="str">
        <f>IF(Orders[[#This Row],[Age]]&gt;=35,"older","young")</f>
        <v>young</v>
      </c>
      <c r="R225" t="str">
        <f>_xlfn.XLOOKUP(Orders[[#This Row],[ProductID]],Products[ProductID],Products[ProductName])</f>
        <v>SILVER RINGS</v>
      </c>
      <c r="S225" t="str">
        <f>_xlfn.XLOOKUP(Orders[[#This Row],[ProductID]],Products!A:A,Products!C:C)</f>
        <v>Accessories</v>
      </c>
    </row>
    <row r="226" spans="1:19" x14ac:dyDescent="0.2">
      <c r="A226" s="4" t="s">
        <v>384</v>
      </c>
      <c r="B226" s="5">
        <v>45980</v>
      </c>
      <c r="C226" s="15">
        <f>WEEKNUM(Orders[[#This Row],[OrderDate]])</f>
        <v>47</v>
      </c>
      <c r="D226" s="4" t="s">
        <v>314</v>
      </c>
      <c r="E226" s="4" t="s">
        <v>151</v>
      </c>
      <c r="F226" s="4">
        <v>7</v>
      </c>
      <c r="G226" s="4">
        <v>763.9</v>
      </c>
      <c r="H226">
        <v>649.31499999999994</v>
      </c>
      <c r="I226">
        <f>Orders[[#This Row],[Quantity]]*Orders[[#This Row],[Selling Price]]</f>
        <v>5347.3</v>
      </c>
      <c r="J226">
        <f>Orders[[#This Row],[Quantity]]*Orders[[#This Row],[Cost Price]]</f>
        <v>4545.2049999999999</v>
      </c>
      <c r="K226">
        <f>Orders[[#This Row],[Revenue]]-Orders[[#This Row],[Expenses]]</f>
        <v>802.09500000000025</v>
      </c>
      <c r="L226" t="s">
        <v>2217</v>
      </c>
      <c r="M226" t="str">
        <f>_xlfn.XLOOKUP(Orders[[#This Row],[CustomerID]],Customers[CustomerID],Customers[City])</f>
        <v>Washington</v>
      </c>
      <c r="N226" t="str">
        <f>_xlfn.XLOOKUP(Orders[[#This Row],[CustomerID]],Customers[CustomerID],Customers[CustomerName])</f>
        <v>Bisi Ojo</v>
      </c>
      <c r="O226" t="str">
        <f>_xlfn.XLOOKUP(Orders[[#This Row],[CustomerID]],Customers[CustomerID],Customers[Gender])</f>
        <v>Female</v>
      </c>
      <c r="P226">
        <f>_xlfn.XLOOKUP(Orders[[#This Row],[CustomerID]],Customers[CustomerID],Customers[CustomerAge])</f>
        <v>18</v>
      </c>
      <c r="Q226" t="str">
        <f>IF(Orders[[#This Row],[Age]]&gt;=35,"older","young")</f>
        <v>young</v>
      </c>
      <c r="R226" t="str">
        <f>_xlfn.XLOOKUP(Orders[[#This Row],[ProductID]],Products[ProductID],Products[ProductName])</f>
        <v>CHECKERS</v>
      </c>
      <c r="S226" t="str">
        <f>_xlfn.XLOOKUP(Orders[[#This Row],[ProductID]],Products!A:A,Products!C:C)</f>
        <v>Games</v>
      </c>
    </row>
    <row r="227" spans="1:19" x14ac:dyDescent="0.2">
      <c r="A227" s="4" t="s">
        <v>385</v>
      </c>
      <c r="B227" s="5">
        <v>45988</v>
      </c>
      <c r="C227" s="15">
        <f>WEEKNUM(Orders[[#This Row],[OrderDate]])</f>
        <v>48</v>
      </c>
      <c r="D227" s="4" t="s">
        <v>386</v>
      </c>
      <c r="E227" s="4" t="s">
        <v>25</v>
      </c>
      <c r="F227" s="4">
        <v>7</v>
      </c>
      <c r="G227" s="4">
        <v>11305.599999999999</v>
      </c>
      <c r="H227">
        <v>9609.7599999999984</v>
      </c>
      <c r="I227">
        <f>Orders[[#This Row],[Quantity]]*Orders[[#This Row],[Selling Price]]</f>
        <v>79139.199999999983</v>
      </c>
      <c r="J227">
        <f>Orders[[#This Row],[Quantity]]*Orders[[#This Row],[Cost Price]]</f>
        <v>67268.319999999992</v>
      </c>
      <c r="K227">
        <f>Orders[[#This Row],[Revenue]]-Orders[[#This Row],[Expenses]]</f>
        <v>11870.87999999999</v>
      </c>
      <c r="L227" t="s">
        <v>2213</v>
      </c>
      <c r="M227" t="str">
        <f>_xlfn.XLOOKUP(Orders[[#This Row],[CustomerID]],Customers[CustomerID],Customers[City])</f>
        <v>Washington</v>
      </c>
      <c r="N227" t="str">
        <f>_xlfn.XLOOKUP(Orders[[#This Row],[CustomerID]],Customers[CustomerID],Customers[CustomerName])</f>
        <v>Chinedu Eze</v>
      </c>
      <c r="O227" t="str">
        <f>_xlfn.XLOOKUP(Orders[[#This Row],[CustomerID]],Customers[CustomerID],Customers[Gender])</f>
        <v>Male</v>
      </c>
      <c r="P227">
        <f>_xlfn.XLOOKUP(Orders[[#This Row],[CustomerID]],Customers[CustomerID],Customers[CustomerAge])</f>
        <v>32</v>
      </c>
      <c r="Q227" t="str">
        <f>IF(Orders[[#This Row],[Age]]&gt;=35,"older","young")</f>
        <v>young</v>
      </c>
      <c r="R227" t="str">
        <f>_xlfn.XLOOKUP(Orders[[#This Row],[ProductID]],Products[ProductID],Products[ProductName])</f>
        <v>GOLD RINGS</v>
      </c>
      <c r="S227" t="str">
        <f>_xlfn.XLOOKUP(Orders[[#This Row],[ProductID]],Products!A:A,Products!C:C)</f>
        <v>Accessories</v>
      </c>
    </row>
    <row r="228" spans="1:19" x14ac:dyDescent="0.2">
      <c r="A228" s="4" t="s">
        <v>387</v>
      </c>
      <c r="B228" s="5">
        <v>46015</v>
      </c>
      <c r="C228" s="15">
        <f>WEEKNUM(Orders[[#This Row],[OrderDate]])</f>
        <v>52</v>
      </c>
      <c r="D228" s="4" t="s">
        <v>388</v>
      </c>
      <c r="E228" s="4" t="s">
        <v>46</v>
      </c>
      <c r="F228" s="4">
        <v>2</v>
      </c>
      <c r="G228" s="4">
        <v>15500.2</v>
      </c>
      <c r="H228">
        <v>13175.17</v>
      </c>
      <c r="I228">
        <f>Orders[[#This Row],[Quantity]]*Orders[[#This Row],[Selling Price]]</f>
        <v>31000.400000000001</v>
      </c>
      <c r="J228">
        <f>Orders[[#This Row],[Quantity]]*Orders[[#This Row],[Cost Price]]</f>
        <v>26350.34</v>
      </c>
      <c r="K228">
        <f>Orders[[#This Row],[Revenue]]-Orders[[#This Row],[Expenses]]</f>
        <v>4650.0600000000013</v>
      </c>
      <c r="L228" t="s">
        <v>2216</v>
      </c>
      <c r="M228" t="str">
        <f>_xlfn.XLOOKUP(Orders[[#This Row],[CustomerID]],Customers[CustomerID],Customers[City])</f>
        <v>Washington</v>
      </c>
      <c r="N228" t="str">
        <f>_xlfn.XLOOKUP(Orders[[#This Row],[CustomerID]],Customers[CustomerID],Customers[CustomerName])</f>
        <v>Folasade Okonkwo</v>
      </c>
      <c r="O228" t="str">
        <f>_xlfn.XLOOKUP(Orders[[#This Row],[CustomerID]],Customers[CustomerID],Customers[Gender])</f>
        <v>Female</v>
      </c>
      <c r="P228">
        <f>_xlfn.XLOOKUP(Orders[[#This Row],[CustomerID]],Customers[CustomerID],Customers[CustomerAge])</f>
        <v>52</v>
      </c>
      <c r="Q228" t="str">
        <f>IF(Orders[[#This Row],[Age]]&gt;=35,"older","young")</f>
        <v>older</v>
      </c>
      <c r="R228" t="str">
        <f>_xlfn.XLOOKUP(Orders[[#This Row],[ProductID]],Products[ProductID],Products[ProductName])</f>
        <v>TURTLE NECK</v>
      </c>
      <c r="S228" t="str">
        <f>_xlfn.XLOOKUP(Orders[[#This Row],[ProductID]],Products!A:A,Products!C:C)</f>
        <v>Clothing</v>
      </c>
    </row>
    <row r="229" spans="1:19" x14ac:dyDescent="0.2">
      <c r="A229" s="4" t="s">
        <v>389</v>
      </c>
      <c r="B229" s="5">
        <v>45932</v>
      </c>
      <c r="C229" s="15">
        <f>WEEKNUM(Orders[[#This Row],[OrderDate]])</f>
        <v>40</v>
      </c>
      <c r="D229" s="4" t="s">
        <v>320</v>
      </c>
      <c r="E229" s="4" t="s">
        <v>20</v>
      </c>
      <c r="F229" s="4">
        <v>2</v>
      </c>
      <c r="G229" s="4">
        <v>699</v>
      </c>
      <c r="H229">
        <v>594.15</v>
      </c>
      <c r="I229">
        <f>Orders[[#This Row],[Quantity]]*Orders[[#This Row],[Selling Price]]</f>
        <v>1398</v>
      </c>
      <c r="J229">
        <f>Orders[[#This Row],[Quantity]]*Orders[[#This Row],[Cost Price]]</f>
        <v>1188.3</v>
      </c>
      <c r="K229">
        <f>Orders[[#This Row],[Revenue]]-Orders[[#This Row],[Expenses]]</f>
        <v>209.70000000000005</v>
      </c>
      <c r="L229" t="s">
        <v>2218</v>
      </c>
      <c r="M229" t="str">
        <f>_xlfn.XLOOKUP(Orders[[#This Row],[CustomerID]],Customers[CustomerID],Customers[City])</f>
        <v>Texas</v>
      </c>
      <c r="N229" t="str">
        <f>_xlfn.XLOOKUP(Orders[[#This Row],[CustomerID]],Customers[CustomerID],Customers[CustomerName])</f>
        <v>Temi Okonkwo</v>
      </c>
      <c r="O229" t="str">
        <f>_xlfn.XLOOKUP(Orders[[#This Row],[CustomerID]],Customers[CustomerID],Customers[Gender])</f>
        <v>Female</v>
      </c>
      <c r="P229">
        <f>_xlfn.XLOOKUP(Orders[[#This Row],[CustomerID]],Customers[CustomerID],Customers[CustomerAge])</f>
        <v>31</v>
      </c>
      <c r="Q229" t="str">
        <f>IF(Orders[[#This Row],[Age]]&gt;=35,"older","young")</f>
        <v>young</v>
      </c>
      <c r="R229" t="str">
        <f>_xlfn.XLOOKUP(Orders[[#This Row],[ProductID]],Products[ProductID],Products[ProductName])</f>
        <v>GYM BAG</v>
      </c>
      <c r="S229" t="str">
        <f>_xlfn.XLOOKUP(Orders[[#This Row],[ProductID]],Products!A:A,Products!C:C)</f>
        <v>Gym</v>
      </c>
    </row>
    <row r="230" spans="1:19" x14ac:dyDescent="0.2">
      <c r="A230" s="4" t="s">
        <v>390</v>
      </c>
      <c r="B230" s="5">
        <v>45946</v>
      </c>
      <c r="C230" s="15">
        <f>WEEKNUM(Orders[[#This Row],[OrderDate]])</f>
        <v>42</v>
      </c>
      <c r="D230" s="4" t="s">
        <v>244</v>
      </c>
      <c r="E230" s="4" t="s">
        <v>232</v>
      </c>
      <c r="F230" s="4">
        <v>5</v>
      </c>
      <c r="G230" s="4">
        <v>871.4</v>
      </c>
      <c r="H230">
        <v>740.69</v>
      </c>
      <c r="I230">
        <f>Orders[[#This Row],[Quantity]]*Orders[[#This Row],[Selling Price]]</f>
        <v>4357</v>
      </c>
      <c r="J230">
        <f>Orders[[#This Row],[Quantity]]*Orders[[#This Row],[Cost Price]]</f>
        <v>3703.4500000000003</v>
      </c>
      <c r="K230">
        <f>Orders[[#This Row],[Revenue]]-Orders[[#This Row],[Expenses]]</f>
        <v>653.54999999999973</v>
      </c>
      <c r="L230" t="s">
        <v>2194</v>
      </c>
      <c r="M230" t="str">
        <f>_xlfn.XLOOKUP(Orders[[#This Row],[CustomerID]],Customers[CustomerID],Customers[City])</f>
        <v>Texas</v>
      </c>
      <c r="N230" t="str">
        <f>_xlfn.XLOOKUP(Orders[[#This Row],[CustomerID]],Customers[CustomerID],Customers[CustomerName])</f>
        <v>Zainab Abubakar</v>
      </c>
      <c r="O230" t="str">
        <f>_xlfn.XLOOKUP(Orders[[#This Row],[CustomerID]],Customers[CustomerID],Customers[Gender])</f>
        <v>Female</v>
      </c>
      <c r="P230">
        <f>_xlfn.XLOOKUP(Orders[[#This Row],[CustomerID]],Customers[CustomerID],Customers[CustomerAge])</f>
        <v>33</v>
      </c>
      <c r="Q230" t="str">
        <f>IF(Orders[[#This Row],[Age]]&gt;=35,"older","young")</f>
        <v>young</v>
      </c>
      <c r="R230" t="str">
        <f>_xlfn.XLOOKUP(Orders[[#This Row],[ProductID]],Products[ProductID],Products[ProductName])</f>
        <v>ANKARA</v>
      </c>
      <c r="S230" t="str">
        <f>_xlfn.XLOOKUP(Orders[[#This Row],[ProductID]],Products!A:A,Products!C:C)</f>
        <v>Clothing</v>
      </c>
    </row>
    <row r="231" spans="1:19" x14ac:dyDescent="0.2">
      <c r="A231" s="4" t="s">
        <v>391</v>
      </c>
      <c r="B231" s="5">
        <v>45989</v>
      </c>
      <c r="C231" s="15">
        <f>WEEKNUM(Orders[[#This Row],[OrderDate]])</f>
        <v>48</v>
      </c>
      <c r="D231" s="4" t="s">
        <v>146</v>
      </c>
      <c r="E231" s="4" t="s">
        <v>81</v>
      </c>
      <c r="F231" s="4">
        <v>10</v>
      </c>
      <c r="G231" s="4">
        <v>9329.5</v>
      </c>
      <c r="H231">
        <v>7930.0749999999998</v>
      </c>
      <c r="I231">
        <f>Orders[[#This Row],[Quantity]]*Orders[[#This Row],[Selling Price]]</f>
        <v>93295</v>
      </c>
      <c r="J231">
        <f>Orders[[#This Row],[Quantity]]*Orders[[#This Row],[Cost Price]]</f>
        <v>79300.75</v>
      </c>
      <c r="K231">
        <f>Orders[[#This Row],[Revenue]]-Orders[[#This Row],[Expenses]]</f>
        <v>13994.25</v>
      </c>
      <c r="L231" t="s">
        <v>2199</v>
      </c>
      <c r="M231" t="str">
        <f>_xlfn.XLOOKUP(Orders[[#This Row],[CustomerID]],Customers[CustomerID],Customers[City])</f>
        <v>Texas</v>
      </c>
      <c r="N231" t="str">
        <f>_xlfn.XLOOKUP(Orders[[#This Row],[CustomerID]],Customers[CustomerID],Customers[CustomerName])</f>
        <v>Mustafa Igwe</v>
      </c>
      <c r="O231" t="str">
        <f>_xlfn.XLOOKUP(Orders[[#This Row],[CustomerID]],Customers[CustomerID],Customers[Gender])</f>
        <v>Male</v>
      </c>
      <c r="P231">
        <f>_xlfn.XLOOKUP(Orders[[#This Row],[CustomerID]],Customers[CustomerID],Customers[CustomerAge])</f>
        <v>27</v>
      </c>
      <c r="Q231" t="str">
        <f>IF(Orders[[#This Row],[Age]]&gt;=35,"older","young")</f>
        <v>young</v>
      </c>
      <c r="R231" t="str">
        <f>_xlfn.XLOOKUP(Orders[[#This Row],[ProductID]],Products[ProductID],Products[ProductName])</f>
        <v>TROUSERS</v>
      </c>
      <c r="S231" t="str">
        <f>_xlfn.XLOOKUP(Orders[[#This Row],[ProductID]],Products!A:A,Products!C:C)</f>
        <v>Clothing</v>
      </c>
    </row>
    <row r="232" spans="1:19" x14ac:dyDescent="0.2">
      <c r="A232" s="4" t="s">
        <v>392</v>
      </c>
      <c r="B232" s="5">
        <v>45945</v>
      </c>
      <c r="C232" s="15">
        <f>WEEKNUM(Orders[[#This Row],[OrderDate]])</f>
        <v>42</v>
      </c>
      <c r="D232" s="4" t="s">
        <v>154</v>
      </c>
      <c r="E232" s="4" t="s">
        <v>130</v>
      </c>
      <c r="F232" s="4">
        <v>2</v>
      </c>
      <c r="G232" s="4">
        <v>11240</v>
      </c>
      <c r="H232">
        <v>9554</v>
      </c>
      <c r="I232">
        <f>Orders[[#This Row],[Quantity]]*Orders[[#This Row],[Selling Price]]</f>
        <v>22480</v>
      </c>
      <c r="J232">
        <f>Orders[[#This Row],[Quantity]]*Orders[[#This Row],[Cost Price]]</f>
        <v>19108</v>
      </c>
      <c r="K232">
        <f>Orders[[#This Row],[Revenue]]-Orders[[#This Row],[Expenses]]</f>
        <v>3372</v>
      </c>
      <c r="L232" t="s">
        <v>2198</v>
      </c>
      <c r="M232" t="str">
        <f>_xlfn.XLOOKUP(Orders[[#This Row],[CustomerID]],Customers[CustomerID],Customers[City])</f>
        <v>Illinois</v>
      </c>
      <c r="N232" t="str">
        <f>_xlfn.XLOOKUP(Orders[[#This Row],[CustomerID]],Customers[CustomerID],Customers[CustomerName])</f>
        <v>Ronke Danladi</v>
      </c>
      <c r="O232" t="str">
        <f>_xlfn.XLOOKUP(Orders[[#This Row],[CustomerID]],Customers[CustomerID],Customers[Gender])</f>
        <v>Female</v>
      </c>
      <c r="P232">
        <f>_xlfn.XLOOKUP(Orders[[#This Row],[CustomerID]],Customers[CustomerID],Customers[CustomerAge])</f>
        <v>46</v>
      </c>
      <c r="Q232" t="str">
        <f>IF(Orders[[#This Row],[Age]]&gt;=35,"older","young")</f>
        <v>older</v>
      </c>
      <c r="R232" t="str">
        <f>_xlfn.XLOOKUP(Orders[[#This Row],[ProductID]],Products[ProductID],Products[ProductName])</f>
        <v>GOLD EARRINGS AND NECKLACES</v>
      </c>
      <c r="S232" t="str">
        <f>_xlfn.XLOOKUP(Orders[[#This Row],[ProductID]],Products!A:A,Products!C:C)</f>
        <v>Accessories</v>
      </c>
    </row>
    <row r="233" spans="1:19" x14ac:dyDescent="0.2">
      <c r="A233" s="4" t="s">
        <v>393</v>
      </c>
      <c r="B233" s="5">
        <v>46000</v>
      </c>
      <c r="C233" s="15">
        <f>WEEKNUM(Orders[[#This Row],[OrderDate]])</f>
        <v>50</v>
      </c>
      <c r="D233" s="4" t="s">
        <v>305</v>
      </c>
      <c r="E233" s="4" t="s">
        <v>189</v>
      </c>
      <c r="F233" s="4">
        <v>10</v>
      </c>
      <c r="G233" s="4">
        <v>8056.5</v>
      </c>
      <c r="H233">
        <v>6848.0249999999996</v>
      </c>
      <c r="I233">
        <f>Orders[[#This Row],[Quantity]]*Orders[[#This Row],[Selling Price]]</f>
        <v>80565</v>
      </c>
      <c r="J233">
        <f>Orders[[#This Row],[Quantity]]*Orders[[#This Row],[Cost Price]]</f>
        <v>68480.25</v>
      </c>
      <c r="K233">
        <f>Orders[[#This Row],[Revenue]]-Orders[[#This Row],[Expenses]]</f>
        <v>12084.75</v>
      </c>
      <c r="L233" t="s">
        <v>2198</v>
      </c>
      <c r="M233" t="str">
        <f>_xlfn.XLOOKUP(Orders[[#This Row],[CustomerID]],Customers[CustomerID],Customers[City])</f>
        <v>California</v>
      </c>
      <c r="N233" t="str">
        <f>_xlfn.XLOOKUP(Orders[[#This Row],[CustomerID]],Customers[CustomerID],Customers[CustomerName])</f>
        <v>Tunde Danladi</v>
      </c>
      <c r="O233" t="str">
        <f>_xlfn.XLOOKUP(Orders[[#This Row],[CustomerID]],Customers[CustomerID],Customers[Gender])</f>
        <v>Male</v>
      </c>
      <c r="P233">
        <f>_xlfn.XLOOKUP(Orders[[#This Row],[CustomerID]],Customers[CustomerID],Customers[CustomerAge])</f>
        <v>40</v>
      </c>
      <c r="Q233" t="str">
        <f>IF(Orders[[#This Row],[Age]]&gt;=35,"older","young")</f>
        <v>older</v>
      </c>
      <c r="R233" t="str">
        <f>_xlfn.XLOOKUP(Orders[[#This Row],[ProductID]],Products[ProductID],Products[ProductName])</f>
        <v>SCRABBLE</v>
      </c>
      <c r="S233" t="str">
        <f>_xlfn.XLOOKUP(Orders[[#This Row],[ProductID]],Products!A:A,Products!C:C)</f>
        <v>Games</v>
      </c>
    </row>
    <row r="234" spans="1:19" x14ac:dyDescent="0.2">
      <c r="A234" s="4" t="s">
        <v>394</v>
      </c>
      <c r="B234" s="5">
        <v>46010</v>
      </c>
      <c r="C234" s="15">
        <f>WEEKNUM(Orders[[#This Row],[OrderDate]])</f>
        <v>51</v>
      </c>
      <c r="D234" s="4" t="s">
        <v>340</v>
      </c>
      <c r="E234" s="4" t="s">
        <v>28</v>
      </c>
      <c r="F234" s="4">
        <v>8</v>
      </c>
      <c r="G234" s="4">
        <v>8613.4</v>
      </c>
      <c r="H234">
        <v>7321.3899999999994</v>
      </c>
      <c r="I234">
        <f>Orders[[#This Row],[Quantity]]*Orders[[#This Row],[Selling Price]]</f>
        <v>68907.199999999997</v>
      </c>
      <c r="J234">
        <f>Orders[[#This Row],[Quantity]]*Orders[[#This Row],[Cost Price]]</f>
        <v>58571.119999999995</v>
      </c>
      <c r="K234">
        <f>Orders[[#This Row],[Revenue]]-Orders[[#This Row],[Expenses]]</f>
        <v>10336.080000000002</v>
      </c>
      <c r="L234" t="s">
        <v>2207</v>
      </c>
      <c r="M234" t="str">
        <f>_xlfn.XLOOKUP(Orders[[#This Row],[CustomerID]],Customers[CustomerID],Customers[City])</f>
        <v>Illinois</v>
      </c>
      <c r="N234" t="str">
        <f>_xlfn.XLOOKUP(Orders[[#This Row],[CustomerID]],Customers[CustomerID],Customers[CustomerName])</f>
        <v>Uche Abubakar</v>
      </c>
      <c r="O234" t="str">
        <f>_xlfn.XLOOKUP(Orders[[#This Row],[CustomerID]],Customers[CustomerID],Customers[Gender])</f>
        <v>Male</v>
      </c>
      <c r="P234">
        <f>_xlfn.XLOOKUP(Orders[[#This Row],[CustomerID]],Customers[CustomerID],Customers[CustomerAge])</f>
        <v>18</v>
      </c>
      <c r="Q234" t="str">
        <f>IF(Orders[[#This Row],[Age]]&gt;=35,"older","young")</f>
        <v>young</v>
      </c>
      <c r="R234" t="str">
        <f>_xlfn.XLOOKUP(Orders[[#This Row],[ProductID]],Products[ProductID],Products[ProductName])</f>
        <v>SNEAKERS</v>
      </c>
      <c r="S234" t="str">
        <f>_xlfn.XLOOKUP(Orders[[#This Row],[ProductID]],Products!A:A,Products!C:C)</f>
        <v>Sports</v>
      </c>
    </row>
    <row r="235" spans="1:19" x14ac:dyDescent="0.2">
      <c r="A235" s="4" t="s">
        <v>395</v>
      </c>
      <c r="B235" s="5">
        <v>45993</v>
      </c>
      <c r="C235" s="15">
        <f>WEEKNUM(Orders[[#This Row],[OrderDate]])</f>
        <v>49</v>
      </c>
      <c r="D235" s="4" t="s">
        <v>198</v>
      </c>
      <c r="E235" s="4" t="s">
        <v>127</v>
      </c>
      <c r="F235" s="4">
        <v>10</v>
      </c>
      <c r="G235" s="4">
        <v>9284.7999999999993</v>
      </c>
      <c r="H235">
        <v>7892.08</v>
      </c>
      <c r="I235">
        <f>Orders[[#This Row],[Quantity]]*Orders[[#This Row],[Selling Price]]</f>
        <v>92848</v>
      </c>
      <c r="J235">
        <f>Orders[[#This Row],[Quantity]]*Orders[[#This Row],[Cost Price]]</f>
        <v>78920.800000000003</v>
      </c>
      <c r="K235">
        <f>Orders[[#This Row],[Revenue]]-Orders[[#This Row],[Expenses]]</f>
        <v>13927.199999999997</v>
      </c>
      <c r="L235" t="s">
        <v>2215</v>
      </c>
      <c r="M235" t="str">
        <f>_xlfn.XLOOKUP(Orders[[#This Row],[CustomerID]],Customers[CustomerID],Customers[City])</f>
        <v>Texas</v>
      </c>
      <c r="N235" t="str">
        <f>_xlfn.XLOOKUP(Orders[[#This Row],[CustomerID]],Customers[CustomerID],Customers[CustomerName])</f>
        <v>Blessing Danladi</v>
      </c>
      <c r="O235" t="str">
        <f>_xlfn.XLOOKUP(Orders[[#This Row],[CustomerID]],Customers[CustomerID],Customers[Gender])</f>
        <v>Female</v>
      </c>
      <c r="P235">
        <f>_xlfn.XLOOKUP(Orders[[#This Row],[CustomerID]],Customers[CustomerID],Customers[CustomerAge])</f>
        <v>19</v>
      </c>
      <c r="Q235" t="str">
        <f>IF(Orders[[#This Row],[Age]]&gt;=35,"older","young")</f>
        <v>young</v>
      </c>
      <c r="R235" t="str">
        <f>_xlfn.XLOOKUP(Orders[[#This Row],[ProductID]],Products[ProductID],Products[ProductName])</f>
        <v>TOPS</v>
      </c>
      <c r="S235" t="str">
        <f>_xlfn.XLOOKUP(Orders[[#This Row],[ProductID]],Products!A:A,Products!C:C)</f>
        <v>Clothing</v>
      </c>
    </row>
    <row r="236" spans="1:19" x14ac:dyDescent="0.2">
      <c r="A236" s="4" t="s">
        <v>396</v>
      </c>
      <c r="B236" s="5">
        <v>45954</v>
      </c>
      <c r="C236" s="15">
        <f>WEEKNUM(Orders[[#This Row],[OrderDate]])</f>
        <v>43</v>
      </c>
      <c r="D236" s="4" t="s">
        <v>105</v>
      </c>
      <c r="E236" s="4" t="s">
        <v>151</v>
      </c>
      <c r="F236" s="4">
        <v>8</v>
      </c>
      <c r="G236" s="4">
        <v>11140.1</v>
      </c>
      <c r="H236">
        <v>9469.0850000000009</v>
      </c>
      <c r="I236">
        <f>Orders[[#This Row],[Quantity]]*Orders[[#This Row],[Selling Price]]</f>
        <v>89120.8</v>
      </c>
      <c r="J236">
        <f>Orders[[#This Row],[Quantity]]*Orders[[#This Row],[Cost Price]]</f>
        <v>75752.680000000008</v>
      </c>
      <c r="K236">
        <f>Orders[[#This Row],[Revenue]]-Orders[[#This Row],[Expenses]]</f>
        <v>13368.119999999995</v>
      </c>
      <c r="L236" t="s">
        <v>2201</v>
      </c>
      <c r="M236" t="str">
        <f>_xlfn.XLOOKUP(Orders[[#This Row],[CustomerID]],Customers[CustomerID],Customers[City])</f>
        <v>Georgia</v>
      </c>
      <c r="N236" t="str">
        <f>_xlfn.XLOOKUP(Orders[[#This Row],[CustomerID]],Customers[CustomerID],Customers[CustomerName])</f>
        <v>Folasade Adeyemi</v>
      </c>
      <c r="O236" t="str">
        <f>_xlfn.XLOOKUP(Orders[[#This Row],[CustomerID]],Customers[CustomerID],Customers[Gender])</f>
        <v>Female</v>
      </c>
      <c r="P236">
        <f>_xlfn.XLOOKUP(Orders[[#This Row],[CustomerID]],Customers[CustomerID],Customers[CustomerAge])</f>
        <v>42</v>
      </c>
      <c r="Q236" t="str">
        <f>IF(Orders[[#This Row],[Age]]&gt;=35,"older","young")</f>
        <v>older</v>
      </c>
      <c r="R236" t="str">
        <f>_xlfn.XLOOKUP(Orders[[#This Row],[ProductID]],Products[ProductID],Products[ProductName])</f>
        <v>CHECKERS</v>
      </c>
      <c r="S236" t="str">
        <f>_xlfn.XLOOKUP(Orders[[#This Row],[ProductID]],Products!A:A,Products!C:C)</f>
        <v>Games</v>
      </c>
    </row>
    <row r="237" spans="1:19" x14ac:dyDescent="0.2">
      <c r="A237" s="4" t="s">
        <v>397</v>
      </c>
      <c r="B237" s="5">
        <v>45941</v>
      </c>
      <c r="C237" s="15">
        <f>WEEKNUM(Orders[[#This Row],[OrderDate]])</f>
        <v>41</v>
      </c>
      <c r="D237" s="4" t="s">
        <v>55</v>
      </c>
      <c r="E237" s="4" t="s">
        <v>9</v>
      </c>
      <c r="F237" s="4">
        <v>9</v>
      </c>
      <c r="G237" s="4">
        <v>7904.7000000000007</v>
      </c>
      <c r="H237">
        <v>6718.9950000000008</v>
      </c>
      <c r="I237">
        <f>Orders[[#This Row],[Quantity]]*Orders[[#This Row],[Selling Price]]</f>
        <v>71142.3</v>
      </c>
      <c r="J237">
        <f>Orders[[#This Row],[Quantity]]*Orders[[#This Row],[Cost Price]]</f>
        <v>60470.955000000009</v>
      </c>
      <c r="K237">
        <f>Orders[[#This Row],[Revenue]]-Orders[[#This Row],[Expenses]]</f>
        <v>10671.344999999994</v>
      </c>
      <c r="L237" t="s">
        <v>2205</v>
      </c>
      <c r="M237" t="str">
        <f>_xlfn.XLOOKUP(Orders[[#This Row],[CustomerID]],Customers[CustomerID],Customers[City])</f>
        <v>California</v>
      </c>
      <c r="N237" t="str">
        <f>_xlfn.XLOOKUP(Orders[[#This Row],[CustomerID]],Customers[CustomerID],Customers[CustomerName])</f>
        <v>Adanma Ojo</v>
      </c>
      <c r="O237" t="str">
        <f>_xlfn.XLOOKUP(Orders[[#This Row],[CustomerID]],Customers[CustomerID],Customers[Gender])</f>
        <v>Female</v>
      </c>
      <c r="P237">
        <f>_xlfn.XLOOKUP(Orders[[#This Row],[CustomerID]],Customers[CustomerID],Customers[CustomerAge])</f>
        <v>48</v>
      </c>
      <c r="Q237" t="str">
        <f>IF(Orders[[#This Row],[Age]]&gt;=35,"older","young")</f>
        <v>older</v>
      </c>
      <c r="R237" t="str">
        <f>_xlfn.XLOOKUP(Orders[[#This Row],[ProductID]],Products[ProductID],Products[ProductName])</f>
        <v>BEADED EARRINGS AND NECKLACES</v>
      </c>
      <c r="S237" t="str">
        <f>_xlfn.XLOOKUP(Orders[[#This Row],[ProductID]],Products!A:A,Products!C:C)</f>
        <v>Accessories</v>
      </c>
    </row>
    <row r="238" spans="1:19" x14ac:dyDescent="0.2">
      <c r="A238" s="4" t="s">
        <v>398</v>
      </c>
      <c r="B238" s="5">
        <v>46001</v>
      </c>
      <c r="C238" s="15">
        <f>WEEKNUM(Orders[[#This Row],[OrderDate]])</f>
        <v>50</v>
      </c>
      <c r="D238" s="4" t="s">
        <v>107</v>
      </c>
      <c r="E238" s="4" t="s">
        <v>9</v>
      </c>
      <c r="F238" s="4">
        <v>4</v>
      </c>
      <c r="G238" s="4">
        <v>10932.8</v>
      </c>
      <c r="H238">
        <v>9292.8799999999992</v>
      </c>
      <c r="I238">
        <f>Orders[[#This Row],[Quantity]]*Orders[[#This Row],[Selling Price]]</f>
        <v>43731.199999999997</v>
      </c>
      <c r="J238">
        <f>Orders[[#This Row],[Quantity]]*Orders[[#This Row],[Cost Price]]</f>
        <v>37171.519999999997</v>
      </c>
      <c r="K238">
        <f>Orders[[#This Row],[Revenue]]-Orders[[#This Row],[Expenses]]</f>
        <v>6559.68</v>
      </c>
      <c r="L238" t="s">
        <v>2201</v>
      </c>
      <c r="M238" t="str">
        <f>_xlfn.XLOOKUP(Orders[[#This Row],[CustomerID]],Customers[CustomerID],Customers[City])</f>
        <v>Texas</v>
      </c>
      <c r="N238" t="str">
        <f>_xlfn.XLOOKUP(Orders[[#This Row],[CustomerID]],Customers[CustomerID],Customers[CustomerName])</f>
        <v>Blessing Eze</v>
      </c>
      <c r="O238" t="str">
        <f>_xlfn.XLOOKUP(Orders[[#This Row],[CustomerID]],Customers[CustomerID],Customers[Gender])</f>
        <v>Female</v>
      </c>
      <c r="P238">
        <f>_xlfn.XLOOKUP(Orders[[#This Row],[CustomerID]],Customers[CustomerID],Customers[CustomerAge])</f>
        <v>44</v>
      </c>
      <c r="Q238" t="str">
        <f>IF(Orders[[#This Row],[Age]]&gt;=35,"older","young")</f>
        <v>older</v>
      </c>
      <c r="R238" t="str">
        <f>_xlfn.XLOOKUP(Orders[[#This Row],[ProductID]],Products[ProductID],Products[ProductName])</f>
        <v>BEADED EARRINGS AND NECKLACES</v>
      </c>
      <c r="S238" t="str">
        <f>_xlfn.XLOOKUP(Orders[[#This Row],[ProductID]],Products!A:A,Products!C:C)</f>
        <v>Accessories</v>
      </c>
    </row>
    <row r="239" spans="1:19" x14ac:dyDescent="0.2">
      <c r="A239" s="4" t="s">
        <v>399</v>
      </c>
      <c r="B239" s="5">
        <v>45934</v>
      </c>
      <c r="C239" s="15">
        <f>WEEKNUM(Orders[[#This Row],[OrderDate]])</f>
        <v>40</v>
      </c>
      <c r="D239" s="4" t="s">
        <v>400</v>
      </c>
      <c r="E239" s="4" t="s">
        <v>111</v>
      </c>
      <c r="F239" s="4">
        <v>7</v>
      </c>
      <c r="G239" s="4">
        <v>16840.899999999998</v>
      </c>
      <c r="H239">
        <v>14314.764999999998</v>
      </c>
      <c r="I239">
        <f>Orders[[#This Row],[Quantity]]*Orders[[#This Row],[Selling Price]]</f>
        <v>117886.29999999999</v>
      </c>
      <c r="J239">
        <f>Orders[[#This Row],[Quantity]]*Orders[[#This Row],[Cost Price]]</f>
        <v>100203.35499999998</v>
      </c>
      <c r="K239">
        <f>Orders[[#This Row],[Revenue]]-Orders[[#This Row],[Expenses]]</f>
        <v>17682.945000000007</v>
      </c>
      <c r="L239" t="s">
        <v>2193</v>
      </c>
      <c r="M239" t="str">
        <f>_xlfn.XLOOKUP(Orders[[#This Row],[CustomerID]],Customers[CustomerID],Customers[City])</f>
        <v>Florida</v>
      </c>
      <c r="N239" t="str">
        <f>_xlfn.XLOOKUP(Orders[[#This Row],[CustomerID]],Customers[CustomerID],Customers[CustomerName])</f>
        <v>Obi Igwe</v>
      </c>
      <c r="O239" t="str">
        <f>_xlfn.XLOOKUP(Orders[[#This Row],[CustomerID]],Customers[CustomerID],Customers[Gender])</f>
        <v>Male</v>
      </c>
      <c r="P239">
        <f>_xlfn.XLOOKUP(Orders[[#This Row],[CustomerID]],Customers[CustomerID],Customers[CustomerAge])</f>
        <v>35</v>
      </c>
      <c r="Q239" t="str">
        <f>IF(Orders[[#This Row],[Age]]&gt;=35,"older","young")</f>
        <v>older</v>
      </c>
      <c r="R239" t="str">
        <f>_xlfn.XLOOKUP(Orders[[#This Row],[ProductID]],Products[ProductID],Products[ProductName])</f>
        <v>REFRIGERATOR</v>
      </c>
      <c r="S239" t="str">
        <f>_xlfn.XLOOKUP(Orders[[#This Row],[ProductID]],Products!A:A,Products!C:C)</f>
        <v>Electronics</v>
      </c>
    </row>
    <row r="240" spans="1:19" x14ac:dyDescent="0.2">
      <c r="A240" s="4" t="s">
        <v>401</v>
      </c>
      <c r="B240" s="5">
        <v>46000</v>
      </c>
      <c r="C240" s="15">
        <f>WEEKNUM(Orders[[#This Row],[OrderDate]])</f>
        <v>50</v>
      </c>
      <c r="D240" s="4" t="s">
        <v>320</v>
      </c>
      <c r="E240" s="4" t="s">
        <v>28</v>
      </c>
      <c r="F240" s="4">
        <v>4</v>
      </c>
      <c r="G240" s="4">
        <v>7703</v>
      </c>
      <c r="H240">
        <v>6547.55</v>
      </c>
      <c r="I240">
        <f>Orders[[#This Row],[Quantity]]*Orders[[#This Row],[Selling Price]]</f>
        <v>30812</v>
      </c>
      <c r="J240">
        <f>Orders[[#This Row],[Quantity]]*Orders[[#This Row],[Cost Price]]</f>
        <v>26190.2</v>
      </c>
      <c r="K240">
        <f>Orders[[#This Row],[Revenue]]-Orders[[#This Row],[Expenses]]</f>
        <v>4621.7999999999993</v>
      </c>
      <c r="L240" t="s">
        <v>2198</v>
      </c>
      <c r="M240" t="str">
        <f>_xlfn.XLOOKUP(Orders[[#This Row],[CustomerID]],Customers[CustomerID],Customers[City])</f>
        <v>Texas</v>
      </c>
      <c r="N240" t="str">
        <f>_xlfn.XLOOKUP(Orders[[#This Row],[CustomerID]],Customers[CustomerID],Customers[CustomerName])</f>
        <v>Temi Okonkwo</v>
      </c>
      <c r="O240" t="str">
        <f>_xlfn.XLOOKUP(Orders[[#This Row],[CustomerID]],Customers[CustomerID],Customers[Gender])</f>
        <v>Female</v>
      </c>
      <c r="P240">
        <f>_xlfn.XLOOKUP(Orders[[#This Row],[CustomerID]],Customers[CustomerID],Customers[CustomerAge])</f>
        <v>31</v>
      </c>
      <c r="Q240" t="str">
        <f>IF(Orders[[#This Row],[Age]]&gt;=35,"older","young")</f>
        <v>young</v>
      </c>
      <c r="R240" t="str">
        <f>_xlfn.XLOOKUP(Orders[[#This Row],[ProductID]],Products[ProductID],Products[ProductName])</f>
        <v>SNEAKERS</v>
      </c>
      <c r="S240" t="str">
        <f>_xlfn.XLOOKUP(Orders[[#This Row],[ProductID]],Products!A:A,Products!C:C)</f>
        <v>Sports</v>
      </c>
    </row>
    <row r="241" spans="1:19" x14ac:dyDescent="0.2">
      <c r="A241" s="4" t="s">
        <v>402</v>
      </c>
      <c r="B241" s="5">
        <v>45953</v>
      </c>
      <c r="C241" s="15">
        <f>WEEKNUM(Orders[[#This Row],[OrderDate]])</f>
        <v>43</v>
      </c>
      <c r="D241" s="4" t="s">
        <v>307</v>
      </c>
      <c r="E241" s="4" t="s">
        <v>76</v>
      </c>
      <c r="F241" s="4">
        <v>5</v>
      </c>
      <c r="G241" s="4">
        <v>8319.6</v>
      </c>
      <c r="H241">
        <v>7071.66</v>
      </c>
      <c r="I241">
        <f>Orders[[#This Row],[Quantity]]*Orders[[#This Row],[Selling Price]]</f>
        <v>41598</v>
      </c>
      <c r="J241">
        <f>Orders[[#This Row],[Quantity]]*Orders[[#This Row],[Cost Price]]</f>
        <v>35358.300000000003</v>
      </c>
      <c r="K241">
        <f>Orders[[#This Row],[Revenue]]-Orders[[#This Row],[Expenses]]</f>
        <v>6239.6999999999971</v>
      </c>
      <c r="L241" t="s">
        <v>2208</v>
      </c>
      <c r="M241" t="str">
        <f>_xlfn.XLOOKUP(Orders[[#This Row],[CustomerID]],Customers[CustomerID],Customers[City])</f>
        <v>Illinois</v>
      </c>
      <c r="N241" t="str">
        <f>_xlfn.XLOOKUP(Orders[[#This Row],[CustomerID]],Customers[CustomerID],Customers[CustomerName])</f>
        <v>Adanma Bello</v>
      </c>
      <c r="O241" t="str">
        <f>_xlfn.XLOOKUP(Orders[[#This Row],[CustomerID]],Customers[CustomerID],Customers[Gender])</f>
        <v>Female</v>
      </c>
      <c r="P241">
        <f>_xlfn.XLOOKUP(Orders[[#This Row],[CustomerID]],Customers[CustomerID],Customers[CustomerAge])</f>
        <v>51</v>
      </c>
      <c r="Q241" t="str">
        <f>IF(Orders[[#This Row],[Age]]&gt;=35,"older","young")</f>
        <v>older</v>
      </c>
      <c r="R241" t="str">
        <f>_xlfn.XLOOKUP(Orders[[#This Row],[ProductID]],Products[ProductID],Products[ProductName])</f>
        <v>BLENDER</v>
      </c>
      <c r="S241" t="str">
        <f>_xlfn.XLOOKUP(Orders[[#This Row],[ProductID]],Products!A:A,Products!C:C)</f>
        <v>Electronics</v>
      </c>
    </row>
    <row r="242" spans="1:19" x14ac:dyDescent="0.2">
      <c r="A242" s="4" t="s">
        <v>403</v>
      </c>
      <c r="B242" s="5">
        <v>45997</v>
      </c>
      <c r="C242" s="15">
        <f>WEEKNUM(Orders[[#This Row],[OrderDate]])</f>
        <v>49</v>
      </c>
      <c r="D242" s="4" t="s">
        <v>186</v>
      </c>
      <c r="E242" s="4" t="s">
        <v>34</v>
      </c>
      <c r="F242" s="4">
        <v>6</v>
      </c>
      <c r="G242" s="4">
        <v>1914.5</v>
      </c>
      <c r="H242">
        <v>1627.325</v>
      </c>
      <c r="I242">
        <f>Orders[[#This Row],[Quantity]]*Orders[[#This Row],[Selling Price]]</f>
        <v>11487</v>
      </c>
      <c r="J242">
        <f>Orders[[#This Row],[Quantity]]*Orders[[#This Row],[Cost Price]]</f>
        <v>9763.9500000000007</v>
      </c>
      <c r="K242">
        <f>Orders[[#This Row],[Revenue]]-Orders[[#This Row],[Expenses]]</f>
        <v>1723.0499999999993</v>
      </c>
      <c r="L242" t="s">
        <v>2193</v>
      </c>
      <c r="M242" t="str">
        <f>_xlfn.XLOOKUP(Orders[[#This Row],[CustomerID]],Customers[CustomerID],Customers[City])</f>
        <v>Texas</v>
      </c>
      <c r="N242" t="str">
        <f>_xlfn.XLOOKUP(Orders[[#This Row],[CustomerID]],Customers[CustomerID],Customers[CustomerName])</f>
        <v>Ronke Eze</v>
      </c>
      <c r="O242" t="str">
        <f>_xlfn.XLOOKUP(Orders[[#This Row],[CustomerID]],Customers[CustomerID],Customers[Gender])</f>
        <v>Female</v>
      </c>
      <c r="P242">
        <f>_xlfn.XLOOKUP(Orders[[#This Row],[CustomerID]],Customers[CustomerID],Customers[CustomerAge])</f>
        <v>37</v>
      </c>
      <c r="Q242" t="str">
        <f>IF(Orders[[#This Row],[Age]]&gt;=35,"older","young")</f>
        <v>older</v>
      </c>
      <c r="R242" t="str">
        <f>_xlfn.XLOOKUP(Orders[[#This Row],[ProductID]],Products[ProductID],Products[ProductName])</f>
        <v>GOLD BRACELETS</v>
      </c>
      <c r="S242" t="str">
        <f>_xlfn.XLOOKUP(Orders[[#This Row],[ProductID]],Products!A:A,Products!C:C)</f>
        <v>Accessories</v>
      </c>
    </row>
    <row r="243" spans="1:19" x14ac:dyDescent="0.2">
      <c r="A243" s="4" t="s">
        <v>404</v>
      </c>
      <c r="B243" s="5">
        <v>45933</v>
      </c>
      <c r="C243" s="15">
        <f>WEEKNUM(Orders[[#This Row],[OrderDate]])</f>
        <v>40</v>
      </c>
      <c r="D243" s="4" t="s">
        <v>198</v>
      </c>
      <c r="E243" s="4" t="s">
        <v>253</v>
      </c>
      <c r="F243" s="4">
        <v>4</v>
      </c>
      <c r="G243" s="4">
        <v>2987.7999999999997</v>
      </c>
      <c r="H243">
        <v>2539.6299999999997</v>
      </c>
      <c r="I243">
        <f>Orders[[#This Row],[Quantity]]*Orders[[#This Row],[Selling Price]]</f>
        <v>11951.199999999999</v>
      </c>
      <c r="J243">
        <f>Orders[[#This Row],[Quantity]]*Orders[[#This Row],[Cost Price]]</f>
        <v>10158.519999999999</v>
      </c>
      <c r="K243">
        <f>Orders[[#This Row],[Revenue]]-Orders[[#This Row],[Expenses]]</f>
        <v>1792.6800000000003</v>
      </c>
      <c r="L243" t="s">
        <v>2211</v>
      </c>
      <c r="M243" t="str">
        <f>_xlfn.XLOOKUP(Orders[[#This Row],[CustomerID]],Customers[CustomerID],Customers[City])</f>
        <v>Texas</v>
      </c>
      <c r="N243" t="str">
        <f>_xlfn.XLOOKUP(Orders[[#This Row],[CustomerID]],Customers[CustomerID],Customers[CustomerName])</f>
        <v>Blessing Danladi</v>
      </c>
      <c r="O243" t="str">
        <f>_xlfn.XLOOKUP(Orders[[#This Row],[CustomerID]],Customers[CustomerID],Customers[Gender])</f>
        <v>Female</v>
      </c>
      <c r="P243">
        <f>_xlfn.XLOOKUP(Orders[[#This Row],[CustomerID]],Customers[CustomerID],Customers[CustomerAge])</f>
        <v>19</v>
      </c>
      <c r="Q243" t="str">
        <f>IF(Orders[[#This Row],[Age]]&gt;=35,"older","young")</f>
        <v>young</v>
      </c>
      <c r="R243" t="str">
        <f>_xlfn.XLOOKUP(Orders[[#This Row],[ProductID]],Products[ProductID],Products[ProductName])</f>
        <v>NOSE RINGS</v>
      </c>
      <c r="S243" t="str">
        <f>_xlfn.XLOOKUP(Orders[[#This Row],[ProductID]],Products!A:A,Products!C:C)</f>
        <v>Accessories</v>
      </c>
    </row>
    <row r="244" spans="1:19" x14ac:dyDescent="0.2">
      <c r="A244" s="4" t="s">
        <v>405</v>
      </c>
      <c r="B244" s="5">
        <v>45983</v>
      </c>
      <c r="C244" s="15">
        <f>WEEKNUM(Orders[[#This Row],[OrderDate]])</f>
        <v>47</v>
      </c>
      <c r="D244" s="4" t="s">
        <v>260</v>
      </c>
      <c r="E244" s="4" t="s">
        <v>31</v>
      </c>
      <c r="F244" s="4">
        <v>2</v>
      </c>
      <c r="G244" s="4">
        <v>2436.3999999999996</v>
      </c>
      <c r="H244">
        <v>2070.9399999999996</v>
      </c>
      <c r="I244">
        <f>Orders[[#This Row],[Quantity]]*Orders[[#This Row],[Selling Price]]</f>
        <v>4872.7999999999993</v>
      </c>
      <c r="J244">
        <f>Orders[[#This Row],[Quantity]]*Orders[[#This Row],[Cost Price]]</f>
        <v>4141.8799999999992</v>
      </c>
      <c r="K244">
        <f>Orders[[#This Row],[Revenue]]-Orders[[#This Row],[Expenses]]</f>
        <v>730.92000000000007</v>
      </c>
      <c r="L244" t="s">
        <v>2199</v>
      </c>
      <c r="M244" t="str">
        <f>_xlfn.XLOOKUP(Orders[[#This Row],[CustomerID]],Customers[CustomerID],Customers[City])</f>
        <v>Florida</v>
      </c>
      <c r="N244" t="str">
        <f>_xlfn.XLOOKUP(Orders[[#This Row],[CustomerID]],Customers[CustomerID],Customers[CustomerName])</f>
        <v>Amina Obi</v>
      </c>
      <c r="O244" t="str">
        <f>_xlfn.XLOOKUP(Orders[[#This Row],[CustomerID]],Customers[CustomerID],Customers[Gender])</f>
        <v>Female</v>
      </c>
      <c r="P244">
        <f>_xlfn.XLOOKUP(Orders[[#This Row],[CustomerID]],Customers[CustomerID],Customers[CustomerAge])</f>
        <v>29</v>
      </c>
      <c r="Q244" t="str">
        <f>IF(Orders[[#This Row],[Age]]&gt;=35,"older","young")</f>
        <v>young</v>
      </c>
      <c r="R244" t="str">
        <f>_xlfn.XLOOKUP(Orders[[#This Row],[ProductID]],Products[ProductID],Products[ProductName])</f>
        <v>KIDS GAMES</v>
      </c>
      <c r="S244" t="str">
        <f>_xlfn.XLOOKUP(Orders[[#This Row],[ProductID]],Products!A:A,Products!C:C)</f>
        <v>Games</v>
      </c>
    </row>
    <row r="245" spans="1:19" x14ac:dyDescent="0.2">
      <c r="A245" s="4" t="s">
        <v>406</v>
      </c>
      <c r="B245" s="5">
        <v>45969</v>
      </c>
      <c r="C245" s="15">
        <f>WEEKNUM(Orders[[#This Row],[OrderDate]])</f>
        <v>45</v>
      </c>
      <c r="D245" s="4" t="s">
        <v>159</v>
      </c>
      <c r="E245" s="4" t="s">
        <v>63</v>
      </c>
      <c r="F245" s="4">
        <v>9</v>
      </c>
      <c r="G245" s="4">
        <v>7042.4</v>
      </c>
      <c r="H245">
        <v>5986.04</v>
      </c>
      <c r="I245">
        <f>Orders[[#This Row],[Quantity]]*Orders[[#This Row],[Selling Price]]</f>
        <v>63381.599999999999</v>
      </c>
      <c r="J245">
        <f>Orders[[#This Row],[Quantity]]*Orders[[#This Row],[Cost Price]]</f>
        <v>53874.36</v>
      </c>
      <c r="K245">
        <f>Orders[[#This Row],[Revenue]]-Orders[[#This Row],[Expenses]]</f>
        <v>9507.239999999998</v>
      </c>
      <c r="L245" t="s">
        <v>2216</v>
      </c>
      <c r="M245" t="str">
        <f>_xlfn.XLOOKUP(Orders[[#This Row],[CustomerID]],Customers[CustomerID],Customers[City])</f>
        <v>Florida</v>
      </c>
      <c r="N245" t="str">
        <f>_xlfn.XLOOKUP(Orders[[#This Row],[CustomerID]],Customers[CustomerID],Customers[CustomerName])</f>
        <v>Ibrahim Okonkwo</v>
      </c>
      <c r="O245" t="str">
        <f>_xlfn.XLOOKUP(Orders[[#This Row],[CustomerID]],Customers[CustomerID],Customers[Gender])</f>
        <v>Male</v>
      </c>
      <c r="P245">
        <f>_xlfn.XLOOKUP(Orders[[#This Row],[CustomerID]],Customers[CustomerID],Customers[CustomerAge])</f>
        <v>49</v>
      </c>
      <c r="Q245" t="str">
        <f>IF(Orders[[#This Row],[Age]]&gt;=35,"older","young")</f>
        <v>older</v>
      </c>
      <c r="R245" t="str">
        <f>_xlfn.XLOOKUP(Orders[[#This Row],[ProductID]],Products[ProductID],Products[ProductName])</f>
        <v>TENNIS BAT</v>
      </c>
      <c r="S245" t="str">
        <f>_xlfn.XLOOKUP(Orders[[#This Row],[ProductID]],Products!A:A,Products!C:C)</f>
        <v>Sports</v>
      </c>
    </row>
    <row r="246" spans="1:19" x14ac:dyDescent="0.2">
      <c r="A246" s="4" t="s">
        <v>407</v>
      </c>
      <c r="B246" s="5">
        <v>46007</v>
      </c>
      <c r="C246" s="15">
        <f>WEEKNUM(Orders[[#This Row],[OrderDate]])</f>
        <v>51</v>
      </c>
      <c r="D246" s="4" t="s">
        <v>275</v>
      </c>
      <c r="E246" s="4" t="s">
        <v>151</v>
      </c>
      <c r="F246" s="4">
        <v>4</v>
      </c>
      <c r="G246" s="4">
        <v>14190.599999999999</v>
      </c>
      <c r="H246">
        <v>12062.009999999998</v>
      </c>
      <c r="I246">
        <f>Orders[[#This Row],[Quantity]]*Orders[[#This Row],[Selling Price]]</f>
        <v>56762.399999999994</v>
      </c>
      <c r="J246">
        <f>Orders[[#This Row],[Quantity]]*Orders[[#This Row],[Cost Price]]</f>
        <v>48248.039999999994</v>
      </c>
      <c r="K246">
        <f>Orders[[#This Row],[Revenue]]-Orders[[#This Row],[Expenses]]</f>
        <v>8514.36</v>
      </c>
      <c r="L246" t="s">
        <v>2194</v>
      </c>
      <c r="M246" t="str">
        <f>_xlfn.XLOOKUP(Orders[[#This Row],[CustomerID]],Customers[CustomerID],Customers[City])</f>
        <v>Texas</v>
      </c>
      <c r="N246" t="str">
        <f>_xlfn.XLOOKUP(Orders[[#This Row],[CustomerID]],Customers[CustomerID],Customers[CustomerName])</f>
        <v>Ngozi Danladi</v>
      </c>
      <c r="O246" t="str">
        <f>_xlfn.XLOOKUP(Orders[[#This Row],[CustomerID]],Customers[CustomerID],Customers[Gender])</f>
        <v>Female</v>
      </c>
      <c r="P246">
        <f>_xlfn.XLOOKUP(Orders[[#This Row],[CustomerID]],Customers[CustomerID],Customers[CustomerAge])</f>
        <v>25</v>
      </c>
      <c r="Q246" t="str">
        <f>IF(Orders[[#This Row],[Age]]&gt;=35,"older","young")</f>
        <v>young</v>
      </c>
      <c r="R246" t="str">
        <f>_xlfn.XLOOKUP(Orders[[#This Row],[ProductID]],Products[ProductID],Products[ProductName])</f>
        <v>CHECKERS</v>
      </c>
      <c r="S246" t="str">
        <f>_xlfn.XLOOKUP(Orders[[#This Row],[ProductID]],Products!A:A,Products!C:C)</f>
        <v>Games</v>
      </c>
    </row>
    <row r="247" spans="1:19" x14ac:dyDescent="0.2">
      <c r="A247" s="4" t="s">
        <v>408</v>
      </c>
      <c r="B247" s="5">
        <v>45952</v>
      </c>
      <c r="C247" s="15">
        <f>WEEKNUM(Orders[[#This Row],[OrderDate]])</f>
        <v>43</v>
      </c>
      <c r="D247" s="4" t="s">
        <v>136</v>
      </c>
      <c r="E247" s="4" t="s">
        <v>81</v>
      </c>
      <c r="F247" s="4">
        <v>2</v>
      </c>
      <c r="G247" s="4">
        <v>12676.5</v>
      </c>
      <c r="H247">
        <v>10775.025</v>
      </c>
      <c r="I247">
        <f>Orders[[#This Row],[Quantity]]*Orders[[#This Row],[Selling Price]]</f>
        <v>25353</v>
      </c>
      <c r="J247">
        <f>Orders[[#This Row],[Quantity]]*Orders[[#This Row],[Cost Price]]</f>
        <v>21550.05</v>
      </c>
      <c r="K247">
        <f>Orders[[#This Row],[Revenue]]-Orders[[#This Row],[Expenses]]</f>
        <v>3802.9500000000007</v>
      </c>
      <c r="L247" t="s">
        <v>2218</v>
      </c>
      <c r="M247" t="str">
        <f>_xlfn.XLOOKUP(Orders[[#This Row],[CustomerID]],Customers[CustomerID],Customers[City])</f>
        <v>California</v>
      </c>
      <c r="N247" t="str">
        <f>_xlfn.XLOOKUP(Orders[[#This Row],[CustomerID]],Customers[CustomerID],Customers[CustomerName])</f>
        <v>Chinedu Obi</v>
      </c>
      <c r="O247" t="str">
        <f>_xlfn.XLOOKUP(Orders[[#This Row],[CustomerID]],Customers[CustomerID],Customers[Gender])</f>
        <v>Male</v>
      </c>
      <c r="P247">
        <f>_xlfn.XLOOKUP(Orders[[#This Row],[CustomerID]],Customers[CustomerID],Customers[CustomerAge])</f>
        <v>27</v>
      </c>
      <c r="Q247" t="str">
        <f>IF(Orders[[#This Row],[Age]]&gt;=35,"older","young")</f>
        <v>young</v>
      </c>
      <c r="R247" t="str">
        <f>_xlfn.XLOOKUP(Orders[[#This Row],[ProductID]],Products[ProductID],Products[ProductName])</f>
        <v>TROUSERS</v>
      </c>
      <c r="S247" t="str">
        <f>_xlfn.XLOOKUP(Orders[[#This Row],[ProductID]],Products!A:A,Products!C:C)</f>
        <v>Clothing</v>
      </c>
    </row>
    <row r="248" spans="1:19" x14ac:dyDescent="0.2">
      <c r="A248" s="4" t="s">
        <v>409</v>
      </c>
      <c r="B248" s="5">
        <v>46016</v>
      </c>
      <c r="C248" s="15">
        <f>WEEKNUM(Orders[[#This Row],[OrderDate]])</f>
        <v>52</v>
      </c>
      <c r="D248" s="4" t="s">
        <v>410</v>
      </c>
      <c r="E248" s="4" t="s">
        <v>37</v>
      </c>
      <c r="F248" s="4">
        <v>5</v>
      </c>
      <c r="G248" s="4">
        <v>17069.8</v>
      </c>
      <c r="H248">
        <v>14509.33</v>
      </c>
      <c r="I248">
        <f>Orders[[#This Row],[Quantity]]*Orders[[#This Row],[Selling Price]]</f>
        <v>85349</v>
      </c>
      <c r="J248">
        <f>Orders[[#This Row],[Quantity]]*Orders[[#This Row],[Cost Price]]</f>
        <v>72546.649999999994</v>
      </c>
      <c r="K248">
        <f>Orders[[#This Row],[Revenue]]-Orders[[#This Row],[Expenses]]</f>
        <v>12802.350000000006</v>
      </c>
      <c r="L248" t="s">
        <v>2194</v>
      </c>
      <c r="M248" t="str">
        <f>_xlfn.XLOOKUP(Orders[[#This Row],[CustomerID]],Customers[CustomerID],Customers[City])</f>
        <v>Texas</v>
      </c>
      <c r="N248" t="str">
        <f>_xlfn.XLOOKUP(Orders[[#This Row],[CustomerID]],Customers[CustomerID],Customers[CustomerName])</f>
        <v>Jane Thomas</v>
      </c>
      <c r="O248" t="str">
        <f>_xlfn.XLOOKUP(Orders[[#This Row],[CustomerID]],Customers[CustomerID],Customers[Gender])</f>
        <v>Male</v>
      </c>
      <c r="P248">
        <f>_xlfn.XLOOKUP(Orders[[#This Row],[CustomerID]],Customers[CustomerID],Customers[CustomerAge])</f>
        <v>21</v>
      </c>
      <c r="Q248" t="str">
        <f>IF(Orders[[#This Row],[Age]]&gt;=35,"older","young")</f>
        <v>young</v>
      </c>
      <c r="R248" t="str">
        <f>_xlfn.XLOOKUP(Orders[[#This Row],[ProductID]],Products[ProductID],Products[ProductName])</f>
        <v>IRON</v>
      </c>
      <c r="S248" t="str">
        <f>_xlfn.XLOOKUP(Orders[[#This Row],[ProductID]],Products!A:A,Products!C:C)</f>
        <v>Electronics</v>
      </c>
    </row>
    <row r="249" spans="1:19" x14ac:dyDescent="0.2">
      <c r="A249" s="4" t="s">
        <v>411</v>
      </c>
      <c r="B249" s="5">
        <v>45957</v>
      </c>
      <c r="C249" s="15">
        <f>WEEKNUM(Orders[[#This Row],[OrderDate]])</f>
        <v>44</v>
      </c>
      <c r="D249" s="4" t="s">
        <v>295</v>
      </c>
      <c r="E249" s="4" t="s">
        <v>76</v>
      </c>
      <c r="F249" s="4">
        <v>5</v>
      </c>
      <c r="G249" s="4">
        <v>19317.900000000001</v>
      </c>
      <c r="H249">
        <v>16420.215</v>
      </c>
      <c r="I249">
        <f>Orders[[#This Row],[Quantity]]*Orders[[#This Row],[Selling Price]]</f>
        <v>96589.5</v>
      </c>
      <c r="J249">
        <f>Orders[[#This Row],[Quantity]]*Orders[[#This Row],[Cost Price]]</f>
        <v>82101.074999999997</v>
      </c>
      <c r="K249">
        <f>Orders[[#This Row],[Revenue]]-Orders[[#This Row],[Expenses]]</f>
        <v>14488.425000000003</v>
      </c>
      <c r="L249" t="s">
        <v>2211</v>
      </c>
      <c r="M249" t="str">
        <f>_xlfn.XLOOKUP(Orders[[#This Row],[CustomerID]],Customers[CustomerID],Customers[City])</f>
        <v>Texas</v>
      </c>
      <c r="N249" t="str">
        <f>_xlfn.XLOOKUP(Orders[[#This Row],[CustomerID]],Customers[CustomerID],Customers[CustomerName])</f>
        <v>Sani Obi</v>
      </c>
      <c r="O249" t="str">
        <f>_xlfn.XLOOKUP(Orders[[#This Row],[CustomerID]],Customers[CustomerID],Customers[Gender])</f>
        <v>Male</v>
      </c>
      <c r="P249">
        <f>_xlfn.XLOOKUP(Orders[[#This Row],[CustomerID]],Customers[CustomerID],Customers[CustomerAge])</f>
        <v>31</v>
      </c>
      <c r="Q249" t="str">
        <f>IF(Orders[[#This Row],[Age]]&gt;=35,"older","young")</f>
        <v>young</v>
      </c>
      <c r="R249" t="str">
        <f>_xlfn.XLOOKUP(Orders[[#This Row],[ProductID]],Products[ProductID],Products[ProductName])</f>
        <v>BLENDER</v>
      </c>
      <c r="S249" t="str">
        <f>_xlfn.XLOOKUP(Orders[[#This Row],[ProductID]],Products!A:A,Products!C:C)</f>
        <v>Electronics</v>
      </c>
    </row>
    <row r="250" spans="1:19" x14ac:dyDescent="0.2">
      <c r="A250" s="4" t="s">
        <v>412</v>
      </c>
      <c r="B250" s="5">
        <v>45975</v>
      </c>
      <c r="C250" s="15">
        <f>WEEKNUM(Orders[[#This Row],[OrderDate]])</f>
        <v>46</v>
      </c>
      <c r="D250" s="4" t="s">
        <v>305</v>
      </c>
      <c r="E250" s="4" t="s">
        <v>120</v>
      </c>
      <c r="F250" s="4">
        <v>10</v>
      </c>
      <c r="G250" s="4">
        <v>18670.899999999998</v>
      </c>
      <c r="H250">
        <v>15870.264999999998</v>
      </c>
      <c r="I250">
        <f>Orders[[#This Row],[Quantity]]*Orders[[#This Row],[Selling Price]]</f>
        <v>186708.99999999997</v>
      </c>
      <c r="J250">
        <f>Orders[[#This Row],[Quantity]]*Orders[[#This Row],[Cost Price]]</f>
        <v>158702.64999999997</v>
      </c>
      <c r="K250">
        <f>Orders[[#This Row],[Revenue]]-Orders[[#This Row],[Expenses]]</f>
        <v>28006.350000000006</v>
      </c>
      <c r="L250" t="s">
        <v>2201</v>
      </c>
      <c r="M250" t="str">
        <f>_xlfn.XLOOKUP(Orders[[#This Row],[CustomerID]],Customers[CustomerID],Customers[City])</f>
        <v>California</v>
      </c>
      <c r="N250" t="str">
        <f>_xlfn.XLOOKUP(Orders[[#This Row],[CustomerID]],Customers[CustomerID],Customers[CustomerName])</f>
        <v>Tunde Danladi</v>
      </c>
      <c r="O250" t="str">
        <f>_xlfn.XLOOKUP(Orders[[#This Row],[CustomerID]],Customers[CustomerID],Customers[Gender])</f>
        <v>Male</v>
      </c>
      <c r="P250">
        <f>_xlfn.XLOOKUP(Orders[[#This Row],[CustomerID]],Customers[CustomerID],Customers[CustomerAge])</f>
        <v>40</v>
      </c>
      <c r="Q250" t="str">
        <f>IF(Orders[[#This Row],[Age]]&gt;=35,"older","young")</f>
        <v>older</v>
      </c>
      <c r="R250" t="str">
        <f>_xlfn.XLOOKUP(Orders[[#This Row],[ProductID]],Products[ProductID],Products[ProductName])</f>
        <v>CHESS</v>
      </c>
      <c r="S250" t="str">
        <f>_xlfn.XLOOKUP(Orders[[#This Row],[ProductID]],Products!A:A,Products!C:C)</f>
        <v>Games</v>
      </c>
    </row>
    <row r="251" spans="1:19" x14ac:dyDescent="0.2">
      <c r="A251" s="4" t="s">
        <v>413</v>
      </c>
      <c r="B251" s="5">
        <v>45980</v>
      </c>
      <c r="C251" s="15">
        <f>WEEKNUM(Orders[[#This Row],[OrderDate]])</f>
        <v>47</v>
      </c>
      <c r="D251" s="4" t="s">
        <v>138</v>
      </c>
      <c r="E251" s="4" t="s">
        <v>63</v>
      </c>
      <c r="F251" s="4">
        <v>3</v>
      </c>
      <c r="G251" s="4">
        <v>11629.9</v>
      </c>
      <c r="H251">
        <v>9885.4149999999991</v>
      </c>
      <c r="I251">
        <f>Orders[[#This Row],[Quantity]]*Orders[[#This Row],[Selling Price]]</f>
        <v>34889.699999999997</v>
      </c>
      <c r="J251">
        <f>Orders[[#This Row],[Quantity]]*Orders[[#This Row],[Cost Price]]</f>
        <v>29656.244999999995</v>
      </c>
      <c r="K251">
        <f>Orders[[#This Row],[Revenue]]-Orders[[#This Row],[Expenses]]</f>
        <v>5233.4550000000017</v>
      </c>
      <c r="L251" t="s">
        <v>2197</v>
      </c>
      <c r="M251" t="str">
        <f>_xlfn.XLOOKUP(Orders[[#This Row],[CustomerID]],Customers[CustomerID],Customers[City])</f>
        <v>Washington</v>
      </c>
      <c r="N251" t="str">
        <f>_xlfn.XLOOKUP(Orders[[#This Row],[CustomerID]],Customers[CustomerID],Customers[CustomerName])</f>
        <v>Efe Adeyemi</v>
      </c>
      <c r="O251" t="str">
        <f>_xlfn.XLOOKUP(Orders[[#This Row],[CustomerID]],Customers[CustomerID],Customers[Gender])</f>
        <v>Female</v>
      </c>
      <c r="P251">
        <f>_xlfn.XLOOKUP(Orders[[#This Row],[CustomerID]],Customers[CustomerID],Customers[CustomerAge])</f>
        <v>22</v>
      </c>
      <c r="Q251" t="str">
        <f>IF(Orders[[#This Row],[Age]]&gt;=35,"older","young")</f>
        <v>young</v>
      </c>
      <c r="R251" t="str">
        <f>_xlfn.XLOOKUP(Orders[[#This Row],[ProductID]],Products[ProductID],Products[ProductName])</f>
        <v>TENNIS BAT</v>
      </c>
      <c r="S251" t="str">
        <f>_xlfn.XLOOKUP(Orders[[#This Row],[ProductID]],Products!A:A,Products!C:C)</f>
        <v>Sports</v>
      </c>
    </row>
    <row r="252" spans="1:19" x14ac:dyDescent="0.2">
      <c r="A252" s="4" t="s">
        <v>414</v>
      </c>
      <c r="B252" s="5">
        <v>45997</v>
      </c>
      <c r="C252" s="15">
        <f>WEEKNUM(Orders[[#This Row],[OrderDate]])</f>
        <v>49</v>
      </c>
      <c r="D252" s="4" t="s">
        <v>302</v>
      </c>
      <c r="E252" s="4" t="s">
        <v>70</v>
      </c>
      <c r="F252" s="4">
        <v>3</v>
      </c>
      <c r="G252" s="4">
        <v>11321.199999999999</v>
      </c>
      <c r="H252">
        <v>9623.0199999999986</v>
      </c>
      <c r="I252">
        <f>Orders[[#This Row],[Quantity]]*Orders[[#This Row],[Selling Price]]</f>
        <v>33963.599999999999</v>
      </c>
      <c r="J252">
        <f>Orders[[#This Row],[Quantity]]*Orders[[#This Row],[Cost Price]]</f>
        <v>28869.059999999998</v>
      </c>
      <c r="K252">
        <f>Orders[[#This Row],[Revenue]]-Orders[[#This Row],[Expenses]]</f>
        <v>5094.5400000000009</v>
      </c>
      <c r="L252" t="s">
        <v>2218</v>
      </c>
      <c r="M252" t="str">
        <f>_xlfn.XLOOKUP(Orders[[#This Row],[CustomerID]],Customers[CustomerID],Customers[City])</f>
        <v>Washington</v>
      </c>
      <c r="N252" t="str">
        <f>_xlfn.XLOOKUP(Orders[[#This Row],[CustomerID]],Customers[CustomerID],Customers[CustomerName])</f>
        <v>Sani Bello</v>
      </c>
      <c r="O252" t="str">
        <f>_xlfn.XLOOKUP(Orders[[#This Row],[CustomerID]],Customers[CustomerID],Customers[Gender])</f>
        <v>Male</v>
      </c>
      <c r="P252">
        <f>_xlfn.XLOOKUP(Orders[[#This Row],[CustomerID]],Customers[CustomerID],Customers[CustomerAge])</f>
        <v>23</v>
      </c>
      <c r="Q252" t="str">
        <f>IF(Orders[[#This Row],[Age]]&gt;=35,"older","young")</f>
        <v>young</v>
      </c>
      <c r="R252" t="str">
        <f>_xlfn.XLOOKUP(Orders[[#This Row],[ProductID]],Products[ProductID],Products[ProductName])</f>
        <v>YOGA MAT</v>
      </c>
      <c r="S252" t="str">
        <f>_xlfn.XLOOKUP(Orders[[#This Row],[ProductID]],Products!A:A,Products!C:C)</f>
        <v>Gym</v>
      </c>
    </row>
    <row r="253" spans="1:19" x14ac:dyDescent="0.2">
      <c r="A253" s="4" t="s">
        <v>415</v>
      </c>
      <c r="B253" s="5">
        <v>46014</v>
      </c>
      <c r="C253" s="15">
        <f>WEEKNUM(Orders[[#This Row],[OrderDate]])</f>
        <v>52</v>
      </c>
      <c r="D253" s="4" t="s">
        <v>416</v>
      </c>
      <c r="E253" s="4" t="s">
        <v>70</v>
      </c>
      <c r="F253" s="4">
        <v>8</v>
      </c>
      <c r="G253" s="4">
        <v>19687</v>
      </c>
      <c r="H253">
        <v>16733.95</v>
      </c>
      <c r="I253">
        <f>Orders[[#This Row],[Quantity]]*Orders[[#This Row],[Selling Price]]</f>
        <v>157496</v>
      </c>
      <c r="J253">
        <f>Orders[[#This Row],[Quantity]]*Orders[[#This Row],[Cost Price]]</f>
        <v>133871.6</v>
      </c>
      <c r="K253">
        <f>Orders[[#This Row],[Revenue]]-Orders[[#This Row],[Expenses]]</f>
        <v>23624.399999999994</v>
      </c>
      <c r="L253" t="s">
        <v>2211</v>
      </c>
      <c r="M253" t="str">
        <f>_xlfn.XLOOKUP(Orders[[#This Row],[CustomerID]],Customers[CustomerID],Customers[City])</f>
        <v>Texas</v>
      </c>
      <c r="N253" t="str">
        <f>_xlfn.XLOOKUP(Orders[[#This Row],[CustomerID]],Customers[CustomerID],Customers[CustomerName])</f>
        <v>Chinedu Igwe</v>
      </c>
      <c r="O253" t="str">
        <f>_xlfn.XLOOKUP(Orders[[#This Row],[CustomerID]],Customers[CustomerID],Customers[Gender])</f>
        <v>Male</v>
      </c>
      <c r="P253">
        <f>_xlfn.XLOOKUP(Orders[[#This Row],[CustomerID]],Customers[CustomerID],Customers[CustomerAge])</f>
        <v>26</v>
      </c>
      <c r="Q253" t="str">
        <f>IF(Orders[[#This Row],[Age]]&gt;=35,"older","young")</f>
        <v>young</v>
      </c>
      <c r="R253" t="str">
        <f>_xlfn.XLOOKUP(Orders[[#This Row],[ProductID]],Products[ProductID],Products[ProductName])</f>
        <v>YOGA MAT</v>
      </c>
      <c r="S253" t="str">
        <f>_xlfn.XLOOKUP(Orders[[#This Row],[ProductID]],Products!A:A,Products!C:C)</f>
        <v>Gym</v>
      </c>
    </row>
    <row r="254" spans="1:19" x14ac:dyDescent="0.2">
      <c r="A254" s="4" t="s">
        <v>417</v>
      </c>
      <c r="B254" s="5">
        <v>46009</v>
      </c>
      <c r="C254" s="15">
        <f>WEEKNUM(Orders[[#This Row],[OrderDate]])</f>
        <v>51</v>
      </c>
      <c r="D254" s="4" t="s">
        <v>418</v>
      </c>
      <c r="E254" s="4" t="s">
        <v>15</v>
      </c>
      <c r="F254" s="4">
        <v>1</v>
      </c>
      <c r="G254" s="4">
        <v>5083.5</v>
      </c>
      <c r="H254">
        <v>4320.9750000000004</v>
      </c>
      <c r="I254">
        <f>Orders[[#This Row],[Quantity]]*Orders[[#This Row],[Selling Price]]</f>
        <v>5083.5</v>
      </c>
      <c r="J254">
        <f>Orders[[#This Row],[Quantity]]*Orders[[#This Row],[Cost Price]]</f>
        <v>4320.9750000000004</v>
      </c>
      <c r="K254">
        <f>Orders[[#This Row],[Revenue]]-Orders[[#This Row],[Expenses]]</f>
        <v>762.52499999999964</v>
      </c>
      <c r="L254" t="s">
        <v>2211</v>
      </c>
      <c r="M254" t="str">
        <f>_xlfn.XLOOKUP(Orders[[#This Row],[CustomerID]],Customers[CustomerID],Customers[City])</f>
        <v>Illinois</v>
      </c>
      <c r="N254" t="str">
        <f>_xlfn.XLOOKUP(Orders[[#This Row],[CustomerID]],Customers[CustomerID],Customers[CustomerName])</f>
        <v>Amina Danladi</v>
      </c>
      <c r="O254" t="str">
        <f>_xlfn.XLOOKUP(Orders[[#This Row],[CustomerID]],Customers[CustomerID],Customers[Gender])</f>
        <v>Female</v>
      </c>
      <c r="P254">
        <f>_xlfn.XLOOKUP(Orders[[#This Row],[CustomerID]],Customers[CustomerID],Customers[CustomerAge])</f>
        <v>20</v>
      </c>
      <c r="Q254" t="str">
        <f>IF(Orders[[#This Row],[Age]]&gt;=35,"older","young")</f>
        <v>young</v>
      </c>
      <c r="R254" t="str">
        <f>_xlfn.XLOOKUP(Orders[[#This Row],[ProductID]],Products[ProductID],Products[ProductName])</f>
        <v>MONOPOLY</v>
      </c>
      <c r="S254" t="str">
        <f>_xlfn.XLOOKUP(Orders[[#This Row],[ProductID]],Products!A:A,Products!C:C)</f>
        <v>Games</v>
      </c>
    </row>
    <row r="255" spans="1:19" x14ac:dyDescent="0.2">
      <c r="A255" s="4" t="s">
        <v>419</v>
      </c>
      <c r="B255" s="5">
        <v>45942</v>
      </c>
      <c r="C255" s="15">
        <f>WEEKNUM(Orders[[#This Row],[OrderDate]])</f>
        <v>42</v>
      </c>
      <c r="D255" s="4" t="s">
        <v>322</v>
      </c>
      <c r="E255" s="4" t="s">
        <v>46</v>
      </c>
      <c r="F255" s="4">
        <v>6</v>
      </c>
      <c r="G255" s="4">
        <v>3567.3</v>
      </c>
      <c r="H255">
        <v>3032.2049999999999</v>
      </c>
      <c r="I255">
        <f>Orders[[#This Row],[Quantity]]*Orders[[#This Row],[Selling Price]]</f>
        <v>21403.800000000003</v>
      </c>
      <c r="J255">
        <f>Orders[[#This Row],[Quantity]]*Orders[[#This Row],[Cost Price]]</f>
        <v>18193.23</v>
      </c>
      <c r="K255">
        <f>Orders[[#This Row],[Revenue]]-Orders[[#This Row],[Expenses]]</f>
        <v>3210.5700000000033</v>
      </c>
      <c r="L255" t="s">
        <v>2215</v>
      </c>
      <c r="M255" t="str">
        <f>_xlfn.XLOOKUP(Orders[[#This Row],[CustomerID]],Customers[CustomerID],Customers[City])</f>
        <v>Washington</v>
      </c>
      <c r="N255" t="str">
        <f>_xlfn.XLOOKUP(Orders[[#This Row],[CustomerID]],Customers[CustomerID],Customers[CustomerName])</f>
        <v>Ngozi Bello</v>
      </c>
      <c r="O255" t="str">
        <f>_xlfn.XLOOKUP(Orders[[#This Row],[CustomerID]],Customers[CustomerID],Customers[Gender])</f>
        <v>Female</v>
      </c>
      <c r="P255">
        <f>_xlfn.XLOOKUP(Orders[[#This Row],[CustomerID]],Customers[CustomerID],Customers[CustomerAge])</f>
        <v>32</v>
      </c>
      <c r="Q255" t="str">
        <f>IF(Orders[[#This Row],[Age]]&gt;=35,"older","young")</f>
        <v>young</v>
      </c>
      <c r="R255" t="str">
        <f>_xlfn.XLOOKUP(Orders[[#This Row],[ProductID]],Products[ProductID],Products[ProductName])</f>
        <v>TURTLE NECK</v>
      </c>
      <c r="S255" t="str">
        <f>_xlfn.XLOOKUP(Orders[[#This Row],[ProductID]],Products!A:A,Products!C:C)</f>
        <v>Clothing</v>
      </c>
    </row>
    <row r="256" spans="1:19" x14ac:dyDescent="0.2">
      <c r="A256" s="4" t="s">
        <v>420</v>
      </c>
      <c r="B256" s="5">
        <v>45940</v>
      </c>
      <c r="C256" s="15">
        <f>WEEKNUM(Orders[[#This Row],[OrderDate]])</f>
        <v>41</v>
      </c>
      <c r="D256" s="4" t="s">
        <v>52</v>
      </c>
      <c r="E256" s="4" t="s">
        <v>25</v>
      </c>
      <c r="F256" s="4">
        <v>6</v>
      </c>
      <c r="G256" s="4">
        <v>9695.2000000000007</v>
      </c>
      <c r="H256">
        <v>8240.92</v>
      </c>
      <c r="I256">
        <f>Orders[[#This Row],[Quantity]]*Orders[[#This Row],[Selling Price]]</f>
        <v>58171.200000000004</v>
      </c>
      <c r="J256">
        <f>Orders[[#This Row],[Quantity]]*Orders[[#This Row],[Cost Price]]</f>
        <v>49445.520000000004</v>
      </c>
      <c r="K256">
        <f>Orders[[#This Row],[Revenue]]-Orders[[#This Row],[Expenses]]</f>
        <v>8725.68</v>
      </c>
      <c r="L256" t="s">
        <v>2192</v>
      </c>
      <c r="M256" t="str">
        <f>_xlfn.XLOOKUP(Orders[[#This Row],[CustomerID]],Customers[CustomerID],Customers[City])</f>
        <v>Texas</v>
      </c>
      <c r="N256" t="str">
        <f>_xlfn.XLOOKUP(Orders[[#This Row],[CustomerID]],Customers[CustomerID],Customers[CustomerName])</f>
        <v>Folasade Ojo</v>
      </c>
      <c r="O256" t="str">
        <f>_xlfn.XLOOKUP(Orders[[#This Row],[CustomerID]],Customers[CustomerID],Customers[Gender])</f>
        <v>Female</v>
      </c>
      <c r="P256">
        <f>_xlfn.XLOOKUP(Orders[[#This Row],[CustomerID]],Customers[CustomerID],Customers[CustomerAge])</f>
        <v>29</v>
      </c>
      <c r="Q256" t="str">
        <f>IF(Orders[[#This Row],[Age]]&gt;=35,"older","young")</f>
        <v>young</v>
      </c>
      <c r="R256" t="str">
        <f>_xlfn.XLOOKUP(Orders[[#This Row],[ProductID]],Products[ProductID],Products[ProductName])</f>
        <v>GOLD RINGS</v>
      </c>
      <c r="S256" t="str">
        <f>_xlfn.XLOOKUP(Orders[[#This Row],[ProductID]],Products!A:A,Products!C:C)</f>
        <v>Accessories</v>
      </c>
    </row>
    <row r="257" spans="1:19" x14ac:dyDescent="0.2">
      <c r="A257" s="4" t="s">
        <v>421</v>
      </c>
      <c r="B257" s="5">
        <v>45997</v>
      </c>
      <c r="C257" s="15">
        <f>WEEKNUM(Orders[[#This Row],[OrderDate]])</f>
        <v>49</v>
      </c>
      <c r="D257" s="4" t="s">
        <v>14</v>
      </c>
      <c r="E257" s="4" t="s">
        <v>92</v>
      </c>
      <c r="F257" s="4">
        <v>3</v>
      </c>
      <c r="G257" s="4">
        <v>8799.9</v>
      </c>
      <c r="H257">
        <v>7479.915</v>
      </c>
      <c r="I257">
        <f>Orders[[#This Row],[Quantity]]*Orders[[#This Row],[Selling Price]]</f>
        <v>26399.699999999997</v>
      </c>
      <c r="J257">
        <f>Orders[[#This Row],[Quantity]]*Orders[[#This Row],[Cost Price]]</f>
        <v>22439.744999999999</v>
      </c>
      <c r="K257">
        <f>Orders[[#This Row],[Revenue]]-Orders[[#This Row],[Expenses]]</f>
        <v>3959.9549999999981</v>
      </c>
      <c r="L257" t="s">
        <v>2205</v>
      </c>
      <c r="M257" t="str">
        <f>_xlfn.XLOOKUP(Orders[[#This Row],[CustomerID]],Customers[CustomerID],Customers[City])</f>
        <v>Texas</v>
      </c>
      <c r="N257" t="str">
        <f>_xlfn.XLOOKUP(Orders[[#This Row],[CustomerID]],Customers[CustomerID],Customers[CustomerName])</f>
        <v>Abiola Igwe</v>
      </c>
      <c r="O257" t="str">
        <f>_xlfn.XLOOKUP(Orders[[#This Row],[CustomerID]],Customers[CustomerID],Customers[Gender])</f>
        <v>Male</v>
      </c>
      <c r="P257">
        <f>_xlfn.XLOOKUP(Orders[[#This Row],[CustomerID]],Customers[CustomerID],Customers[CustomerAge])</f>
        <v>39</v>
      </c>
      <c r="Q257" t="str">
        <f>IF(Orders[[#This Row],[Age]]&gt;=35,"older","young")</f>
        <v>older</v>
      </c>
      <c r="R257" t="str">
        <f>_xlfn.XLOOKUP(Orders[[#This Row],[ProductID]],Products[ProductID],Products[ProductName])</f>
        <v>CHEST EXPANDER</v>
      </c>
      <c r="S257" t="str">
        <f>_xlfn.XLOOKUP(Orders[[#This Row],[ProductID]],Products!A:A,Products!C:C)</f>
        <v>Gym</v>
      </c>
    </row>
    <row r="258" spans="1:19" x14ac:dyDescent="0.2">
      <c r="A258" s="4" t="s">
        <v>422</v>
      </c>
      <c r="B258" s="5">
        <v>45973</v>
      </c>
      <c r="C258" s="15">
        <f>WEEKNUM(Orders[[#This Row],[OrderDate]])</f>
        <v>46</v>
      </c>
      <c r="D258" s="4" t="s">
        <v>116</v>
      </c>
      <c r="E258" s="4" t="s">
        <v>70</v>
      </c>
      <c r="F258" s="4">
        <v>9</v>
      </c>
      <c r="G258" s="4">
        <v>12416</v>
      </c>
      <c r="H258">
        <v>10553.6</v>
      </c>
      <c r="I258">
        <f>Orders[[#This Row],[Quantity]]*Orders[[#This Row],[Selling Price]]</f>
        <v>111744</v>
      </c>
      <c r="J258">
        <f>Orders[[#This Row],[Quantity]]*Orders[[#This Row],[Cost Price]]</f>
        <v>94982.400000000009</v>
      </c>
      <c r="K258">
        <f>Orders[[#This Row],[Revenue]]-Orders[[#This Row],[Expenses]]</f>
        <v>16761.599999999991</v>
      </c>
      <c r="L258" t="s">
        <v>2200</v>
      </c>
      <c r="M258" t="str">
        <f>_xlfn.XLOOKUP(Orders[[#This Row],[CustomerID]],Customers[CustomerID],Customers[City])</f>
        <v>Texas</v>
      </c>
      <c r="N258" t="str">
        <f>_xlfn.XLOOKUP(Orders[[#This Row],[CustomerID]],Customers[CustomerID],Customers[CustomerName])</f>
        <v>Uche Bello</v>
      </c>
      <c r="O258" t="str">
        <f>_xlfn.XLOOKUP(Orders[[#This Row],[CustomerID]],Customers[CustomerID],Customers[Gender])</f>
        <v>Male</v>
      </c>
      <c r="P258">
        <f>_xlfn.XLOOKUP(Orders[[#This Row],[CustomerID]],Customers[CustomerID],Customers[CustomerAge])</f>
        <v>21</v>
      </c>
      <c r="Q258" t="str">
        <f>IF(Orders[[#This Row],[Age]]&gt;=35,"older","young")</f>
        <v>young</v>
      </c>
      <c r="R258" t="str">
        <f>_xlfn.XLOOKUP(Orders[[#This Row],[ProductID]],Products[ProductID],Products[ProductName])</f>
        <v>YOGA MAT</v>
      </c>
      <c r="S258" t="str">
        <f>_xlfn.XLOOKUP(Orders[[#This Row],[ProductID]],Products!A:A,Products!C:C)</f>
        <v>Gym</v>
      </c>
    </row>
    <row r="259" spans="1:19" x14ac:dyDescent="0.2">
      <c r="A259" s="4" t="s">
        <v>423</v>
      </c>
      <c r="B259" s="5">
        <v>45969</v>
      </c>
      <c r="C259" s="15">
        <f>WEEKNUM(Orders[[#This Row],[OrderDate]])</f>
        <v>45</v>
      </c>
      <c r="D259" s="4" t="s">
        <v>272</v>
      </c>
      <c r="E259" s="4" t="s">
        <v>151</v>
      </c>
      <c r="F259" s="4">
        <v>4</v>
      </c>
      <c r="G259" s="4">
        <v>15823</v>
      </c>
      <c r="H259">
        <v>13449.55</v>
      </c>
      <c r="I259">
        <f>Orders[[#This Row],[Quantity]]*Orders[[#This Row],[Selling Price]]</f>
        <v>63292</v>
      </c>
      <c r="J259">
        <f>Orders[[#This Row],[Quantity]]*Orders[[#This Row],[Cost Price]]</f>
        <v>53798.2</v>
      </c>
      <c r="K259">
        <f>Orders[[#This Row],[Revenue]]-Orders[[#This Row],[Expenses]]</f>
        <v>9493.8000000000029</v>
      </c>
      <c r="L259" t="s">
        <v>2213</v>
      </c>
      <c r="M259" t="str">
        <f>_xlfn.XLOOKUP(Orders[[#This Row],[CustomerID]],Customers[CustomerID],Customers[City])</f>
        <v>Florida</v>
      </c>
      <c r="N259" t="str">
        <f>_xlfn.XLOOKUP(Orders[[#This Row],[CustomerID]],Customers[CustomerID],Customers[CustomerName])</f>
        <v>Blessing Bello</v>
      </c>
      <c r="O259" t="str">
        <f>_xlfn.XLOOKUP(Orders[[#This Row],[CustomerID]],Customers[CustomerID],Customers[Gender])</f>
        <v>Female</v>
      </c>
      <c r="P259">
        <f>_xlfn.XLOOKUP(Orders[[#This Row],[CustomerID]],Customers[CustomerID],Customers[CustomerAge])</f>
        <v>38</v>
      </c>
      <c r="Q259" t="str">
        <f>IF(Orders[[#This Row],[Age]]&gt;=35,"older","young")</f>
        <v>older</v>
      </c>
      <c r="R259" t="str">
        <f>_xlfn.XLOOKUP(Orders[[#This Row],[ProductID]],Products[ProductID],Products[ProductName])</f>
        <v>CHECKERS</v>
      </c>
      <c r="S259" t="str">
        <f>_xlfn.XLOOKUP(Orders[[#This Row],[ProductID]],Products!A:A,Products!C:C)</f>
        <v>Games</v>
      </c>
    </row>
    <row r="260" spans="1:19" x14ac:dyDescent="0.2">
      <c r="A260" s="4" t="s">
        <v>424</v>
      </c>
      <c r="B260" s="5">
        <v>45993</v>
      </c>
      <c r="C260" s="15">
        <f>WEEKNUM(Orders[[#This Row],[OrderDate]])</f>
        <v>49</v>
      </c>
      <c r="D260" s="4" t="s">
        <v>62</v>
      </c>
      <c r="E260" s="4" t="s">
        <v>253</v>
      </c>
      <c r="F260" s="4">
        <v>8</v>
      </c>
      <c r="G260" s="4">
        <v>8019.6</v>
      </c>
      <c r="H260">
        <v>6816.66</v>
      </c>
      <c r="I260">
        <f>Orders[[#This Row],[Quantity]]*Orders[[#This Row],[Selling Price]]</f>
        <v>64156.800000000003</v>
      </c>
      <c r="J260">
        <f>Orders[[#This Row],[Quantity]]*Orders[[#This Row],[Cost Price]]</f>
        <v>54533.279999999999</v>
      </c>
      <c r="K260">
        <f>Orders[[#This Row],[Revenue]]-Orders[[#This Row],[Expenses]]</f>
        <v>9623.5200000000041</v>
      </c>
      <c r="L260" t="s">
        <v>2201</v>
      </c>
      <c r="M260" t="str">
        <f>_xlfn.XLOOKUP(Orders[[#This Row],[CustomerID]],Customers[CustomerID],Customers[City])</f>
        <v>Texas</v>
      </c>
      <c r="N260" t="str">
        <f>_xlfn.XLOOKUP(Orders[[#This Row],[CustomerID]],Customers[CustomerID],Customers[CustomerName])</f>
        <v>Ronke Okonkwo</v>
      </c>
      <c r="O260" t="str">
        <f>_xlfn.XLOOKUP(Orders[[#This Row],[CustomerID]],Customers[CustomerID],Customers[Gender])</f>
        <v>Female</v>
      </c>
      <c r="P260">
        <f>_xlfn.XLOOKUP(Orders[[#This Row],[CustomerID]],Customers[CustomerID],Customers[CustomerAge])</f>
        <v>36</v>
      </c>
      <c r="Q260" t="str">
        <f>IF(Orders[[#This Row],[Age]]&gt;=35,"older","young")</f>
        <v>older</v>
      </c>
      <c r="R260" t="str">
        <f>_xlfn.XLOOKUP(Orders[[#This Row],[ProductID]],Products[ProductID],Products[ProductName])</f>
        <v>NOSE RINGS</v>
      </c>
      <c r="S260" t="str">
        <f>_xlfn.XLOOKUP(Orders[[#This Row],[ProductID]],Products!A:A,Products!C:C)</f>
        <v>Accessories</v>
      </c>
    </row>
    <row r="261" spans="1:19" x14ac:dyDescent="0.2">
      <c r="A261" s="4" t="s">
        <v>425</v>
      </c>
      <c r="B261" s="5">
        <v>45968</v>
      </c>
      <c r="C261" s="15">
        <f>WEEKNUM(Orders[[#This Row],[OrderDate]])</f>
        <v>45</v>
      </c>
      <c r="D261" s="4" t="s">
        <v>426</v>
      </c>
      <c r="E261" s="4" t="s">
        <v>20</v>
      </c>
      <c r="F261" s="4">
        <v>1</v>
      </c>
      <c r="G261" s="4">
        <v>784</v>
      </c>
      <c r="H261">
        <v>666.4</v>
      </c>
      <c r="I261">
        <f>Orders[[#This Row],[Quantity]]*Orders[[#This Row],[Selling Price]]</f>
        <v>784</v>
      </c>
      <c r="J261">
        <f>Orders[[#This Row],[Quantity]]*Orders[[#This Row],[Cost Price]]</f>
        <v>666.4</v>
      </c>
      <c r="K261">
        <f>Orders[[#This Row],[Revenue]]-Orders[[#This Row],[Expenses]]</f>
        <v>117.60000000000002</v>
      </c>
      <c r="L261" t="s">
        <v>2214</v>
      </c>
      <c r="M261" t="str">
        <f>_xlfn.XLOOKUP(Orders[[#This Row],[CustomerID]],Customers[CustomerID],Customers[City])</f>
        <v>Washington</v>
      </c>
      <c r="N261" t="str">
        <f>_xlfn.XLOOKUP(Orders[[#This Row],[CustomerID]],Customers[CustomerID],Customers[CustomerName])</f>
        <v>Chinedu Ojo</v>
      </c>
      <c r="O261" t="str">
        <f>_xlfn.XLOOKUP(Orders[[#This Row],[CustomerID]],Customers[CustomerID],Customers[Gender])</f>
        <v>Male</v>
      </c>
      <c r="P261">
        <f>_xlfn.XLOOKUP(Orders[[#This Row],[CustomerID]],Customers[CustomerID],Customers[CustomerAge])</f>
        <v>18</v>
      </c>
      <c r="Q261" t="str">
        <f>IF(Orders[[#This Row],[Age]]&gt;=35,"older","young")</f>
        <v>young</v>
      </c>
      <c r="R261" t="str">
        <f>_xlfn.XLOOKUP(Orders[[#This Row],[ProductID]],Products[ProductID],Products[ProductName])</f>
        <v>GYM BAG</v>
      </c>
      <c r="S261" t="str">
        <f>_xlfn.XLOOKUP(Orders[[#This Row],[ProductID]],Products!A:A,Products!C:C)</f>
        <v>Gym</v>
      </c>
    </row>
    <row r="262" spans="1:19" x14ac:dyDescent="0.2">
      <c r="A262" s="4" t="s">
        <v>427</v>
      </c>
      <c r="B262" s="5">
        <v>46022</v>
      </c>
      <c r="C262" s="15">
        <f>WEEKNUM(Orders[[#This Row],[OrderDate]])</f>
        <v>53</v>
      </c>
      <c r="D262" s="4" t="s">
        <v>156</v>
      </c>
      <c r="E262" s="4" t="s">
        <v>63</v>
      </c>
      <c r="F262" s="4">
        <v>7</v>
      </c>
      <c r="G262" s="4">
        <v>17253.699999999997</v>
      </c>
      <c r="H262">
        <v>14665.644999999997</v>
      </c>
      <c r="I262">
        <f>Orders[[#This Row],[Quantity]]*Orders[[#This Row],[Selling Price]]</f>
        <v>120775.89999999998</v>
      </c>
      <c r="J262">
        <f>Orders[[#This Row],[Quantity]]*Orders[[#This Row],[Cost Price]]</f>
        <v>102659.51499999998</v>
      </c>
      <c r="K262">
        <f>Orders[[#This Row],[Revenue]]-Orders[[#This Row],[Expenses]]</f>
        <v>18116.384999999995</v>
      </c>
      <c r="L262" t="s">
        <v>2205</v>
      </c>
      <c r="M262" t="str">
        <f>_xlfn.XLOOKUP(Orders[[#This Row],[CustomerID]],Customers[CustomerID],Customers[City])</f>
        <v>Florida</v>
      </c>
      <c r="N262" t="str">
        <f>_xlfn.XLOOKUP(Orders[[#This Row],[CustomerID]],Customers[CustomerID],Customers[CustomerName])</f>
        <v>Obi Okonkwo</v>
      </c>
      <c r="O262" t="str">
        <f>_xlfn.XLOOKUP(Orders[[#This Row],[CustomerID]],Customers[CustomerID],Customers[Gender])</f>
        <v>Male</v>
      </c>
      <c r="P262">
        <f>_xlfn.XLOOKUP(Orders[[#This Row],[CustomerID]],Customers[CustomerID],Customers[CustomerAge])</f>
        <v>52</v>
      </c>
      <c r="Q262" t="str">
        <f>IF(Orders[[#This Row],[Age]]&gt;=35,"older","young")</f>
        <v>older</v>
      </c>
      <c r="R262" t="str">
        <f>_xlfn.XLOOKUP(Orders[[#This Row],[ProductID]],Products[ProductID],Products[ProductName])</f>
        <v>TENNIS BAT</v>
      </c>
      <c r="S262" t="str">
        <f>_xlfn.XLOOKUP(Orders[[#This Row],[ProductID]],Products!A:A,Products!C:C)</f>
        <v>Sports</v>
      </c>
    </row>
    <row r="263" spans="1:19" x14ac:dyDescent="0.2">
      <c r="A263" s="4" t="s">
        <v>428</v>
      </c>
      <c r="B263" s="5">
        <v>46010</v>
      </c>
      <c r="C263" s="15">
        <f>WEEKNUM(Orders[[#This Row],[OrderDate]])</f>
        <v>51</v>
      </c>
      <c r="D263" s="4" t="s">
        <v>307</v>
      </c>
      <c r="E263" s="4" t="s">
        <v>63</v>
      </c>
      <c r="F263" s="4">
        <v>5</v>
      </c>
      <c r="G263" s="4">
        <v>13807.9</v>
      </c>
      <c r="H263">
        <v>11736.715</v>
      </c>
      <c r="I263">
        <f>Orders[[#This Row],[Quantity]]*Orders[[#This Row],[Selling Price]]</f>
        <v>69039.5</v>
      </c>
      <c r="J263">
        <f>Orders[[#This Row],[Quantity]]*Orders[[#This Row],[Cost Price]]</f>
        <v>58683.574999999997</v>
      </c>
      <c r="K263">
        <f>Orders[[#This Row],[Revenue]]-Orders[[#This Row],[Expenses]]</f>
        <v>10355.925000000003</v>
      </c>
      <c r="L263" t="s">
        <v>2214</v>
      </c>
      <c r="M263" t="str">
        <f>_xlfn.XLOOKUP(Orders[[#This Row],[CustomerID]],Customers[CustomerID],Customers[City])</f>
        <v>Illinois</v>
      </c>
      <c r="N263" t="str">
        <f>_xlfn.XLOOKUP(Orders[[#This Row],[CustomerID]],Customers[CustomerID],Customers[CustomerName])</f>
        <v>Adanma Bello</v>
      </c>
      <c r="O263" t="str">
        <f>_xlfn.XLOOKUP(Orders[[#This Row],[CustomerID]],Customers[CustomerID],Customers[Gender])</f>
        <v>Female</v>
      </c>
      <c r="P263">
        <f>_xlfn.XLOOKUP(Orders[[#This Row],[CustomerID]],Customers[CustomerID],Customers[CustomerAge])</f>
        <v>51</v>
      </c>
      <c r="Q263" t="str">
        <f>IF(Orders[[#This Row],[Age]]&gt;=35,"older","young")</f>
        <v>older</v>
      </c>
      <c r="R263" t="str">
        <f>_xlfn.XLOOKUP(Orders[[#This Row],[ProductID]],Products[ProductID],Products[ProductName])</f>
        <v>TENNIS BAT</v>
      </c>
      <c r="S263" t="str">
        <f>_xlfn.XLOOKUP(Orders[[#This Row],[ProductID]],Products!A:A,Products!C:C)</f>
        <v>Sports</v>
      </c>
    </row>
    <row r="264" spans="1:19" x14ac:dyDescent="0.2">
      <c r="A264" s="4" t="s">
        <v>429</v>
      </c>
      <c r="B264" s="5">
        <v>45969</v>
      </c>
      <c r="C264" s="15">
        <f>WEEKNUM(Orders[[#This Row],[OrderDate]])</f>
        <v>45</v>
      </c>
      <c r="D264" s="4" t="s">
        <v>101</v>
      </c>
      <c r="E264" s="4" t="s">
        <v>151</v>
      </c>
      <c r="F264" s="4">
        <v>10</v>
      </c>
      <c r="G264" s="4">
        <v>8816.2000000000007</v>
      </c>
      <c r="H264">
        <v>7493.77</v>
      </c>
      <c r="I264">
        <f>Orders[[#This Row],[Quantity]]*Orders[[#This Row],[Selling Price]]</f>
        <v>88162</v>
      </c>
      <c r="J264">
        <f>Orders[[#This Row],[Quantity]]*Orders[[#This Row],[Cost Price]]</f>
        <v>74937.700000000012</v>
      </c>
      <c r="K264">
        <f>Orders[[#This Row],[Revenue]]-Orders[[#This Row],[Expenses]]</f>
        <v>13224.299999999988</v>
      </c>
      <c r="L264" t="s">
        <v>2216</v>
      </c>
      <c r="M264" t="str">
        <f>_xlfn.XLOOKUP(Orders[[#This Row],[CustomerID]],Customers[CustomerID],Customers[City])</f>
        <v>Texas</v>
      </c>
      <c r="N264" t="str">
        <f>_xlfn.XLOOKUP(Orders[[#This Row],[CustomerID]],Customers[CustomerID],Customers[CustomerName])</f>
        <v>Blessing Eze</v>
      </c>
      <c r="O264" t="str">
        <f>_xlfn.XLOOKUP(Orders[[#This Row],[CustomerID]],Customers[CustomerID],Customers[Gender])</f>
        <v>Female</v>
      </c>
      <c r="P264">
        <f>_xlfn.XLOOKUP(Orders[[#This Row],[CustomerID]],Customers[CustomerID],Customers[CustomerAge])</f>
        <v>55</v>
      </c>
      <c r="Q264" t="str">
        <f>IF(Orders[[#This Row],[Age]]&gt;=35,"older","young")</f>
        <v>older</v>
      </c>
      <c r="R264" t="str">
        <f>_xlfn.XLOOKUP(Orders[[#This Row],[ProductID]],Products[ProductID],Products[ProductName])</f>
        <v>CHECKERS</v>
      </c>
      <c r="S264" t="str">
        <f>_xlfn.XLOOKUP(Orders[[#This Row],[ProductID]],Products!A:A,Products!C:C)</f>
        <v>Games</v>
      </c>
    </row>
    <row r="265" spans="1:19" x14ac:dyDescent="0.2">
      <c r="A265" s="4" t="s">
        <v>430</v>
      </c>
      <c r="B265" s="5">
        <v>46007</v>
      </c>
      <c r="C265" s="15">
        <f>WEEKNUM(Orders[[#This Row],[OrderDate]])</f>
        <v>51</v>
      </c>
      <c r="D265" s="4" t="s">
        <v>110</v>
      </c>
      <c r="E265" s="4" t="s">
        <v>63</v>
      </c>
      <c r="F265" s="4">
        <v>4</v>
      </c>
      <c r="G265" s="4">
        <v>15723.5</v>
      </c>
      <c r="H265">
        <v>13364.975</v>
      </c>
      <c r="I265">
        <f>Orders[[#This Row],[Quantity]]*Orders[[#This Row],[Selling Price]]</f>
        <v>62894</v>
      </c>
      <c r="J265">
        <f>Orders[[#This Row],[Quantity]]*Orders[[#This Row],[Cost Price]]</f>
        <v>53459.9</v>
      </c>
      <c r="K265">
        <f>Orders[[#This Row],[Revenue]]-Orders[[#This Row],[Expenses]]</f>
        <v>9434.0999999999985</v>
      </c>
      <c r="L265" t="s">
        <v>2208</v>
      </c>
      <c r="M265" t="str">
        <f>_xlfn.XLOOKUP(Orders[[#This Row],[CustomerID]],Customers[CustomerID],Customers[City])</f>
        <v>Washington</v>
      </c>
      <c r="N265" t="str">
        <f>_xlfn.XLOOKUP(Orders[[#This Row],[CustomerID]],Customers[CustomerID],Customers[CustomerName])</f>
        <v>Ngozi Danladi</v>
      </c>
      <c r="O265" t="str">
        <f>_xlfn.XLOOKUP(Orders[[#This Row],[CustomerID]],Customers[CustomerID],Customers[Gender])</f>
        <v>Female</v>
      </c>
      <c r="P265">
        <f>_xlfn.XLOOKUP(Orders[[#This Row],[CustomerID]],Customers[CustomerID],Customers[CustomerAge])</f>
        <v>28</v>
      </c>
      <c r="Q265" t="str">
        <f>IF(Orders[[#This Row],[Age]]&gt;=35,"older","young")</f>
        <v>young</v>
      </c>
      <c r="R265" t="str">
        <f>_xlfn.XLOOKUP(Orders[[#This Row],[ProductID]],Products[ProductID],Products[ProductName])</f>
        <v>TENNIS BAT</v>
      </c>
      <c r="S265" t="str">
        <f>_xlfn.XLOOKUP(Orders[[#This Row],[ProductID]],Products!A:A,Products!C:C)</f>
        <v>Sports</v>
      </c>
    </row>
    <row r="266" spans="1:19" x14ac:dyDescent="0.2">
      <c r="A266" s="4" t="s">
        <v>431</v>
      </c>
      <c r="B266" s="5">
        <v>45936</v>
      </c>
      <c r="C266" s="15">
        <f>WEEKNUM(Orders[[#This Row],[OrderDate]])</f>
        <v>41</v>
      </c>
      <c r="D266" s="4" t="s">
        <v>91</v>
      </c>
      <c r="E266" s="4" t="s">
        <v>46</v>
      </c>
      <c r="F266" s="4">
        <v>10</v>
      </c>
      <c r="G266" s="4">
        <v>5337.7999999999993</v>
      </c>
      <c r="H266">
        <v>4537.1299999999992</v>
      </c>
      <c r="I266">
        <f>Orders[[#This Row],[Quantity]]*Orders[[#This Row],[Selling Price]]</f>
        <v>53377.999999999993</v>
      </c>
      <c r="J266">
        <f>Orders[[#This Row],[Quantity]]*Orders[[#This Row],[Cost Price]]</f>
        <v>45371.299999999988</v>
      </c>
      <c r="K266">
        <f>Orders[[#This Row],[Revenue]]-Orders[[#This Row],[Expenses]]</f>
        <v>8006.7000000000044</v>
      </c>
      <c r="L266" t="s">
        <v>2210</v>
      </c>
      <c r="M266" t="str">
        <f>_xlfn.XLOOKUP(Orders[[#This Row],[CustomerID]],Customers[CustomerID],Customers[City])</f>
        <v>Florida</v>
      </c>
      <c r="N266" t="str">
        <f>_xlfn.XLOOKUP(Orders[[#This Row],[CustomerID]],Customers[CustomerID],Customers[CustomerName])</f>
        <v>Uche Abubakar</v>
      </c>
      <c r="O266" t="str">
        <f>_xlfn.XLOOKUP(Orders[[#This Row],[CustomerID]],Customers[CustomerID],Customers[Gender])</f>
        <v>Male</v>
      </c>
      <c r="P266">
        <f>_xlfn.XLOOKUP(Orders[[#This Row],[CustomerID]],Customers[CustomerID],Customers[CustomerAge])</f>
        <v>28</v>
      </c>
      <c r="Q266" t="str">
        <f>IF(Orders[[#This Row],[Age]]&gt;=35,"older","young")</f>
        <v>young</v>
      </c>
      <c r="R266" t="str">
        <f>_xlfn.XLOOKUP(Orders[[#This Row],[ProductID]],Products[ProductID],Products[ProductName])</f>
        <v>TURTLE NECK</v>
      </c>
      <c r="S266" t="str">
        <f>_xlfn.XLOOKUP(Orders[[#This Row],[ProductID]],Products!A:A,Products!C:C)</f>
        <v>Clothing</v>
      </c>
    </row>
    <row r="267" spans="1:19" x14ac:dyDescent="0.2">
      <c r="A267" s="4" t="s">
        <v>432</v>
      </c>
      <c r="B267" s="5">
        <v>45997</v>
      </c>
      <c r="C267" s="15">
        <f>WEEKNUM(Orders[[#This Row],[OrderDate]])</f>
        <v>49</v>
      </c>
      <c r="D267" s="4" t="s">
        <v>223</v>
      </c>
      <c r="E267" s="4" t="s">
        <v>15</v>
      </c>
      <c r="F267" s="4">
        <v>5</v>
      </c>
      <c r="G267" s="4">
        <v>19464.3</v>
      </c>
      <c r="H267">
        <v>16544.654999999999</v>
      </c>
      <c r="I267">
        <f>Orders[[#This Row],[Quantity]]*Orders[[#This Row],[Selling Price]]</f>
        <v>97321.5</v>
      </c>
      <c r="J267">
        <f>Orders[[#This Row],[Quantity]]*Orders[[#This Row],[Cost Price]]</f>
        <v>82723.274999999994</v>
      </c>
      <c r="K267">
        <f>Orders[[#This Row],[Revenue]]-Orders[[#This Row],[Expenses]]</f>
        <v>14598.225000000006</v>
      </c>
      <c r="L267" t="s">
        <v>2211</v>
      </c>
      <c r="M267" t="str">
        <f>_xlfn.XLOOKUP(Orders[[#This Row],[CustomerID]],Customers[CustomerID],Customers[City])</f>
        <v>Washington</v>
      </c>
      <c r="N267" t="str">
        <f>_xlfn.XLOOKUP(Orders[[#This Row],[CustomerID]],Customers[CustomerID],Customers[CustomerName])</f>
        <v>Blessing Danladi</v>
      </c>
      <c r="O267" t="str">
        <f>_xlfn.XLOOKUP(Orders[[#This Row],[CustomerID]],Customers[CustomerID],Customers[Gender])</f>
        <v>Female</v>
      </c>
      <c r="P267">
        <f>_xlfn.XLOOKUP(Orders[[#This Row],[CustomerID]],Customers[CustomerID],Customers[CustomerAge])</f>
        <v>20</v>
      </c>
      <c r="Q267" t="str">
        <f>IF(Orders[[#This Row],[Age]]&gt;=35,"older","young")</f>
        <v>young</v>
      </c>
      <c r="R267" t="str">
        <f>_xlfn.XLOOKUP(Orders[[#This Row],[ProductID]],Products[ProductID],Products[ProductName])</f>
        <v>MONOPOLY</v>
      </c>
      <c r="S267" t="str">
        <f>_xlfn.XLOOKUP(Orders[[#This Row],[ProductID]],Products!A:A,Products!C:C)</f>
        <v>Games</v>
      </c>
    </row>
    <row r="268" spans="1:19" x14ac:dyDescent="0.2">
      <c r="A268" s="4" t="s">
        <v>433</v>
      </c>
      <c r="B268" s="5">
        <v>45972</v>
      </c>
      <c r="C268" s="15">
        <f>WEEKNUM(Orders[[#This Row],[OrderDate]])</f>
        <v>46</v>
      </c>
      <c r="D268" s="4" t="s">
        <v>205</v>
      </c>
      <c r="E268" s="4" t="s">
        <v>168</v>
      </c>
      <c r="F268" s="4">
        <v>9</v>
      </c>
      <c r="G268" s="4">
        <v>14512.9</v>
      </c>
      <c r="H268">
        <v>12335.965</v>
      </c>
      <c r="I268">
        <f>Orders[[#This Row],[Quantity]]*Orders[[#This Row],[Selling Price]]</f>
        <v>130616.09999999999</v>
      </c>
      <c r="J268">
        <f>Orders[[#This Row],[Quantity]]*Orders[[#This Row],[Cost Price]]</f>
        <v>111023.685</v>
      </c>
      <c r="K268">
        <f>Orders[[#This Row],[Revenue]]-Orders[[#This Row],[Expenses]]</f>
        <v>19592.414999999994</v>
      </c>
      <c r="L268" t="s">
        <v>2200</v>
      </c>
      <c r="M268" t="str">
        <f>_xlfn.XLOOKUP(Orders[[#This Row],[CustomerID]],Customers[CustomerID],Customers[City])</f>
        <v>Washington</v>
      </c>
      <c r="N268" t="str">
        <f>_xlfn.XLOOKUP(Orders[[#This Row],[CustomerID]],Customers[CustomerID],Customers[CustomerName])</f>
        <v>Jide Adeyemi</v>
      </c>
      <c r="O268" t="str">
        <f>_xlfn.XLOOKUP(Orders[[#This Row],[CustomerID]],Customers[CustomerID],Customers[Gender])</f>
        <v>Male</v>
      </c>
      <c r="P268">
        <f>_xlfn.XLOOKUP(Orders[[#This Row],[CustomerID]],Customers[CustomerID],Customers[CustomerAge])</f>
        <v>19</v>
      </c>
      <c r="Q268" t="str">
        <f>IF(Orders[[#This Row],[Age]]&gt;=35,"older","young")</f>
        <v>young</v>
      </c>
      <c r="R268" t="str">
        <f>_xlfn.XLOOKUP(Orders[[#This Row],[ProductID]],Products[ProductID],Products[ProductName])</f>
        <v>DUMB BELLS</v>
      </c>
      <c r="S268" t="str">
        <f>_xlfn.XLOOKUP(Orders[[#This Row],[ProductID]],Products!A:A,Products!C:C)</f>
        <v>Gym</v>
      </c>
    </row>
    <row r="269" spans="1:19" x14ac:dyDescent="0.2">
      <c r="A269" s="4" t="s">
        <v>434</v>
      </c>
      <c r="B269" s="5">
        <v>46022</v>
      </c>
      <c r="C269" s="15">
        <f>WEEKNUM(Orders[[#This Row],[OrderDate]])</f>
        <v>53</v>
      </c>
      <c r="D269" s="4" t="s">
        <v>435</v>
      </c>
      <c r="E269" s="4" t="s">
        <v>46</v>
      </c>
      <c r="F269" s="4">
        <v>3</v>
      </c>
      <c r="G269" s="4">
        <v>8759.5</v>
      </c>
      <c r="H269">
        <v>7445.5749999999998</v>
      </c>
      <c r="I269">
        <f>Orders[[#This Row],[Quantity]]*Orders[[#This Row],[Selling Price]]</f>
        <v>26278.5</v>
      </c>
      <c r="J269">
        <f>Orders[[#This Row],[Quantity]]*Orders[[#This Row],[Cost Price]]</f>
        <v>22336.724999999999</v>
      </c>
      <c r="K269">
        <f>Orders[[#This Row],[Revenue]]-Orders[[#This Row],[Expenses]]</f>
        <v>3941.7750000000015</v>
      </c>
      <c r="L269" t="s">
        <v>2199</v>
      </c>
      <c r="M269" t="str">
        <f>_xlfn.XLOOKUP(Orders[[#This Row],[CustomerID]],Customers[CustomerID],Customers[City])</f>
        <v>Texas</v>
      </c>
      <c r="N269" t="str">
        <f>_xlfn.XLOOKUP(Orders[[#This Row],[CustomerID]],Customers[CustomerID],Customers[CustomerName])</f>
        <v>Amina Balogun</v>
      </c>
      <c r="O269" t="str">
        <f>_xlfn.XLOOKUP(Orders[[#This Row],[CustomerID]],Customers[CustomerID],Customers[Gender])</f>
        <v>Female</v>
      </c>
      <c r="P269">
        <f>_xlfn.XLOOKUP(Orders[[#This Row],[CustomerID]],Customers[CustomerID],Customers[CustomerAge])</f>
        <v>32</v>
      </c>
      <c r="Q269" t="str">
        <f>IF(Orders[[#This Row],[Age]]&gt;=35,"older","young")</f>
        <v>young</v>
      </c>
      <c r="R269" t="str">
        <f>_xlfn.XLOOKUP(Orders[[#This Row],[ProductID]],Products[ProductID],Products[ProductName])</f>
        <v>TURTLE NECK</v>
      </c>
      <c r="S269" t="str">
        <f>_xlfn.XLOOKUP(Orders[[#This Row],[ProductID]],Products!A:A,Products!C:C)</f>
        <v>Clothing</v>
      </c>
    </row>
    <row r="270" spans="1:19" x14ac:dyDescent="0.2">
      <c r="A270" s="4" t="s">
        <v>436</v>
      </c>
      <c r="B270" s="5">
        <v>46016</v>
      </c>
      <c r="C270" s="15">
        <f>WEEKNUM(Orders[[#This Row],[OrderDate]])</f>
        <v>52</v>
      </c>
      <c r="D270" s="4" t="s">
        <v>282</v>
      </c>
      <c r="E270" s="4" t="s">
        <v>9</v>
      </c>
      <c r="F270" s="4">
        <v>10</v>
      </c>
      <c r="G270" s="4">
        <v>11927.5</v>
      </c>
      <c r="H270">
        <v>10138.375</v>
      </c>
      <c r="I270">
        <f>Orders[[#This Row],[Quantity]]*Orders[[#This Row],[Selling Price]]</f>
        <v>119275</v>
      </c>
      <c r="J270">
        <f>Orders[[#This Row],[Quantity]]*Orders[[#This Row],[Cost Price]]</f>
        <v>101383.75</v>
      </c>
      <c r="K270">
        <f>Orders[[#This Row],[Revenue]]-Orders[[#This Row],[Expenses]]</f>
        <v>17891.25</v>
      </c>
      <c r="L270" t="s">
        <v>2215</v>
      </c>
      <c r="M270" t="str">
        <f>_xlfn.XLOOKUP(Orders[[#This Row],[CustomerID]],Customers[CustomerID],Customers[City])</f>
        <v>Texas</v>
      </c>
      <c r="N270" t="str">
        <f>_xlfn.XLOOKUP(Orders[[#This Row],[CustomerID]],Customers[CustomerID],Customers[CustomerName])</f>
        <v>Bisi Ojo</v>
      </c>
      <c r="O270" t="str">
        <f>_xlfn.XLOOKUP(Orders[[#This Row],[CustomerID]],Customers[CustomerID],Customers[Gender])</f>
        <v>Female</v>
      </c>
      <c r="P270">
        <f>_xlfn.XLOOKUP(Orders[[#This Row],[CustomerID]],Customers[CustomerID],Customers[CustomerAge])</f>
        <v>26</v>
      </c>
      <c r="Q270" t="str">
        <f>IF(Orders[[#This Row],[Age]]&gt;=35,"older","young")</f>
        <v>young</v>
      </c>
      <c r="R270" t="str">
        <f>_xlfn.XLOOKUP(Orders[[#This Row],[ProductID]],Products[ProductID],Products[ProductName])</f>
        <v>BEADED EARRINGS AND NECKLACES</v>
      </c>
      <c r="S270" t="str">
        <f>_xlfn.XLOOKUP(Orders[[#This Row],[ProductID]],Products!A:A,Products!C:C)</f>
        <v>Accessories</v>
      </c>
    </row>
    <row r="271" spans="1:19" x14ac:dyDescent="0.2">
      <c r="A271" s="4" t="s">
        <v>437</v>
      </c>
      <c r="B271" s="5">
        <v>46002</v>
      </c>
      <c r="C271" s="15">
        <f>WEEKNUM(Orders[[#This Row],[OrderDate]])</f>
        <v>50</v>
      </c>
      <c r="D271" s="4" t="s">
        <v>280</v>
      </c>
      <c r="E271" s="4" t="s">
        <v>20</v>
      </c>
      <c r="F271" s="4">
        <v>4</v>
      </c>
      <c r="G271" s="4">
        <v>10215.1</v>
      </c>
      <c r="H271">
        <v>8682.8350000000009</v>
      </c>
      <c r="I271">
        <f>Orders[[#This Row],[Quantity]]*Orders[[#This Row],[Selling Price]]</f>
        <v>40860.400000000001</v>
      </c>
      <c r="J271">
        <f>Orders[[#This Row],[Quantity]]*Orders[[#This Row],[Cost Price]]</f>
        <v>34731.340000000004</v>
      </c>
      <c r="K271">
        <f>Orders[[#This Row],[Revenue]]-Orders[[#This Row],[Expenses]]</f>
        <v>6129.0599999999977</v>
      </c>
      <c r="L271" t="s">
        <v>2196</v>
      </c>
      <c r="M271" t="str">
        <f>_xlfn.XLOOKUP(Orders[[#This Row],[CustomerID]],Customers[CustomerID],Customers[City])</f>
        <v>Texas</v>
      </c>
      <c r="N271" t="str">
        <f>_xlfn.XLOOKUP(Orders[[#This Row],[CustomerID]],Customers[CustomerID],Customers[CustomerName])</f>
        <v>Folasade Okonkwo</v>
      </c>
      <c r="O271" t="str">
        <f>_xlfn.XLOOKUP(Orders[[#This Row],[CustomerID]],Customers[CustomerID],Customers[Gender])</f>
        <v>Female</v>
      </c>
      <c r="P271">
        <f>_xlfn.XLOOKUP(Orders[[#This Row],[CustomerID]],Customers[CustomerID],Customers[CustomerAge])</f>
        <v>21</v>
      </c>
      <c r="Q271" t="str">
        <f>IF(Orders[[#This Row],[Age]]&gt;=35,"older","young")</f>
        <v>young</v>
      </c>
      <c r="R271" t="str">
        <f>_xlfn.XLOOKUP(Orders[[#This Row],[ProductID]],Products[ProductID],Products[ProductName])</f>
        <v>GYM BAG</v>
      </c>
      <c r="S271" t="str">
        <f>_xlfn.XLOOKUP(Orders[[#This Row],[ProductID]],Products!A:A,Products!C:C)</f>
        <v>Gym</v>
      </c>
    </row>
    <row r="272" spans="1:19" x14ac:dyDescent="0.2">
      <c r="A272" s="4" t="s">
        <v>438</v>
      </c>
      <c r="B272" s="5">
        <v>45938</v>
      </c>
      <c r="C272" s="15">
        <f>WEEKNUM(Orders[[#This Row],[OrderDate]])</f>
        <v>41</v>
      </c>
      <c r="D272" s="4" t="s">
        <v>439</v>
      </c>
      <c r="E272" s="4" t="s">
        <v>25</v>
      </c>
      <c r="F272" s="4">
        <v>6</v>
      </c>
      <c r="G272" s="4">
        <v>7566.5</v>
      </c>
      <c r="H272">
        <v>6431.5249999999996</v>
      </c>
      <c r="I272">
        <f>Orders[[#This Row],[Quantity]]*Orders[[#This Row],[Selling Price]]</f>
        <v>45399</v>
      </c>
      <c r="J272">
        <f>Orders[[#This Row],[Quantity]]*Orders[[#This Row],[Cost Price]]</f>
        <v>38589.149999999994</v>
      </c>
      <c r="K272">
        <f>Orders[[#This Row],[Revenue]]-Orders[[#This Row],[Expenses]]</f>
        <v>6809.8500000000058</v>
      </c>
      <c r="L272" t="s">
        <v>2214</v>
      </c>
      <c r="M272" t="str">
        <f>_xlfn.XLOOKUP(Orders[[#This Row],[CustomerID]],Customers[CustomerID],Customers[City])</f>
        <v>Texas</v>
      </c>
      <c r="N272" t="str">
        <f>_xlfn.XLOOKUP(Orders[[#This Row],[CustomerID]],Customers[CustomerID],Customers[CustomerName])</f>
        <v>Efe Abubakar</v>
      </c>
      <c r="O272" t="str">
        <f>_xlfn.XLOOKUP(Orders[[#This Row],[CustomerID]],Customers[CustomerID],Customers[Gender])</f>
        <v>Female</v>
      </c>
      <c r="P272">
        <f>_xlfn.XLOOKUP(Orders[[#This Row],[CustomerID]],Customers[CustomerID],Customers[CustomerAge])</f>
        <v>50</v>
      </c>
      <c r="Q272" t="str">
        <f>IF(Orders[[#This Row],[Age]]&gt;=35,"older","young")</f>
        <v>older</v>
      </c>
      <c r="R272" t="str">
        <f>_xlfn.XLOOKUP(Orders[[#This Row],[ProductID]],Products[ProductID],Products[ProductName])</f>
        <v>GOLD RINGS</v>
      </c>
      <c r="S272" t="str">
        <f>_xlfn.XLOOKUP(Orders[[#This Row],[ProductID]],Products!A:A,Products!C:C)</f>
        <v>Accessories</v>
      </c>
    </row>
    <row r="273" spans="1:19" x14ac:dyDescent="0.2">
      <c r="A273" s="4" t="s">
        <v>440</v>
      </c>
      <c r="B273" s="5">
        <v>46007</v>
      </c>
      <c r="C273" s="15">
        <f>WEEKNUM(Orders[[#This Row],[OrderDate]])</f>
        <v>51</v>
      </c>
      <c r="D273" s="4" t="s">
        <v>129</v>
      </c>
      <c r="E273" s="4" t="s">
        <v>76</v>
      </c>
      <c r="F273" s="4">
        <v>5</v>
      </c>
      <c r="G273" s="4">
        <v>14684.6</v>
      </c>
      <c r="H273">
        <v>12481.91</v>
      </c>
      <c r="I273">
        <f>Orders[[#This Row],[Quantity]]*Orders[[#This Row],[Selling Price]]</f>
        <v>73423</v>
      </c>
      <c r="J273">
        <f>Orders[[#This Row],[Quantity]]*Orders[[#This Row],[Cost Price]]</f>
        <v>62409.55</v>
      </c>
      <c r="K273">
        <f>Orders[[#This Row],[Revenue]]-Orders[[#This Row],[Expenses]]</f>
        <v>11013.449999999997</v>
      </c>
      <c r="L273" t="s">
        <v>2210</v>
      </c>
      <c r="M273" t="str">
        <f>_xlfn.XLOOKUP(Orders[[#This Row],[CustomerID]],Customers[CustomerID],Customers[City])</f>
        <v>Washington</v>
      </c>
      <c r="N273" t="str">
        <f>_xlfn.XLOOKUP(Orders[[#This Row],[CustomerID]],Customers[CustomerID],Customers[CustomerName])</f>
        <v>Chioma Ojo</v>
      </c>
      <c r="O273" t="str">
        <f>_xlfn.XLOOKUP(Orders[[#This Row],[CustomerID]],Customers[CustomerID],Customers[Gender])</f>
        <v>Female</v>
      </c>
      <c r="P273">
        <f>_xlfn.XLOOKUP(Orders[[#This Row],[CustomerID]],Customers[CustomerID],Customers[CustomerAge])</f>
        <v>46</v>
      </c>
      <c r="Q273" t="str">
        <f>IF(Orders[[#This Row],[Age]]&gt;=35,"older","young")</f>
        <v>older</v>
      </c>
      <c r="R273" t="str">
        <f>_xlfn.XLOOKUP(Orders[[#This Row],[ProductID]],Products[ProductID],Products[ProductName])</f>
        <v>BLENDER</v>
      </c>
      <c r="S273" t="str">
        <f>_xlfn.XLOOKUP(Orders[[#This Row],[ProductID]],Products!A:A,Products!C:C)</f>
        <v>Electronics</v>
      </c>
    </row>
    <row r="274" spans="1:19" x14ac:dyDescent="0.2">
      <c r="A274" s="4" t="s">
        <v>441</v>
      </c>
      <c r="B274" s="5">
        <v>45989</v>
      </c>
      <c r="C274" s="15">
        <f>WEEKNUM(Orders[[#This Row],[OrderDate]])</f>
        <v>48</v>
      </c>
      <c r="D274" s="4" t="s">
        <v>52</v>
      </c>
      <c r="E274" s="4" t="s">
        <v>76</v>
      </c>
      <c r="F274" s="4">
        <v>7</v>
      </c>
      <c r="G274" s="4">
        <v>1452.3</v>
      </c>
      <c r="H274">
        <v>1234.4549999999999</v>
      </c>
      <c r="I274">
        <f>Orders[[#This Row],[Quantity]]*Orders[[#This Row],[Selling Price]]</f>
        <v>10166.1</v>
      </c>
      <c r="J274">
        <f>Orders[[#This Row],[Quantity]]*Orders[[#This Row],[Cost Price]]</f>
        <v>8641.1849999999995</v>
      </c>
      <c r="K274">
        <f>Orders[[#This Row],[Revenue]]-Orders[[#This Row],[Expenses]]</f>
        <v>1524.9150000000009</v>
      </c>
      <c r="L274" t="s">
        <v>2217</v>
      </c>
      <c r="M274" t="str">
        <f>_xlfn.XLOOKUP(Orders[[#This Row],[CustomerID]],Customers[CustomerID],Customers[City])</f>
        <v>Texas</v>
      </c>
      <c r="N274" t="str">
        <f>_xlfn.XLOOKUP(Orders[[#This Row],[CustomerID]],Customers[CustomerID],Customers[CustomerName])</f>
        <v>Folasade Ojo</v>
      </c>
      <c r="O274" t="str">
        <f>_xlfn.XLOOKUP(Orders[[#This Row],[CustomerID]],Customers[CustomerID],Customers[Gender])</f>
        <v>Female</v>
      </c>
      <c r="P274">
        <f>_xlfn.XLOOKUP(Orders[[#This Row],[CustomerID]],Customers[CustomerID],Customers[CustomerAge])</f>
        <v>29</v>
      </c>
      <c r="Q274" t="str">
        <f>IF(Orders[[#This Row],[Age]]&gt;=35,"older","young")</f>
        <v>young</v>
      </c>
      <c r="R274" t="str">
        <f>_xlfn.XLOOKUP(Orders[[#This Row],[ProductID]],Products[ProductID],Products[ProductName])</f>
        <v>BLENDER</v>
      </c>
      <c r="S274" t="str">
        <f>_xlfn.XLOOKUP(Orders[[#This Row],[ProductID]],Products!A:A,Products!C:C)</f>
        <v>Electronics</v>
      </c>
    </row>
    <row r="275" spans="1:19" x14ac:dyDescent="0.2">
      <c r="A275" s="4" t="s">
        <v>442</v>
      </c>
      <c r="B275" s="5">
        <v>45974</v>
      </c>
      <c r="C275" s="15">
        <f>WEEKNUM(Orders[[#This Row],[OrderDate]])</f>
        <v>46</v>
      </c>
      <c r="D275" s="4" t="s">
        <v>134</v>
      </c>
      <c r="E275" s="4" t="s">
        <v>120</v>
      </c>
      <c r="F275" s="4">
        <v>7</v>
      </c>
      <c r="G275" s="4">
        <v>4514.7000000000007</v>
      </c>
      <c r="H275">
        <v>3837.4950000000008</v>
      </c>
      <c r="I275">
        <f>Orders[[#This Row],[Quantity]]*Orders[[#This Row],[Selling Price]]</f>
        <v>31602.900000000005</v>
      </c>
      <c r="J275">
        <f>Orders[[#This Row],[Quantity]]*Orders[[#This Row],[Cost Price]]</f>
        <v>26862.465000000004</v>
      </c>
      <c r="K275">
        <f>Orders[[#This Row],[Revenue]]-Orders[[#This Row],[Expenses]]</f>
        <v>4740.4350000000013</v>
      </c>
      <c r="L275" t="s">
        <v>2202</v>
      </c>
      <c r="M275" t="str">
        <f>_xlfn.XLOOKUP(Orders[[#This Row],[CustomerID]],Customers[CustomerID],Customers[City])</f>
        <v>Florida</v>
      </c>
      <c r="N275" t="str">
        <f>_xlfn.XLOOKUP(Orders[[#This Row],[CustomerID]],Customers[CustomerID],Customers[CustomerName])</f>
        <v>Ngozi Ojo</v>
      </c>
      <c r="O275" t="str">
        <f>_xlfn.XLOOKUP(Orders[[#This Row],[CustomerID]],Customers[CustomerID],Customers[Gender])</f>
        <v>Female</v>
      </c>
      <c r="P275">
        <f>_xlfn.XLOOKUP(Orders[[#This Row],[CustomerID]],Customers[CustomerID],Customers[CustomerAge])</f>
        <v>18</v>
      </c>
      <c r="Q275" t="str">
        <f>IF(Orders[[#This Row],[Age]]&gt;=35,"older","young")</f>
        <v>young</v>
      </c>
      <c r="R275" t="str">
        <f>_xlfn.XLOOKUP(Orders[[#This Row],[ProductID]],Products[ProductID],Products[ProductName])</f>
        <v>CHESS</v>
      </c>
      <c r="S275" t="str">
        <f>_xlfn.XLOOKUP(Orders[[#This Row],[ProductID]],Products!A:A,Products!C:C)</f>
        <v>Games</v>
      </c>
    </row>
    <row r="276" spans="1:19" x14ac:dyDescent="0.2">
      <c r="A276" s="4" t="s">
        <v>443</v>
      </c>
      <c r="B276" s="5">
        <v>46020</v>
      </c>
      <c r="C276" s="15">
        <f>WEEKNUM(Orders[[#This Row],[OrderDate]])</f>
        <v>53</v>
      </c>
      <c r="D276" s="4" t="s">
        <v>444</v>
      </c>
      <c r="E276" s="4" t="s">
        <v>57</v>
      </c>
      <c r="F276" s="4">
        <v>9</v>
      </c>
      <c r="G276" s="4">
        <v>1528.3000000000002</v>
      </c>
      <c r="H276">
        <v>1299.0550000000001</v>
      </c>
      <c r="I276">
        <f>Orders[[#This Row],[Quantity]]*Orders[[#This Row],[Selling Price]]</f>
        <v>13754.7</v>
      </c>
      <c r="J276">
        <f>Orders[[#This Row],[Quantity]]*Orders[[#This Row],[Cost Price]]</f>
        <v>11691.495000000001</v>
      </c>
      <c r="K276">
        <f>Orders[[#This Row],[Revenue]]-Orders[[#This Row],[Expenses]]</f>
        <v>2063.2049999999999</v>
      </c>
      <c r="L276" t="s">
        <v>2199</v>
      </c>
      <c r="M276" t="str">
        <f>_xlfn.XLOOKUP(Orders[[#This Row],[CustomerID]],Customers[CustomerID],Customers[City])</f>
        <v>Texas</v>
      </c>
      <c r="N276" t="str">
        <f>_xlfn.XLOOKUP(Orders[[#This Row],[CustomerID]],Customers[CustomerID],Customers[CustomerName])</f>
        <v>Blessing Eze</v>
      </c>
      <c r="O276" t="str">
        <f>_xlfn.XLOOKUP(Orders[[#This Row],[CustomerID]],Customers[CustomerID],Customers[Gender])</f>
        <v>Female</v>
      </c>
      <c r="P276">
        <f>_xlfn.XLOOKUP(Orders[[#This Row],[CustomerID]],Customers[CustomerID],Customers[CustomerAge])</f>
        <v>24</v>
      </c>
      <c r="Q276" t="str">
        <f>IF(Orders[[#This Row],[Age]]&gt;=35,"older","young")</f>
        <v>young</v>
      </c>
      <c r="R276" t="str">
        <f>_xlfn.XLOOKUP(Orders[[#This Row],[ProductID]],Products[ProductID],Products[ProductName])</f>
        <v>BADMINTON RACKET</v>
      </c>
      <c r="S276" t="str">
        <f>_xlfn.XLOOKUP(Orders[[#This Row],[ProductID]],Products!A:A,Products!C:C)</f>
        <v>Sports</v>
      </c>
    </row>
    <row r="277" spans="1:19" x14ac:dyDescent="0.2">
      <c r="A277" s="4" t="s">
        <v>445</v>
      </c>
      <c r="B277" s="5">
        <v>46007</v>
      </c>
      <c r="C277" s="15">
        <f>WEEKNUM(Orders[[#This Row],[OrderDate]])</f>
        <v>51</v>
      </c>
      <c r="D277" s="4" t="s">
        <v>302</v>
      </c>
      <c r="E277" s="4" t="s">
        <v>92</v>
      </c>
      <c r="F277" s="4">
        <v>6</v>
      </c>
      <c r="G277" s="4">
        <v>16171.5</v>
      </c>
      <c r="H277">
        <v>13745.775</v>
      </c>
      <c r="I277">
        <f>Orders[[#This Row],[Quantity]]*Orders[[#This Row],[Selling Price]]</f>
        <v>97029</v>
      </c>
      <c r="J277">
        <f>Orders[[#This Row],[Quantity]]*Orders[[#This Row],[Cost Price]]</f>
        <v>82474.649999999994</v>
      </c>
      <c r="K277">
        <f>Orders[[#This Row],[Revenue]]-Orders[[#This Row],[Expenses]]</f>
        <v>14554.350000000006</v>
      </c>
      <c r="L277" t="s">
        <v>2217</v>
      </c>
      <c r="M277" t="str">
        <f>_xlfn.XLOOKUP(Orders[[#This Row],[CustomerID]],Customers[CustomerID],Customers[City])</f>
        <v>Washington</v>
      </c>
      <c r="N277" t="str">
        <f>_xlfn.XLOOKUP(Orders[[#This Row],[CustomerID]],Customers[CustomerID],Customers[CustomerName])</f>
        <v>Sani Bello</v>
      </c>
      <c r="O277" t="str">
        <f>_xlfn.XLOOKUP(Orders[[#This Row],[CustomerID]],Customers[CustomerID],Customers[Gender])</f>
        <v>Male</v>
      </c>
      <c r="P277">
        <f>_xlfn.XLOOKUP(Orders[[#This Row],[CustomerID]],Customers[CustomerID],Customers[CustomerAge])</f>
        <v>23</v>
      </c>
      <c r="Q277" t="str">
        <f>IF(Orders[[#This Row],[Age]]&gt;=35,"older","young")</f>
        <v>young</v>
      </c>
      <c r="R277" t="str">
        <f>_xlfn.XLOOKUP(Orders[[#This Row],[ProductID]],Products[ProductID],Products[ProductName])</f>
        <v>CHEST EXPANDER</v>
      </c>
      <c r="S277" t="str">
        <f>_xlfn.XLOOKUP(Orders[[#This Row],[ProductID]],Products!A:A,Products!C:C)</f>
        <v>Gym</v>
      </c>
    </row>
    <row r="278" spans="1:19" x14ac:dyDescent="0.2">
      <c r="A278" s="4" t="s">
        <v>446</v>
      </c>
      <c r="B278" s="5">
        <v>45987</v>
      </c>
      <c r="C278" s="15">
        <f>WEEKNUM(Orders[[#This Row],[OrderDate]])</f>
        <v>48</v>
      </c>
      <c r="D278" s="4" t="s">
        <v>309</v>
      </c>
      <c r="E278" s="4" t="s">
        <v>12</v>
      </c>
      <c r="F278" s="4">
        <v>6</v>
      </c>
      <c r="G278" s="4">
        <v>9909.1</v>
      </c>
      <c r="H278">
        <v>8422.7350000000006</v>
      </c>
      <c r="I278">
        <f>Orders[[#This Row],[Quantity]]*Orders[[#This Row],[Selling Price]]</f>
        <v>59454.600000000006</v>
      </c>
      <c r="J278">
        <f>Orders[[#This Row],[Quantity]]*Orders[[#This Row],[Cost Price]]</f>
        <v>50536.41</v>
      </c>
      <c r="K278">
        <f>Orders[[#This Row],[Revenue]]-Orders[[#This Row],[Expenses]]</f>
        <v>8918.1900000000023</v>
      </c>
      <c r="L278" t="s">
        <v>2211</v>
      </c>
      <c r="M278" t="str">
        <f>_xlfn.XLOOKUP(Orders[[#This Row],[CustomerID]],Customers[CustomerID],Customers[City])</f>
        <v>Washington</v>
      </c>
      <c r="N278" t="str">
        <f>_xlfn.XLOOKUP(Orders[[#This Row],[CustomerID]],Customers[CustomerID],Customers[CustomerName])</f>
        <v>Temi Ojo</v>
      </c>
      <c r="O278" t="str">
        <f>_xlfn.XLOOKUP(Orders[[#This Row],[CustomerID]],Customers[CustomerID],Customers[Gender])</f>
        <v>Female</v>
      </c>
      <c r="P278">
        <f>_xlfn.XLOOKUP(Orders[[#This Row],[CustomerID]],Customers[CustomerID],Customers[CustomerAge])</f>
        <v>36</v>
      </c>
      <c r="Q278" t="str">
        <f>IF(Orders[[#This Row],[Age]]&gt;=35,"older","young")</f>
        <v>older</v>
      </c>
      <c r="R278" t="str">
        <f>_xlfn.XLOOKUP(Orders[[#This Row],[ProductID]],Products[ProductID],Products[ProductName])</f>
        <v>BOUBOU</v>
      </c>
      <c r="S278" t="str">
        <f>_xlfn.XLOOKUP(Orders[[#This Row],[ProductID]],Products!A:A,Products!C:C)</f>
        <v>Clothing</v>
      </c>
    </row>
    <row r="279" spans="1:19" x14ac:dyDescent="0.2">
      <c r="A279" s="4" t="s">
        <v>447</v>
      </c>
      <c r="B279" s="5">
        <v>45982</v>
      </c>
      <c r="C279" s="15">
        <f>WEEKNUM(Orders[[#This Row],[OrderDate]])</f>
        <v>47</v>
      </c>
      <c r="D279" s="4" t="s">
        <v>33</v>
      </c>
      <c r="E279" s="4" t="s">
        <v>157</v>
      </c>
      <c r="F279" s="4">
        <v>7</v>
      </c>
      <c r="G279" s="4">
        <v>16159</v>
      </c>
      <c r="H279">
        <v>13735.15</v>
      </c>
      <c r="I279">
        <f>Orders[[#This Row],[Quantity]]*Orders[[#This Row],[Selling Price]]</f>
        <v>113113</v>
      </c>
      <c r="J279">
        <f>Orders[[#This Row],[Quantity]]*Orders[[#This Row],[Cost Price]]</f>
        <v>96146.05</v>
      </c>
      <c r="K279">
        <f>Orders[[#This Row],[Revenue]]-Orders[[#This Row],[Expenses]]</f>
        <v>16966.949999999997</v>
      </c>
      <c r="L279" t="s">
        <v>2196</v>
      </c>
      <c r="M279" t="str">
        <f>_xlfn.XLOOKUP(Orders[[#This Row],[CustomerID]],Customers[CustomerID],Customers[City])</f>
        <v>Texas</v>
      </c>
      <c r="N279" t="str">
        <f>_xlfn.XLOOKUP(Orders[[#This Row],[CustomerID]],Customers[CustomerID],Customers[CustomerName])</f>
        <v>Okon Balogun</v>
      </c>
      <c r="O279" t="str">
        <f>_xlfn.XLOOKUP(Orders[[#This Row],[CustomerID]],Customers[CustomerID],Customers[Gender])</f>
        <v>Male</v>
      </c>
      <c r="P279">
        <f>_xlfn.XLOOKUP(Orders[[#This Row],[CustomerID]],Customers[CustomerID],Customers[CustomerAge])</f>
        <v>28</v>
      </c>
      <c r="Q279" t="str">
        <f>IF(Orders[[#This Row],[Age]]&gt;=35,"older","young")</f>
        <v>young</v>
      </c>
      <c r="R279" t="str">
        <f>_xlfn.XLOOKUP(Orders[[#This Row],[ProductID]],Products[ProductID],Products[ProductName])</f>
        <v>FOOTBALL</v>
      </c>
      <c r="S279" t="str">
        <f>_xlfn.XLOOKUP(Orders[[#This Row],[ProductID]],Products!A:A,Products!C:C)</f>
        <v>Sports</v>
      </c>
    </row>
    <row r="280" spans="1:19" x14ac:dyDescent="0.2">
      <c r="A280" s="4" t="s">
        <v>448</v>
      </c>
      <c r="B280" s="5">
        <v>45992</v>
      </c>
      <c r="C280" s="15">
        <f>WEEKNUM(Orders[[#This Row],[OrderDate]])</f>
        <v>49</v>
      </c>
      <c r="D280" s="4" t="s">
        <v>103</v>
      </c>
      <c r="E280" s="4" t="s">
        <v>84</v>
      </c>
      <c r="F280" s="4">
        <v>1</v>
      </c>
      <c r="G280" s="4">
        <v>16725.599999999999</v>
      </c>
      <c r="H280">
        <v>14216.759999999998</v>
      </c>
      <c r="I280">
        <f>Orders[[#This Row],[Quantity]]*Orders[[#This Row],[Selling Price]]</f>
        <v>16725.599999999999</v>
      </c>
      <c r="J280">
        <f>Orders[[#This Row],[Quantity]]*Orders[[#This Row],[Cost Price]]</f>
        <v>14216.759999999998</v>
      </c>
      <c r="K280">
        <f>Orders[[#This Row],[Revenue]]-Orders[[#This Row],[Expenses]]</f>
        <v>2508.84</v>
      </c>
      <c r="L280" t="s">
        <v>2195</v>
      </c>
      <c r="M280" t="str">
        <f>_xlfn.XLOOKUP(Orders[[#This Row],[CustomerID]],Customers[CustomerID],Customers[City])</f>
        <v>Georgia</v>
      </c>
      <c r="N280" t="str">
        <f>_xlfn.XLOOKUP(Orders[[#This Row],[CustomerID]],Customers[CustomerID],Customers[CustomerName])</f>
        <v>Chioma Adeyemi</v>
      </c>
      <c r="O280" t="str">
        <f>_xlfn.XLOOKUP(Orders[[#This Row],[CustomerID]],Customers[CustomerID],Customers[Gender])</f>
        <v>Female</v>
      </c>
      <c r="P280">
        <f>_xlfn.XLOOKUP(Orders[[#This Row],[CustomerID]],Customers[CustomerID],Customers[CustomerAge])</f>
        <v>31</v>
      </c>
      <c r="Q280" t="str">
        <f>IF(Orders[[#This Row],[Age]]&gt;=35,"older","young")</f>
        <v>young</v>
      </c>
      <c r="R280" t="str">
        <f>_xlfn.XLOOKUP(Orders[[#This Row],[ProductID]],Products[ProductID],Products[ProductName])</f>
        <v>GYM WEARS</v>
      </c>
      <c r="S280" t="str">
        <f>_xlfn.XLOOKUP(Orders[[#This Row],[ProductID]],Products!A:A,Products!C:C)</f>
        <v>Clothing</v>
      </c>
    </row>
    <row r="281" spans="1:19" x14ac:dyDescent="0.2">
      <c r="A281" s="4" t="s">
        <v>449</v>
      </c>
      <c r="B281" s="5">
        <v>45937</v>
      </c>
      <c r="C281" s="15">
        <f>WEEKNUM(Orders[[#This Row],[OrderDate]])</f>
        <v>41</v>
      </c>
      <c r="D281" s="4" t="s">
        <v>17</v>
      </c>
      <c r="E281" s="4" t="s">
        <v>9</v>
      </c>
      <c r="F281" s="4">
        <v>1</v>
      </c>
      <c r="G281" s="4">
        <v>1550.2</v>
      </c>
      <c r="H281">
        <v>1317.67</v>
      </c>
      <c r="I281">
        <f>Orders[[#This Row],[Quantity]]*Orders[[#This Row],[Selling Price]]</f>
        <v>1550.2</v>
      </c>
      <c r="J281">
        <f>Orders[[#This Row],[Quantity]]*Orders[[#This Row],[Cost Price]]</f>
        <v>1317.67</v>
      </c>
      <c r="K281">
        <f>Orders[[#This Row],[Revenue]]-Orders[[#This Row],[Expenses]]</f>
        <v>232.52999999999997</v>
      </c>
      <c r="L281" t="s">
        <v>2219</v>
      </c>
      <c r="M281" t="str">
        <f>_xlfn.XLOOKUP(Orders[[#This Row],[CustomerID]],Customers[CustomerID],Customers[City])</f>
        <v>Illinois</v>
      </c>
      <c r="N281" t="str">
        <f>_xlfn.XLOOKUP(Orders[[#This Row],[CustomerID]],Customers[CustomerID],Customers[CustomerName])</f>
        <v>Bisi Adeyemi</v>
      </c>
      <c r="O281" t="str">
        <f>_xlfn.XLOOKUP(Orders[[#This Row],[CustomerID]],Customers[CustomerID],Customers[Gender])</f>
        <v>Female</v>
      </c>
      <c r="P281">
        <f>_xlfn.XLOOKUP(Orders[[#This Row],[CustomerID]],Customers[CustomerID],Customers[CustomerAge])</f>
        <v>48</v>
      </c>
      <c r="Q281" t="str">
        <f>IF(Orders[[#This Row],[Age]]&gt;=35,"older","young")</f>
        <v>older</v>
      </c>
      <c r="R281" t="str">
        <f>_xlfn.XLOOKUP(Orders[[#This Row],[ProductID]],Products[ProductID],Products[ProductName])</f>
        <v>BEADED EARRINGS AND NECKLACES</v>
      </c>
      <c r="S281" t="str">
        <f>_xlfn.XLOOKUP(Orders[[#This Row],[ProductID]],Products!A:A,Products!C:C)</f>
        <v>Accessories</v>
      </c>
    </row>
    <row r="282" spans="1:19" x14ac:dyDescent="0.2">
      <c r="A282" s="4" t="s">
        <v>450</v>
      </c>
      <c r="B282" s="5">
        <v>45959</v>
      </c>
      <c r="C282" s="15">
        <f>WEEKNUM(Orders[[#This Row],[OrderDate]])</f>
        <v>44</v>
      </c>
      <c r="D282" s="4" t="s">
        <v>212</v>
      </c>
      <c r="E282" s="4" t="s">
        <v>353</v>
      </c>
      <c r="F282" s="4">
        <v>8</v>
      </c>
      <c r="G282" s="4">
        <v>2892.3</v>
      </c>
      <c r="H282">
        <v>2458.4549999999999</v>
      </c>
      <c r="I282">
        <f>Orders[[#This Row],[Quantity]]*Orders[[#This Row],[Selling Price]]</f>
        <v>23138.400000000001</v>
      </c>
      <c r="J282">
        <f>Orders[[#This Row],[Quantity]]*Orders[[#This Row],[Cost Price]]</f>
        <v>19667.64</v>
      </c>
      <c r="K282">
        <f>Orders[[#This Row],[Revenue]]-Orders[[#This Row],[Expenses]]</f>
        <v>3470.760000000002</v>
      </c>
      <c r="L282" t="s">
        <v>2212</v>
      </c>
      <c r="M282" t="str">
        <f>_xlfn.XLOOKUP(Orders[[#This Row],[CustomerID]],Customers[CustomerID],Customers[City])</f>
        <v>Illinois</v>
      </c>
      <c r="N282" t="str">
        <f>_xlfn.XLOOKUP(Orders[[#This Row],[CustomerID]],Customers[CustomerID],Customers[CustomerName])</f>
        <v>Ngozi Ojo</v>
      </c>
      <c r="O282" t="str">
        <f>_xlfn.XLOOKUP(Orders[[#This Row],[CustomerID]],Customers[CustomerID],Customers[Gender])</f>
        <v>Female</v>
      </c>
      <c r="P282">
        <f>_xlfn.XLOOKUP(Orders[[#This Row],[CustomerID]],Customers[CustomerID],Customers[CustomerAge])</f>
        <v>53</v>
      </c>
      <c r="Q282" t="str">
        <f>IF(Orders[[#This Row],[Age]]&gt;=35,"older","young")</f>
        <v>older</v>
      </c>
      <c r="R282" t="str">
        <f>_xlfn.XLOOKUP(Orders[[#This Row],[ProductID]],Products[ProductID],Products[ProductName])</f>
        <v>SILVER EARRINGS AND NECKLACES</v>
      </c>
      <c r="S282" t="str">
        <f>_xlfn.XLOOKUP(Orders[[#This Row],[ProductID]],Products!A:A,Products!C:C)</f>
        <v>Accessories</v>
      </c>
    </row>
    <row r="283" spans="1:19" x14ac:dyDescent="0.2">
      <c r="A283" s="4" t="s">
        <v>451</v>
      </c>
      <c r="B283" s="5">
        <v>46007</v>
      </c>
      <c r="C283" s="15">
        <f>WEEKNUM(Orders[[#This Row],[OrderDate]])</f>
        <v>51</v>
      </c>
      <c r="D283" s="4" t="s">
        <v>68</v>
      </c>
      <c r="E283" s="4" t="s">
        <v>25</v>
      </c>
      <c r="F283" s="4">
        <v>8</v>
      </c>
      <c r="G283" s="4">
        <v>18358.399999999998</v>
      </c>
      <c r="H283">
        <v>15604.639999999998</v>
      </c>
      <c r="I283">
        <f>Orders[[#This Row],[Quantity]]*Orders[[#This Row],[Selling Price]]</f>
        <v>146867.19999999998</v>
      </c>
      <c r="J283">
        <f>Orders[[#This Row],[Quantity]]*Orders[[#This Row],[Cost Price]]</f>
        <v>124837.11999999998</v>
      </c>
      <c r="K283">
        <f>Orders[[#This Row],[Revenue]]-Orders[[#This Row],[Expenses]]</f>
        <v>22030.080000000002</v>
      </c>
      <c r="L283" t="s">
        <v>2202</v>
      </c>
      <c r="M283" t="str">
        <f>_xlfn.XLOOKUP(Orders[[#This Row],[CustomerID]],Customers[CustomerID],Customers[City])</f>
        <v>Texas</v>
      </c>
      <c r="N283" t="str">
        <f>_xlfn.XLOOKUP(Orders[[#This Row],[CustomerID]],Customers[CustomerID],Customers[CustomerName])</f>
        <v>Abiola Balogun</v>
      </c>
      <c r="O283" t="str">
        <f>_xlfn.XLOOKUP(Orders[[#This Row],[CustomerID]],Customers[CustomerID],Customers[Gender])</f>
        <v>Male</v>
      </c>
      <c r="P283">
        <f>_xlfn.XLOOKUP(Orders[[#This Row],[CustomerID]],Customers[CustomerID],Customers[CustomerAge])</f>
        <v>29</v>
      </c>
      <c r="Q283" t="str">
        <f>IF(Orders[[#This Row],[Age]]&gt;=35,"older","young")</f>
        <v>young</v>
      </c>
      <c r="R283" t="str">
        <f>_xlfn.XLOOKUP(Orders[[#This Row],[ProductID]],Products[ProductID],Products[ProductName])</f>
        <v>GOLD RINGS</v>
      </c>
      <c r="S283" t="str">
        <f>_xlfn.XLOOKUP(Orders[[#This Row],[ProductID]],Products!A:A,Products!C:C)</f>
        <v>Accessories</v>
      </c>
    </row>
    <row r="284" spans="1:19" x14ac:dyDescent="0.2">
      <c r="A284" s="4" t="s">
        <v>452</v>
      </c>
      <c r="B284" s="5">
        <v>45993</v>
      </c>
      <c r="C284" s="15">
        <f>WEEKNUM(Orders[[#This Row],[OrderDate]])</f>
        <v>49</v>
      </c>
      <c r="D284" s="4" t="s">
        <v>83</v>
      </c>
      <c r="E284" s="4" t="s">
        <v>63</v>
      </c>
      <c r="F284" s="4">
        <v>2</v>
      </c>
      <c r="G284" s="4">
        <v>6973.2000000000007</v>
      </c>
      <c r="H284">
        <v>5927.2200000000012</v>
      </c>
      <c r="I284">
        <f>Orders[[#This Row],[Quantity]]*Orders[[#This Row],[Selling Price]]</f>
        <v>13946.400000000001</v>
      </c>
      <c r="J284">
        <f>Orders[[#This Row],[Quantity]]*Orders[[#This Row],[Cost Price]]</f>
        <v>11854.440000000002</v>
      </c>
      <c r="K284">
        <f>Orders[[#This Row],[Revenue]]-Orders[[#This Row],[Expenses]]</f>
        <v>2091.9599999999991</v>
      </c>
      <c r="L284" t="s">
        <v>2193</v>
      </c>
      <c r="M284" t="str">
        <f>_xlfn.XLOOKUP(Orders[[#This Row],[CustomerID]],Customers[CustomerID],Customers[City])</f>
        <v>Florida</v>
      </c>
      <c r="N284" t="str">
        <f>_xlfn.XLOOKUP(Orders[[#This Row],[CustomerID]],Customers[CustomerID],Customers[CustomerName])</f>
        <v>Funke Danladi</v>
      </c>
      <c r="O284" t="str">
        <f>_xlfn.XLOOKUP(Orders[[#This Row],[CustomerID]],Customers[CustomerID],Customers[Gender])</f>
        <v>Female</v>
      </c>
      <c r="P284">
        <f>_xlfn.XLOOKUP(Orders[[#This Row],[CustomerID]],Customers[CustomerID],Customers[CustomerAge])</f>
        <v>26</v>
      </c>
      <c r="Q284" t="str">
        <f>IF(Orders[[#This Row],[Age]]&gt;=35,"older","young")</f>
        <v>young</v>
      </c>
      <c r="R284" t="str">
        <f>_xlfn.XLOOKUP(Orders[[#This Row],[ProductID]],Products[ProductID],Products[ProductName])</f>
        <v>TENNIS BAT</v>
      </c>
      <c r="S284" t="str">
        <f>_xlfn.XLOOKUP(Orders[[#This Row],[ProductID]],Products!A:A,Products!C:C)</f>
        <v>Sports</v>
      </c>
    </row>
    <row r="285" spans="1:19" x14ac:dyDescent="0.2">
      <c r="A285" s="4" t="s">
        <v>453</v>
      </c>
      <c r="B285" s="5">
        <v>45969</v>
      </c>
      <c r="C285" s="15">
        <f>WEEKNUM(Orders[[#This Row],[OrderDate]])</f>
        <v>45</v>
      </c>
      <c r="D285" s="4" t="s">
        <v>107</v>
      </c>
      <c r="E285" s="4" t="s">
        <v>60</v>
      </c>
      <c r="F285" s="4">
        <v>1</v>
      </c>
      <c r="G285" s="4">
        <v>17396.900000000001</v>
      </c>
      <c r="H285">
        <v>14787.365000000002</v>
      </c>
      <c r="I285">
        <f>Orders[[#This Row],[Quantity]]*Orders[[#This Row],[Selling Price]]</f>
        <v>17396.900000000001</v>
      </c>
      <c r="J285">
        <f>Orders[[#This Row],[Quantity]]*Orders[[#This Row],[Cost Price]]</f>
        <v>14787.365000000002</v>
      </c>
      <c r="K285">
        <f>Orders[[#This Row],[Revenue]]-Orders[[#This Row],[Expenses]]</f>
        <v>2609.5349999999999</v>
      </c>
      <c r="L285" t="s">
        <v>2197</v>
      </c>
      <c r="M285" t="str">
        <f>_xlfn.XLOOKUP(Orders[[#This Row],[CustomerID]],Customers[CustomerID],Customers[City])</f>
        <v>Texas</v>
      </c>
      <c r="N285" t="str">
        <f>_xlfn.XLOOKUP(Orders[[#This Row],[CustomerID]],Customers[CustomerID],Customers[CustomerName])</f>
        <v>Blessing Eze</v>
      </c>
      <c r="O285" t="str">
        <f>_xlfn.XLOOKUP(Orders[[#This Row],[CustomerID]],Customers[CustomerID],Customers[Gender])</f>
        <v>Female</v>
      </c>
      <c r="P285">
        <f>_xlfn.XLOOKUP(Orders[[#This Row],[CustomerID]],Customers[CustomerID],Customers[CustomerAge])</f>
        <v>44</v>
      </c>
      <c r="Q285" t="str">
        <f>IF(Orders[[#This Row],[Age]]&gt;=35,"older","young")</f>
        <v>older</v>
      </c>
      <c r="R285" t="str">
        <f>_xlfn.XLOOKUP(Orders[[#This Row],[ProductID]],Products[ProductID],Products[ProductName])</f>
        <v>SILVER RINGS</v>
      </c>
      <c r="S285" t="str">
        <f>_xlfn.XLOOKUP(Orders[[#This Row],[ProductID]],Products!A:A,Products!C:C)</f>
        <v>Accessories</v>
      </c>
    </row>
    <row r="286" spans="1:19" x14ac:dyDescent="0.2">
      <c r="A286" s="4" t="s">
        <v>454</v>
      </c>
      <c r="B286" s="5">
        <v>45958</v>
      </c>
      <c r="C286" s="15">
        <f>WEEKNUM(Orders[[#This Row],[OrderDate]])</f>
        <v>44</v>
      </c>
      <c r="D286" s="4" t="s">
        <v>293</v>
      </c>
      <c r="E286" s="4" t="s">
        <v>66</v>
      </c>
      <c r="F286" s="4">
        <v>9</v>
      </c>
      <c r="G286" s="4">
        <v>5285</v>
      </c>
      <c r="H286">
        <v>4492.25</v>
      </c>
      <c r="I286">
        <f>Orders[[#This Row],[Quantity]]*Orders[[#This Row],[Selling Price]]</f>
        <v>47565</v>
      </c>
      <c r="J286">
        <f>Orders[[#This Row],[Quantity]]*Orders[[#This Row],[Cost Price]]</f>
        <v>40430.25</v>
      </c>
      <c r="K286">
        <f>Orders[[#This Row],[Revenue]]-Orders[[#This Row],[Expenses]]</f>
        <v>7134.75</v>
      </c>
      <c r="L286" t="s">
        <v>2220</v>
      </c>
      <c r="M286" t="str">
        <f>_xlfn.XLOOKUP(Orders[[#This Row],[CustomerID]],Customers[CustomerID],Customers[City])</f>
        <v>Florida</v>
      </c>
      <c r="N286" t="str">
        <f>_xlfn.XLOOKUP(Orders[[#This Row],[CustomerID]],Customers[CustomerID],Customers[CustomerName])</f>
        <v>Tunde Eze</v>
      </c>
      <c r="O286" t="str">
        <f>_xlfn.XLOOKUP(Orders[[#This Row],[CustomerID]],Customers[CustomerID],Customers[Gender])</f>
        <v>Male</v>
      </c>
      <c r="P286">
        <f>_xlfn.XLOOKUP(Orders[[#This Row],[CustomerID]],Customers[CustomerID],Customers[CustomerAge])</f>
        <v>46</v>
      </c>
      <c r="Q286" t="str">
        <f>IF(Orders[[#This Row],[Age]]&gt;=35,"older","young")</f>
        <v>older</v>
      </c>
      <c r="R286" t="str">
        <f>_xlfn.XLOOKUP(Orders[[#This Row],[ProductID]],Products[ProductID],Products[ProductName])</f>
        <v>MICROWAVE</v>
      </c>
      <c r="S286" t="str">
        <f>_xlfn.XLOOKUP(Orders[[#This Row],[ProductID]],Products!A:A,Products!C:C)</f>
        <v>Electronics</v>
      </c>
    </row>
    <row r="287" spans="1:19" x14ac:dyDescent="0.2">
      <c r="A287" s="4" t="s">
        <v>455</v>
      </c>
      <c r="B287" s="5">
        <v>45976</v>
      </c>
      <c r="C287" s="15">
        <f>WEEKNUM(Orders[[#This Row],[OrderDate]])</f>
        <v>46</v>
      </c>
      <c r="D287" s="4" t="s">
        <v>205</v>
      </c>
      <c r="E287" s="4" t="s">
        <v>66</v>
      </c>
      <c r="F287" s="4">
        <v>10</v>
      </c>
      <c r="G287" s="4">
        <v>15277.6</v>
      </c>
      <c r="H287">
        <v>12985.960000000001</v>
      </c>
      <c r="I287">
        <f>Orders[[#This Row],[Quantity]]*Orders[[#This Row],[Selling Price]]</f>
        <v>152776</v>
      </c>
      <c r="J287">
        <f>Orders[[#This Row],[Quantity]]*Orders[[#This Row],[Cost Price]]</f>
        <v>129859.6</v>
      </c>
      <c r="K287">
        <f>Orders[[#This Row],[Revenue]]-Orders[[#This Row],[Expenses]]</f>
        <v>22916.399999999994</v>
      </c>
      <c r="L287" t="s">
        <v>2203</v>
      </c>
      <c r="M287" t="str">
        <f>_xlfn.XLOOKUP(Orders[[#This Row],[CustomerID]],Customers[CustomerID],Customers[City])</f>
        <v>Washington</v>
      </c>
      <c r="N287" t="str">
        <f>_xlfn.XLOOKUP(Orders[[#This Row],[CustomerID]],Customers[CustomerID],Customers[CustomerName])</f>
        <v>Jide Adeyemi</v>
      </c>
      <c r="O287" t="str">
        <f>_xlfn.XLOOKUP(Orders[[#This Row],[CustomerID]],Customers[CustomerID],Customers[Gender])</f>
        <v>Male</v>
      </c>
      <c r="P287">
        <f>_xlfn.XLOOKUP(Orders[[#This Row],[CustomerID]],Customers[CustomerID],Customers[CustomerAge])</f>
        <v>19</v>
      </c>
      <c r="Q287" t="str">
        <f>IF(Orders[[#This Row],[Age]]&gt;=35,"older","young")</f>
        <v>young</v>
      </c>
      <c r="R287" t="str">
        <f>_xlfn.XLOOKUP(Orders[[#This Row],[ProductID]],Products[ProductID],Products[ProductName])</f>
        <v>MICROWAVE</v>
      </c>
      <c r="S287" t="str">
        <f>_xlfn.XLOOKUP(Orders[[#This Row],[ProductID]],Products!A:A,Products!C:C)</f>
        <v>Electronics</v>
      </c>
    </row>
    <row r="288" spans="1:19" x14ac:dyDescent="0.2">
      <c r="A288" s="4" t="s">
        <v>456</v>
      </c>
      <c r="B288" s="5">
        <v>46008</v>
      </c>
      <c r="C288" s="15">
        <f>WEEKNUM(Orders[[#This Row],[OrderDate]])</f>
        <v>51</v>
      </c>
      <c r="D288" s="4" t="s">
        <v>457</v>
      </c>
      <c r="E288" s="4" t="s">
        <v>70</v>
      </c>
      <c r="F288" s="4">
        <v>8</v>
      </c>
      <c r="G288" s="4">
        <v>19904.100000000002</v>
      </c>
      <c r="H288">
        <v>16918.485000000001</v>
      </c>
      <c r="I288">
        <f>Orders[[#This Row],[Quantity]]*Orders[[#This Row],[Selling Price]]</f>
        <v>159232.80000000002</v>
      </c>
      <c r="J288">
        <f>Orders[[#This Row],[Quantity]]*Orders[[#This Row],[Cost Price]]</f>
        <v>135347.88</v>
      </c>
      <c r="K288">
        <f>Orders[[#This Row],[Revenue]]-Orders[[#This Row],[Expenses]]</f>
        <v>23884.920000000013</v>
      </c>
      <c r="L288" t="s">
        <v>2205</v>
      </c>
      <c r="M288" t="str">
        <f>_xlfn.XLOOKUP(Orders[[#This Row],[CustomerID]],Customers[CustomerID],Customers[City])</f>
        <v>Illinois</v>
      </c>
      <c r="N288" t="str">
        <f>_xlfn.XLOOKUP(Orders[[#This Row],[CustomerID]],Customers[CustomerID],Customers[CustomerName])</f>
        <v>Tunde Okonkwo</v>
      </c>
      <c r="O288" t="str">
        <f>_xlfn.XLOOKUP(Orders[[#This Row],[CustomerID]],Customers[CustomerID],Customers[Gender])</f>
        <v>Male</v>
      </c>
      <c r="P288">
        <f>_xlfn.XLOOKUP(Orders[[#This Row],[CustomerID]],Customers[CustomerID],Customers[CustomerAge])</f>
        <v>23</v>
      </c>
      <c r="Q288" t="str">
        <f>IF(Orders[[#This Row],[Age]]&gt;=35,"older","young")</f>
        <v>young</v>
      </c>
      <c r="R288" t="str">
        <f>_xlfn.XLOOKUP(Orders[[#This Row],[ProductID]],Products[ProductID],Products[ProductName])</f>
        <v>YOGA MAT</v>
      </c>
      <c r="S288" t="str">
        <f>_xlfn.XLOOKUP(Orders[[#This Row],[ProductID]],Products!A:A,Products!C:C)</f>
        <v>Gym</v>
      </c>
    </row>
    <row r="289" spans="1:19" x14ac:dyDescent="0.2">
      <c r="A289" s="4" t="s">
        <v>458</v>
      </c>
      <c r="B289" s="5">
        <v>45995</v>
      </c>
      <c r="C289" s="15">
        <f>WEEKNUM(Orders[[#This Row],[OrderDate]])</f>
        <v>49</v>
      </c>
      <c r="D289" s="4" t="s">
        <v>154</v>
      </c>
      <c r="E289" s="4" t="s">
        <v>9</v>
      </c>
      <c r="F289" s="4">
        <v>8</v>
      </c>
      <c r="G289" s="4">
        <v>13223</v>
      </c>
      <c r="H289">
        <v>11239.55</v>
      </c>
      <c r="I289">
        <f>Orders[[#This Row],[Quantity]]*Orders[[#This Row],[Selling Price]]</f>
        <v>105784</v>
      </c>
      <c r="J289">
        <f>Orders[[#This Row],[Quantity]]*Orders[[#This Row],[Cost Price]]</f>
        <v>89916.4</v>
      </c>
      <c r="K289">
        <f>Orders[[#This Row],[Revenue]]-Orders[[#This Row],[Expenses]]</f>
        <v>15867.600000000006</v>
      </c>
      <c r="L289" t="s">
        <v>2204</v>
      </c>
      <c r="M289" t="str">
        <f>_xlfn.XLOOKUP(Orders[[#This Row],[CustomerID]],Customers[CustomerID],Customers[City])</f>
        <v>Illinois</v>
      </c>
      <c r="N289" t="str">
        <f>_xlfn.XLOOKUP(Orders[[#This Row],[CustomerID]],Customers[CustomerID],Customers[CustomerName])</f>
        <v>Ronke Danladi</v>
      </c>
      <c r="O289" t="str">
        <f>_xlfn.XLOOKUP(Orders[[#This Row],[CustomerID]],Customers[CustomerID],Customers[Gender])</f>
        <v>Female</v>
      </c>
      <c r="P289">
        <f>_xlfn.XLOOKUP(Orders[[#This Row],[CustomerID]],Customers[CustomerID],Customers[CustomerAge])</f>
        <v>46</v>
      </c>
      <c r="Q289" t="str">
        <f>IF(Orders[[#This Row],[Age]]&gt;=35,"older","young")</f>
        <v>older</v>
      </c>
      <c r="R289" t="str">
        <f>_xlfn.XLOOKUP(Orders[[#This Row],[ProductID]],Products[ProductID],Products[ProductName])</f>
        <v>BEADED EARRINGS AND NECKLACES</v>
      </c>
      <c r="S289" t="str">
        <f>_xlfn.XLOOKUP(Orders[[#This Row],[ProductID]],Products!A:A,Products!C:C)</f>
        <v>Accessories</v>
      </c>
    </row>
    <row r="290" spans="1:19" x14ac:dyDescent="0.2">
      <c r="A290" s="4" t="s">
        <v>459</v>
      </c>
      <c r="B290" s="5">
        <v>46013</v>
      </c>
      <c r="C290" s="15">
        <f>WEEKNUM(Orders[[#This Row],[OrderDate]])</f>
        <v>52</v>
      </c>
      <c r="D290" s="4" t="s">
        <v>346</v>
      </c>
      <c r="E290" s="4" t="s">
        <v>130</v>
      </c>
      <c r="F290" s="4">
        <v>1</v>
      </c>
      <c r="G290" s="4">
        <v>3901.7000000000003</v>
      </c>
      <c r="H290">
        <v>3316.4450000000002</v>
      </c>
      <c r="I290">
        <f>Orders[[#This Row],[Quantity]]*Orders[[#This Row],[Selling Price]]</f>
        <v>3901.7000000000003</v>
      </c>
      <c r="J290">
        <f>Orders[[#This Row],[Quantity]]*Orders[[#This Row],[Cost Price]]</f>
        <v>3316.4450000000002</v>
      </c>
      <c r="K290">
        <f>Orders[[#This Row],[Revenue]]-Orders[[#This Row],[Expenses]]</f>
        <v>585.25500000000011</v>
      </c>
      <c r="L290" t="s">
        <v>2218</v>
      </c>
      <c r="M290" t="str">
        <f>_xlfn.XLOOKUP(Orders[[#This Row],[CustomerID]],Customers[CustomerID],Customers[City])</f>
        <v>California</v>
      </c>
      <c r="N290" t="str">
        <f>_xlfn.XLOOKUP(Orders[[#This Row],[CustomerID]],Customers[CustomerID],Customers[CustomerName])</f>
        <v>Ngozi Danladi</v>
      </c>
      <c r="O290" t="str">
        <f>_xlfn.XLOOKUP(Orders[[#This Row],[CustomerID]],Customers[CustomerID],Customers[Gender])</f>
        <v>Female</v>
      </c>
      <c r="P290">
        <f>_xlfn.XLOOKUP(Orders[[#This Row],[CustomerID]],Customers[CustomerID],Customers[CustomerAge])</f>
        <v>30</v>
      </c>
      <c r="Q290" t="str">
        <f>IF(Orders[[#This Row],[Age]]&gt;=35,"older","young")</f>
        <v>young</v>
      </c>
      <c r="R290" t="str">
        <f>_xlfn.XLOOKUP(Orders[[#This Row],[ProductID]],Products[ProductID],Products[ProductName])</f>
        <v>GOLD EARRINGS AND NECKLACES</v>
      </c>
      <c r="S290" t="str">
        <f>_xlfn.XLOOKUP(Orders[[#This Row],[ProductID]],Products!A:A,Products!C:C)</f>
        <v>Accessories</v>
      </c>
    </row>
    <row r="291" spans="1:19" x14ac:dyDescent="0.2">
      <c r="A291" s="4" t="s">
        <v>460</v>
      </c>
      <c r="B291" s="5">
        <v>45972</v>
      </c>
      <c r="C291" s="15">
        <f>WEEKNUM(Orders[[#This Row],[OrderDate]])</f>
        <v>46</v>
      </c>
      <c r="D291" s="4" t="s">
        <v>346</v>
      </c>
      <c r="E291" s="4" t="s">
        <v>120</v>
      </c>
      <c r="F291" s="4">
        <v>7</v>
      </c>
      <c r="G291" s="4">
        <v>11145.5</v>
      </c>
      <c r="H291">
        <v>9473.6749999999993</v>
      </c>
      <c r="I291">
        <f>Orders[[#This Row],[Quantity]]*Orders[[#This Row],[Selling Price]]</f>
        <v>78018.5</v>
      </c>
      <c r="J291">
        <f>Orders[[#This Row],[Quantity]]*Orders[[#This Row],[Cost Price]]</f>
        <v>66315.724999999991</v>
      </c>
      <c r="K291">
        <f>Orders[[#This Row],[Revenue]]-Orders[[#This Row],[Expenses]]</f>
        <v>11702.775000000009</v>
      </c>
      <c r="L291" t="s">
        <v>2213</v>
      </c>
      <c r="M291" t="str">
        <f>_xlfn.XLOOKUP(Orders[[#This Row],[CustomerID]],Customers[CustomerID],Customers[City])</f>
        <v>California</v>
      </c>
      <c r="N291" t="str">
        <f>_xlfn.XLOOKUP(Orders[[#This Row],[CustomerID]],Customers[CustomerID],Customers[CustomerName])</f>
        <v>Ngozi Danladi</v>
      </c>
      <c r="O291" t="str">
        <f>_xlfn.XLOOKUP(Orders[[#This Row],[CustomerID]],Customers[CustomerID],Customers[Gender])</f>
        <v>Female</v>
      </c>
      <c r="P291">
        <f>_xlfn.XLOOKUP(Orders[[#This Row],[CustomerID]],Customers[CustomerID],Customers[CustomerAge])</f>
        <v>30</v>
      </c>
      <c r="Q291" t="str">
        <f>IF(Orders[[#This Row],[Age]]&gt;=35,"older","young")</f>
        <v>young</v>
      </c>
      <c r="R291" t="str">
        <f>_xlfn.XLOOKUP(Orders[[#This Row],[ProductID]],Products[ProductID],Products[ProductName])</f>
        <v>CHESS</v>
      </c>
      <c r="S291" t="str">
        <f>_xlfn.XLOOKUP(Orders[[#This Row],[ProductID]],Products!A:A,Products!C:C)</f>
        <v>Games</v>
      </c>
    </row>
    <row r="292" spans="1:19" x14ac:dyDescent="0.2">
      <c r="A292" s="4" t="s">
        <v>461</v>
      </c>
      <c r="B292" s="5">
        <v>46022</v>
      </c>
      <c r="C292" s="15">
        <f>WEEKNUM(Orders[[#This Row],[OrderDate]])</f>
        <v>53</v>
      </c>
      <c r="D292" s="4" t="s">
        <v>285</v>
      </c>
      <c r="E292" s="4" t="s">
        <v>20</v>
      </c>
      <c r="F292" s="4">
        <v>2</v>
      </c>
      <c r="G292" s="4">
        <v>17815.3</v>
      </c>
      <c r="H292">
        <v>15143.004999999999</v>
      </c>
      <c r="I292">
        <f>Orders[[#This Row],[Quantity]]*Orders[[#This Row],[Selling Price]]</f>
        <v>35630.6</v>
      </c>
      <c r="J292">
        <f>Orders[[#This Row],[Quantity]]*Orders[[#This Row],[Cost Price]]</f>
        <v>30286.01</v>
      </c>
      <c r="K292">
        <f>Orders[[#This Row],[Revenue]]-Orders[[#This Row],[Expenses]]</f>
        <v>5344.59</v>
      </c>
      <c r="L292" t="s">
        <v>2203</v>
      </c>
      <c r="M292" t="str">
        <f>_xlfn.XLOOKUP(Orders[[#This Row],[CustomerID]],Customers[CustomerID],Customers[City])</f>
        <v>California</v>
      </c>
      <c r="N292" t="str">
        <f>_xlfn.XLOOKUP(Orders[[#This Row],[CustomerID]],Customers[CustomerID],Customers[CustomerName])</f>
        <v>Sani Balogun</v>
      </c>
      <c r="O292" t="str">
        <f>_xlfn.XLOOKUP(Orders[[#This Row],[CustomerID]],Customers[CustomerID],Customers[Gender])</f>
        <v>Male</v>
      </c>
      <c r="P292">
        <f>_xlfn.XLOOKUP(Orders[[#This Row],[CustomerID]],Customers[CustomerID],Customers[CustomerAge])</f>
        <v>27</v>
      </c>
      <c r="Q292" t="str">
        <f>IF(Orders[[#This Row],[Age]]&gt;=35,"older","young")</f>
        <v>young</v>
      </c>
      <c r="R292" t="str">
        <f>_xlfn.XLOOKUP(Orders[[#This Row],[ProductID]],Products[ProductID],Products[ProductName])</f>
        <v>GYM BAG</v>
      </c>
      <c r="S292" t="str">
        <f>_xlfn.XLOOKUP(Orders[[#This Row],[ProductID]],Products!A:A,Products!C:C)</f>
        <v>Gym</v>
      </c>
    </row>
    <row r="293" spans="1:19" x14ac:dyDescent="0.2">
      <c r="A293" s="4" t="s">
        <v>462</v>
      </c>
      <c r="B293" s="5">
        <v>45939</v>
      </c>
      <c r="C293" s="15">
        <f>WEEKNUM(Orders[[#This Row],[OrderDate]])</f>
        <v>41</v>
      </c>
      <c r="D293" s="4" t="s">
        <v>418</v>
      </c>
      <c r="E293" s="4" t="s">
        <v>37</v>
      </c>
      <c r="F293" s="4">
        <v>6</v>
      </c>
      <c r="G293" s="4">
        <v>18288.5</v>
      </c>
      <c r="H293">
        <v>15545.225</v>
      </c>
      <c r="I293">
        <f>Orders[[#This Row],[Quantity]]*Orders[[#This Row],[Selling Price]]</f>
        <v>109731</v>
      </c>
      <c r="J293">
        <f>Orders[[#This Row],[Quantity]]*Orders[[#This Row],[Cost Price]]</f>
        <v>93271.35</v>
      </c>
      <c r="K293">
        <f>Orders[[#This Row],[Revenue]]-Orders[[#This Row],[Expenses]]</f>
        <v>16459.649999999994</v>
      </c>
      <c r="L293" t="s">
        <v>2192</v>
      </c>
      <c r="M293" t="str">
        <f>_xlfn.XLOOKUP(Orders[[#This Row],[CustomerID]],Customers[CustomerID],Customers[City])</f>
        <v>Illinois</v>
      </c>
      <c r="N293" t="str">
        <f>_xlfn.XLOOKUP(Orders[[#This Row],[CustomerID]],Customers[CustomerID],Customers[CustomerName])</f>
        <v>Amina Danladi</v>
      </c>
      <c r="O293" t="str">
        <f>_xlfn.XLOOKUP(Orders[[#This Row],[CustomerID]],Customers[CustomerID],Customers[Gender])</f>
        <v>Female</v>
      </c>
      <c r="P293">
        <f>_xlfn.XLOOKUP(Orders[[#This Row],[CustomerID]],Customers[CustomerID],Customers[CustomerAge])</f>
        <v>20</v>
      </c>
      <c r="Q293" t="str">
        <f>IF(Orders[[#This Row],[Age]]&gt;=35,"older","young")</f>
        <v>young</v>
      </c>
      <c r="R293" t="str">
        <f>_xlfn.XLOOKUP(Orders[[#This Row],[ProductID]],Products[ProductID],Products[ProductName])</f>
        <v>IRON</v>
      </c>
      <c r="S293" t="str">
        <f>_xlfn.XLOOKUP(Orders[[#This Row],[ProductID]],Products!A:A,Products!C:C)</f>
        <v>Electronics</v>
      </c>
    </row>
    <row r="294" spans="1:19" x14ac:dyDescent="0.2">
      <c r="A294" s="4" t="s">
        <v>463</v>
      </c>
      <c r="B294" s="5">
        <v>45977</v>
      </c>
      <c r="C294" s="15">
        <f>WEEKNUM(Orders[[#This Row],[OrderDate]])</f>
        <v>47</v>
      </c>
      <c r="D294" s="4" t="s">
        <v>27</v>
      </c>
      <c r="E294" s="4" t="s">
        <v>189</v>
      </c>
      <c r="F294" s="4">
        <v>4</v>
      </c>
      <c r="G294" s="4">
        <v>17729.2</v>
      </c>
      <c r="H294">
        <v>15069.82</v>
      </c>
      <c r="I294">
        <f>Orders[[#This Row],[Quantity]]*Orders[[#This Row],[Selling Price]]</f>
        <v>70916.800000000003</v>
      </c>
      <c r="J294">
        <f>Orders[[#This Row],[Quantity]]*Orders[[#This Row],[Cost Price]]</f>
        <v>60279.28</v>
      </c>
      <c r="K294">
        <f>Orders[[#This Row],[Revenue]]-Orders[[#This Row],[Expenses]]</f>
        <v>10637.520000000004</v>
      </c>
      <c r="L294" t="s">
        <v>2193</v>
      </c>
      <c r="M294" t="str">
        <f>_xlfn.XLOOKUP(Orders[[#This Row],[CustomerID]],Customers[CustomerID],Customers[City])</f>
        <v>Illinois</v>
      </c>
      <c r="N294" t="str">
        <f>_xlfn.XLOOKUP(Orders[[#This Row],[CustomerID]],Customers[CustomerID],Customers[CustomerName])</f>
        <v>Okon Ojo</v>
      </c>
      <c r="O294" t="str">
        <f>_xlfn.XLOOKUP(Orders[[#This Row],[CustomerID]],Customers[CustomerID],Customers[Gender])</f>
        <v>Male</v>
      </c>
      <c r="P294">
        <f>_xlfn.XLOOKUP(Orders[[#This Row],[CustomerID]],Customers[CustomerID],Customers[CustomerAge])</f>
        <v>32</v>
      </c>
      <c r="Q294" t="str">
        <f>IF(Orders[[#This Row],[Age]]&gt;=35,"older","young")</f>
        <v>young</v>
      </c>
      <c r="R294" t="str">
        <f>_xlfn.XLOOKUP(Orders[[#This Row],[ProductID]],Products[ProductID],Products[ProductName])</f>
        <v>SCRABBLE</v>
      </c>
      <c r="S294" t="str">
        <f>_xlfn.XLOOKUP(Orders[[#This Row],[ProductID]],Products!A:A,Products!C:C)</f>
        <v>Games</v>
      </c>
    </row>
    <row r="295" spans="1:19" x14ac:dyDescent="0.2">
      <c r="A295" s="4" t="s">
        <v>464</v>
      </c>
      <c r="B295" s="5">
        <v>45982</v>
      </c>
      <c r="C295" s="15">
        <f>WEEKNUM(Orders[[#This Row],[OrderDate]])</f>
        <v>47</v>
      </c>
      <c r="D295" s="4" t="s">
        <v>184</v>
      </c>
      <c r="E295" s="4" t="s">
        <v>28</v>
      </c>
      <c r="F295" s="4">
        <v>3</v>
      </c>
      <c r="G295" s="4">
        <v>15441.5</v>
      </c>
      <c r="H295">
        <v>13125.275</v>
      </c>
      <c r="I295">
        <f>Orders[[#This Row],[Quantity]]*Orders[[#This Row],[Selling Price]]</f>
        <v>46324.5</v>
      </c>
      <c r="J295">
        <f>Orders[[#This Row],[Quantity]]*Orders[[#This Row],[Cost Price]]</f>
        <v>39375.824999999997</v>
      </c>
      <c r="K295">
        <f>Orders[[#This Row],[Revenue]]-Orders[[#This Row],[Expenses]]</f>
        <v>6948.6750000000029</v>
      </c>
      <c r="L295" t="s">
        <v>2219</v>
      </c>
      <c r="M295" t="str">
        <f>_xlfn.XLOOKUP(Orders[[#This Row],[CustomerID]],Customers[CustomerID],Customers[City])</f>
        <v>Washington</v>
      </c>
      <c r="N295" t="str">
        <f>_xlfn.XLOOKUP(Orders[[#This Row],[CustomerID]],Customers[CustomerID],Customers[CustomerName])</f>
        <v>Ngozi Obi</v>
      </c>
      <c r="O295" t="str">
        <f>_xlfn.XLOOKUP(Orders[[#This Row],[CustomerID]],Customers[CustomerID],Customers[Gender])</f>
        <v>Female</v>
      </c>
      <c r="P295">
        <f>_xlfn.XLOOKUP(Orders[[#This Row],[CustomerID]],Customers[CustomerID],Customers[CustomerAge])</f>
        <v>32</v>
      </c>
      <c r="Q295" t="str">
        <f>IF(Orders[[#This Row],[Age]]&gt;=35,"older","young")</f>
        <v>young</v>
      </c>
      <c r="R295" t="str">
        <f>_xlfn.XLOOKUP(Orders[[#This Row],[ProductID]],Products[ProductID],Products[ProductName])</f>
        <v>SNEAKERS</v>
      </c>
      <c r="S295" t="str">
        <f>_xlfn.XLOOKUP(Orders[[#This Row],[ProductID]],Products!A:A,Products!C:C)</f>
        <v>Sports</v>
      </c>
    </row>
    <row r="296" spans="1:19" x14ac:dyDescent="0.2">
      <c r="A296" s="4" t="s">
        <v>465</v>
      </c>
      <c r="B296" s="5">
        <v>45989</v>
      </c>
      <c r="C296" s="15">
        <f>WEEKNUM(Orders[[#This Row],[OrderDate]])</f>
        <v>48</v>
      </c>
      <c r="D296" s="4" t="s">
        <v>140</v>
      </c>
      <c r="E296" s="4" t="s">
        <v>63</v>
      </c>
      <c r="F296" s="4">
        <v>1</v>
      </c>
      <c r="G296" s="4">
        <v>8896.1</v>
      </c>
      <c r="H296">
        <v>7561.6850000000004</v>
      </c>
      <c r="I296">
        <f>Orders[[#This Row],[Quantity]]*Orders[[#This Row],[Selling Price]]</f>
        <v>8896.1</v>
      </c>
      <c r="J296">
        <f>Orders[[#This Row],[Quantity]]*Orders[[#This Row],[Cost Price]]</f>
        <v>7561.6850000000004</v>
      </c>
      <c r="K296">
        <f>Orders[[#This Row],[Revenue]]-Orders[[#This Row],[Expenses]]</f>
        <v>1334.415</v>
      </c>
      <c r="L296" t="s">
        <v>2209</v>
      </c>
      <c r="M296" t="str">
        <f>_xlfn.XLOOKUP(Orders[[#This Row],[CustomerID]],Customers[CustomerID],Customers[City])</f>
        <v>Washington</v>
      </c>
      <c r="N296" t="str">
        <f>_xlfn.XLOOKUP(Orders[[#This Row],[CustomerID]],Customers[CustomerID],Customers[CustomerName])</f>
        <v>Tunde Igwe</v>
      </c>
      <c r="O296" t="str">
        <f>_xlfn.XLOOKUP(Orders[[#This Row],[CustomerID]],Customers[CustomerID],Customers[Gender])</f>
        <v>Male</v>
      </c>
      <c r="P296">
        <f>_xlfn.XLOOKUP(Orders[[#This Row],[CustomerID]],Customers[CustomerID],Customers[CustomerAge])</f>
        <v>20</v>
      </c>
      <c r="Q296" t="str">
        <f>IF(Orders[[#This Row],[Age]]&gt;=35,"older","young")</f>
        <v>young</v>
      </c>
      <c r="R296" t="str">
        <f>_xlfn.XLOOKUP(Orders[[#This Row],[ProductID]],Products[ProductID],Products[ProductName])</f>
        <v>TENNIS BAT</v>
      </c>
      <c r="S296" t="str">
        <f>_xlfn.XLOOKUP(Orders[[#This Row],[ProductID]],Products!A:A,Products!C:C)</f>
        <v>Sports</v>
      </c>
    </row>
    <row r="297" spans="1:19" x14ac:dyDescent="0.2">
      <c r="A297" s="4" t="s">
        <v>466</v>
      </c>
      <c r="B297" s="5">
        <v>46018</v>
      </c>
      <c r="C297" s="15">
        <f>WEEKNUM(Orders[[#This Row],[OrderDate]])</f>
        <v>52</v>
      </c>
      <c r="D297" s="4" t="s">
        <v>55</v>
      </c>
      <c r="E297" s="4" t="s">
        <v>76</v>
      </c>
      <c r="F297" s="4">
        <v>2</v>
      </c>
      <c r="G297" s="4">
        <v>607.6</v>
      </c>
      <c r="H297">
        <v>516.46</v>
      </c>
      <c r="I297">
        <f>Orders[[#This Row],[Quantity]]*Orders[[#This Row],[Selling Price]]</f>
        <v>1215.2</v>
      </c>
      <c r="J297">
        <f>Orders[[#This Row],[Quantity]]*Orders[[#This Row],[Cost Price]]</f>
        <v>1032.92</v>
      </c>
      <c r="K297">
        <f>Orders[[#This Row],[Revenue]]-Orders[[#This Row],[Expenses]]</f>
        <v>182.27999999999997</v>
      </c>
      <c r="L297" t="s">
        <v>2213</v>
      </c>
      <c r="M297" t="str">
        <f>_xlfn.XLOOKUP(Orders[[#This Row],[CustomerID]],Customers[CustomerID],Customers[City])</f>
        <v>California</v>
      </c>
      <c r="N297" t="str">
        <f>_xlfn.XLOOKUP(Orders[[#This Row],[CustomerID]],Customers[CustomerID],Customers[CustomerName])</f>
        <v>Adanma Ojo</v>
      </c>
      <c r="O297" t="str">
        <f>_xlfn.XLOOKUP(Orders[[#This Row],[CustomerID]],Customers[CustomerID],Customers[Gender])</f>
        <v>Female</v>
      </c>
      <c r="P297">
        <f>_xlfn.XLOOKUP(Orders[[#This Row],[CustomerID]],Customers[CustomerID],Customers[CustomerAge])</f>
        <v>48</v>
      </c>
      <c r="Q297" t="str">
        <f>IF(Orders[[#This Row],[Age]]&gt;=35,"older","young")</f>
        <v>older</v>
      </c>
      <c r="R297" t="str">
        <f>_xlfn.XLOOKUP(Orders[[#This Row],[ProductID]],Products[ProductID],Products[ProductName])</f>
        <v>BLENDER</v>
      </c>
      <c r="S297" t="str">
        <f>_xlfn.XLOOKUP(Orders[[#This Row],[ProductID]],Products!A:A,Products!C:C)</f>
        <v>Electronics</v>
      </c>
    </row>
    <row r="298" spans="1:19" x14ac:dyDescent="0.2">
      <c r="A298" s="4" t="s">
        <v>467</v>
      </c>
      <c r="B298" s="5">
        <v>45932</v>
      </c>
      <c r="C298" s="15">
        <f>WEEKNUM(Orders[[#This Row],[OrderDate]])</f>
        <v>40</v>
      </c>
      <c r="D298" s="4" t="s">
        <v>468</v>
      </c>
      <c r="E298" s="4" t="s">
        <v>70</v>
      </c>
      <c r="F298" s="4">
        <v>10</v>
      </c>
      <c r="G298" s="4">
        <v>11703.199999999999</v>
      </c>
      <c r="H298">
        <v>9947.7199999999993</v>
      </c>
      <c r="I298">
        <f>Orders[[#This Row],[Quantity]]*Orders[[#This Row],[Selling Price]]</f>
        <v>117031.99999999999</v>
      </c>
      <c r="J298">
        <f>Orders[[#This Row],[Quantity]]*Orders[[#This Row],[Cost Price]]</f>
        <v>99477.2</v>
      </c>
      <c r="K298">
        <f>Orders[[#This Row],[Revenue]]-Orders[[#This Row],[Expenses]]</f>
        <v>17554.799999999988</v>
      </c>
      <c r="L298" t="s">
        <v>2214</v>
      </c>
      <c r="M298" t="str">
        <f>_xlfn.XLOOKUP(Orders[[#This Row],[CustomerID]],Customers[CustomerID],Customers[City])</f>
        <v>California</v>
      </c>
      <c r="N298" t="str">
        <f>_xlfn.XLOOKUP(Orders[[#This Row],[CustomerID]],Customers[CustomerID],Customers[CustomerName])</f>
        <v>Chioma Adeyemi</v>
      </c>
      <c r="O298" t="str">
        <f>_xlfn.XLOOKUP(Orders[[#This Row],[CustomerID]],Customers[CustomerID],Customers[Gender])</f>
        <v>Female</v>
      </c>
      <c r="P298">
        <f>_xlfn.XLOOKUP(Orders[[#This Row],[CustomerID]],Customers[CustomerID],Customers[CustomerAge])</f>
        <v>23</v>
      </c>
      <c r="Q298" t="str">
        <f>IF(Orders[[#This Row],[Age]]&gt;=35,"older","young")</f>
        <v>young</v>
      </c>
      <c r="R298" t="str">
        <f>_xlfn.XLOOKUP(Orders[[#This Row],[ProductID]],Products[ProductID],Products[ProductName])</f>
        <v>YOGA MAT</v>
      </c>
      <c r="S298" t="str">
        <f>_xlfn.XLOOKUP(Orders[[#This Row],[ProductID]],Products!A:A,Products!C:C)</f>
        <v>Gym</v>
      </c>
    </row>
    <row r="299" spans="1:19" x14ac:dyDescent="0.2">
      <c r="A299" s="4" t="s">
        <v>469</v>
      </c>
      <c r="B299" s="5">
        <v>45949</v>
      </c>
      <c r="C299" s="15">
        <f>WEEKNUM(Orders[[#This Row],[OrderDate]])</f>
        <v>43</v>
      </c>
      <c r="D299" s="4" t="s">
        <v>410</v>
      </c>
      <c r="E299" s="4" t="s">
        <v>31</v>
      </c>
      <c r="F299" s="4">
        <v>6</v>
      </c>
      <c r="G299" s="4">
        <v>6579.6</v>
      </c>
      <c r="H299">
        <v>5592.66</v>
      </c>
      <c r="I299">
        <f>Orders[[#This Row],[Quantity]]*Orders[[#This Row],[Selling Price]]</f>
        <v>39477.600000000006</v>
      </c>
      <c r="J299">
        <f>Orders[[#This Row],[Quantity]]*Orders[[#This Row],[Cost Price]]</f>
        <v>33555.96</v>
      </c>
      <c r="K299">
        <f>Orders[[#This Row],[Revenue]]-Orders[[#This Row],[Expenses]]</f>
        <v>5921.6400000000067</v>
      </c>
      <c r="L299" t="s">
        <v>2204</v>
      </c>
      <c r="M299" t="str">
        <f>_xlfn.XLOOKUP(Orders[[#This Row],[CustomerID]],Customers[CustomerID],Customers[City])</f>
        <v>Texas</v>
      </c>
      <c r="N299" t="str">
        <f>_xlfn.XLOOKUP(Orders[[#This Row],[CustomerID]],Customers[CustomerID],Customers[CustomerName])</f>
        <v>Jane Thomas</v>
      </c>
      <c r="O299" t="str">
        <f>_xlfn.XLOOKUP(Orders[[#This Row],[CustomerID]],Customers[CustomerID],Customers[Gender])</f>
        <v>Male</v>
      </c>
      <c r="P299">
        <f>_xlfn.XLOOKUP(Orders[[#This Row],[CustomerID]],Customers[CustomerID],Customers[CustomerAge])</f>
        <v>21</v>
      </c>
      <c r="Q299" t="str">
        <f>IF(Orders[[#This Row],[Age]]&gt;=35,"older","young")</f>
        <v>young</v>
      </c>
      <c r="R299" t="str">
        <f>_xlfn.XLOOKUP(Orders[[#This Row],[ProductID]],Products[ProductID],Products[ProductName])</f>
        <v>KIDS GAMES</v>
      </c>
      <c r="S299" t="str">
        <f>_xlfn.XLOOKUP(Orders[[#This Row],[ProductID]],Products!A:A,Products!C:C)</f>
        <v>Games</v>
      </c>
    </row>
    <row r="300" spans="1:19" x14ac:dyDescent="0.2">
      <c r="A300" s="4" t="s">
        <v>470</v>
      </c>
      <c r="B300" s="5">
        <v>45962</v>
      </c>
      <c r="C300" s="15">
        <f>WEEKNUM(Orders[[#This Row],[OrderDate]])</f>
        <v>44</v>
      </c>
      <c r="D300" s="4" t="s">
        <v>116</v>
      </c>
      <c r="E300" s="4" t="s">
        <v>46</v>
      </c>
      <c r="F300" s="4">
        <v>4</v>
      </c>
      <c r="G300" s="4">
        <v>16464.900000000001</v>
      </c>
      <c r="H300">
        <v>13995.165000000001</v>
      </c>
      <c r="I300">
        <f>Orders[[#This Row],[Quantity]]*Orders[[#This Row],[Selling Price]]</f>
        <v>65859.600000000006</v>
      </c>
      <c r="J300">
        <f>Orders[[#This Row],[Quantity]]*Orders[[#This Row],[Cost Price]]</f>
        <v>55980.66</v>
      </c>
      <c r="K300">
        <f>Orders[[#This Row],[Revenue]]-Orders[[#This Row],[Expenses]]</f>
        <v>9878.9400000000023</v>
      </c>
      <c r="L300" t="s">
        <v>2192</v>
      </c>
      <c r="M300" t="str">
        <f>_xlfn.XLOOKUP(Orders[[#This Row],[CustomerID]],Customers[CustomerID],Customers[City])</f>
        <v>Texas</v>
      </c>
      <c r="N300" t="str">
        <f>_xlfn.XLOOKUP(Orders[[#This Row],[CustomerID]],Customers[CustomerID],Customers[CustomerName])</f>
        <v>Uche Bello</v>
      </c>
      <c r="O300" t="str">
        <f>_xlfn.XLOOKUP(Orders[[#This Row],[CustomerID]],Customers[CustomerID],Customers[Gender])</f>
        <v>Male</v>
      </c>
      <c r="P300">
        <f>_xlfn.XLOOKUP(Orders[[#This Row],[CustomerID]],Customers[CustomerID],Customers[CustomerAge])</f>
        <v>21</v>
      </c>
      <c r="Q300" t="str">
        <f>IF(Orders[[#This Row],[Age]]&gt;=35,"older","young")</f>
        <v>young</v>
      </c>
      <c r="R300" t="str">
        <f>_xlfn.XLOOKUP(Orders[[#This Row],[ProductID]],Products[ProductID],Products[ProductName])</f>
        <v>TURTLE NECK</v>
      </c>
      <c r="S300" t="str">
        <f>_xlfn.XLOOKUP(Orders[[#This Row],[ProductID]],Products!A:A,Products!C:C)</f>
        <v>Clothing</v>
      </c>
    </row>
    <row r="301" spans="1:19" x14ac:dyDescent="0.2">
      <c r="A301" s="4" t="s">
        <v>471</v>
      </c>
      <c r="B301" s="5">
        <v>46007</v>
      </c>
      <c r="C301" s="15">
        <f>WEEKNUM(Orders[[#This Row],[OrderDate]])</f>
        <v>51</v>
      </c>
      <c r="D301" s="4" t="s">
        <v>302</v>
      </c>
      <c r="E301" s="4" t="s">
        <v>23</v>
      </c>
      <c r="F301" s="4">
        <v>10</v>
      </c>
      <c r="G301" s="4">
        <v>17568.399999999998</v>
      </c>
      <c r="H301">
        <v>14933.139999999998</v>
      </c>
      <c r="I301">
        <f>Orders[[#This Row],[Quantity]]*Orders[[#This Row],[Selling Price]]</f>
        <v>175683.99999999997</v>
      </c>
      <c r="J301">
        <f>Orders[[#This Row],[Quantity]]*Orders[[#This Row],[Cost Price]]</f>
        <v>149331.39999999997</v>
      </c>
      <c r="K301">
        <f>Orders[[#This Row],[Revenue]]-Orders[[#This Row],[Expenses]]</f>
        <v>26352.600000000006</v>
      </c>
      <c r="L301" t="s">
        <v>2208</v>
      </c>
      <c r="M301" t="str">
        <f>_xlfn.XLOOKUP(Orders[[#This Row],[CustomerID]],Customers[CustomerID],Customers[City])</f>
        <v>Washington</v>
      </c>
      <c r="N301" t="str">
        <f>_xlfn.XLOOKUP(Orders[[#This Row],[CustomerID]],Customers[CustomerID],Customers[CustomerName])</f>
        <v>Sani Bello</v>
      </c>
      <c r="O301" t="str">
        <f>_xlfn.XLOOKUP(Orders[[#This Row],[CustomerID]],Customers[CustomerID],Customers[Gender])</f>
        <v>Male</v>
      </c>
      <c r="P301">
        <f>_xlfn.XLOOKUP(Orders[[#This Row],[CustomerID]],Customers[CustomerID],Customers[CustomerAge])</f>
        <v>23</v>
      </c>
      <c r="Q301" t="str">
        <f>IF(Orders[[#This Row],[Age]]&gt;=35,"older","young")</f>
        <v>young</v>
      </c>
      <c r="R301" t="str">
        <f>_xlfn.XLOOKUP(Orders[[#This Row],[ProductID]],Products[ProductID],Products[ProductName])</f>
        <v>GYM GLOVES</v>
      </c>
      <c r="S301" t="str">
        <f>_xlfn.XLOOKUP(Orders[[#This Row],[ProductID]],Products!A:A,Products!C:C)</f>
        <v>Gym</v>
      </c>
    </row>
    <row r="302" spans="1:19" x14ac:dyDescent="0.2">
      <c r="A302" s="4" t="s">
        <v>472</v>
      </c>
      <c r="B302" s="5">
        <v>45950</v>
      </c>
      <c r="C302" s="15">
        <f>WEEKNUM(Orders[[#This Row],[OrderDate]])</f>
        <v>43</v>
      </c>
      <c r="D302" s="4" t="s">
        <v>317</v>
      </c>
      <c r="E302" s="4" t="s">
        <v>353</v>
      </c>
      <c r="F302" s="4">
        <v>10</v>
      </c>
      <c r="G302" s="4">
        <v>18357</v>
      </c>
      <c r="H302">
        <v>15603.45</v>
      </c>
      <c r="I302">
        <f>Orders[[#This Row],[Quantity]]*Orders[[#This Row],[Selling Price]]</f>
        <v>183570</v>
      </c>
      <c r="J302">
        <f>Orders[[#This Row],[Quantity]]*Orders[[#This Row],[Cost Price]]</f>
        <v>156034.5</v>
      </c>
      <c r="K302">
        <f>Orders[[#This Row],[Revenue]]-Orders[[#This Row],[Expenses]]</f>
        <v>27535.5</v>
      </c>
      <c r="L302" t="s">
        <v>2219</v>
      </c>
      <c r="M302" t="str">
        <f>_xlfn.XLOOKUP(Orders[[#This Row],[CustomerID]],Customers[CustomerID],Customers[City])</f>
        <v>Texas</v>
      </c>
      <c r="N302" t="str">
        <f>_xlfn.XLOOKUP(Orders[[#This Row],[CustomerID]],Customers[CustomerID],Customers[CustomerName])</f>
        <v>Folasade Danladi</v>
      </c>
      <c r="O302" t="str">
        <f>_xlfn.XLOOKUP(Orders[[#This Row],[CustomerID]],Customers[CustomerID],Customers[Gender])</f>
        <v>Female</v>
      </c>
      <c r="P302">
        <f>_xlfn.XLOOKUP(Orders[[#This Row],[CustomerID]],Customers[CustomerID],Customers[CustomerAge])</f>
        <v>28</v>
      </c>
      <c r="Q302" t="str">
        <f>IF(Orders[[#This Row],[Age]]&gt;=35,"older","young")</f>
        <v>young</v>
      </c>
      <c r="R302" t="str">
        <f>_xlfn.XLOOKUP(Orders[[#This Row],[ProductID]],Products[ProductID],Products[ProductName])</f>
        <v>SILVER EARRINGS AND NECKLACES</v>
      </c>
      <c r="S302" t="str">
        <f>_xlfn.XLOOKUP(Orders[[#This Row],[ProductID]],Products!A:A,Products!C:C)</f>
        <v>Accessories</v>
      </c>
    </row>
    <row r="303" spans="1:19" x14ac:dyDescent="0.2">
      <c r="A303" s="4" t="s">
        <v>473</v>
      </c>
      <c r="B303" s="5">
        <v>45990</v>
      </c>
      <c r="C303" s="15">
        <f>WEEKNUM(Orders[[#This Row],[OrderDate]])</f>
        <v>48</v>
      </c>
      <c r="D303" s="4" t="s">
        <v>298</v>
      </c>
      <c r="E303" s="4" t="s">
        <v>28</v>
      </c>
      <c r="F303" s="4">
        <v>2</v>
      </c>
      <c r="G303" s="4">
        <v>11478.900000000001</v>
      </c>
      <c r="H303">
        <v>9757.0650000000005</v>
      </c>
      <c r="I303">
        <f>Orders[[#This Row],[Quantity]]*Orders[[#This Row],[Selling Price]]</f>
        <v>22957.800000000003</v>
      </c>
      <c r="J303">
        <f>Orders[[#This Row],[Quantity]]*Orders[[#This Row],[Cost Price]]</f>
        <v>19514.13</v>
      </c>
      <c r="K303">
        <f>Orders[[#This Row],[Revenue]]-Orders[[#This Row],[Expenses]]</f>
        <v>3443.6700000000019</v>
      </c>
      <c r="L303" t="s">
        <v>2196</v>
      </c>
      <c r="M303" t="str">
        <f>_xlfn.XLOOKUP(Orders[[#This Row],[CustomerID]],Customers[CustomerID],Customers[City])</f>
        <v>Florida</v>
      </c>
      <c r="N303" t="str">
        <f>_xlfn.XLOOKUP(Orders[[#This Row],[CustomerID]],Customers[CustomerID],Customers[CustomerName])</f>
        <v>Amina Obi</v>
      </c>
      <c r="O303" t="str">
        <f>_xlfn.XLOOKUP(Orders[[#This Row],[CustomerID]],Customers[CustomerID],Customers[Gender])</f>
        <v>Female</v>
      </c>
      <c r="P303">
        <f>_xlfn.XLOOKUP(Orders[[#This Row],[CustomerID]],Customers[CustomerID],Customers[CustomerAge])</f>
        <v>19</v>
      </c>
      <c r="Q303" t="str">
        <f>IF(Orders[[#This Row],[Age]]&gt;=35,"older","young")</f>
        <v>young</v>
      </c>
      <c r="R303" t="str">
        <f>_xlfn.XLOOKUP(Orders[[#This Row],[ProductID]],Products[ProductID],Products[ProductName])</f>
        <v>SNEAKERS</v>
      </c>
      <c r="S303" t="str">
        <f>_xlfn.XLOOKUP(Orders[[#This Row],[ProductID]],Products!A:A,Products!C:C)</f>
        <v>Sports</v>
      </c>
    </row>
    <row r="304" spans="1:19" x14ac:dyDescent="0.2">
      <c r="A304" s="4" t="s">
        <v>474</v>
      </c>
      <c r="B304" s="5">
        <v>45997</v>
      </c>
      <c r="C304" s="15">
        <f>WEEKNUM(Orders[[#This Row],[OrderDate]])</f>
        <v>49</v>
      </c>
      <c r="D304" s="4" t="s">
        <v>291</v>
      </c>
      <c r="E304" s="4" t="s">
        <v>76</v>
      </c>
      <c r="F304" s="4">
        <v>10</v>
      </c>
      <c r="G304" s="4">
        <v>7096</v>
      </c>
      <c r="H304">
        <v>6031.6</v>
      </c>
      <c r="I304">
        <f>Orders[[#This Row],[Quantity]]*Orders[[#This Row],[Selling Price]]</f>
        <v>70960</v>
      </c>
      <c r="J304">
        <f>Orders[[#This Row],[Quantity]]*Orders[[#This Row],[Cost Price]]</f>
        <v>60316</v>
      </c>
      <c r="K304">
        <f>Orders[[#This Row],[Revenue]]-Orders[[#This Row],[Expenses]]</f>
        <v>10644</v>
      </c>
      <c r="L304" t="s">
        <v>2199</v>
      </c>
      <c r="M304" t="str">
        <f>_xlfn.XLOOKUP(Orders[[#This Row],[CustomerID]],Customers[CustomerID],Customers[City])</f>
        <v>Texas</v>
      </c>
      <c r="N304" t="str">
        <f>_xlfn.XLOOKUP(Orders[[#This Row],[CustomerID]],Customers[CustomerID],Customers[CustomerName])</f>
        <v>Okon Igwe</v>
      </c>
      <c r="O304" t="str">
        <f>_xlfn.XLOOKUP(Orders[[#This Row],[CustomerID]],Customers[CustomerID],Customers[Gender])</f>
        <v>Male</v>
      </c>
      <c r="P304">
        <f>_xlfn.XLOOKUP(Orders[[#This Row],[CustomerID]],Customers[CustomerID],Customers[CustomerAge])</f>
        <v>33</v>
      </c>
      <c r="Q304" t="str">
        <f>IF(Orders[[#This Row],[Age]]&gt;=35,"older","young")</f>
        <v>young</v>
      </c>
      <c r="R304" t="str">
        <f>_xlfn.XLOOKUP(Orders[[#This Row],[ProductID]],Products[ProductID],Products[ProductName])</f>
        <v>BLENDER</v>
      </c>
      <c r="S304" t="str">
        <f>_xlfn.XLOOKUP(Orders[[#This Row],[ProductID]],Products!A:A,Products!C:C)</f>
        <v>Electronics</v>
      </c>
    </row>
    <row r="305" spans="1:19" x14ac:dyDescent="0.2">
      <c r="A305" s="4" t="s">
        <v>475</v>
      </c>
      <c r="B305" s="5">
        <v>46004</v>
      </c>
      <c r="C305" s="15">
        <f>WEEKNUM(Orders[[#This Row],[OrderDate]])</f>
        <v>50</v>
      </c>
      <c r="D305" s="4" t="s">
        <v>124</v>
      </c>
      <c r="E305" s="4" t="s">
        <v>60</v>
      </c>
      <c r="F305" s="4">
        <v>1</v>
      </c>
      <c r="G305" s="4">
        <v>16799</v>
      </c>
      <c r="H305">
        <v>14279.15</v>
      </c>
      <c r="I305">
        <f>Orders[[#This Row],[Quantity]]*Orders[[#This Row],[Selling Price]]</f>
        <v>16799</v>
      </c>
      <c r="J305">
        <f>Orders[[#This Row],[Quantity]]*Orders[[#This Row],[Cost Price]]</f>
        <v>14279.15</v>
      </c>
      <c r="K305">
        <f>Orders[[#This Row],[Revenue]]-Orders[[#This Row],[Expenses]]</f>
        <v>2519.8500000000004</v>
      </c>
      <c r="L305" t="s">
        <v>2209</v>
      </c>
      <c r="M305" t="str">
        <f>_xlfn.XLOOKUP(Orders[[#This Row],[CustomerID]],Customers[CustomerID],Customers[City])</f>
        <v>Texas</v>
      </c>
      <c r="N305" t="str">
        <f>_xlfn.XLOOKUP(Orders[[#This Row],[CustomerID]],Customers[CustomerID],Customers[CustomerName])</f>
        <v>Ngozi Ojo</v>
      </c>
      <c r="O305" t="str">
        <f>_xlfn.XLOOKUP(Orders[[#This Row],[CustomerID]],Customers[CustomerID],Customers[Gender])</f>
        <v>Female</v>
      </c>
      <c r="P305">
        <f>_xlfn.XLOOKUP(Orders[[#This Row],[CustomerID]],Customers[CustomerID],Customers[CustomerAge])</f>
        <v>22</v>
      </c>
      <c r="Q305" t="str">
        <f>IF(Orders[[#This Row],[Age]]&gt;=35,"older","young")</f>
        <v>young</v>
      </c>
      <c r="R305" t="str">
        <f>_xlfn.XLOOKUP(Orders[[#This Row],[ProductID]],Products[ProductID],Products[ProductName])</f>
        <v>SILVER RINGS</v>
      </c>
      <c r="S305" t="str">
        <f>_xlfn.XLOOKUP(Orders[[#This Row],[ProductID]],Products!A:A,Products!C:C)</f>
        <v>Accessories</v>
      </c>
    </row>
    <row r="306" spans="1:19" x14ac:dyDescent="0.2">
      <c r="A306" s="4" t="s">
        <v>476</v>
      </c>
      <c r="B306" s="5">
        <v>45999</v>
      </c>
      <c r="C306" s="15">
        <f>WEEKNUM(Orders[[#This Row],[OrderDate]])</f>
        <v>50</v>
      </c>
      <c r="D306" s="4" t="s">
        <v>410</v>
      </c>
      <c r="E306" s="4" t="s">
        <v>63</v>
      </c>
      <c r="F306" s="4">
        <v>7</v>
      </c>
      <c r="G306" s="4">
        <v>8511.5</v>
      </c>
      <c r="H306">
        <v>7234.7749999999996</v>
      </c>
      <c r="I306">
        <f>Orders[[#This Row],[Quantity]]*Orders[[#This Row],[Selling Price]]</f>
        <v>59580.5</v>
      </c>
      <c r="J306">
        <f>Orders[[#This Row],[Quantity]]*Orders[[#This Row],[Cost Price]]</f>
        <v>50643.424999999996</v>
      </c>
      <c r="K306">
        <f>Orders[[#This Row],[Revenue]]-Orders[[#This Row],[Expenses]]</f>
        <v>8937.0750000000044</v>
      </c>
      <c r="L306" t="s">
        <v>2197</v>
      </c>
      <c r="M306" t="str">
        <f>_xlfn.XLOOKUP(Orders[[#This Row],[CustomerID]],Customers[CustomerID],Customers[City])</f>
        <v>Texas</v>
      </c>
      <c r="N306" t="str">
        <f>_xlfn.XLOOKUP(Orders[[#This Row],[CustomerID]],Customers[CustomerID],Customers[CustomerName])</f>
        <v>Jane Thomas</v>
      </c>
      <c r="O306" t="str">
        <f>_xlfn.XLOOKUP(Orders[[#This Row],[CustomerID]],Customers[CustomerID],Customers[Gender])</f>
        <v>Male</v>
      </c>
      <c r="P306">
        <f>_xlfn.XLOOKUP(Orders[[#This Row],[CustomerID]],Customers[CustomerID],Customers[CustomerAge])</f>
        <v>21</v>
      </c>
      <c r="Q306" t="str">
        <f>IF(Orders[[#This Row],[Age]]&gt;=35,"older","young")</f>
        <v>young</v>
      </c>
      <c r="R306" t="str">
        <f>_xlfn.XLOOKUP(Orders[[#This Row],[ProductID]],Products[ProductID],Products[ProductName])</f>
        <v>TENNIS BAT</v>
      </c>
      <c r="S306" t="str">
        <f>_xlfn.XLOOKUP(Orders[[#This Row],[ProductID]],Products!A:A,Products!C:C)</f>
        <v>Sports</v>
      </c>
    </row>
    <row r="307" spans="1:19" x14ac:dyDescent="0.2">
      <c r="A307" s="4" t="s">
        <v>477</v>
      </c>
      <c r="B307" s="5">
        <v>46005</v>
      </c>
      <c r="C307" s="15">
        <f>WEEKNUM(Orders[[#This Row],[OrderDate]])</f>
        <v>51</v>
      </c>
      <c r="D307" s="4" t="s">
        <v>27</v>
      </c>
      <c r="E307" s="4" t="s">
        <v>81</v>
      </c>
      <c r="F307" s="4">
        <v>3</v>
      </c>
      <c r="G307" s="4">
        <v>6933.0999999999995</v>
      </c>
      <c r="H307">
        <v>5893.1349999999993</v>
      </c>
      <c r="I307">
        <f>Orders[[#This Row],[Quantity]]*Orders[[#This Row],[Selling Price]]</f>
        <v>20799.3</v>
      </c>
      <c r="J307">
        <f>Orders[[#This Row],[Quantity]]*Orders[[#This Row],[Cost Price]]</f>
        <v>17679.404999999999</v>
      </c>
      <c r="K307">
        <f>Orders[[#This Row],[Revenue]]-Orders[[#This Row],[Expenses]]</f>
        <v>3119.8950000000004</v>
      </c>
      <c r="L307" t="s">
        <v>2219</v>
      </c>
      <c r="M307" t="str">
        <f>_xlfn.XLOOKUP(Orders[[#This Row],[CustomerID]],Customers[CustomerID],Customers[City])</f>
        <v>Illinois</v>
      </c>
      <c r="N307" t="str">
        <f>_xlfn.XLOOKUP(Orders[[#This Row],[CustomerID]],Customers[CustomerID],Customers[CustomerName])</f>
        <v>Okon Ojo</v>
      </c>
      <c r="O307" t="str">
        <f>_xlfn.XLOOKUP(Orders[[#This Row],[CustomerID]],Customers[CustomerID],Customers[Gender])</f>
        <v>Male</v>
      </c>
      <c r="P307">
        <f>_xlfn.XLOOKUP(Orders[[#This Row],[CustomerID]],Customers[CustomerID],Customers[CustomerAge])</f>
        <v>32</v>
      </c>
      <c r="Q307" t="str">
        <f>IF(Orders[[#This Row],[Age]]&gt;=35,"older","young")</f>
        <v>young</v>
      </c>
      <c r="R307" t="str">
        <f>_xlfn.XLOOKUP(Orders[[#This Row],[ProductID]],Products[ProductID],Products[ProductName])</f>
        <v>TROUSERS</v>
      </c>
      <c r="S307" t="str">
        <f>_xlfn.XLOOKUP(Orders[[#This Row],[ProductID]],Products!A:A,Products!C:C)</f>
        <v>Clothing</v>
      </c>
    </row>
    <row r="308" spans="1:19" x14ac:dyDescent="0.2">
      <c r="A308" s="4" t="s">
        <v>478</v>
      </c>
      <c r="B308" s="5">
        <v>46018</v>
      </c>
      <c r="C308" s="15">
        <f>WEEKNUM(Orders[[#This Row],[OrderDate]])</f>
        <v>52</v>
      </c>
      <c r="D308" s="4" t="s">
        <v>50</v>
      </c>
      <c r="E308" s="4" t="s">
        <v>12</v>
      </c>
      <c r="F308" s="4">
        <v>2</v>
      </c>
      <c r="G308" s="4">
        <v>14571.199999999999</v>
      </c>
      <c r="H308">
        <v>12385.519999999999</v>
      </c>
      <c r="I308">
        <f>Orders[[#This Row],[Quantity]]*Orders[[#This Row],[Selling Price]]</f>
        <v>29142.399999999998</v>
      </c>
      <c r="J308">
        <f>Orders[[#This Row],[Quantity]]*Orders[[#This Row],[Cost Price]]</f>
        <v>24771.039999999997</v>
      </c>
      <c r="K308">
        <f>Orders[[#This Row],[Revenue]]-Orders[[#This Row],[Expenses]]</f>
        <v>4371.3600000000006</v>
      </c>
      <c r="L308" t="s">
        <v>2192</v>
      </c>
      <c r="M308" t="str">
        <f>_xlfn.XLOOKUP(Orders[[#This Row],[CustomerID]],Customers[CustomerID],Customers[City])</f>
        <v>California</v>
      </c>
      <c r="N308" t="str">
        <f>_xlfn.XLOOKUP(Orders[[#This Row],[CustomerID]],Customers[CustomerID],Customers[CustomerName])</f>
        <v>Funke Danladi</v>
      </c>
      <c r="O308" t="str">
        <f>_xlfn.XLOOKUP(Orders[[#This Row],[CustomerID]],Customers[CustomerID],Customers[Gender])</f>
        <v>Female</v>
      </c>
      <c r="P308">
        <f>_xlfn.XLOOKUP(Orders[[#This Row],[CustomerID]],Customers[CustomerID],Customers[CustomerAge])</f>
        <v>31</v>
      </c>
      <c r="Q308" t="str">
        <f>IF(Orders[[#This Row],[Age]]&gt;=35,"older","young")</f>
        <v>young</v>
      </c>
      <c r="R308" t="str">
        <f>_xlfn.XLOOKUP(Orders[[#This Row],[ProductID]],Products[ProductID],Products[ProductName])</f>
        <v>BOUBOU</v>
      </c>
      <c r="S308" t="str">
        <f>_xlfn.XLOOKUP(Orders[[#This Row],[ProductID]],Products!A:A,Products!C:C)</f>
        <v>Clothing</v>
      </c>
    </row>
    <row r="309" spans="1:19" x14ac:dyDescent="0.2">
      <c r="A309" s="4" t="s">
        <v>479</v>
      </c>
      <c r="B309" s="5">
        <v>46011</v>
      </c>
      <c r="C309" s="15">
        <f>WEEKNUM(Orders[[#This Row],[OrderDate]])</f>
        <v>51</v>
      </c>
      <c r="D309" s="4" t="s">
        <v>324</v>
      </c>
      <c r="E309" s="4" t="s">
        <v>34</v>
      </c>
      <c r="F309" s="4">
        <v>2</v>
      </c>
      <c r="G309" s="4">
        <v>7117.7</v>
      </c>
      <c r="H309">
        <v>6050.0450000000001</v>
      </c>
      <c r="I309">
        <f>Orders[[#This Row],[Quantity]]*Orders[[#This Row],[Selling Price]]</f>
        <v>14235.4</v>
      </c>
      <c r="J309">
        <f>Orders[[#This Row],[Quantity]]*Orders[[#This Row],[Cost Price]]</f>
        <v>12100.09</v>
      </c>
      <c r="K309">
        <f>Orders[[#This Row],[Revenue]]-Orders[[#This Row],[Expenses]]</f>
        <v>2135.3099999999995</v>
      </c>
      <c r="L309" t="s">
        <v>2200</v>
      </c>
      <c r="M309" t="str">
        <f>_xlfn.XLOOKUP(Orders[[#This Row],[CustomerID]],Customers[CustomerID],Customers[City])</f>
        <v>Texas</v>
      </c>
      <c r="N309" t="str">
        <f>_xlfn.XLOOKUP(Orders[[#This Row],[CustomerID]],Customers[CustomerID],Customers[CustomerName])</f>
        <v>Tunde Okonkwo</v>
      </c>
      <c r="O309" t="str">
        <f>_xlfn.XLOOKUP(Orders[[#This Row],[CustomerID]],Customers[CustomerID],Customers[Gender])</f>
        <v>Male</v>
      </c>
      <c r="P309">
        <f>_xlfn.XLOOKUP(Orders[[#This Row],[CustomerID]],Customers[CustomerID],Customers[CustomerAge])</f>
        <v>25</v>
      </c>
      <c r="Q309" t="str">
        <f>IF(Orders[[#This Row],[Age]]&gt;=35,"older","young")</f>
        <v>young</v>
      </c>
      <c r="R309" t="str">
        <f>_xlfn.XLOOKUP(Orders[[#This Row],[ProductID]],Products[ProductID],Products[ProductName])</f>
        <v>GOLD BRACELETS</v>
      </c>
      <c r="S309" t="str">
        <f>_xlfn.XLOOKUP(Orders[[#This Row],[ProductID]],Products!A:A,Products!C:C)</f>
        <v>Accessories</v>
      </c>
    </row>
    <row r="310" spans="1:19" x14ac:dyDescent="0.2">
      <c r="A310" s="4" t="s">
        <v>480</v>
      </c>
      <c r="B310" s="5">
        <v>45981</v>
      </c>
      <c r="C310" s="15">
        <f>WEEKNUM(Orders[[#This Row],[OrderDate]])</f>
        <v>47</v>
      </c>
      <c r="D310" s="4" t="s">
        <v>481</v>
      </c>
      <c r="E310" s="4" t="s">
        <v>63</v>
      </c>
      <c r="F310" s="4">
        <v>7</v>
      </c>
      <c r="G310" s="4">
        <v>12970</v>
      </c>
      <c r="H310">
        <v>11024.5</v>
      </c>
      <c r="I310">
        <f>Orders[[#This Row],[Quantity]]*Orders[[#This Row],[Selling Price]]</f>
        <v>90790</v>
      </c>
      <c r="J310">
        <f>Orders[[#This Row],[Quantity]]*Orders[[#This Row],[Cost Price]]</f>
        <v>77171.5</v>
      </c>
      <c r="K310">
        <f>Orders[[#This Row],[Revenue]]-Orders[[#This Row],[Expenses]]</f>
        <v>13618.5</v>
      </c>
      <c r="L310" t="s">
        <v>2217</v>
      </c>
      <c r="M310" t="str">
        <f>_xlfn.XLOOKUP(Orders[[#This Row],[CustomerID]],Customers[CustomerID],Customers[City])</f>
        <v>Illinois</v>
      </c>
      <c r="N310" t="str">
        <f>_xlfn.XLOOKUP(Orders[[#This Row],[CustomerID]],Customers[CustomerID],Customers[CustomerName])</f>
        <v>Abiola Bello</v>
      </c>
      <c r="O310" t="str">
        <f>_xlfn.XLOOKUP(Orders[[#This Row],[CustomerID]],Customers[CustomerID],Customers[Gender])</f>
        <v>Male</v>
      </c>
      <c r="P310">
        <f>_xlfn.XLOOKUP(Orders[[#This Row],[CustomerID]],Customers[CustomerID],Customers[CustomerAge])</f>
        <v>33</v>
      </c>
      <c r="Q310" t="str">
        <f>IF(Orders[[#This Row],[Age]]&gt;=35,"older","young")</f>
        <v>young</v>
      </c>
      <c r="R310" t="str">
        <f>_xlfn.XLOOKUP(Orders[[#This Row],[ProductID]],Products[ProductID],Products[ProductName])</f>
        <v>TENNIS BAT</v>
      </c>
      <c r="S310" t="str">
        <f>_xlfn.XLOOKUP(Orders[[#This Row],[ProductID]],Products!A:A,Products!C:C)</f>
        <v>Sports</v>
      </c>
    </row>
    <row r="311" spans="1:19" x14ac:dyDescent="0.2">
      <c r="A311" s="4" t="s">
        <v>482</v>
      </c>
      <c r="B311" s="5">
        <v>45962</v>
      </c>
      <c r="C311" s="15">
        <f>WEEKNUM(Orders[[#This Row],[OrderDate]])</f>
        <v>44</v>
      </c>
      <c r="D311" s="4" t="s">
        <v>374</v>
      </c>
      <c r="E311" s="4" t="s">
        <v>76</v>
      </c>
      <c r="F311" s="4">
        <v>1</v>
      </c>
      <c r="G311" s="4">
        <v>10203.4</v>
      </c>
      <c r="H311">
        <v>8672.89</v>
      </c>
      <c r="I311">
        <f>Orders[[#This Row],[Quantity]]*Orders[[#This Row],[Selling Price]]</f>
        <v>10203.4</v>
      </c>
      <c r="J311">
        <f>Orders[[#This Row],[Quantity]]*Orders[[#This Row],[Cost Price]]</f>
        <v>8672.89</v>
      </c>
      <c r="K311">
        <f>Orders[[#This Row],[Revenue]]-Orders[[#This Row],[Expenses]]</f>
        <v>1530.5100000000002</v>
      </c>
      <c r="L311" t="s">
        <v>2213</v>
      </c>
      <c r="M311" t="str">
        <f>_xlfn.XLOOKUP(Orders[[#This Row],[CustomerID]],Customers[CustomerID],Customers[City])</f>
        <v>Texas</v>
      </c>
      <c r="N311" t="str">
        <f>_xlfn.XLOOKUP(Orders[[#This Row],[CustomerID]],Customers[CustomerID],Customers[CustomerName])</f>
        <v>Uche Okonkwo</v>
      </c>
      <c r="O311" t="str">
        <f>_xlfn.XLOOKUP(Orders[[#This Row],[CustomerID]],Customers[CustomerID],Customers[Gender])</f>
        <v>Male</v>
      </c>
      <c r="P311">
        <f>_xlfn.XLOOKUP(Orders[[#This Row],[CustomerID]],Customers[CustomerID],Customers[CustomerAge])</f>
        <v>27</v>
      </c>
      <c r="Q311" t="str">
        <f>IF(Orders[[#This Row],[Age]]&gt;=35,"older","young")</f>
        <v>young</v>
      </c>
      <c r="R311" t="str">
        <f>_xlfn.XLOOKUP(Orders[[#This Row],[ProductID]],Products[ProductID],Products[ProductName])</f>
        <v>BLENDER</v>
      </c>
      <c r="S311" t="str">
        <f>_xlfn.XLOOKUP(Orders[[#This Row],[ProductID]],Products!A:A,Products!C:C)</f>
        <v>Electronics</v>
      </c>
    </row>
    <row r="312" spans="1:19" x14ac:dyDescent="0.2">
      <c r="A312" s="4" t="s">
        <v>483</v>
      </c>
      <c r="B312" s="5">
        <v>45948</v>
      </c>
      <c r="C312" s="15">
        <f>WEEKNUM(Orders[[#This Row],[OrderDate]])</f>
        <v>42</v>
      </c>
      <c r="D312" s="4" t="s">
        <v>161</v>
      </c>
      <c r="E312" s="4" t="s">
        <v>46</v>
      </c>
      <c r="F312" s="4">
        <v>2</v>
      </c>
      <c r="G312" s="4">
        <v>5244.6</v>
      </c>
      <c r="H312">
        <v>4457.91</v>
      </c>
      <c r="I312">
        <f>Orders[[#This Row],[Quantity]]*Orders[[#This Row],[Selling Price]]</f>
        <v>10489.2</v>
      </c>
      <c r="J312">
        <f>Orders[[#This Row],[Quantity]]*Orders[[#This Row],[Cost Price]]</f>
        <v>8915.82</v>
      </c>
      <c r="K312">
        <f>Orders[[#This Row],[Revenue]]-Orders[[#This Row],[Expenses]]</f>
        <v>1573.380000000001</v>
      </c>
      <c r="L312" t="s">
        <v>2217</v>
      </c>
      <c r="M312" t="str">
        <f>_xlfn.XLOOKUP(Orders[[#This Row],[CustomerID]],Customers[CustomerID],Customers[City])</f>
        <v>Georgia</v>
      </c>
      <c r="N312" t="str">
        <f>_xlfn.XLOOKUP(Orders[[#This Row],[CustomerID]],Customers[CustomerID],Customers[CustomerName])</f>
        <v>Okon Adeyemi</v>
      </c>
      <c r="O312" t="str">
        <f>_xlfn.XLOOKUP(Orders[[#This Row],[CustomerID]],Customers[CustomerID],Customers[Gender])</f>
        <v>Male</v>
      </c>
      <c r="P312">
        <f>_xlfn.XLOOKUP(Orders[[#This Row],[CustomerID]],Customers[CustomerID],Customers[CustomerAge])</f>
        <v>31</v>
      </c>
      <c r="Q312" t="str">
        <f>IF(Orders[[#This Row],[Age]]&gt;=35,"older","young")</f>
        <v>young</v>
      </c>
      <c r="R312" t="str">
        <f>_xlfn.XLOOKUP(Orders[[#This Row],[ProductID]],Products[ProductID],Products[ProductName])</f>
        <v>TURTLE NECK</v>
      </c>
      <c r="S312" t="str">
        <f>_xlfn.XLOOKUP(Orders[[#This Row],[ProductID]],Products!A:A,Products!C:C)</f>
        <v>Clothing</v>
      </c>
    </row>
    <row r="313" spans="1:19" x14ac:dyDescent="0.2">
      <c r="A313" s="4" t="s">
        <v>484</v>
      </c>
      <c r="B313" s="5">
        <v>45996</v>
      </c>
      <c r="C313" s="15">
        <f>WEEKNUM(Orders[[#This Row],[OrderDate]])</f>
        <v>49</v>
      </c>
      <c r="D313" s="4" t="s">
        <v>91</v>
      </c>
      <c r="E313" s="4" t="s">
        <v>28</v>
      </c>
      <c r="F313" s="4">
        <v>9</v>
      </c>
      <c r="G313" s="4">
        <v>4984.2</v>
      </c>
      <c r="H313">
        <v>4236.57</v>
      </c>
      <c r="I313">
        <f>Orders[[#This Row],[Quantity]]*Orders[[#This Row],[Selling Price]]</f>
        <v>44857.799999999996</v>
      </c>
      <c r="J313">
        <f>Orders[[#This Row],[Quantity]]*Orders[[#This Row],[Cost Price]]</f>
        <v>38129.129999999997</v>
      </c>
      <c r="K313">
        <f>Orders[[#This Row],[Revenue]]-Orders[[#This Row],[Expenses]]</f>
        <v>6728.6699999999983</v>
      </c>
      <c r="L313" t="s">
        <v>2195</v>
      </c>
      <c r="M313" t="str">
        <f>_xlfn.XLOOKUP(Orders[[#This Row],[CustomerID]],Customers[CustomerID],Customers[City])</f>
        <v>Florida</v>
      </c>
      <c r="N313" t="str">
        <f>_xlfn.XLOOKUP(Orders[[#This Row],[CustomerID]],Customers[CustomerID],Customers[CustomerName])</f>
        <v>Uche Abubakar</v>
      </c>
      <c r="O313" t="str">
        <f>_xlfn.XLOOKUP(Orders[[#This Row],[CustomerID]],Customers[CustomerID],Customers[Gender])</f>
        <v>Male</v>
      </c>
      <c r="P313">
        <f>_xlfn.XLOOKUP(Orders[[#This Row],[CustomerID]],Customers[CustomerID],Customers[CustomerAge])</f>
        <v>28</v>
      </c>
      <c r="Q313" t="str">
        <f>IF(Orders[[#This Row],[Age]]&gt;=35,"older","young")</f>
        <v>young</v>
      </c>
      <c r="R313" t="str">
        <f>_xlfn.XLOOKUP(Orders[[#This Row],[ProductID]],Products[ProductID],Products[ProductName])</f>
        <v>SNEAKERS</v>
      </c>
      <c r="S313" t="str">
        <f>_xlfn.XLOOKUP(Orders[[#This Row],[ProductID]],Products!A:A,Products!C:C)</f>
        <v>Sports</v>
      </c>
    </row>
    <row r="314" spans="1:19" x14ac:dyDescent="0.2">
      <c r="A314" s="4" t="s">
        <v>485</v>
      </c>
      <c r="B314" s="5">
        <v>45946</v>
      </c>
      <c r="C314" s="15">
        <f>WEEKNUM(Orders[[#This Row],[OrderDate]])</f>
        <v>42</v>
      </c>
      <c r="D314" s="4" t="s">
        <v>98</v>
      </c>
      <c r="E314" s="4" t="s">
        <v>127</v>
      </c>
      <c r="F314" s="4">
        <v>2</v>
      </c>
      <c r="G314" s="4">
        <v>6178.5</v>
      </c>
      <c r="H314">
        <v>5251.7250000000004</v>
      </c>
      <c r="I314">
        <f>Orders[[#This Row],[Quantity]]*Orders[[#This Row],[Selling Price]]</f>
        <v>12357</v>
      </c>
      <c r="J314">
        <f>Orders[[#This Row],[Quantity]]*Orders[[#This Row],[Cost Price]]</f>
        <v>10503.45</v>
      </c>
      <c r="K314">
        <f>Orders[[#This Row],[Revenue]]-Orders[[#This Row],[Expenses]]</f>
        <v>1853.5499999999993</v>
      </c>
      <c r="L314" t="s">
        <v>2200</v>
      </c>
      <c r="M314" t="str">
        <f>_xlfn.XLOOKUP(Orders[[#This Row],[CustomerID]],Customers[CustomerID],Customers[City])</f>
        <v>Illinois</v>
      </c>
      <c r="N314" t="str">
        <f>_xlfn.XLOOKUP(Orders[[#This Row],[CustomerID]],Customers[CustomerID],Customers[CustomerName])</f>
        <v>Chioma Adeyemi</v>
      </c>
      <c r="O314" t="str">
        <f>_xlfn.XLOOKUP(Orders[[#This Row],[CustomerID]],Customers[CustomerID],Customers[Gender])</f>
        <v>Female</v>
      </c>
      <c r="P314">
        <f>_xlfn.XLOOKUP(Orders[[#This Row],[CustomerID]],Customers[CustomerID],Customers[CustomerAge])</f>
        <v>23</v>
      </c>
      <c r="Q314" t="str">
        <f>IF(Orders[[#This Row],[Age]]&gt;=35,"older","young")</f>
        <v>young</v>
      </c>
      <c r="R314" t="str">
        <f>_xlfn.XLOOKUP(Orders[[#This Row],[ProductID]],Products[ProductID],Products[ProductName])</f>
        <v>TOPS</v>
      </c>
      <c r="S314" t="str">
        <f>_xlfn.XLOOKUP(Orders[[#This Row],[ProductID]],Products!A:A,Products!C:C)</f>
        <v>Clothing</v>
      </c>
    </row>
    <row r="315" spans="1:19" x14ac:dyDescent="0.2">
      <c r="A315" s="4" t="s">
        <v>486</v>
      </c>
      <c r="B315" s="5">
        <v>46020</v>
      </c>
      <c r="C315" s="15">
        <f>WEEKNUM(Orders[[#This Row],[OrderDate]])</f>
        <v>53</v>
      </c>
      <c r="D315" s="4" t="s">
        <v>129</v>
      </c>
      <c r="E315" s="4" t="s">
        <v>70</v>
      </c>
      <c r="F315" s="4">
        <v>10</v>
      </c>
      <c r="G315" s="4">
        <v>13191.900000000001</v>
      </c>
      <c r="H315">
        <v>11213.115000000002</v>
      </c>
      <c r="I315">
        <f>Orders[[#This Row],[Quantity]]*Orders[[#This Row],[Selling Price]]</f>
        <v>131919</v>
      </c>
      <c r="J315">
        <f>Orders[[#This Row],[Quantity]]*Orders[[#This Row],[Cost Price]]</f>
        <v>112131.15000000002</v>
      </c>
      <c r="K315">
        <f>Orders[[#This Row],[Revenue]]-Orders[[#This Row],[Expenses]]</f>
        <v>19787.849999999977</v>
      </c>
      <c r="L315" t="s">
        <v>2197</v>
      </c>
      <c r="M315" t="str">
        <f>_xlfn.XLOOKUP(Orders[[#This Row],[CustomerID]],Customers[CustomerID],Customers[City])</f>
        <v>Washington</v>
      </c>
      <c r="N315" t="str">
        <f>_xlfn.XLOOKUP(Orders[[#This Row],[CustomerID]],Customers[CustomerID],Customers[CustomerName])</f>
        <v>Chioma Ojo</v>
      </c>
      <c r="O315" t="str">
        <f>_xlfn.XLOOKUP(Orders[[#This Row],[CustomerID]],Customers[CustomerID],Customers[Gender])</f>
        <v>Female</v>
      </c>
      <c r="P315">
        <f>_xlfn.XLOOKUP(Orders[[#This Row],[CustomerID]],Customers[CustomerID],Customers[CustomerAge])</f>
        <v>46</v>
      </c>
      <c r="Q315" t="str">
        <f>IF(Orders[[#This Row],[Age]]&gt;=35,"older","young")</f>
        <v>older</v>
      </c>
      <c r="R315" t="str">
        <f>_xlfn.XLOOKUP(Orders[[#This Row],[ProductID]],Products[ProductID],Products[ProductName])</f>
        <v>YOGA MAT</v>
      </c>
      <c r="S315" t="str">
        <f>_xlfn.XLOOKUP(Orders[[#This Row],[ProductID]],Products!A:A,Products!C:C)</f>
        <v>Gym</v>
      </c>
    </row>
    <row r="316" spans="1:19" x14ac:dyDescent="0.2">
      <c r="A316" s="4" t="s">
        <v>487</v>
      </c>
      <c r="B316" s="5">
        <v>45982</v>
      </c>
      <c r="C316" s="15">
        <f>WEEKNUM(Orders[[#This Row],[OrderDate]])</f>
        <v>47</v>
      </c>
      <c r="D316" s="4" t="s">
        <v>258</v>
      </c>
      <c r="E316" s="4" t="s">
        <v>70</v>
      </c>
      <c r="F316" s="4">
        <v>3</v>
      </c>
      <c r="G316" s="4">
        <v>18406.7</v>
      </c>
      <c r="H316">
        <v>15645.695</v>
      </c>
      <c r="I316">
        <f>Orders[[#This Row],[Quantity]]*Orders[[#This Row],[Selling Price]]</f>
        <v>55220.100000000006</v>
      </c>
      <c r="J316">
        <f>Orders[[#This Row],[Quantity]]*Orders[[#This Row],[Cost Price]]</f>
        <v>46937.084999999999</v>
      </c>
      <c r="K316">
        <f>Orders[[#This Row],[Revenue]]-Orders[[#This Row],[Expenses]]</f>
        <v>8283.0150000000067</v>
      </c>
      <c r="L316" t="s">
        <v>2199</v>
      </c>
      <c r="M316" t="str">
        <f>_xlfn.XLOOKUP(Orders[[#This Row],[CustomerID]],Customers[CustomerID],Customers[City])</f>
        <v>Washington</v>
      </c>
      <c r="N316" t="str">
        <f>_xlfn.XLOOKUP(Orders[[#This Row],[CustomerID]],Customers[CustomerID],Customers[CustomerName])</f>
        <v>Sani Abubakar</v>
      </c>
      <c r="O316" t="str">
        <f>_xlfn.XLOOKUP(Orders[[#This Row],[CustomerID]],Customers[CustomerID],Customers[Gender])</f>
        <v>Male</v>
      </c>
      <c r="P316">
        <f>_xlfn.XLOOKUP(Orders[[#This Row],[CustomerID]],Customers[CustomerID],Customers[CustomerAge])</f>
        <v>37</v>
      </c>
      <c r="Q316" t="str">
        <f>IF(Orders[[#This Row],[Age]]&gt;=35,"older","young")</f>
        <v>older</v>
      </c>
      <c r="R316" t="str">
        <f>_xlfn.XLOOKUP(Orders[[#This Row],[ProductID]],Products[ProductID],Products[ProductName])</f>
        <v>YOGA MAT</v>
      </c>
      <c r="S316" t="str">
        <f>_xlfn.XLOOKUP(Orders[[#This Row],[ProductID]],Products!A:A,Products!C:C)</f>
        <v>Gym</v>
      </c>
    </row>
    <row r="317" spans="1:19" x14ac:dyDescent="0.2">
      <c r="A317" s="4" t="s">
        <v>488</v>
      </c>
      <c r="B317" s="5">
        <v>45996</v>
      </c>
      <c r="C317" s="15">
        <f>WEEKNUM(Orders[[#This Row],[OrderDate]])</f>
        <v>49</v>
      </c>
      <c r="D317" s="4" t="s">
        <v>287</v>
      </c>
      <c r="E317" s="4" t="s">
        <v>111</v>
      </c>
      <c r="F317" s="4">
        <v>9</v>
      </c>
      <c r="G317" s="4">
        <v>3505.2999999999997</v>
      </c>
      <c r="H317">
        <v>2979.5049999999997</v>
      </c>
      <c r="I317">
        <f>Orders[[#This Row],[Quantity]]*Orders[[#This Row],[Selling Price]]</f>
        <v>31547.699999999997</v>
      </c>
      <c r="J317">
        <f>Orders[[#This Row],[Quantity]]*Orders[[#This Row],[Cost Price]]</f>
        <v>26815.544999999998</v>
      </c>
      <c r="K317">
        <f>Orders[[#This Row],[Revenue]]-Orders[[#This Row],[Expenses]]</f>
        <v>4732.1549999999988</v>
      </c>
      <c r="L317" t="s">
        <v>2194</v>
      </c>
      <c r="M317" t="str">
        <f>_xlfn.XLOOKUP(Orders[[#This Row],[CustomerID]],Customers[CustomerID],Customers[City])</f>
        <v>Texas</v>
      </c>
      <c r="N317" t="str">
        <f>_xlfn.XLOOKUP(Orders[[#This Row],[CustomerID]],Customers[CustomerID],Customers[CustomerName])</f>
        <v>Okon Obi</v>
      </c>
      <c r="O317" t="str">
        <f>_xlfn.XLOOKUP(Orders[[#This Row],[CustomerID]],Customers[CustomerID],Customers[Gender])</f>
        <v>Male</v>
      </c>
      <c r="P317">
        <f>_xlfn.XLOOKUP(Orders[[#This Row],[CustomerID]],Customers[CustomerID],Customers[CustomerAge])</f>
        <v>55</v>
      </c>
      <c r="Q317" t="str">
        <f>IF(Orders[[#This Row],[Age]]&gt;=35,"older","young")</f>
        <v>older</v>
      </c>
      <c r="R317" t="str">
        <f>_xlfn.XLOOKUP(Orders[[#This Row],[ProductID]],Products[ProductID],Products[ProductName])</f>
        <v>REFRIGERATOR</v>
      </c>
      <c r="S317" t="str">
        <f>_xlfn.XLOOKUP(Orders[[#This Row],[ProductID]],Products!A:A,Products!C:C)</f>
        <v>Electronics</v>
      </c>
    </row>
    <row r="318" spans="1:19" x14ac:dyDescent="0.2">
      <c r="A318" s="4" t="s">
        <v>489</v>
      </c>
      <c r="B318" s="5">
        <v>45949</v>
      </c>
      <c r="C318" s="15">
        <f>WEEKNUM(Orders[[#This Row],[OrderDate]])</f>
        <v>43</v>
      </c>
      <c r="D318" s="4" t="s">
        <v>14</v>
      </c>
      <c r="E318" s="4" t="s">
        <v>60</v>
      </c>
      <c r="F318" s="4">
        <v>4</v>
      </c>
      <c r="G318" s="4">
        <v>856</v>
      </c>
      <c r="H318">
        <v>727.6</v>
      </c>
      <c r="I318">
        <f>Orders[[#This Row],[Quantity]]*Orders[[#This Row],[Selling Price]]</f>
        <v>3424</v>
      </c>
      <c r="J318">
        <f>Orders[[#This Row],[Quantity]]*Orders[[#This Row],[Cost Price]]</f>
        <v>2910.4</v>
      </c>
      <c r="K318">
        <f>Orders[[#This Row],[Revenue]]-Orders[[#This Row],[Expenses]]</f>
        <v>513.59999999999991</v>
      </c>
      <c r="L318" t="s">
        <v>2205</v>
      </c>
      <c r="M318" t="str">
        <f>_xlfn.XLOOKUP(Orders[[#This Row],[CustomerID]],Customers[CustomerID],Customers[City])</f>
        <v>Texas</v>
      </c>
      <c r="N318" t="str">
        <f>_xlfn.XLOOKUP(Orders[[#This Row],[CustomerID]],Customers[CustomerID],Customers[CustomerName])</f>
        <v>Abiola Igwe</v>
      </c>
      <c r="O318" t="str">
        <f>_xlfn.XLOOKUP(Orders[[#This Row],[CustomerID]],Customers[CustomerID],Customers[Gender])</f>
        <v>Male</v>
      </c>
      <c r="P318">
        <f>_xlfn.XLOOKUP(Orders[[#This Row],[CustomerID]],Customers[CustomerID],Customers[CustomerAge])</f>
        <v>39</v>
      </c>
      <c r="Q318" t="str">
        <f>IF(Orders[[#This Row],[Age]]&gt;=35,"older","young")</f>
        <v>older</v>
      </c>
      <c r="R318" t="str">
        <f>_xlfn.XLOOKUP(Orders[[#This Row],[ProductID]],Products[ProductID],Products[ProductName])</f>
        <v>SILVER RINGS</v>
      </c>
      <c r="S318" t="str">
        <f>_xlfn.XLOOKUP(Orders[[#This Row],[ProductID]],Products!A:A,Products!C:C)</f>
        <v>Accessories</v>
      </c>
    </row>
    <row r="319" spans="1:19" x14ac:dyDescent="0.2">
      <c r="A319" s="4" t="s">
        <v>490</v>
      </c>
      <c r="B319" s="5">
        <v>45957</v>
      </c>
      <c r="C319" s="15">
        <f>WEEKNUM(Orders[[#This Row],[OrderDate]])</f>
        <v>44</v>
      </c>
      <c r="D319" s="4" t="s">
        <v>159</v>
      </c>
      <c r="E319" s="4" t="s">
        <v>151</v>
      </c>
      <c r="F319" s="4">
        <v>2</v>
      </c>
      <c r="G319" s="4">
        <v>14661.5</v>
      </c>
      <c r="H319">
        <v>12462.275</v>
      </c>
      <c r="I319">
        <f>Orders[[#This Row],[Quantity]]*Orders[[#This Row],[Selling Price]]</f>
        <v>29323</v>
      </c>
      <c r="J319">
        <f>Orders[[#This Row],[Quantity]]*Orders[[#This Row],[Cost Price]]</f>
        <v>24924.55</v>
      </c>
      <c r="K319">
        <f>Orders[[#This Row],[Revenue]]-Orders[[#This Row],[Expenses]]</f>
        <v>4398.4500000000007</v>
      </c>
      <c r="L319" t="s">
        <v>2213</v>
      </c>
      <c r="M319" t="str">
        <f>_xlfn.XLOOKUP(Orders[[#This Row],[CustomerID]],Customers[CustomerID],Customers[City])</f>
        <v>Florida</v>
      </c>
      <c r="N319" t="str">
        <f>_xlfn.XLOOKUP(Orders[[#This Row],[CustomerID]],Customers[CustomerID],Customers[CustomerName])</f>
        <v>Ibrahim Okonkwo</v>
      </c>
      <c r="O319" t="str">
        <f>_xlfn.XLOOKUP(Orders[[#This Row],[CustomerID]],Customers[CustomerID],Customers[Gender])</f>
        <v>Male</v>
      </c>
      <c r="P319">
        <f>_xlfn.XLOOKUP(Orders[[#This Row],[CustomerID]],Customers[CustomerID],Customers[CustomerAge])</f>
        <v>49</v>
      </c>
      <c r="Q319" t="str">
        <f>IF(Orders[[#This Row],[Age]]&gt;=35,"older","young")</f>
        <v>older</v>
      </c>
      <c r="R319" t="str">
        <f>_xlfn.XLOOKUP(Orders[[#This Row],[ProductID]],Products[ProductID],Products[ProductName])</f>
        <v>CHECKERS</v>
      </c>
      <c r="S319" t="str">
        <f>_xlfn.XLOOKUP(Orders[[#This Row],[ProductID]],Products!A:A,Products!C:C)</f>
        <v>Games</v>
      </c>
    </row>
    <row r="320" spans="1:19" x14ac:dyDescent="0.2">
      <c r="A320" s="4" t="s">
        <v>491</v>
      </c>
      <c r="B320" s="5">
        <v>45971</v>
      </c>
      <c r="C320" s="15">
        <f>WEEKNUM(Orders[[#This Row],[OrderDate]])</f>
        <v>46</v>
      </c>
      <c r="D320" s="4" t="s">
        <v>116</v>
      </c>
      <c r="E320" s="4" t="s">
        <v>70</v>
      </c>
      <c r="F320" s="4">
        <v>8</v>
      </c>
      <c r="G320" s="4">
        <v>12217.4</v>
      </c>
      <c r="H320">
        <v>10384.789999999999</v>
      </c>
      <c r="I320">
        <f>Orders[[#This Row],[Quantity]]*Orders[[#This Row],[Selling Price]]</f>
        <v>97739.199999999997</v>
      </c>
      <c r="J320">
        <f>Orders[[#This Row],[Quantity]]*Orders[[#This Row],[Cost Price]]</f>
        <v>83078.319999999992</v>
      </c>
      <c r="K320">
        <f>Orders[[#This Row],[Revenue]]-Orders[[#This Row],[Expenses]]</f>
        <v>14660.880000000005</v>
      </c>
      <c r="L320" t="s">
        <v>2213</v>
      </c>
      <c r="M320" t="str">
        <f>_xlfn.XLOOKUP(Orders[[#This Row],[CustomerID]],Customers[CustomerID],Customers[City])</f>
        <v>Texas</v>
      </c>
      <c r="N320" t="str">
        <f>_xlfn.XLOOKUP(Orders[[#This Row],[CustomerID]],Customers[CustomerID],Customers[CustomerName])</f>
        <v>Uche Bello</v>
      </c>
      <c r="O320" t="str">
        <f>_xlfn.XLOOKUP(Orders[[#This Row],[CustomerID]],Customers[CustomerID],Customers[Gender])</f>
        <v>Male</v>
      </c>
      <c r="P320">
        <f>_xlfn.XLOOKUP(Orders[[#This Row],[CustomerID]],Customers[CustomerID],Customers[CustomerAge])</f>
        <v>21</v>
      </c>
      <c r="Q320" t="str">
        <f>IF(Orders[[#This Row],[Age]]&gt;=35,"older","young")</f>
        <v>young</v>
      </c>
      <c r="R320" t="str">
        <f>_xlfn.XLOOKUP(Orders[[#This Row],[ProductID]],Products[ProductID],Products[ProductName])</f>
        <v>YOGA MAT</v>
      </c>
      <c r="S320" t="str">
        <f>_xlfn.XLOOKUP(Orders[[#This Row],[ProductID]],Products!A:A,Products!C:C)</f>
        <v>Gym</v>
      </c>
    </row>
    <row r="321" spans="1:19" x14ac:dyDescent="0.2">
      <c r="A321" s="4" t="s">
        <v>492</v>
      </c>
      <c r="B321" s="5">
        <v>45993</v>
      </c>
      <c r="C321" s="15">
        <f>WEEKNUM(Orders[[#This Row],[OrderDate]])</f>
        <v>49</v>
      </c>
      <c r="D321" s="4" t="s">
        <v>110</v>
      </c>
      <c r="E321" s="4" t="s">
        <v>76</v>
      </c>
      <c r="F321" s="4">
        <v>6</v>
      </c>
      <c r="G321" s="4">
        <v>9925.8000000000011</v>
      </c>
      <c r="H321">
        <v>8436.93</v>
      </c>
      <c r="I321">
        <f>Orders[[#This Row],[Quantity]]*Orders[[#This Row],[Selling Price]]</f>
        <v>59554.8</v>
      </c>
      <c r="J321">
        <f>Orders[[#This Row],[Quantity]]*Orders[[#This Row],[Cost Price]]</f>
        <v>50621.58</v>
      </c>
      <c r="K321">
        <f>Orders[[#This Row],[Revenue]]-Orders[[#This Row],[Expenses]]</f>
        <v>8933.2200000000012</v>
      </c>
      <c r="L321" t="s">
        <v>2202</v>
      </c>
      <c r="M321" t="str">
        <f>_xlfn.XLOOKUP(Orders[[#This Row],[CustomerID]],Customers[CustomerID],Customers[City])</f>
        <v>Washington</v>
      </c>
      <c r="N321" t="str">
        <f>_xlfn.XLOOKUP(Orders[[#This Row],[CustomerID]],Customers[CustomerID],Customers[CustomerName])</f>
        <v>Ngozi Danladi</v>
      </c>
      <c r="O321" t="str">
        <f>_xlfn.XLOOKUP(Orders[[#This Row],[CustomerID]],Customers[CustomerID],Customers[Gender])</f>
        <v>Female</v>
      </c>
      <c r="P321">
        <f>_xlfn.XLOOKUP(Orders[[#This Row],[CustomerID]],Customers[CustomerID],Customers[CustomerAge])</f>
        <v>28</v>
      </c>
      <c r="Q321" t="str">
        <f>IF(Orders[[#This Row],[Age]]&gt;=35,"older","young")</f>
        <v>young</v>
      </c>
      <c r="R321" t="str">
        <f>_xlfn.XLOOKUP(Orders[[#This Row],[ProductID]],Products[ProductID],Products[ProductName])</f>
        <v>BLENDER</v>
      </c>
      <c r="S321" t="str">
        <f>_xlfn.XLOOKUP(Orders[[#This Row],[ProductID]],Products!A:A,Products!C:C)</f>
        <v>Electronics</v>
      </c>
    </row>
    <row r="322" spans="1:19" x14ac:dyDescent="0.2">
      <c r="A322" s="4" t="s">
        <v>493</v>
      </c>
      <c r="B322" s="5">
        <v>45976</v>
      </c>
      <c r="C322" s="15">
        <f>WEEKNUM(Orders[[#This Row],[OrderDate]])</f>
        <v>46</v>
      </c>
      <c r="D322" s="4" t="s">
        <v>333</v>
      </c>
      <c r="E322" s="4" t="s">
        <v>57</v>
      </c>
      <c r="F322" s="4">
        <v>9</v>
      </c>
      <c r="G322" s="4">
        <v>17542.599999999999</v>
      </c>
      <c r="H322">
        <v>14911.21</v>
      </c>
      <c r="I322">
        <f>Orders[[#This Row],[Quantity]]*Orders[[#This Row],[Selling Price]]</f>
        <v>157883.4</v>
      </c>
      <c r="J322">
        <f>Orders[[#This Row],[Quantity]]*Orders[[#This Row],[Cost Price]]</f>
        <v>134200.88999999998</v>
      </c>
      <c r="K322">
        <f>Orders[[#This Row],[Revenue]]-Orders[[#This Row],[Expenses]]</f>
        <v>23682.510000000009</v>
      </c>
      <c r="L322" t="s">
        <v>2215</v>
      </c>
      <c r="M322" t="str">
        <f>_xlfn.XLOOKUP(Orders[[#This Row],[CustomerID]],Customers[CustomerID],Customers[City])</f>
        <v>Washington</v>
      </c>
      <c r="N322" t="str">
        <f>_xlfn.XLOOKUP(Orders[[#This Row],[CustomerID]],Customers[CustomerID],Customers[CustomerName])</f>
        <v>Emeka Obi</v>
      </c>
      <c r="O322" t="str">
        <f>_xlfn.XLOOKUP(Orders[[#This Row],[CustomerID]],Customers[CustomerID],Customers[Gender])</f>
        <v>Male</v>
      </c>
      <c r="P322">
        <f>_xlfn.XLOOKUP(Orders[[#This Row],[CustomerID]],Customers[CustomerID],Customers[CustomerAge])</f>
        <v>44</v>
      </c>
      <c r="Q322" t="str">
        <f>IF(Orders[[#This Row],[Age]]&gt;=35,"older","young")</f>
        <v>older</v>
      </c>
      <c r="R322" t="str">
        <f>_xlfn.XLOOKUP(Orders[[#This Row],[ProductID]],Products[ProductID],Products[ProductName])</f>
        <v>BADMINTON RACKET</v>
      </c>
      <c r="S322" t="str">
        <f>_xlfn.XLOOKUP(Orders[[#This Row],[ProductID]],Products!A:A,Products!C:C)</f>
        <v>Sports</v>
      </c>
    </row>
    <row r="323" spans="1:19" x14ac:dyDescent="0.2">
      <c r="A323" s="4" t="s">
        <v>494</v>
      </c>
      <c r="B323" s="5">
        <v>45993</v>
      </c>
      <c r="C323" s="15">
        <f>WEEKNUM(Orders[[#This Row],[OrderDate]])</f>
        <v>49</v>
      </c>
      <c r="D323" s="4" t="s">
        <v>150</v>
      </c>
      <c r="E323" s="4" t="s">
        <v>66</v>
      </c>
      <c r="F323" s="4">
        <v>6</v>
      </c>
      <c r="G323" s="4">
        <v>16511.199999999997</v>
      </c>
      <c r="H323">
        <v>14034.519999999997</v>
      </c>
      <c r="I323">
        <f>Orders[[#This Row],[Quantity]]*Orders[[#This Row],[Selling Price]]</f>
        <v>99067.199999999983</v>
      </c>
      <c r="J323">
        <f>Orders[[#This Row],[Quantity]]*Orders[[#This Row],[Cost Price]]</f>
        <v>84207.119999999981</v>
      </c>
      <c r="K323">
        <f>Orders[[#This Row],[Revenue]]-Orders[[#This Row],[Expenses]]</f>
        <v>14860.080000000002</v>
      </c>
      <c r="L323" t="s">
        <v>2216</v>
      </c>
      <c r="M323" t="str">
        <f>_xlfn.XLOOKUP(Orders[[#This Row],[CustomerID]],Customers[CustomerID],Customers[City])</f>
        <v>Georgia</v>
      </c>
      <c r="N323" t="str">
        <f>_xlfn.XLOOKUP(Orders[[#This Row],[CustomerID]],Customers[CustomerID],Customers[CustomerName])</f>
        <v>Ronke Eze</v>
      </c>
      <c r="O323" t="str">
        <f>_xlfn.XLOOKUP(Orders[[#This Row],[CustomerID]],Customers[CustomerID],Customers[Gender])</f>
        <v>Female</v>
      </c>
      <c r="P323">
        <f>_xlfn.XLOOKUP(Orders[[#This Row],[CustomerID]],Customers[CustomerID],Customers[CustomerAge])</f>
        <v>23</v>
      </c>
      <c r="Q323" t="str">
        <f>IF(Orders[[#This Row],[Age]]&gt;=35,"older","young")</f>
        <v>young</v>
      </c>
      <c r="R323" t="str">
        <f>_xlfn.XLOOKUP(Orders[[#This Row],[ProductID]],Products[ProductID],Products[ProductName])</f>
        <v>MICROWAVE</v>
      </c>
      <c r="S323" t="str">
        <f>_xlfn.XLOOKUP(Orders[[#This Row],[ProductID]],Products!A:A,Products!C:C)</f>
        <v>Electronics</v>
      </c>
    </row>
    <row r="324" spans="1:19" x14ac:dyDescent="0.2">
      <c r="A324" s="4" t="s">
        <v>495</v>
      </c>
      <c r="B324" s="5">
        <v>45988</v>
      </c>
      <c r="C324" s="15">
        <f>WEEKNUM(Orders[[#This Row],[OrderDate]])</f>
        <v>48</v>
      </c>
      <c r="D324" s="4" t="s">
        <v>33</v>
      </c>
      <c r="E324" s="4" t="s">
        <v>111</v>
      </c>
      <c r="F324" s="4">
        <v>4</v>
      </c>
      <c r="G324" s="4">
        <v>19350.5</v>
      </c>
      <c r="H324">
        <v>16447.924999999999</v>
      </c>
      <c r="I324">
        <f>Orders[[#This Row],[Quantity]]*Orders[[#This Row],[Selling Price]]</f>
        <v>77402</v>
      </c>
      <c r="J324">
        <f>Orders[[#This Row],[Quantity]]*Orders[[#This Row],[Cost Price]]</f>
        <v>65791.7</v>
      </c>
      <c r="K324">
        <f>Orders[[#This Row],[Revenue]]-Orders[[#This Row],[Expenses]]</f>
        <v>11610.300000000003</v>
      </c>
      <c r="L324" t="s">
        <v>2195</v>
      </c>
      <c r="M324" t="str">
        <f>_xlfn.XLOOKUP(Orders[[#This Row],[CustomerID]],Customers[CustomerID],Customers[City])</f>
        <v>Texas</v>
      </c>
      <c r="N324" t="str">
        <f>_xlfn.XLOOKUP(Orders[[#This Row],[CustomerID]],Customers[CustomerID],Customers[CustomerName])</f>
        <v>Okon Balogun</v>
      </c>
      <c r="O324" t="str">
        <f>_xlfn.XLOOKUP(Orders[[#This Row],[CustomerID]],Customers[CustomerID],Customers[Gender])</f>
        <v>Male</v>
      </c>
      <c r="P324">
        <f>_xlfn.XLOOKUP(Orders[[#This Row],[CustomerID]],Customers[CustomerID],Customers[CustomerAge])</f>
        <v>28</v>
      </c>
      <c r="Q324" t="str">
        <f>IF(Orders[[#This Row],[Age]]&gt;=35,"older","young")</f>
        <v>young</v>
      </c>
      <c r="R324" t="str">
        <f>_xlfn.XLOOKUP(Orders[[#This Row],[ProductID]],Products[ProductID],Products[ProductName])</f>
        <v>REFRIGERATOR</v>
      </c>
      <c r="S324" t="str">
        <f>_xlfn.XLOOKUP(Orders[[#This Row],[ProductID]],Products!A:A,Products!C:C)</f>
        <v>Electronics</v>
      </c>
    </row>
    <row r="325" spans="1:19" x14ac:dyDescent="0.2">
      <c r="A325" s="4" t="s">
        <v>496</v>
      </c>
      <c r="B325" s="5">
        <v>45997</v>
      </c>
      <c r="C325" s="15">
        <f>WEEKNUM(Orders[[#This Row],[OrderDate]])</f>
        <v>49</v>
      </c>
      <c r="D325" s="4" t="s">
        <v>223</v>
      </c>
      <c r="E325" s="4" t="s">
        <v>120</v>
      </c>
      <c r="F325" s="4">
        <v>8</v>
      </c>
      <c r="G325" s="4">
        <v>19228.5</v>
      </c>
      <c r="H325">
        <v>16344.225</v>
      </c>
      <c r="I325">
        <f>Orders[[#This Row],[Quantity]]*Orders[[#This Row],[Selling Price]]</f>
        <v>153828</v>
      </c>
      <c r="J325">
        <f>Orders[[#This Row],[Quantity]]*Orders[[#This Row],[Cost Price]]</f>
        <v>130753.8</v>
      </c>
      <c r="K325">
        <f>Orders[[#This Row],[Revenue]]-Orders[[#This Row],[Expenses]]</f>
        <v>23074.199999999997</v>
      </c>
      <c r="L325" t="s">
        <v>2205</v>
      </c>
      <c r="M325" t="str">
        <f>_xlfn.XLOOKUP(Orders[[#This Row],[CustomerID]],Customers[CustomerID],Customers[City])</f>
        <v>Washington</v>
      </c>
      <c r="N325" t="str">
        <f>_xlfn.XLOOKUP(Orders[[#This Row],[CustomerID]],Customers[CustomerID],Customers[CustomerName])</f>
        <v>Blessing Danladi</v>
      </c>
      <c r="O325" t="str">
        <f>_xlfn.XLOOKUP(Orders[[#This Row],[CustomerID]],Customers[CustomerID],Customers[Gender])</f>
        <v>Female</v>
      </c>
      <c r="P325">
        <f>_xlfn.XLOOKUP(Orders[[#This Row],[CustomerID]],Customers[CustomerID],Customers[CustomerAge])</f>
        <v>20</v>
      </c>
      <c r="Q325" t="str">
        <f>IF(Orders[[#This Row],[Age]]&gt;=35,"older","young")</f>
        <v>young</v>
      </c>
      <c r="R325" t="str">
        <f>_xlfn.XLOOKUP(Orders[[#This Row],[ProductID]],Products[ProductID],Products[ProductName])</f>
        <v>CHESS</v>
      </c>
      <c r="S325" t="str">
        <f>_xlfn.XLOOKUP(Orders[[#This Row],[ProductID]],Products!A:A,Products!C:C)</f>
        <v>Games</v>
      </c>
    </row>
    <row r="326" spans="1:19" x14ac:dyDescent="0.2">
      <c r="A326" s="4" t="s">
        <v>497</v>
      </c>
      <c r="B326" s="5">
        <v>45964</v>
      </c>
      <c r="C326" s="15">
        <f>WEEKNUM(Orders[[#This Row],[OrderDate]])</f>
        <v>45</v>
      </c>
      <c r="D326" s="4" t="s">
        <v>122</v>
      </c>
      <c r="E326" s="4" t="s">
        <v>81</v>
      </c>
      <c r="F326" s="4">
        <v>6</v>
      </c>
      <c r="G326" s="4">
        <v>10647.8</v>
      </c>
      <c r="H326">
        <v>9050.6299999999992</v>
      </c>
      <c r="I326">
        <f>Orders[[#This Row],[Quantity]]*Orders[[#This Row],[Selling Price]]</f>
        <v>63886.799999999996</v>
      </c>
      <c r="J326">
        <f>Orders[[#This Row],[Quantity]]*Orders[[#This Row],[Cost Price]]</f>
        <v>54303.78</v>
      </c>
      <c r="K326">
        <f>Orders[[#This Row],[Revenue]]-Orders[[#This Row],[Expenses]]</f>
        <v>9583.0199999999968</v>
      </c>
      <c r="L326" t="s">
        <v>2208</v>
      </c>
      <c r="M326" t="str">
        <f>_xlfn.XLOOKUP(Orders[[#This Row],[CustomerID]],Customers[CustomerID],Customers[City])</f>
        <v>Texas</v>
      </c>
      <c r="N326" t="str">
        <f>_xlfn.XLOOKUP(Orders[[#This Row],[CustomerID]],Customers[CustomerID],Customers[CustomerName])</f>
        <v>Ibrahim Eze</v>
      </c>
      <c r="O326" t="str">
        <f>_xlfn.XLOOKUP(Orders[[#This Row],[CustomerID]],Customers[CustomerID],Customers[Gender])</f>
        <v>Male</v>
      </c>
      <c r="P326">
        <f>_xlfn.XLOOKUP(Orders[[#This Row],[CustomerID]],Customers[CustomerID],Customers[CustomerAge])</f>
        <v>52</v>
      </c>
      <c r="Q326" t="str">
        <f>IF(Orders[[#This Row],[Age]]&gt;=35,"older","young")</f>
        <v>older</v>
      </c>
      <c r="R326" t="str">
        <f>_xlfn.XLOOKUP(Orders[[#This Row],[ProductID]],Products[ProductID],Products[ProductName])</f>
        <v>TROUSERS</v>
      </c>
      <c r="S326" t="str">
        <f>_xlfn.XLOOKUP(Orders[[#This Row],[ProductID]],Products!A:A,Products!C:C)</f>
        <v>Clothing</v>
      </c>
    </row>
    <row r="327" spans="1:19" x14ac:dyDescent="0.2">
      <c r="A327" s="4" t="s">
        <v>498</v>
      </c>
      <c r="B327" s="5">
        <v>45972</v>
      </c>
      <c r="C327" s="15">
        <f>WEEKNUM(Orders[[#This Row],[OrderDate]])</f>
        <v>46</v>
      </c>
      <c r="D327" s="4" t="s">
        <v>22</v>
      </c>
      <c r="E327" s="4" t="s">
        <v>232</v>
      </c>
      <c r="F327" s="4">
        <v>6</v>
      </c>
      <c r="G327" s="4">
        <v>13558.099999999999</v>
      </c>
      <c r="H327">
        <v>11524.384999999998</v>
      </c>
      <c r="I327">
        <f>Orders[[#This Row],[Quantity]]*Orders[[#This Row],[Selling Price]]</f>
        <v>81348.599999999991</v>
      </c>
      <c r="J327">
        <f>Orders[[#This Row],[Quantity]]*Orders[[#This Row],[Cost Price]]</f>
        <v>69146.31</v>
      </c>
      <c r="K327">
        <f>Orders[[#This Row],[Revenue]]-Orders[[#This Row],[Expenses]]</f>
        <v>12202.289999999994</v>
      </c>
      <c r="L327" t="s">
        <v>2192</v>
      </c>
      <c r="M327" t="str">
        <f>_xlfn.XLOOKUP(Orders[[#This Row],[CustomerID]],Customers[CustomerID],Customers[City])</f>
        <v>Texas</v>
      </c>
      <c r="N327" t="str">
        <f>_xlfn.XLOOKUP(Orders[[#This Row],[CustomerID]],Customers[CustomerID],Customers[CustomerName])</f>
        <v>Temi Bello</v>
      </c>
      <c r="O327" t="str">
        <f>_xlfn.XLOOKUP(Orders[[#This Row],[CustomerID]],Customers[CustomerID],Customers[Gender])</f>
        <v>Female</v>
      </c>
      <c r="P327">
        <f>_xlfn.XLOOKUP(Orders[[#This Row],[CustomerID]],Customers[CustomerID],Customers[CustomerAge])</f>
        <v>52</v>
      </c>
      <c r="Q327" t="str">
        <f>IF(Orders[[#This Row],[Age]]&gt;=35,"older","young")</f>
        <v>older</v>
      </c>
      <c r="R327" t="str">
        <f>_xlfn.XLOOKUP(Orders[[#This Row],[ProductID]],Products[ProductID],Products[ProductName])</f>
        <v>ANKARA</v>
      </c>
      <c r="S327" t="str">
        <f>_xlfn.XLOOKUP(Orders[[#This Row],[ProductID]],Products!A:A,Products!C:C)</f>
        <v>Clothing</v>
      </c>
    </row>
    <row r="328" spans="1:19" x14ac:dyDescent="0.2">
      <c r="A328" s="4" t="s">
        <v>499</v>
      </c>
      <c r="B328" s="5">
        <v>45935</v>
      </c>
      <c r="C328" s="15">
        <f>WEEKNUM(Orders[[#This Row],[OrderDate]])</f>
        <v>41</v>
      </c>
      <c r="D328" s="4" t="s">
        <v>150</v>
      </c>
      <c r="E328" s="4" t="s">
        <v>31</v>
      </c>
      <c r="F328" s="4">
        <v>9</v>
      </c>
      <c r="G328" s="4">
        <v>3820.8999999999996</v>
      </c>
      <c r="H328">
        <v>3247.7649999999999</v>
      </c>
      <c r="I328">
        <f>Orders[[#This Row],[Quantity]]*Orders[[#This Row],[Selling Price]]</f>
        <v>34388.1</v>
      </c>
      <c r="J328">
        <f>Orders[[#This Row],[Quantity]]*Orders[[#This Row],[Cost Price]]</f>
        <v>29229.884999999998</v>
      </c>
      <c r="K328">
        <f>Orders[[#This Row],[Revenue]]-Orders[[#This Row],[Expenses]]</f>
        <v>5158.2150000000001</v>
      </c>
      <c r="L328" t="s">
        <v>2206</v>
      </c>
      <c r="M328" t="str">
        <f>_xlfn.XLOOKUP(Orders[[#This Row],[CustomerID]],Customers[CustomerID],Customers[City])</f>
        <v>Georgia</v>
      </c>
      <c r="N328" t="str">
        <f>_xlfn.XLOOKUP(Orders[[#This Row],[CustomerID]],Customers[CustomerID],Customers[CustomerName])</f>
        <v>Ronke Eze</v>
      </c>
      <c r="O328" t="str">
        <f>_xlfn.XLOOKUP(Orders[[#This Row],[CustomerID]],Customers[CustomerID],Customers[Gender])</f>
        <v>Female</v>
      </c>
      <c r="P328">
        <f>_xlfn.XLOOKUP(Orders[[#This Row],[CustomerID]],Customers[CustomerID],Customers[CustomerAge])</f>
        <v>23</v>
      </c>
      <c r="Q328" t="str">
        <f>IF(Orders[[#This Row],[Age]]&gt;=35,"older","young")</f>
        <v>young</v>
      </c>
      <c r="R328" t="str">
        <f>_xlfn.XLOOKUP(Orders[[#This Row],[ProductID]],Products[ProductID],Products[ProductName])</f>
        <v>KIDS GAMES</v>
      </c>
      <c r="S328" t="str">
        <f>_xlfn.XLOOKUP(Orders[[#This Row],[ProductID]],Products!A:A,Products!C:C)</f>
        <v>Games</v>
      </c>
    </row>
    <row r="329" spans="1:19" x14ac:dyDescent="0.2">
      <c r="A329" s="4" t="s">
        <v>500</v>
      </c>
      <c r="B329" s="5">
        <v>45977</v>
      </c>
      <c r="C329" s="15">
        <f>WEEKNUM(Orders[[#This Row],[OrderDate]])</f>
        <v>47</v>
      </c>
      <c r="D329" s="4" t="s">
        <v>87</v>
      </c>
      <c r="E329" s="4" t="s">
        <v>125</v>
      </c>
      <c r="F329" s="4">
        <v>2</v>
      </c>
      <c r="G329" s="4">
        <v>9755.1</v>
      </c>
      <c r="H329">
        <v>8291.8350000000009</v>
      </c>
      <c r="I329">
        <f>Orders[[#This Row],[Quantity]]*Orders[[#This Row],[Selling Price]]</f>
        <v>19510.2</v>
      </c>
      <c r="J329">
        <f>Orders[[#This Row],[Quantity]]*Orders[[#This Row],[Cost Price]]</f>
        <v>16583.670000000002</v>
      </c>
      <c r="K329">
        <f>Orders[[#This Row],[Revenue]]-Orders[[#This Row],[Expenses]]</f>
        <v>2926.5299999999988</v>
      </c>
      <c r="L329" t="s">
        <v>2207</v>
      </c>
      <c r="M329" t="str">
        <f>_xlfn.XLOOKUP(Orders[[#This Row],[CustomerID]],Customers[CustomerID],Customers[City])</f>
        <v>Illinois</v>
      </c>
      <c r="N329" t="str">
        <f>_xlfn.XLOOKUP(Orders[[#This Row],[CustomerID]],Customers[CustomerID],Customers[CustomerName])</f>
        <v>Efe Igwe</v>
      </c>
      <c r="O329" t="str">
        <f>_xlfn.XLOOKUP(Orders[[#This Row],[CustomerID]],Customers[CustomerID],Customers[Gender])</f>
        <v>Female</v>
      </c>
      <c r="P329">
        <f>_xlfn.XLOOKUP(Orders[[#This Row],[CustomerID]],Customers[CustomerID],Customers[CustomerAge])</f>
        <v>34</v>
      </c>
      <c r="Q329" t="str">
        <f>IF(Orders[[#This Row],[Age]]&gt;=35,"older","young")</f>
        <v>young</v>
      </c>
      <c r="R329" t="str">
        <f>_xlfn.XLOOKUP(Orders[[#This Row],[ProductID]],Products[ProductID],Products[ProductName])</f>
        <v>EARRINGS</v>
      </c>
      <c r="S329" t="str">
        <f>_xlfn.XLOOKUP(Orders[[#This Row],[ProductID]],Products!A:A,Products!C:C)</f>
        <v>Accessories</v>
      </c>
    </row>
    <row r="330" spans="1:19" x14ac:dyDescent="0.2">
      <c r="A330" s="4" t="s">
        <v>501</v>
      </c>
      <c r="B330" s="5">
        <v>45947</v>
      </c>
      <c r="C330" s="15">
        <f>WEEKNUM(Orders[[#This Row],[OrderDate]])</f>
        <v>42</v>
      </c>
      <c r="D330" s="4" t="s">
        <v>502</v>
      </c>
      <c r="E330" s="4" t="s">
        <v>157</v>
      </c>
      <c r="F330" s="4">
        <v>2</v>
      </c>
      <c r="G330" s="4">
        <v>19051.7</v>
      </c>
      <c r="H330">
        <v>16193.945</v>
      </c>
      <c r="I330">
        <f>Orders[[#This Row],[Quantity]]*Orders[[#This Row],[Selling Price]]</f>
        <v>38103.4</v>
      </c>
      <c r="J330">
        <f>Orders[[#This Row],[Quantity]]*Orders[[#This Row],[Cost Price]]</f>
        <v>32387.89</v>
      </c>
      <c r="K330">
        <f>Orders[[#This Row],[Revenue]]-Orders[[#This Row],[Expenses]]</f>
        <v>5715.510000000002</v>
      </c>
      <c r="L330" t="s">
        <v>2192</v>
      </c>
      <c r="M330" t="str">
        <f>_xlfn.XLOOKUP(Orders[[#This Row],[CustomerID]],Customers[CustomerID],Customers[City])</f>
        <v>Texas</v>
      </c>
      <c r="N330" t="str">
        <f>_xlfn.XLOOKUP(Orders[[#This Row],[CustomerID]],Customers[CustomerID],Customers[CustomerName])</f>
        <v>Obi Eze</v>
      </c>
      <c r="O330" t="str">
        <f>_xlfn.XLOOKUP(Orders[[#This Row],[CustomerID]],Customers[CustomerID],Customers[Gender])</f>
        <v>Male</v>
      </c>
      <c r="P330">
        <f>_xlfn.XLOOKUP(Orders[[#This Row],[CustomerID]],Customers[CustomerID],Customers[CustomerAge])</f>
        <v>24</v>
      </c>
      <c r="Q330" t="str">
        <f>IF(Orders[[#This Row],[Age]]&gt;=35,"older","young")</f>
        <v>young</v>
      </c>
      <c r="R330" t="str">
        <f>_xlfn.XLOOKUP(Orders[[#This Row],[ProductID]],Products[ProductID],Products[ProductName])</f>
        <v>FOOTBALL</v>
      </c>
      <c r="S330" t="str">
        <f>_xlfn.XLOOKUP(Orders[[#This Row],[ProductID]],Products!A:A,Products!C:C)</f>
        <v>Sports</v>
      </c>
    </row>
    <row r="331" spans="1:19" x14ac:dyDescent="0.2">
      <c r="A331" s="4" t="s">
        <v>503</v>
      </c>
      <c r="B331" s="5">
        <v>45967</v>
      </c>
      <c r="C331" s="15">
        <f>WEEKNUM(Orders[[#This Row],[OrderDate]])</f>
        <v>45</v>
      </c>
      <c r="D331" s="4" t="s">
        <v>41</v>
      </c>
      <c r="E331" s="4" t="s">
        <v>92</v>
      </c>
      <c r="F331" s="4">
        <v>2</v>
      </c>
      <c r="G331" s="4">
        <v>4432.2000000000007</v>
      </c>
      <c r="H331">
        <v>3767.3700000000008</v>
      </c>
      <c r="I331">
        <f>Orders[[#This Row],[Quantity]]*Orders[[#This Row],[Selling Price]]</f>
        <v>8864.4000000000015</v>
      </c>
      <c r="J331">
        <f>Orders[[#This Row],[Quantity]]*Orders[[#This Row],[Cost Price]]</f>
        <v>7534.7400000000016</v>
      </c>
      <c r="K331">
        <f>Orders[[#This Row],[Revenue]]-Orders[[#This Row],[Expenses]]</f>
        <v>1329.6599999999999</v>
      </c>
      <c r="L331" t="s">
        <v>2197</v>
      </c>
      <c r="M331" t="str">
        <f>_xlfn.XLOOKUP(Orders[[#This Row],[CustomerID]],Customers[CustomerID],Customers[City])</f>
        <v>Texas</v>
      </c>
      <c r="N331" t="str">
        <f>_xlfn.XLOOKUP(Orders[[#This Row],[CustomerID]],Customers[CustomerID],Customers[CustomerName])</f>
        <v>Mustafa Balogun</v>
      </c>
      <c r="O331" t="str">
        <f>_xlfn.XLOOKUP(Orders[[#This Row],[CustomerID]],Customers[CustomerID],Customers[Gender])</f>
        <v>Male</v>
      </c>
      <c r="P331">
        <f>_xlfn.XLOOKUP(Orders[[#This Row],[CustomerID]],Customers[CustomerID],Customers[CustomerAge])</f>
        <v>40</v>
      </c>
      <c r="Q331" t="str">
        <f>IF(Orders[[#This Row],[Age]]&gt;=35,"older","young")</f>
        <v>older</v>
      </c>
      <c r="R331" t="str">
        <f>_xlfn.XLOOKUP(Orders[[#This Row],[ProductID]],Products[ProductID],Products[ProductName])</f>
        <v>CHEST EXPANDER</v>
      </c>
      <c r="S331" t="str">
        <f>_xlfn.XLOOKUP(Orders[[#This Row],[ProductID]],Products!A:A,Products!C:C)</f>
        <v>Gym</v>
      </c>
    </row>
    <row r="332" spans="1:19" x14ac:dyDescent="0.2">
      <c r="A332" s="4" t="s">
        <v>504</v>
      </c>
      <c r="B332" s="5">
        <v>45991</v>
      </c>
      <c r="C332" s="15">
        <f>WEEKNUM(Orders[[#This Row],[OrderDate]])</f>
        <v>49</v>
      </c>
      <c r="D332" s="4" t="s">
        <v>333</v>
      </c>
      <c r="E332" s="4" t="s">
        <v>76</v>
      </c>
      <c r="F332" s="4">
        <v>4</v>
      </c>
      <c r="G332" s="4">
        <v>9413.7999999999993</v>
      </c>
      <c r="H332">
        <v>8001.73</v>
      </c>
      <c r="I332">
        <f>Orders[[#This Row],[Quantity]]*Orders[[#This Row],[Selling Price]]</f>
        <v>37655.199999999997</v>
      </c>
      <c r="J332">
        <f>Orders[[#This Row],[Quantity]]*Orders[[#This Row],[Cost Price]]</f>
        <v>32006.92</v>
      </c>
      <c r="K332">
        <f>Orders[[#This Row],[Revenue]]-Orders[[#This Row],[Expenses]]</f>
        <v>5648.2799999999988</v>
      </c>
      <c r="L332" t="s">
        <v>2217</v>
      </c>
      <c r="M332" t="str">
        <f>_xlfn.XLOOKUP(Orders[[#This Row],[CustomerID]],Customers[CustomerID],Customers[City])</f>
        <v>Washington</v>
      </c>
      <c r="N332" t="str">
        <f>_xlfn.XLOOKUP(Orders[[#This Row],[CustomerID]],Customers[CustomerID],Customers[CustomerName])</f>
        <v>Emeka Obi</v>
      </c>
      <c r="O332" t="str">
        <f>_xlfn.XLOOKUP(Orders[[#This Row],[CustomerID]],Customers[CustomerID],Customers[Gender])</f>
        <v>Male</v>
      </c>
      <c r="P332">
        <f>_xlfn.XLOOKUP(Orders[[#This Row],[CustomerID]],Customers[CustomerID],Customers[CustomerAge])</f>
        <v>44</v>
      </c>
      <c r="Q332" t="str">
        <f>IF(Orders[[#This Row],[Age]]&gt;=35,"older","young")</f>
        <v>older</v>
      </c>
      <c r="R332" t="str">
        <f>_xlfn.XLOOKUP(Orders[[#This Row],[ProductID]],Products[ProductID],Products[ProductName])</f>
        <v>BLENDER</v>
      </c>
      <c r="S332" t="str">
        <f>_xlfn.XLOOKUP(Orders[[#This Row],[ProductID]],Products!A:A,Products!C:C)</f>
        <v>Electronics</v>
      </c>
    </row>
    <row r="333" spans="1:19" x14ac:dyDescent="0.2">
      <c r="A333" s="4" t="s">
        <v>505</v>
      </c>
      <c r="B333" s="5">
        <v>45975</v>
      </c>
      <c r="C333" s="15">
        <f>WEEKNUM(Orders[[#This Row],[OrderDate]])</f>
        <v>46</v>
      </c>
      <c r="D333" s="4" t="s">
        <v>218</v>
      </c>
      <c r="E333" s="4" t="s">
        <v>20</v>
      </c>
      <c r="F333" s="4">
        <v>2</v>
      </c>
      <c r="G333" s="4">
        <v>4159.5</v>
      </c>
      <c r="H333">
        <v>3535.5749999999998</v>
      </c>
      <c r="I333">
        <f>Orders[[#This Row],[Quantity]]*Orders[[#This Row],[Selling Price]]</f>
        <v>8319</v>
      </c>
      <c r="J333">
        <f>Orders[[#This Row],[Quantity]]*Orders[[#This Row],[Cost Price]]</f>
        <v>7071.15</v>
      </c>
      <c r="K333">
        <f>Orders[[#This Row],[Revenue]]-Orders[[#This Row],[Expenses]]</f>
        <v>1247.8500000000004</v>
      </c>
      <c r="L333" t="s">
        <v>2216</v>
      </c>
      <c r="M333" t="str">
        <f>_xlfn.XLOOKUP(Orders[[#This Row],[CustomerID]],Customers[CustomerID],Customers[City])</f>
        <v>Florida</v>
      </c>
      <c r="N333" t="str">
        <f>_xlfn.XLOOKUP(Orders[[#This Row],[CustomerID]],Customers[CustomerID],Customers[CustomerName])</f>
        <v>Temi Danladi</v>
      </c>
      <c r="O333" t="str">
        <f>_xlfn.XLOOKUP(Orders[[#This Row],[CustomerID]],Customers[CustomerID],Customers[Gender])</f>
        <v>Female</v>
      </c>
      <c r="P333">
        <f>_xlfn.XLOOKUP(Orders[[#This Row],[CustomerID]],Customers[CustomerID],Customers[CustomerAge])</f>
        <v>48</v>
      </c>
      <c r="Q333" t="str">
        <f>IF(Orders[[#This Row],[Age]]&gt;=35,"older","young")</f>
        <v>older</v>
      </c>
      <c r="R333" t="str">
        <f>_xlfn.XLOOKUP(Orders[[#This Row],[ProductID]],Products[ProductID],Products[ProductName])</f>
        <v>GYM BAG</v>
      </c>
      <c r="S333" t="str">
        <f>_xlfn.XLOOKUP(Orders[[#This Row],[ProductID]],Products!A:A,Products!C:C)</f>
        <v>Gym</v>
      </c>
    </row>
    <row r="334" spans="1:19" x14ac:dyDescent="0.2">
      <c r="A334" s="4" t="s">
        <v>506</v>
      </c>
      <c r="B334" s="5">
        <v>45996</v>
      </c>
      <c r="C334" s="15">
        <f>WEEKNUM(Orders[[#This Row],[OrderDate]])</f>
        <v>49</v>
      </c>
      <c r="D334" s="4" t="s">
        <v>507</v>
      </c>
      <c r="E334" s="4" t="s">
        <v>127</v>
      </c>
      <c r="F334" s="4">
        <v>4</v>
      </c>
      <c r="G334" s="4">
        <v>13305.8</v>
      </c>
      <c r="H334">
        <v>11309.93</v>
      </c>
      <c r="I334">
        <f>Orders[[#This Row],[Quantity]]*Orders[[#This Row],[Selling Price]]</f>
        <v>53223.199999999997</v>
      </c>
      <c r="J334">
        <f>Orders[[#This Row],[Quantity]]*Orders[[#This Row],[Cost Price]]</f>
        <v>45239.72</v>
      </c>
      <c r="K334">
        <f>Orders[[#This Row],[Revenue]]-Orders[[#This Row],[Expenses]]</f>
        <v>7983.4799999999959</v>
      </c>
      <c r="L334" t="s">
        <v>2215</v>
      </c>
      <c r="M334" t="str">
        <f>_xlfn.XLOOKUP(Orders[[#This Row],[CustomerID]],Customers[CustomerID],Customers[City])</f>
        <v>Washington</v>
      </c>
      <c r="N334" t="str">
        <f>_xlfn.XLOOKUP(Orders[[#This Row],[CustomerID]],Customers[CustomerID],Customers[CustomerName])</f>
        <v>Temi Okonkwo</v>
      </c>
      <c r="O334" t="str">
        <f>_xlfn.XLOOKUP(Orders[[#This Row],[CustomerID]],Customers[CustomerID],Customers[Gender])</f>
        <v>Female</v>
      </c>
      <c r="P334">
        <f>_xlfn.XLOOKUP(Orders[[#This Row],[CustomerID]],Customers[CustomerID],Customers[CustomerAge])</f>
        <v>35</v>
      </c>
      <c r="Q334" t="str">
        <f>IF(Orders[[#This Row],[Age]]&gt;=35,"older","young")</f>
        <v>older</v>
      </c>
      <c r="R334" t="str">
        <f>_xlfn.XLOOKUP(Orders[[#This Row],[ProductID]],Products[ProductID],Products[ProductName])</f>
        <v>TOPS</v>
      </c>
      <c r="S334" t="str">
        <f>_xlfn.XLOOKUP(Orders[[#This Row],[ProductID]],Products!A:A,Products!C:C)</f>
        <v>Clothing</v>
      </c>
    </row>
    <row r="335" spans="1:19" x14ac:dyDescent="0.2">
      <c r="A335" s="4" t="s">
        <v>508</v>
      </c>
      <c r="B335" s="5">
        <v>45998</v>
      </c>
      <c r="C335" s="15">
        <f>WEEKNUM(Orders[[#This Row],[OrderDate]])</f>
        <v>50</v>
      </c>
      <c r="D335" s="4" t="s">
        <v>258</v>
      </c>
      <c r="E335" s="4" t="s">
        <v>34</v>
      </c>
      <c r="F335" s="4">
        <v>5</v>
      </c>
      <c r="G335" s="4">
        <v>18995.099999999999</v>
      </c>
      <c r="H335">
        <v>16145.834999999999</v>
      </c>
      <c r="I335">
        <f>Orders[[#This Row],[Quantity]]*Orders[[#This Row],[Selling Price]]</f>
        <v>94975.5</v>
      </c>
      <c r="J335">
        <f>Orders[[#This Row],[Quantity]]*Orders[[#This Row],[Cost Price]]</f>
        <v>80729.174999999988</v>
      </c>
      <c r="K335">
        <f>Orders[[#This Row],[Revenue]]-Orders[[#This Row],[Expenses]]</f>
        <v>14246.325000000012</v>
      </c>
      <c r="L335" t="s">
        <v>2213</v>
      </c>
      <c r="M335" t="str">
        <f>_xlfn.XLOOKUP(Orders[[#This Row],[CustomerID]],Customers[CustomerID],Customers[City])</f>
        <v>Washington</v>
      </c>
      <c r="N335" t="str">
        <f>_xlfn.XLOOKUP(Orders[[#This Row],[CustomerID]],Customers[CustomerID],Customers[CustomerName])</f>
        <v>Sani Abubakar</v>
      </c>
      <c r="O335" t="str">
        <f>_xlfn.XLOOKUP(Orders[[#This Row],[CustomerID]],Customers[CustomerID],Customers[Gender])</f>
        <v>Male</v>
      </c>
      <c r="P335">
        <f>_xlfn.XLOOKUP(Orders[[#This Row],[CustomerID]],Customers[CustomerID],Customers[CustomerAge])</f>
        <v>37</v>
      </c>
      <c r="Q335" t="str">
        <f>IF(Orders[[#This Row],[Age]]&gt;=35,"older","young")</f>
        <v>older</v>
      </c>
      <c r="R335" t="str">
        <f>_xlfn.XLOOKUP(Orders[[#This Row],[ProductID]],Products[ProductID],Products[ProductName])</f>
        <v>GOLD BRACELETS</v>
      </c>
      <c r="S335" t="str">
        <f>_xlfn.XLOOKUP(Orders[[#This Row],[ProductID]],Products!A:A,Products!C:C)</f>
        <v>Accessories</v>
      </c>
    </row>
    <row r="336" spans="1:19" x14ac:dyDescent="0.2">
      <c r="A336" s="4" t="s">
        <v>509</v>
      </c>
      <c r="B336" s="5">
        <v>45935</v>
      </c>
      <c r="C336" s="15">
        <f>WEEKNUM(Orders[[#This Row],[OrderDate]])</f>
        <v>41</v>
      </c>
      <c r="D336" s="4" t="s">
        <v>260</v>
      </c>
      <c r="E336" s="4" t="s">
        <v>76</v>
      </c>
      <c r="F336" s="4">
        <v>3</v>
      </c>
      <c r="G336" s="4">
        <v>5188.7</v>
      </c>
      <c r="H336">
        <v>4410.3949999999995</v>
      </c>
      <c r="I336">
        <f>Orders[[#This Row],[Quantity]]*Orders[[#This Row],[Selling Price]]</f>
        <v>15566.099999999999</v>
      </c>
      <c r="J336">
        <f>Orders[[#This Row],[Quantity]]*Orders[[#This Row],[Cost Price]]</f>
        <v>13231.184999999998</v>
      </c>
      <c r="K336">
        <f>Orders[[#This Row],[Revenue]]-Orders[[#This Row],[Expenses]]</f>
        <v>2334.9150000000009</v>
      </c>
      <c r="L336" t="s">
        <v>2220</v>
      </c>
      <c r="M336" t="str">
        <f>_xlfn.XLOOKUP(Orders[[#This Row],[CustomerID]],Customers[CustomerID],Customers[City])</f>
        <v>Florida</v>
      </c>
      <c r="N336" t="str">
        <f>_xlfn.XLOOKUP(Orders[[#This Row],[CustomerID]],Customers[CustomerID],Customers[CustomerName])</f>
        <v>Amina Obi</v>
      </c>
      <c r="O336" t="str">
        <f>_xlfn.XLOOKUP(Orders[[#This Row],[CustomerID]],Customers[CustomerID],Customers[Gender])</f>
        <v>Female</v>
      </c>
      <c r="P336">
        <f>_xlfn.XLOOKUP(Orders[[#This Row],[CustomerID]],Customers[CustomerID],Customers[CustomerAge])</f>
        <v>29</v>
      </c>
      <c r="Q336" t="str">
        <f>IF(Orders[[#This Row],[Age]]&gt;=35,"older","young")</f>
        <v>young</v>
      </c>
      <c r="R336" t="str">
        <f>_xlfn.XLOOKUP(Orders[[#This Row],[ProductID]],Products[ProductID],Products[ProductName])</f>
        <v>BLENDER</v>
      </c>
      <c r="S336" t="str">
        <f>_xlfn.XLOOKUP(Orders[[#This Row],[ProductID]],Products!A:A,Products!C:C)</f>
        <v>Electronics</v>
      </c>
    </row>
    <row r="337" spans="1:19" x14ac:dyDescent="0.2">
      <c r="A337" s="4" t="s">
        <v>510</v>
      </c>
      <c r="B337" s="5">
        <v>45935</v>
      </c>
      <c r="C337" s="15">
        <f>WEEKNUM(Orders[[#This Row],[OrderDate]])</f>
        <v>41</v>
      </c>
      <c r="D337" s="4" t="s">
        <v>201</v>
      </c>
      <c r="E337" s="4" t="s">
        <v>151</v>
      </c>
      <c r="F337" s="4">
        <v>2</v>
      </c>
      <c r="G337" s="4">
        <v>13582.8</v>
      </c>
      <c r="H337">
        <v>11545.38</v>
      </c>
      <c r="I337">
        <f>Orders[[#This Row],[Quantity]]*Orders[[#This Row],[Selling Price]]</f>
        <v>27165.599999999999</v>
      </c>
      <c r="J337">
        <f>Orders[[#This Row],[Quantity]]*Orders[[#This Row],[Cost Price]]</f>
        <v>23090.76</v>
      </c>
      <c r="K337">
        <f>Orders[[#This Row],[Revenue]]-Orders[[#This Row],[Expenses]]</f>
        <v>4074.84</v>
      </c>
      <c r="L337" t="s">
        <v>2193</v>
      </c>
      <c r="M337" t="str">
        <f>_xlfn.XLOOKUP(Orders[[#This Row],[CustomerID]],Customers[CustomerID],Customers[City])</f>
        <v>Georgia</v>
      </c>
      <c r="N337" t="str">
        <f>_xlfn.XLOOKUP(Orders[[#This Row],[CustomerID]],Customers[CustomerID],Customers[CustomerName])</f>
        <v>Sani Igwe</v>
      </c>
      <c r="O337" t="str">
        <f>_xlfn.XLOOKUP(Orders[[#This Row],[CustomerID]],Customers[CustomerID],Customers[Gender])</f>
        <v>Male</v>
      </c>
      <c r="P337">
        <f>_xlfn.XLOOKUP(Orders[[#This Row],[CustomerID]],Customers[CustomerID],Customers[CustomerAge])</f>
        <v>20</v>
      </c>
      <c r="Q337" t="str">
        <f>IF(Orders[[#This Row],[Age]]&gt;=35,"older","young")</f>
        <v>young</v>
      </c>
      <c r="R337" t="str">
        <f>_xlfn.XLOOKUP(Orders[[#This Row],[ProductID]],Products[ProductID],Products[ProductName])</f>
        <v>CHECKERS</v>
      </c>
      <c r="S337" t="str">
        <f>_xlfn.XLOOKUP(Orders[[#This Row],[ProductID]],Products!A:A,Products!C:C)</f>
        <v>Games</v>
      </c>
    </row>
    <row r="338" spans="1:19" x14ac:dyDescent="0.2">
      <c r="A338" s="4" t="s">
        <v>511</v>
      </c>
      <c r="B338" s="5">
        <v>46016</v>
      </c>
      <c r="C338" s="15">
        <f>WEEKNUM(Orders[[#This Row],[OrderDate]])</f>
        <v>52</v>
      </c>
      <c r="D338" s="4" t="s">
        <v>214</v>
      </c>
      <c r="E338" s="4" t="s">
        <v>23</v>
      </c>
      <c r="F338" s="4">
        <v>5</v>
      </c>
      <c r="G338" s="4">
        <v>19680.7</v>
      </c>
      <c r="H338">
        <v>16728.595000000001</v>
      </c>
      <c r="I338">
        <f>Orders[[#This Row],[Quantity]]*Orders[[#This Row],[Selling Price]]</f>
        <v>98403.5</v>
      </c>
      <c r="J338">
        <f>Orders[[#This Row],[Quantity]]*Orders[[#This Row],[Cost Price]]</f>
        <v>83642.975000000006</v>
      </c>
      <c r="K338">
        <f>Orders[[#This Row],[Revenue]]-Orders[[#This Row],[Expenses]]</f>
        <v>14760.524999999994</v>
      </c>
      <c r="L338" t="s">
        <v>2220</v>
      </c>
      <c r="M338" t="str">
        <f>_xlfn.XLOOKUP(Orders[[#This Row],[CustomerID]],Customers[CustomerID],Customers[City])</f>
        <v>California</v>
      </c>
      <c r="N338" t="str">
        <f>_xlfn.XLOOKUP(Orders[[#This Row],[CustomerID]],Customers[CustomerID],Customers[CustomerName])</f>
        <v>Adanma Okonkwo</v>
      </c>
      <c r="O338" t="str">
        <f>_xlfn.XLOOKUP(Orders[[#This Row],[CustomerID]],Customers[CustomerID],Customers[Gender])</f>
        <v>Female</v>
      </c>
      <c r="P338">
        <f>_xlfn.XLOOKUP(Orders[[#This Row],[CustomerID]],Customers[CustomerID],Customers[CustomerAge])</f>
        <v>20</v>
      </c>
      <c r="Q338" t="str">
        <f>IF(Orders[[#This Row],[Age]]&gt;=35,"older","young")</f>
        <v>young</v>
      </c>
      <c r="R338" t="str">
        <f>_xlfn.XLOOKUP(Orders[[#This Row],[ProductID]],Products[ProductID],Products[ProductName])</f>
        <v>GYM GLOVES</v>
      </c>
      <c r="S338" t="str">
        <f>_xlfn.XLOOKUP(Orders[[#This Row],[ProductID]],Products!A:A,Products!C:C)</f>
        <v>Gym</v>
      </c>
    </row>
    <row r="339" spans="1:19" x14ac:dyDescent="0.2">
      <c r="A339" s="4" t="s">
        <v>512</v>
      </c>
      <c r="B339" s="5">
        <v>46022</v>
      </c>
      <c r="C339" s="15">
        <f>WEEKNUM(Orders[[#This Row],[OrderDate]])</f>
        <v>53</v>
      </c>
      <c r="D339" s="4" t="s">
        <v>502</v>
      </c>
      <c r="E339" s="4" t="s">
        <v>46</v>
      </c>
      <c r="F339" s="4">
        <v>10</v>
      </c>
      <c r="G339" s="4">
        <v>9883.7999999999993</v>
      </c>
      <c r="H339">
        <v>8401.23</v>
      </c>
      <c r="I339">
        <f>Orders[[#This Row],[Quantity]]*Orders[[#This Row],[Selling Price]]</f>
        <v>98838</v>
      </c>
      <c r="J339">
        <f>Orders[[#This Row],[Quantity]]*Orders[[#This Row],[Cost Price]]</f>
        <v>84012.299999999988</v>
      </c>
      <c r="K339">
        <f>Orders[[#This Row],[Revenue]]-Orders[[#This Row],[Expenses]]</f>
        <v>14825.700000000012</v>
      </c>
      <c r="L339" t="s">
        <v>2202</v>
      </c>
      <c r="M339" t="str">
        <f>_xlfn.XLOOKUP(Orders[[#This Row],[CustomerID]],Customers[CustomerID],Customers[City])</f>
        <v>Texas</v>
      </c>
      <c r="N339" t="str">
        <f>_xlfn.XLOOKUP(Orders[[#This Row],[CustomerID]],Customers[CustomerID],Customers[CustomerName])</f>
        <v>Obi Eze</v>
      </c>
      <c r="O339" t="str">
        <f>_xlfn.XLOOKUP(Orders[[#This Row],[CustomerID]],Customers[CustomerID],Customers[Gender])</f>
        <v>Male</v>
      </c>
      <c r="P339">
        <f>_xlfn.XLOOKUP(Orders[[#This Row],[CustomerID]],Customers[CustomerID],Customers[CustomerAge])</f>
        <v>24</v>
      </c>
      <c r="Q339" t="str">
        <f>IF(Orders[[#This Row],[Age]]&gt;=35,"older","young")</f>
        <v>young</v>
      </c>
      <c r="R339" t="str">
        <f>_xlfn.XLOOKUP(Orders[[#This Row],[ProductID]],Products[ProductID],Products[ProductName])</f>
        <v>TURTLE NECK</v>
      </c>
      <c r="S339" t="str">
        <f>_xlfn.XLOOKUP(Orders[[#This Row],[ProductID]],Products!A:A,Products!C:C)</f>
        <v>Clothing</v>
      </c>
    </row>
    <row r="340" spans="1:19" x14ac:dyDescent="0.2">
      <c r="A340" s="4" t="s">
        <v>513</v>
      </c>
      <c r="B340" s="5">
        <v>46003</v>
      </c>
      <c r="C340" s="15">
        <f>WEEKNUM(Orders[[#This Row],[OrderDate]])</f>
        <v>50</v>
      </c>
      <c r="D340" s="4" t="s">
        <v>514</v>
      </c>
      <c r="E340" s="4" t="s">
        <v>120</v>
      </c>
      <c r="F340" s="4">
        <v>8</v>
      </c>
      <c r="G340" s="4">
        <v>11664.5</v>
      </c>
      <c r="H340">
        <v>9914.8250000000007</v>
      </c>
      <c r="I340">
        <f>Orders[[#This Row],[Quantity]]*Orders[[#This Row],[Selling Price]]</f>
        <v>93316</v>
      </c>
      <c r="J340">
        <f>Orders[[#This Row],[Quantity]]*Orders[[#This Row],[Cost Price]]</f>
        <v>79318.600000000006</v>
      </c>
      <c r="K340">
        <f>Orders[[#This Row],[Revenue]]-Orders[[#This Row],[Expenses]]</f>
        <v>13997.399999999994</v>
      </c>
      <c r="L340" t="s">
        <v>2210</v>
      </c>
      <c r="M340" t="str">
        <f>_xlfn.XLOOKUP(Orders[[#This Row],[CustomerID]],Customers[CustomerID],Customers[City])</f>
        <v>Florida</v>
      </c>
      <c r="N340" t="str">
        <f>_xlfn.XLOOKUP(Orders[[#This Row],[CustomerID]],Customers[CustomerID],Customers[CustomerName])</f>
        <v>Ibrahim Okonkwo</v>
      </c>
      <c r="O340" t="str">
        <f>_xlfn.XLOOKUP(Orders[[#This Row],[CustomerID]],Customers[CustomerID],Customers[Gender])</f>
        <v>Male</v>
      </c>
      <c r="P340">
        <f>_xlfn.XLOOKUP(Orders[[#This Row],[CustomerID]],Customers[CustomerID],Customers[CustomerAge])</f>
        <v>28</v>
      </c>
      <c r="Q340" t="str">
        <f>IF(Orders[[#This Row],[Age]]&gt;=35,"older","young")</f>
        <v>young</v>
      </c>
      <c r="R340" t="str">
        <f>_xlfn.XLOOKUP(Orders[[#This Row],[ProductID]],Products[ProductID],Products[ProductName])</f>
        <v>CHESS</v>
      </c>
      <c r="S340" t="str">
        <f>_xlfn.XLOOKUP(Orders[[#This Row],[ProductID]],Products!A:A,Products!C:C)</f>
        <v>Games</v>
      </c>
    </row>
    <row r="341" spans="1:19" x14ac:dyDescent="0.2">
      <c r="A341" s="4" t="s">
        <v>515</v>
      </c>
      <c r="B341" s="5">
        <v>45984</v>
      </c>
      <c r="C341" s="15">
        <f>WEEKNUM(Orders[[#This Row],[OrderDate]])</f>
        <v>48</v>
      </c>
      <c r="D341" s="4" t="s">
        <v>36</v>
      </c>
      <c r="E341" s="4" t="s">
        <v>25</v>
      </c>
      <c r="F341" s="4">
        <v>2</v>
      </c>
      <c r="G341" s="4">
        <v>3356</v>
      </c>
      <c r="H341">
        <v>2852.6</v>
      </c>
      <c r="I341">
        <f>Orders[[#This Row],[Quantity]]*Orders[[#This Row],[Selling Price]]</f>
        <v>6712</v>
      </c>
      <c r="J341">
        <f>Orders[[#This Row],[Quantity]]*Orders[[#This Row],[Cost Price]]</f>
        <v>5705.2</v>
      </c>
      <c r="K341">
        <f>Orders[[#This Row],[Revenue]]-Orders[[#This Row],[Expenses]]</f>
        <v>1006.8000000000002</v>
      </c>
      <c r="L341" t="s">
        <v>2205</v>
      </c>
      <c r="M341" t="str">
        <f>_xlfn.XLOOKUP(Orders[[#This Row],[CustomerID]],Customers[CustomerID],Customers[City])</f>
        <v>California</v>
      </c>
      <c r="N341" t="str">
        <f>_xlfn.XLOOKUP(Orders[[#This Row],[CustomerID]],Customers[CustomerID],Customers[CustomerName])</f>
        <v>Jide Eze</v>
      </c>
      <c r="O341" t="str">
        <f>_xlfn.XLOOKUP(Orders[[#This Row],[CustomerID]],Customers[CustomerID],Customers[Gender])</f>
        <v>Male</v>
      </c>
      <c r="P341">
        <f>_xlfn.XLOOKUP(Orders[[#This Row],[CustomerID]],Customers[CustomerID],Customers[CustomerAge])</f>
        <v>21</v>
      </c>
      <c r="Q341" t="str">
        <f>IF(Orders[[#This Row],[Age]]&gt;=35,"older","young")</f>
        <v>young</v>
      </c>
      <c r="R341" t="str">
        <f>_xlfn.XLOOKUP(Orders[[#This Row],[ProductID]],Products[ProductID],Products[ProductName])</f>
        <v>GOLD RINGS</v>
      </c>
      <c r="S341" t="str">
        <f>_xlfn.XLOOKUP(Orders[[#This Row],[ProductID]],Products!A:A,Products!C:C)</f>
        <v>Accessories</v>
      </c>
    </row>
    <row r="342" spans="1:19" x14ac:dyDescent="0.2">
      <c r="A342" s="4" t="s">
        <v>516</v>
      </c>
      <c r="B342" s="5">
        <v>45945</v>
      </c>
      <c r="C342" s="15">
        <f>WEEKNUM(Orders[[#This Row],[OrderDate]])</f>
        <v>42</v>
      </c>
      <c r="D342" s="4" t="s">
        <v>517</v>
      </c>
      <c r="E342" s="4" t="s">
        <v>189</v>
      </c>
      <c r="F342" s="4">
        <v>2</v>
      </c>
      <c r="G342" s="4">
        <v>15376</v>
      </c>
      <c r="H342">
        <v>13069.6</v>
      </c>
      <c r="I342">
        <f>Orders[[#This Row],[Quantity]]*Orders[[#This Row],[Selling Price]]</f>
        <v>30752</v>
      </c>
      <c r="J342">
        <f>Orders[[#This Row],[Quantity]]*Orders[[#This Row],[Cost Price]]</f>
        <v>26139.200000000001</v>
      </c>
      <c r="K342">
        <f>Orders[[#This Row],[Revenue]]-Orders[[#This Row],[Expenses]]</f>
        <v>4612.7999999999993</v>
      </c>
      <c r="L342" t="s">
        <v>2193</v>
      </c>
      <c r="M342" t="str">
        <f>_xlfn.XLOOKUP(Orders[[#This Row],[CustomerID]],Customers[CustomerID],Customers[City])</f>
        <v>Florida</v>
      </c>
      <c r="N342" t="str">
        <f>_xlfn.XLOOKUP(Orders[[#This Row],[CustomerID]],Customers[CustomerID],Customers[CustomerName])</f>
        <v>Efe Adeyemi</v>
      </c>
      <c r="O342" t="str">
        <f>_xlfn.XLOOKUP(Orders[[#This Row],[CustomerID]],Customers[CustomerID],Customers[Gender])</f>
        <v>Female</v>
      </c>
      <c r="P342">
        <f>_xlfn.XLOOKUP(Orders[[#This Row],[CustomerID]],Customers[CustomerID],Customers[CustomerAge])</f>
        <v>25</v>
      </c>
      <c r="Q342" t="str">
        <f>IF(Orders[[#This Row],[Age]]&gt;=35,"older","young")</f>
        <v>young</v>
      </c>
      <c r="R342" t="str">
        <f>_xlfn.XLOOKUP(Orders[[#This Row],[ProductID]],Products[ProductID],Products[ProductName])</f>
        <v>SCRABBLE</v>
      </c>
      <c r="S342" t="str">
        <f>_xlfn.XLOOKUP(Orders[[#This Row],[ProductID]],Products!A:A,Products!C:C)</f>
        <v>Games</v>
      </c>
    </row>
    <row r="343" spans="1:19" x14ac:dyDescent="0.2">
      <c r="A343" s="4" t="s">
        <v>518</v>
      </c>
      <c r="B343" s="5">
        <v>45974</v>
      </c>
      <c r="C343" s="15">
        <f>WEEKNUM(Orders[[#This Row],[OrderDate]])</f>
        <v>46</v>
      </c>
      <c r="D343" s="4" t="s">
        <v>517</v>
      </c>
      <c r="E343" s="4" t="s">
        <v>130</v>
      </c>
      <c r="F343" s="4">
        <v>5</v>
      </c>
      <c r="G343" s="4">
        <v>11644.6</v>
      </c>
      <c r="H343">
        <v>9897.91</v>
      </c>
      <c r="I343">
        <f>Orders[[#This Row],[Quantity]]*Orders[[#This Row],[Selling Price]]</f>
        <v>58223</v>
      </c>
      <c r="J343">
        <f>Orders[[#This Row],[Quantity]]*Orders[[#This Row],[Cost Price]]</f>
        <v>49489.55</v>
      </c>
      <c r="K343">
        <f>Orders[[#This Row],[Revenue]]-Orders[[#This Row],[Expenses]]</f>
        <v>8733.4499999999971</v>
      </c>
      <c r="L343" t="s">
        <v>2208</v>
      </c>
      <c r="M343" t="str">
        <f>_xlfn.XLOOKUP(Orders[[#This Row],[CustomerID]],Customers[CustomerID],Customers[City])</f>
        <v>Florida</v>
      </c>
      <c r="N343" t="str">
        <f>_xlfn.XLOOKUP(Orders[[#This Row],[CustomerID]],Customers[CustomerID],Customers[CustomerName])</f>
        <v>Efe Adeyemi</v>
      </c>
      <c r="O343" t="str">
        <f>_xlfn.XLOOKUP(Orders[[#This Row],[CustomerID]],Customers[CustomerID],Customers[Gender])</f>
        <v>Female</v>
      </c>
      <c r="P343">
        <f>_xlfn.XLOOKUP(Orders[[#This Row],[CustomerID]],Customers[CustomerID],Customers[CustomerAge])</f>
        <v>25</v>
      </c>
      <c r="Q343" t="str">
        <f>IF(Orders[[#This Row],[Age]]&gt;=35,"older","young")</f>
        <v>young</v>
      </c>
      <c r="R343" t="str">
        <f>_xlfn.XLOOKUP(Orders[[#This Row],[ProductID]],Products[ProductID],Products[ProductName])</f>
        <v>GOLD EARRINGS AND NECKLACES</v>
      </c>
      <c r="S343" t="str">
        <f>_xlfn.XLOOKUP(Orders[[#This Row],[ProductID]],Products!A:A,Products!C:C)</f>
        <v>Accessories</v>
      </c>
    </row>
    <row r="344" spans="1:19" x14ac:dyDescent="0.2">
      <c r="A344" s="4" t="s">
        <v>519</v>
      </c>
      <c r="B344" s="5">
        <v>46014</v>
      </c>
      <c r="C344" s="15">
        <f>WEEKNUM(Orders[[#This Row],[OrderDate]])</f>
        <v>52</v>
      </c>
      <c r="D344" s="4" t="s">
        <v>203</v>
      </c>
      <c r="E344" s="4" t="s">
        <v>25</v>
      </c>
      <c r="F344" s="4">
        <v>1</v>
      </c>
      <c r="G344" s="4">
        <v>6400.5999999999995</v>
      </c>
      <c r="H344">
        <v>5440.5099999999993</v>
      </c>
      <c r="I344">
        <f>Orders[[#This Row],[Quantity]]*Orders[[#This Row],[Selling Price]]</f>
        <v>6400.5999999999995</v>
      </c>
      <c r="J344">
        <f>Orders[[#This Row],[Quantity]]*Orders[[#This Row],[Cost Price]]</f>
        <v>5440.5099999999993</v>
      </c>
      <c r="K344">
        <f>Orders[[#This Row],[Revenue]]-Orders[[#This Row],[Expenses]]</f>
        <v>960.09000000000015</v>
      </c>
      <c r="L344" t="s">
        <v>2205</v>
      </c>
      <c r="M344" t="str">
        <f>_xlfn.XLOOKUP(Orders[[#This Row],[CustomerID]],Customers[CustomerID],Customers[City])</f>
        <v>Texas</v>
      </c>
      <c r="N344" t="str">
        <f>_xlfn.XLOOKUP(Orders[[#This Row],[CustomerID]],Customers[CustomerID],Customers[CustomerName])</f>
        <v>Okon Bello</v>
      </c>
      <c r="O344" t="str">
        <f>_xlfn.XLOOKUP(Orders[[#This Row],[CustomerID]],Customers[CustomerID],Customers[Gender])</f>
        <v>Male</v>
      </c>
      <c r="P344">
        <f>_xlfn.XLOOKUP(Orders[[#This Row],[CustomerID]],Customers[CustomerID],Customers[CustomerAge])</f>
        <v>20</v>
      </c>
      <c r="Q344" t="str">
        <f>IF(Orders[[#This Row],[Age]]&gt;=35,"older","young")</f>
        <v>young</v>
      </c>
      <c r="R344" t="str">
        <f>_xlfn.XLOOKUP(Orders[[#This Row],[ProductID]],Products[ProductID],Products[ProductName])</f>
        <v>GOLD RINGS</v>
      </c>
      <c r="S344" t="str">
        <f>_xlfn.XLOOKUP(Orders[[#This Row],[ProductID]],Products!A:A,Products!C:C)</f>
        <v>Accessories</v>
      </c>
    </row>
    <row r="345" spans="1:19" x14ac:dyDescent="0.2">
      <c r="A345" s="4" t="s">
        <v>520</v>
      </c>
      <c r="B345" s="5">
        <v>45936</v>
      </c>
      <c r="C345" s="15">
        <f>WEEKNUM(Orders[[#This Row],[OrderDate]])</f>
        <v>41</v>
      </c>
      <c r="D345" s="4" t="s">
        <v>521</v>
      </c>
      <c r="E345" s="4" t="s">
        <v>353</v>
      </c>
      <c r="F345" s="4">
        <v>5</v>
      </c>
      <c r="G345" s="4">
        <v>8343.9</v>
      </c>
      <c r="H345">
        <v>7092.3149999999996</v>
      </c>
      <c r="I345">
        <f>Orders[[#This Row],[Quantity]]*Orders[[#This Row],[Selling Price]]</f>
        <v>41719.5</v>
      </c>
      <c r="J345">
        <f>Orders[[#This Row],[Quantity]]*Orders[[#This Row],[Cost Price]]</f>
        <v>35461.574999999997</v>
      </c>
      <c r="K345">
        <f>Orders[[#This Row],[Revenue]]-Orders[[#This Row],[Expenses]]</f>
        <v>6257.9250000000029</v>
      </c>
      <c r="L345" t="s">
        <v>2204</v>
      </c>
      <c r="M345" t="str">
        <f>_xlfn.XLOOKUP(Orders[[#This Row],[CustomerID]],Customers[CustomerID],Customers[City])</f>
        <v>Illinois</v>
      </c>
      <c r="N345" t="str">
        <f>_xlfn.XLOOKUP(Orders[[#This Row],[CustomerID]],Customers[CustomerID],Customers[CustomerName])</f>
        <v>Ronke Eze</v>
      </c>
      <c r="O345" t="str">
        <f>_xlfn.XLOOKUP(Orders[[#This Row],[CustomerID]],Customers[CustomerID],Customers[Gender])</f>
        <v>Female</v>
      </c>
      <c r="P345">
        <f>_xlfn.XLOOKUP(Orders[[#This Row],[CustomerID]],Customers[CustomerID],Customers[CustomerAge])</f>
        <v>25</v>
      </c>
      <c r="Q345" t="str">
        <f>IF(Orders[[#This Row],[Age]]&gt;=35,"older","young")</f>
        <v>young</v>
      </c>
      <c r="R345" t="str">
        <f>_xlfn.XLOOKUP(Orders[[#This Row],[ProductID]],Products[ProductID],Products[ProductName])</f>
        <v>SILVER EARRINGS AND NECKLACES</v>
      </c>
      <c r="S345" t="str">
        <f>_xlfn.XLOOKUP(Orders[[#This Row],[ProductID]],Products!A:A,Products!C:C)</f>
        <v>Accessories</v>
      </c>
    </row>
    <row r="346" spans="1:19" x14ac:dyDescent="0.2">
      <c r="A346" s="4" t="s">
        <v>522</v>
      </c>
      <c r="B346" s="5">
        <v>45990</v>
      </c>
      <c r="C346" s="15">
        <f>WEEKNUM(Orders[[#This Row],[OrderDate]])</f>
        <v>48</v>
      </c>
      <c r="D346" s="4" t="s">
        <v>352</v>
      </c>
      <c r="E346" s="4" t="s">
        <v>46</v>
      </c>
      <c r="F346" s="4">
        <v>10</v>
      </c>
      <c r="G346" s="4">
        <v>12025.2</v>
      </c>
      <c r="H346">
        <v>10221.42</v>
      </c>
      <c r="I346">
        <f>Orders[[#This Row],[Quantity]]*Orders[[#This Row],[Selling Price]]</f>
        <v>120252</v>
      </c>
      <c r="J346">
        <f>Orders[[#This Row],[Quantity]]*Orders[[#This Row],[Cost Price]]</f>
        <v>102214.2</v>
      </c>
      <c r="K346">
        <f>Orders[[#This Row],[Revenue]]-Orders[[#This Row],[Expenses]]</f>
        <v>18037.800000000003</v>
      </c>
      <c r="L346" t="s">
        <v>2200</v>
      </c>
      <c r="M346" t="str">
        <f>_xlfn.XLOOKUP(Orders[[#This Row],[CustomerID]],Customers[CustomerID],Customers[City])</f>
        <v>Texas</v>
      </c>
      <c r="N346" t="str">
        <f>_xlfn.XLOOKUP(Orders[[#This Row],[CustomerID]],Customers[CustomerID],Customers[CustomerName])</f>
        <v>Zainab Eze</v>
      </c>
      <c r="O346" t="str">
        <f>_xlfn.XLOOKUP(Orders[[#This Row],[CustomerID]],Customers[CustomerID],Customers[Gender])</f>
        <v>Female</v>
      </c>
      <c r="P346">
        <f>_xlfn.XLOOKUP(Orders[[#This Row],[CustomerID]],Customers[CustomerID],Customers[CustomerAge])</f>
        <v>40</v>
      </c>
      <c r="Q346" t="str">
        <f>IF(Orders[[#This Row],[Age]]&gt;=35,"older","young")</f>
        <v>older</v>
      </c>
      <c r="R346" t="str">
        <f>_xlfn.XLOOKUP(Orders[[#This Row],[ProductID]],Products[ProductID],Products[ProductName])</f>
        <v>TURTLE NECK</v>
      </c>
      <c r="S346" t="str">
        <f>_xlfn.XLOOKUP(Orders[[#This Row],[ProductID]],Products!A:A,Products!C:C)</f>
        <v>Clothing</v>
      </c>
    </row>
    <row r="347" spans="1:19" x14ac:dyDescent="0.2">
      <c r="A347" s="4" t="s">
        <v>523</v>
      </c>
      <c r="B347" s="5">
        <v>45941</v>
      </c>
      <c r="C347" s="15">
        <f>WEEKNUM(Orders[[#This Row],[OrderDate]])</f>
        <v>41</v>
      </c>
      <c r="D347" s="4" t="s">
        <v>524</v>
      </c>
      <c r="E347" s="4" t="s">
        <v>92</v>
      </c>
      <c r="F347" s="4">
        <v>2</v>
      </c>
      <c r="G347" s="4">
        <v>19895</v>
      </c>
      <c r="H347">
        <v>16910.75</v>
      </c>
      <c r="I347">
        <f>Orders[[#This Row],[Quantity]]*Orders[[#This Row],[Selling Price]]</f>
        <v>39790</v>
      </c>
      <c r="J347">
        <f>Orders[[#This Row],[Quantity]]*Orders[[#This Row],[Cost Price]]</f>
        <v>33821.5</v>
      </c>
      <c r="K347">
        <f>Orders[[#This Row],[Revenue]]-Orders[[#This Row],[Expenses]]</f>
        <v>5968.5</v>
      </c>
      <c r="L347" t="s">
        <v>2202</v>
      </c>
      <c r="M347" t="str">
        <f>_xlfn.XLOOKUP(Orders[[#This Row],[CustomerID]],Customers[CustomerID],Customers[City])</f>
        <v>Florida</v>
      </c>
      <c r="N347" t="str">
        <f>_xlfn.XLOOKUP(Orders[[#This Row],[CustomerID]],Customers[CustomerID],Customers[CustomerName])</f>
        <v>Chinedu Igwe</v>
      </c>
      <c r="O347" t="str">
        <f>_xlfn.XLOOKUP(Orders[[#This Row],[CustomerID]],Customers[CustomerID],Customers[Gender])</f>
        <v>Male</v>
      </c>
      <c r="P347">
        <f>_xlfn.XLOOKUP(Orders[[#This Row],[CustomerID]],Customers[CustomerID],Customers[CustomerAge])</f>
        <v>21</v>
      </c>
      <c r="Q347" t="str">
        <f>IF(Orders[[#This Row],[Age]]&gt;=35,"older","young")</f>
        <v>young</v>
      </c>
      <c r="R347" t="str">
        <f>_xlfn.XLOOKUP(Orders[[#This Row],[ProductID]],Products[ProductID],Products[ProductName])</f>
        <v>CHEST EXPANDER</v>
      </c>
      <c r="S347" t="str">
        <f>_xlfn.XLOOKUP(Orders[[#This Row],[ProductID]],Products!A:A,Products!C:C)</f>
        <v>Gym</v>
      </c>
    </row>
    <row r="348" spans="1:19" x14ac:dyDescent="0.2">
      <c r="A348" s="4" t="s">
        <v>525</v>
      </c>
      <c r="B348" s="5">
        <v>45998</v>
      </c>
      <c r="C348" s="15">
        <f>WEEKNUM(Orders[[#This Row],[OrderDate]])</f>
        <v>50</v>
      </c>
      <c r="D348" s="4" t="s">
        <v>27</v>
      </c>
      <c r="E348" s="4" t="s">
        <v>20</v>
      </c>
      <c r="F348" s="4">
        <v>1</v>
      </c>
      <c r="G348" s="4">
        <v>10388</v>
      </c>
      <c r="H348">
        <v>8829.7999999999993</v>
      </c>
      <c r="I348">
        <f>Orders[[#This Row],[Quantity]]*Orders[[#This Row],[Selling Price]]</f>
        <v>10388</v>
      </c>
      <c r="J348">
        <f>Orders[[#This Row],[Quantity]]*Orders[[#This Row],[Cost Price]]</f>
        <v>8829.7999999999993</v>
      </c>
      <c r="K348">
        <f>Orders[[#This Row],[Revenue]]-Orders[[#This Row],[Expenses]]</f>
        <v>1558.2000000000007</v>
      </c>
      <c r="L348" t="s">
        <v>2206</v>
      </c>
      <c r="M348" t="str">
        <f>_xlfn.XLOOKUP(Orders[[#This Row],[CustomerID]],Customers[CustomerID],Customers[City])</f>
        <v>Illinois</v>
      </c>
      <c r="N348" t="str">
        <f>_xlfn.XLOOKUP(Orders[[#This Row],[CustomerID]],Customers[CustomerID],Customers[CustomerName])</f>
        <v>Okon Ojo</v>
      </c>
      <c r="O348" t="str">
        <f>_xlfn.XLOOKUP(Orders[[#This Row],[CustomerID]],Customers[CustomerID],Customers[Gender])</f>
        <v>Male</v>
      </c>
      <c r="P348">
        <f>_xlfn.XLOOKUP(Orders[[#This Row],[CustomerID]],Customers[CustomerID],Customers[CustomerAge])</f>
        <v>32</v>
      </c>
      <c r="Q348" t="str">
        <f>IF(Orders[[#This Row],[Age]]&gt;=35,"older","young")</f>
        <v>young</v>
      </c>
      <c r="R348" t="str">
        <f>_xlfn.XLOOKUP(Orders[[#This Row],[ProductID]],Products[ProductID],Products[ProductName])</f>
        <v>GYM BAG</v>
      </c>
      <c r="S348" t="str">
        <f>_xlfn.XLOOKUP(Orders[[#This Row],[ProductID]],Products!A:A,Products!C:C)</f>
        <v>Gym</v>
      </c>
    </row>
    <row r="349" spans="1:19" x14ac:dyDescent="0.2">
      <c r="A349" s="4" t="s">
        <v>526</v>
      </c>
      <c r="B349" s="5">
        <v>45990</v>
      </c>
      <c r="C349" s="15">
        <f>WEEKNUM(Orders[[#This Row],[OrderDate]])</f>
        <v>48</v>
      </c>
      <c r="D349" s="4" t="s">
        <v>207</v>
      </c>
      <c r="E349" s="4" t="s">
        <v>63</v>
      </c>
      <c r="F349" s="4">
        <v>10</v>
      </c>
      <c r="G349" s="4">
        <v>2121.1999999999998</v>
      </c>
      <c r="H349">
        <v>1803.02</v>
      </c>
      <c r="I349">
        <f>Orders[[#This Row],[Quantity]]*Orders[[#This Row],[Selling Price]]</f>
        <v>21212</v>
      </c>
      <c r="J349">
        <f>Orders[[#This Row],[Quantity]]*Orders[[#This Row],[Cost Price]]</f>
        <v>18030.2</v>
      </c>
      <c r="K349">
        <f>Orders[[#This Row],[Revenue]]-Orders[[#This Row],[Expenses]]</f>
        <v>3181.7999999999993</v>
      </c>
      <c r="L349" t="s">
        <v>2213</v>
      </c>
      <c r="M349" t="str">
        <f>_xlfn.XLOOKUP(Orders[[#This Row],[CustomerID]],Customers[CustomerID],Customers[City])</f>
        <v>Florida</v>
      </c>
      <c r="N349" t="str">
        <f>_xlfn.XLOOKUP(Orders[[#This Row],[CustomerID]],Customers[CustomerID],Customers[CustomerName])</f>
        <v>Bisi Eze</v>
      </c>
      <c r="O349" t="str">
        <f>_xlfn.XLOOKUP(Orders[[#This Row],[CustomerID]],Customers[CustomerID],Customers[Gender])</f>
        <v>Female</v>
      </c>
      <c r="P349">
        <f>_xlfn.XLOOKUP(Orders[[#This Row],[CustomerID]],Customers[CustomerID],Customers[CustomerAge])</f>
        <v>37</v>
      </c>
      <c r="Q349" t="str">
        <f>IF(Orders[[#This Row],[Age]]&gt;=35,"older","young")</f>
        <v>older</v>
      </c>
      <c r="R349" t="str">
        <f>_xlfn.XLOOKUP(Orders[[#This Row],[ProductID]],Products[ProductID],Products[ProductName])</f>
        <v>TENNIS BAT</v>
      </c>
      <c r="S349" t="str">
        <f>_xlfn.XLOOKUP(Orders[[#This Row],[ProductID]],Products!A:A,Products!C:C)</f>
        <v>Sports</v>
      </c>
    </row>
    <row r="350" spans="1:19" x14ac:dyDescent="0.2">
      <c r="A350" s="4" t="s">
        <v>527</v>
      </c>
      <c r="B350" s="5">
        <v>45942</v>
      </c>
      <c r="C350" s="15">
        <f>WEEKNUM(Orders[[#This Row],[OrderDate]])</f>
        <v>42</v>
      </c>
      <c r="D350" s="4" t="s">
        <v>19</v>
      </c>
      <c r="E350" s="4" t="s">
        <v>20</v>
      </c>
      <c r="F350" s="4">
        <v>3</v>
      </c>
      <c r="G350" s="4">
        <v>10062.700000000001</v>
      </c>
      <c r="H350">
        <v>8553.2950000000001</v>
      </c>
      <c r="I350">
        <f>Orders[[#This Row],[Quantity]]*Orders[[#This Row],[Selling Price]]</f>
        <v>30188.100000000002</v>
      </c>
      <c r="J350">
        <f>Orders[[#This Row],[Quantity]]*Orders[[#This Row],[Cost Price]]</f>
        <v>25659.885000000002</v>
      </c>
      <c r="K350">
        <f>Orders[[#This Row],[Revenue]]-Orders[[#This Row],[Expenses]]</f>
        <v>4528.2150000000001</v>
      </c>
      <c r="L350" t="s">
        <v>2202</v>
      </c>
      <c r="M350" t="str">
        <f>_xlfn.XLOOKUP(Orders[[#This Row],[CustomerID]],Customers[CustomerID],Customers[City])</f>
        <v>California</v>
      </c>
      <c r="N350" t="str">
        <f>_xlfn.XLOOKUP(Orders[[#This Row],[CustomerID]],Customers[CustomerID],Customers[CustomerName])</f>
        <v>Obi Adeyemi</v>
      </c>
      <c r="O350" t="str">
        <f>_xlfn.XLOOKUP(Orders[[#This Row],[CustomerID]],Customers[CustomerID],Customers[Gender])</f>
        <v>Male</v>
      </c>
      <c r="P350">
        <f>_xlfn.XLOOKUP(Orders[[#This Row],[CustomerID]],Customers[CustomerID],Customers[CustomerAge])</f>
        <v>24</v>
      </c>
      <c r="Q350" t="str">
        <f>IF(Orders[[#This Row],[Age]]&gt;=35,"older","young")</f>
        <v>young</v>
      </c>
      <c r="R350" t="str">
        <f>_xlfn.XLOOKUP(Orders[[#This Row],[ProductID]],Products[ProductID],Products[ProductName])</f>
        <v>GYM BAG</v>
      </c>
      <c r="S350" t="str">
        <f>_xlfn.XLOOKUP(Orders[[#This Row],[ProductID]],Products!A:A,Products!C:C)</f>
        <v>Gym</v>
      </c>
    </row>
    <row r="351" spans="1:19" x14ac:dyDescent="0.2">
      <c r="A351" s="4" t="s">
        <v>528</v>
      </c>
      <c r="B351" s="5">
        <v>46019</v>
      </c>
      <c r="C351" s="15">
        <f>WEEKNUM(Orders[[#This Row],[OrderDate]])</f>
        <v>53</v>
      </c>
      <c r="D351" s="4" t="s">
        <v>39</v>
      </c>
      <c r="E351" s="4" t="s">
        <v>15</v>
      </c>
      <c r="F351" s="4">
        <v>2</v>
      </c>
      <c r="G351" s="4">
        <v>6522</v>
      </c>
      <c r="H351">
        <v>5543.7</v>
      </c>
      <c r="I351">
        <f>Orders[[#This Row],[Quantity]]*Orders[[#This Row],[Selling Price]]</f>
        <v>13044</v>
      </c>
      <c r="J351">
        <f>Orders[[#This Row],[Quantity]]*Orders[[#This Row],[Cost Price]]</f>
        <v>11087.4</v>
      </c>
      <c r="K351">
        <f>Orders[[#This Row],[Revenue]]-Orders[[#This Row],[Expenses]]</f>
        <v>1956.6000000000004</v>
      </c>
      <c r="L351" t="s">
        <v>2195</v>
      </c>
      <c r="M351" t="str">
        <f>_xlfn.XLOOKUP(Orders[[#This Row],[CustomerID]],Customers[CustomerID],Customers[City])</f>
        <v>Florida</v>
      </c>
      <c r="N351" t="str">
        <f>_xlfn.XLOOKUP(Orders[[#This Row],[CustomerID]],Customers[CustomerID],Customers[CustomerName])</f>
        <v>Efe Adeyemi</v>
      </c>
      <c r="O351" t="str">
        <f>_xlfn.XLOOKUP(Orders[[#This Row],[CustomerID]],Customers[CustomerID],Customers[Gender])</f>
        <v>Female</v>
      </c>
      <c r="P351">
        <f>_xlfn.XLOOKUP(Orders[[#This Row],[CustomerID]],Customers[CustomerID],Customers[CustomerAge])</f>
        <v>20</v>
      </c>
      <c r="Q351" t="str">
        <f>IF(Orders[[#This Row],[Age]]&gt;=35,"older","young")</f>
        <v>young</v>
      </c>
      <c r="R351" t="str">
        <f>_xlfn.XLOOKUP(Orders[[#This Row],[ProductID]],Products[ProductID],Products[ProductName])</f>
        <v>MONOPOLY</v>
      </c>
      <c r="S351" t="str">
        <f>_xlfn.XLOOKUP(Orders[[#This Row],[ProductID]],Products!A:A,Products!C:C)</f>
        <v>Games</v>
      </c>
    </row>
    <row r="352" spans="1:19" x14ac:dyDescent="0.2">
      <c r="A352" s="4" t="s">
        <v>529</v>
      </c>
      <c r="B352" s="5">
        <v>45942</v>
      </c>
      <c r="C352" s="15">
        <f>WEEKNUM(Orders[[#This Row],[OrderDate]])</f>
        <v>42</v>
      </c>
      <c r="D352" s="4" t="s">
        <v>43</v>
      </c>
      <c r="E352" s="4" t="s">
        <v>20</v>
      </c>
      <c r="F352" s="4">
        <v>9</v>
      </c>
      <c r="G352" s="4">
        <v>1737</v>
      </c>
      <c r="H352">
        <v>1476.45</v>
      </c>
      <c r="I352">
        <f>Orders[[#This Row],[Quantity]]*Orders[[#This Row],[Selling Price]]</f>
        <v>15633</v>
      </c>
      <c r="J352">
        <f>Orders[[#This Row],[Quantity]]*Orders[[#This Row],[Cost Price]]</f>
        <v>13288.050000000001</v>
      </c>
      <c r="K352">
        <f>Orders[[#This Row],[Revenue]]-Orders[[#This Row],[Expenses]]</f>
        <v>2344.9499999999989</v>
      </c>
      <c r="L352" t="s">
        <v>2198</v>
      </c>
      <c r="M352" t="str">
        <f>_xlfn.XLOOKUP(Orders[[#This Row],[CustomerID]],Customers[CustomerID],Customers[City])</f>
        <v>Georgia</v>
      </c>
      <c r="N352" t="str">
        <f>_xlfn.XLOOKUP(Orders[[#This Row],[CustomerID]],Customers[CustomerID],Customers[CustomerName])</f>
        <v>Mustafa Danladi</v>
      </c>
      <c r="O352" t="str">
        <f>_xlfn.XLOOKUP(Orders[[#This Row],[CustomerID]],Customers[CustomerID],Customers[Gender])</f>
        <v>Male</v>
      </c>
      <c r="P352">
        <f>_xlfn.XLOOKUP(Orders[[#This Row],[CustomerID]],Customers[CustomerID],Customers[CustomerAge])</f>
        <v>49</v>
      </c>
      <c r="Q352" t="str">
        <f>IF(Orders[[#This Row],[Age]]&gt;=35,"older","young")</f>
        <v>older</v>
      </c>
      <c r="R352" t="str">
        <f>_xlfn.XLOOKUP(Orders[[#This Row],[ProductID]],Products[ProductID],Products[ProductName])</f>
        <v>GYM BAG</v>
      </c>
      <c r="S352" t="str">
        <f>_xlfn.XLOOKUP(Orders[[#This Row],[ProductID]],Products!A:A,Products!C:C)</f>
        <v>Gym</v>
      </c>
    </row>
    <row r="353" spans="1:19" x14ac:dyDescent="0.2">
      <c r="A353" s="4" t="s">
        <v>530</v>
      </c>
      <c r="B353" s="5">
        <v>45953</v>
      </c>
      <c r="C353" s="15">
        <f>WEEKNUM(Orders[[#This Row],[OrderDate]])</f>
        <v>43</v>
      </c>
      <c r="D353" s="4" t="s">
        <v>163</v>
      </c>
      <c r="E353" s="4" t="s">
        <v>84</v>
      </c>
      <c r="F353" s="4">
        <v>1</v>
      </c>
      <c r="G353" s="4">
        <v>17114.2</v>
      </c>
      <c r="H353">
        <v>14547.07</v>
      </c>
      <c r="I353">
        <f>Orders[[#This Row],[Quantity]]*Orders[[#This Row],[Selling Price]]</f>
        <v>17114.2</v>
      </c>
      <c r="J353">
        <f>Orders[[#This Row],[Quantity]]*Orders[[#This Row],[Cost Price]]</f>
        <v>14547.07</v>
      </c>
      <c r="K353">
        <f>Orders[[#This Row],[Revenue]]-Orders[[#This Row],[Expenses]]</f>
        <v>2567.130000000001</v>
      </c>
      <c r="L353" t="s">
        <v>2192</v>
      </c>
      <c r="M353" t="str">
        <f>_xlfn.XLOOKUP(Orders[[#This Row],[CustomerID]],Customers[CustomerID],Customers[City])</f>
        <v>Texas</v>
      </c>
      <c r="N353" t="str">
        <f>_xlfn.XLOOKUP(Orders[[#This Row],[CustomerID]],Customers[CustomerID],Customers[CustomerName])</f>
        <v>Folasade Danladi</v>
      </c>
      <c r="O353" t="str">
        <f>_xlfn.XLOOKUP(Orders[[#This Row],[CustomerID]],Customers[CustomerID],Customers[Gender])</f>
        <v>Female</v>
      </c>
      <c r="P353">
        <f>_xlfn.XLOOKUP(Orders[[#This Row],[CustomerID]],Customers[CustomerID],Customers[CustomerAge])</f>
        <v>32</v>
      </c>
      <c r="Q353" t="str">
        <f>IF(Orders[[#This Row],[Age]]&gt;=35,"older","young")</f>
        <v>young</v>
      </c>
      <c r="R353" t="str">
        <f>_xlfn.XLOOKUP(Orders[[#This Row],[ProductID]],Products[ProductID],Products[ProductName])</f>
        <v>GYM WEARS</v>
      </c>
      <c r="S353" t="str">
        <f>_xlfn.XLOOKUP(Orders[[#This Row],[ProductID]],Products!A:A,Products!C:C)</f>
        <v>Clothing</v>
      </c>
    </row>
    <row r="354" spans="1:19" x14ac:dyDescent="0.2">
      <c r="A354" s="4" t="s">
        <v>531</v>
      </c>
      <c r="B354" s="5">
        <v>45972</v>
      </c>
      <c r="C354" s="15">
        <f>WEEKNUM(Orders[[#This Row],[OrderDate]])</f>
        <v>46</v>
      </c>
      <c r="D354" s="4" t="s">
        <v>148</v>
      </c>
      <c r="E354" s="4" t="s">
        <v>151</v>
      </c>
      <c r="F354" s="4">
        <v>8</v>
      </c>
      <c r="G354" s="4">
        <v>9352.4</v>
      </c>
      <c r="H354">
        <v>7949.54</v>
      </c>
      <c r="I354">
        <f>Orders[[#This Row],[Quantity]]*Orders[[#This Row],[Selling Price]]</f>
        <v>74819.199999999997</v>
      </c>
      <c r="J354">
        <f>Orders[[#This Row],[Quantity]]*Orders[[#This Row],[Cost Price]]</f>
        <v>63596.32</v>
      </c>
      <c r="K354">
        <f>Orders[[#This Row],[Revenue]]-Orders[[#This Row],[Expenses]]</f>
        <v>11222.879999999997</v>
      </c>
      <c r="L354" t="s">
        <v>2203</v>
      </c>
      <c r="M354" t="str">
        <f>_xlfn.XLOOKUP(Orders[[#This Row],[CustomerID]],Customers[CustomerID],Customers[City])</f>
        <v>Florida</v>
      </c>
      <c r="N354" t="str">
        <f>_xlfn.XLOOKUP(Orders[[#This Row],[CustomerID]],Customers[CustomerID],Customers[CustomerName])</f>
        <v>Zainab Abubakar</v>
      </c>
      <c r="O354" t="str">
        <f>_xlfn.XLOOKUP(Orders[[#This Row],[CustomerID]],Customers[CustomerID],Customers[Gender])</f>
        <v>Female</v>
      </c>
      <c r="P354">
        <f>_xlfn.XLOOKUP(Orders[[#This Row],[CustomerID]],Customers[CustomerID],Customers[CustomerAge])</f>
        <v>29</v>
      </c>
      <c r="Q354" t="str">
        <f>IF(Orders[[#This Row],[Age]]&gt;=35,"older","young")</f>
        <v>young</v>
      </c>
      <c r="R354" t="str">
        <f>_xlfn.XLOOKUP(Orders[[#This Row],[ProductID]],Products[ProductID],Products[ProductName])</f>
        <v>CHECKERS</v>
      </c>
      <c r="S354" t="str">
        <f>_xlfn.XLOOKUP(Orders[[#This Row],[ProductID]],Products!A:A,Products!C:C)</f>
        <v>Games</v>
      </c>
    </row>
    <row r="355" spans="1:19" x14ac:dyDescent="0.2">
      <c r="A355" s="4" t="s">
        <v>532</v>
      </c>
      <c r="B355" s="5">
        <v>46003</v>
      </c>
      <c r="C355" s="15">
        <f>WEEKNUM(Orders[[#This Row],[OrderDate]])</f>
        <v>50</v>
      </c>
      <c r="D355" s="4" t="s">
        <v>36</v>
      </c>
      <c r="E355" s="4" t="s">
        <v>34</v>
      </c>
      <c r="F355" s="4">
        <v>3</v>
      </c>
      <c r="G355" s="4">
        <v>1457.1000000000001</v>
      </c>
      <c r="H355">
        <v>1238.5350000000001</v>
      </c>
      <c r="I355">
        <f>Orders[[#This Row],[Quantity]]*Orders[[#This Row],[Selling Price]]</f>
        <v>4371.3</v>
      </c>
      <c r="J355">
        <f>Orders[[#This Row],[Quantity]]*Orders[[#This Row],[Cost Price]]</f>
        <v>3715.6050000000005</v>
      </c>
      <c r="K355">
        <f>Orders[[#This Row],[Revenue]]-Orders[[#This Row],[Expenses]]</f>
        <v>655.69499999999971</v>
      </c>
      <c r="L355" t="s">
        <v>2201</v>
      </c>
      <c r="M355" t="str">
        <f>_xlfn.XLOOKUP(Orders[[#This Row],[CustomerID]],Customers[CustomerID],Customers[City])</f>
        <v>California</v>
      </c>
      <c r="N355" t="str">
        <f>_xlfn.XLOOKUP(Orders[[#This Row],[CustomerID]],Customers[CustomerID],Customers[CustomerName])</f>
        <v>Jide Eze</v>
      </c>
      <c r="O355" t="str">
        <f>_xlfn.XLOOKUP(Orders[[#This Row],[CustomerID]],Customers[CustomerID],Customers[Gender])</f>
        <v>Male</v>
      </c>
      <c r="P355">
        <f>_xlfn.XLOOKUP(Orders[[#This Row],[CustomerID]],Customers[CustomerID],Customers[CustomerAge])</f>
        <v>21</v>
      </c>
      <c r="Q355" t="str">
        <f>IF(Orders[[#This Row],[Age]]&gt;=35,"older","young")</f>
        <v>young</v>
      </c>
      <c r="R355" t="str">
        <f>_xlfn.XLOOKUP(Orders[[#This Row],[ProductID]],Products[ProductID],Products[ProductName])</f>
        <v>GOLD BRACELETS</v>
      </c>
      <c r="S355" t="str">
        <f>_xlfn.XLOOKUP(Orders[[#This Row],[ProductID]],Products!A:A,Products!C:C)</f>
        <v>Accessories</v>
      </c>
    </row>
    <row r="356" spans="1:19" x14ac:dyDescent="0.2">
      <c r="A356" s="4" t="s">
        <v>533</v>
      </c>
      <c r="B356" s="5">
        <v>45931</v>
      </c>
      <c r="C356" s="15">
        <f>WEEKNUM(Orders[[#This Row],[OrderDate]])</f>
        <v>40</v>
      </c>
      <c r="D356" s="4" t="s">
        <v>260</v>
      </c>
      <c r="E356" s="4" t="s">
        <v>353</v>
      </c>
      <c r="F356" s="4">
        <v>5</v>
      </c>
      <c r="G356" s="4">
        <v>13454.2</v>
      </c>
      <c r="H356">
        <v>11436.07</v>
      </c>
      <c r="I356">
        <f>Orders[[#This Row],[Quantity]]*Orders[[#This Row],[Selling Price]]</f>
        <v>67271</v>
      </c>
      <c r="J356">
        <f>Orders[[#This Row],[Quantity]]*Orders[[#This Row],[Cost Price]]</f>
        <v>57180.35</v>
      </c>
      <c r="K356">
        <f>Orders[[#This Row],[Revenue]]-Orders[[#This Row],[Expenses]]</f>
        <v>10090.650000000001</v>
      </c>
      <c r="L356" t="s">
        <v>2218</v>
      </c>
      <c r="M356" t="str">
        <f>_xlfn.XLOOKUP(Orders[[#This Row],[CustomerID]],Customers[CustomerID],Customers[City])</f>
        <v>Florida</v>
      </c>
      <c r="N356" t="str">
        <f>_xlfn.XLOOKUP(Orders[[#This Row],[CustomerID]],Customers[CustomerID],Customers[CustomerName])</f>
        <v>Amina Obi</v>
      </c>
      <c r="O356" t="str">
        <f>_xlfn.XLOOKUP(Orders[[#This Row],[CustomerID]],Customers[CustomerID],Customers[Gender])</f>
        <v>Female</v>
      </c>
      <c r="P356">
        <f>_xlfn.XLOOKUP(Orders[[#This Row],[CustomerID]],Customers[CustomerID],Customers[CustomerAge])</f>
        <v>29</v>
      </c>
      <c r="Q356" t="str">
        <f>IF(Orders[[#This Row],[Age]]&gt;=35,"older","young")</f>
        <v>young</v>
      </c>
      <c r="R356" t="str">
        <f>_xlfn.XLOOKUP(Orders[[#This Row],[ProductID]],Products[ProductID],Products[ProductName])</f>
        <v>SILVER EARRINGS AND NECKLACES</v>
      </c>
      <c r="S356" t="str">
        <f>_xlfn.XLOOKUP(Orders[[#This Row],[ProductID]],Products!A:A,Products!C:C)</f>
        <v>Accessories</v>
      </c>
    </row>
    <row r="357" spans="1:19" x14ac:dyDescent="0.2">
      <c r="A357" s="4" t="s">
        <v>534</v>
      </c>
      <c r="B357" s="5">
        <v>45953</v>
      </c>
      <c r="C357" s="15">
        <f>WEEKNUM(Orders[[#This Row],[OrderDate]])</f>
        <v>43</v>
      </c>
      <c r="D357" s="4" t="s">
        <v>293</v>
      </c>
      <c r="E357" s="4" t="s">
        <v>25</v>
      </c>
      <c r="F357" s="4">
        <v>7</v>
      </c>
      <c r="G357" s="4">
        <v>5655.9000000000005</v>
      </c>
      <c r="H357">
        <v>4807.5150000000003</v>
      </c>
      <c r="I357">
        <f>Orders[[#This Row],[Quantity]]*Orders[[#This Row],[Selling Price]]</f>
        <v>39591.300000000003</v>
      </c>
      <c r="J357">
        <f>Orders[[#This Row],[Quantity]]*Orders[[#This Row],[Cost Price]]</f>
        <v>33652.605000000003</v>
      </c>
      <c r="K357">
        <f>Orders[[#This Row],[Revenue]]-Orders[[#This Row],[Expenses]]</f>
        <v>5938.6949999999997</v>
      </c>
      <c r="L357" t="s">
        <v>2215</v>
      </c>
      <c r="M357" t="str">
        <f>_xlfn.XLOOKUP(Orders[[#This Row],[CustomerID]],Customers[CustomerID],Customers[City])</f>
        <v>Florida</v>
      </c>
      <c r="N357" t="str">
        <f>_xlfn.XLOOKUP(Orders[[#This Row],[CustomerID]],Customers[CustomerID],Customers[CustomerName])</f>
        <v>Tunde Eze</v>
      </c>
      <c r="O357" t="str">
        <f>_xlfn.XLOOKUP(Orders[[#This Row],[CustomerID]],Customers[CustomerID],Customers[Gender])</f>
        <v>Male</v>
      </c>
      <c r="P357">
        <f>_xlfn.XLOOKUP(Orders[[#This Row],[CustomerID]],Customers[CustomerID],Customers[CustomerAge])</f>
        <v>46</v>
      </c>
      <c r="Q357" t="str">
        <f>IF(Orders[[#This Row],[Age]]&gt;=35,"older","young")</f>
        <v>older</v>
      </c>
      <c r="R357" t="str">
        <f>_xlfn.XLOOKUP(Orders[[#This Row],[ProductID]],Products[ProductID],Products[ProductName])</f>
        <v>GOLD RINGS</v>
      </c>
      <c r="S357" t="str">
        <f>_xlfn.XLOOKUP(Orders[[#This Row],[ProductID]],Products!A:A,Products!C:C)</f>
        <v>Accessories</v>
      </c>
    </row>
    <row r="358" spans="1:19" x14ac:dyDescent="0.2">
      <c r="A358" s="4" t="s">
        <v>535</v>
      </c>
      <c r="B358" s="5">
        <v>45972</v>
      </c>
      <c r="C358" s="15">
        <f>WEEKNUM(Orders[[#This Row],[OrderDate]])</f>
        <v>46</v>
      </c>
      <c r="D358" s="4" t="s">
        <v>73</v>
      </c>
      <c r="E358" s="4" t="s">
        <v>57</v>
      </c>
      <c r="F358" s="4">
        <v>7</v>
      </c>
      <c r="G358" s="4">
        <v>3884.5</v>
      </c>
      <c r="H358">
        <v>3301.8249999999998</v>
      </c>
      <c r="I358">
        <f>Orders[[#This Row],[Quantity]]*Orders[[#This Row],[Selling Price]]</f>
        <v>27191.5</v>
      </c>
      <c r="J358">
        <f>Orders[[#This Row],[Quantity]]*Orders[[#This Row],[Cost Price]]</f>
        <v>23112.774999999998</v>
      </c>
      <c r="K358">
        <f>Orders[[#This Row],[Revenue]]-Orders[[#This Row],[Expenses]]</f>
        <v>4078.7250000000022</v>
      </c>
      <c r="L358" t="s">
        <v>2215</v>
      </c>
      <c r="M358" t="str">
        <f>_xlfn.XLOOKUP(Orders[[#This Row],[CustomerID]],Customers[CustomerID],Customers[City])</f>
        <v>California</v>
      </c>
      <c r="N358" t="str">
        <f>_xlfn.XLOOKUP(Orders[[#This Row],[CustomerID]],Customers[CustomerID],Customers[CustomerName])</f>
        <v>Ronke Okonkwo</v>
      </c>
      <c r="O358" t="str">
        <f>_xlfn.XLOOKUP(Orders[[#This Row],[CustomerID]],Customers[CustomerID],Customers[Gender])</f>
        <v>Female</v>
      </c>
      <c r="P358">
        <f>_xlfn.XLOOKUP(Orders[[#This Row],[CustomerID]],Customers[CustomerID],Customers[CustomerAge])</f>
        <v>20</v>
      </c>
      <c r="Q358" t="str">
        <f>IF(Orders[[#This Row],[Age]]&gt;=35,"older","young")</f>
        <v>young</v>
      </c>
      <c r="R358" t="str">
        <f>_xlfn.XLOOKUP(Orders[[#This Row],[ProductID]],Products[ProductID],Products[ProductName])</f>
        <v>BADMINTON RACKET</v>
      </c>
      <c r="S358" t="str">
        <f>_xlfn.XLOOKUP(Orders[[#This Row],[ProductID]],Products!A:A,Products!C:C)</f>
        <v>Sports</v>
      </c>
    </row>
    <row r="359" spans="1:19" x14ac:dyDescent="0.2">
      <c r="A359" s="4" t="s">
        <v>536</v>
      </c>
      <c r="B359" s="5">
        <v>46004</v>
      </c>
      <c r="C359" s="15">
        <f>WEEKNUM(Orders[[#This Row],[OrderDate]])</f>
        <v>50</v>
      </c>
      <c r="D359" s="4" t="s">
        <v>333</v>
      </c>
      <c r="E359" s="4" t="s">
        <v>34</v>
      </c>
      <c r="F359" s="4">
        <v>1</v>
      </c>
      <c r="G359" s="4">
        <v>8208.2000000000007</v>
      </c>
      <c r="H359">
        <v>6976.9700000000012</v>
      </c>
      <c r="I359">
        <f>Orders[[#This Row],[Quantity]]*Orders[[#This Row],[Selling Price]]</f>
        <v>8208.2000000000007</v>
      </c>
      <c r="J359">
        <f>Orders[[#This Row],[Quantity]]*Orders[[#This Row],[Cost Price]]</f>
        <v>6976.9700000000012</v>
      </c>
      <c r="K359">
        <f>Orders[[#This Row],[Revenue]]-Orders[[#This Row],[Expenses]]</f>
        <v>1231.2299999999996</v>
      </c>
      <c r="L359" t="s">
        <v>2211</v>
      </c>
      <c r="M359" t="str">
        <f>_xlfn.XLOOKUP(Orders[[#This Row],[CustomerID]],Customers[CustomerID],Customers[City])</f>
        <v>Washington</v>
      </c>
      <c r="N359" t="str">
        <f>_xlfn.XLOOKUP(Orders[[#This Row],[CustomerID]],Customers[CustomerID],Customers[CustomerName])</f>
        <v>Emeka Obi</v>
      </c>
      <c r="O359" t="str">
        <f>_xlfn.XLOOKUP(Orders[[#This Row],[CustomerID]],Customers[CustomerID],Customers[Gender])</f>
        <v>Male</v>
      </c>
      <c r="P359">
        <f>_xlfn.XLOOKUP(Orders[[#This Row],[CustomerID]],Customers[CustomerID],Customers[CustomerAge])</f>
        <v>44</v>
      </c>
      <c r="Q359" t="str">
        <f>IF(Orders[[#This Row],[Age]]&gt;=35,"older","young")</f>
        <v>older</v>
      </c>
      <c r="R359" t="str">
        <f>_xlfn.XLOOKUP(Orders[[#This Row],[ProductID]],Products[ProductID],Products[ProductName])</f>
        <v>GOLD BRACELETS</v>
      </c>
      <c r="S359" t="str">
        <f>_xlfn.XLOOKUP(Orders[[#This Row],[ProductID]],Products!A:A,Products!C:C)</f>
        <v>Accessories</v>
      </c>
    </row>
    <row r="360" spans="1:19" x14ac:dyDescent="0.2">
      <c r="A360" s="4" t="s">
        <v>537</v>
      </c>
      <c r="B360" s="5">
        <v>45982</v>
      </c>
      <c r="C360" s="15">
        <f>WEEKNUM(Orders[[#This Row],[OrderDate]])</f>
        <v>47</v>
      </c>
      <c r="D360" s="4" t="s">
        <v>291</v>
      </c>
      <c r="E360" s="4" t="s">
        <v>63</v>
      </c>
      <c r="F360" s="4">
        <v>2</v>
      </c>
      <c r="G360" s="4">
        <v>9545</v>
      </c>
      <c r="H360">
        <v>8113.25</v>
      </c>
      <c r="I360">
        <f>Orders[[#This Row],[Quantity]]*Orders[[#This Row],[Selling Price]]</f>
        <v>19090</v>
      </c>
      <c r="J360">
        <f>Orders[[#This Row],[Quantity]]*Orders[[#This Row],[Cost Price]]</f>
        <v>16226.5</v>
      </c>
      <c r="K360">
        <f>Orders[[#This Row],[Revenue]]-Orders[[#This Row],[Expenses]]</f>
        <v>2863.5</v>
      </c>
      <c r="L360" t="s">
        <v>2196</v>
      </c>
      <c r="M360" t="str">
        <f>_xlfn.XLOOKUP(Orders[[#This Row],[CustomerID]],Customers[CustomerID],Customers[City])</f>
        <v>Texas</v>
      </c>
      <c r="N360" t="str">
        <f>_xlfn.XLOOKUP(Orders[[#This Row],[CustomerID]],Customers[CustomerID],Customers[CustomerName])</f>
        <v>Okon Igwe</v>
      </c>
      <c r="O360" t="str">
        <f>_xlfn.XLOOKUP(Orders[[#This Row],[CustomerID]],Customers[CustomerID],Customers[Gender])</f>
        <v>Male</v>
      </c>
      <c r="P360">
        <f>_xlfn.XLOOKUP(Orders[[#This Row],[CustomerID]],Customers[CustomerID],Customers[CustomerAge])</f>
        <v>33</v>
      </c>
      <c r="Q360" t="str">
        <f>IF(Orders[[#This Row],[Age]]&gt;=35,"older","young")</f>
        <v>young</v>
      </c>
      <c r="R360" t="str">
        <f>_xlfn.XLOOKUP(Orders[[#This Row],[ProductID]],Products[ProductID],Products[ProductName])</f>
        <v>TENNIS BAT</v>
      </c>
      <c r="S360" t="str">
        <f>_xlfn.XLOOKUP(Orders[[#This Row],[ProductID]],Products!A:A,Products!C:C)</f>
        <v>Sports</v>
      </c>
    </row>
    <row r="361" spans="1:19" x14ac:dyDescent="0.2">
      <c r="A361" s="4" t="s">
        <v>538</v>
      </c>
      <c r="B361" s="5">
        <v>45965</v>
      </c>
      <c r="C361" s="15">
        <f>WEEKNUM(Orders[[#This Row],[OrderDate]])</f>
        <v>45</v>
      </c>
      <c r="D361" s="4" t="s">
        <v>146</v>
      </c>
      <c r="E361" s="4" t="s">
        <v>76</v>
      </c>
      <c r="F361" s="4">
        <v>7</v>
      </c>
      <c r="G361" s="4">
        <v>11999.2</v>
      </c>
      <c r="H361">
        <v>10199.32</v>
      </c>
      <c r="I361">
        <f>Orders[[#This Row],[Quantity]]*Orders[[#This Row],[Selling Price]]</f>
        <v>83994.400000000009</v>
      </c>
      <c r="J361">
        <f>Orders[[#This Row],[Quantity]]*Orders[[#This Row],[Cost Price]]</f>
        <v>71395.239999999991</v>
      </c>
      <c r="K361">
        <f>Orders[[#This Row],[Revenue]]-Orders[[#This Row],[Expenses]]</f>
        <v>12599.160000000018</v>
      </c>
      <c r="L361" t="s">
        <v>2197</v>
      </c>
      <c r="M361" t="str">
        <f>_xlfn.XLOOKUP(Orders[[#This Row],[CustomerID]],Customers[CustomerID],Customers[City])</f>
        <v>Texas</v>
      </c>
      <c r="N361" t="str">
        <f>_xlfn.XLOOKUP(Orders[[#This Row],[CustomerID]],Customers[CustomerID],Customers[CustomerName])</f>
        <v>Mustafa Igwe</v>
      </c>
      <c r="O361" t="str">
        <f>_xlfn.XLOOKUP(Orders[[#This Row],[CustomerID]],Customers[CustomerID],Customers[Gender])</f>
        <v>Male</v>
      </c>
      <c r="P361">
        <f>_xlfn.XLOOKUP(Orders[[#This Row],[CustomerID]],Customers[CustomerID],Customers[CustomerAge])</f>
        <v>27</v>
      </c>
      <c r="Q361" t="str">
        <f>IF(Orders[[#This Row],[Age]]&gt;=35,"older","young")</f>
        <v>young</v>
      </c>
      <c r="R361" t="str">
        <f>_xlfn.XLOOKUP(Orders[[#This Row],[ProductID]],Products[ProductID],Products[ProductName])</f>
        <v>BLENDER</v>
      </c>
      <c r="S361" t="str">
        <f>_xlfn.XLOOKUP(Orders[[#This Row],[ProductID]],Products!A:A,Products!C:C)</f>
        <v>Electronics</v>
      </c>
    </row>
    <row r="362" spans="1:19" x14ac:dyDescent="0.2">
      <c r="A362" s="4" t="s">
        <v>539</v>
      </c>
      <c r="B362" s="5">
        <v>46011</v>
      </c>
      <c r="C362" s="15">
        <f>WEEKNUM(Orders[[#This Row],[OrderDate]])</f>
        <v>51</v>
      </c>
      <c r="D362" s="4" t="s">
        <v>124</v>
      </c>
      <c r="E362" s="4" t="s">
        <v>84</v>
      </c>
      <c r="F362" s="4">
        <v>9</v>
      </c>
      <c r="G362" s="4">
        <v>12647</v>
      </c>
      <c r="H362">
        <v>10749.95</v>
      </c>
      <c r="I362">
        <f>Orders[[#This Row],[Quantity]]*Orders[[#This Row],[Selling Price]]</f>
        <v>113823</v>
      </c>
      <c r="J362">
        <f>Orders[[#This Row],[Quantity]]*Orders[[#This Row],[Cost Price]]</f>
        <v>96749.55</v>
      </c>
      <c r="K362">
        <f>Orders[[#This Row],[Revenue]]-Orders[[#This Row],[Expenses]]</f>
        <v>17073.449999999997</v>
      </c>
      <c r="L362" t="s">
        <v>2196</v>
      </c>
      <c r="M362" t="str">
        <f>_xlfn.XLOOKUP(Orders[[#This Row],[CustomerID]],Customers[CustomerID],Customers[City])</f>
        <v>Texas</v>
      </c>
      <c r="N362" t="str">
        <f>_xlfn.XLOOKUP(Orders[[#This Row],[CustomerID]],Customers[CustomerID],Customers[CustomerName])</f>
        <v>Ngozi Ojo</v>
      </c>
      <c r="O362" t="str">
        <f>_xlfn.XLOOKUP(Orders[[#This Row],[CustomerID]],Customers[CustomerID],Customers[Gender])</f>
        <v>Female</v>
      </c>
      <c r="P362">
        <f>_xlfn.XLOOKUP(Orders[[#This Row],[CustomerID]],Customers[CustomerID],Customers[CustomerAge])</f>
        <v>22</v>
      </c>
      <c r="Q362" t="str">
        <f>IF(Orders[[#This Row],[Age]]&gt;=35,"older","young")</f>
        <v>young</v>
      </c>
      <c r="R362" t="str">
        <f>_xlfn.XLOOKUP(Orders[[#This Row],[ProductID]],Products[ProductID],Products[ProductName])</f>
        <v>GYM WEARS</v>
      </c>
      <c r="S362" t="str">
        <f>_xlfn.XLOOKUP(Orders[[#This Row],[ProductID]],Products!A:A,Products!C:C)</f>
        <v>Clothing</v>
      </c>
    </row>
    <row r="363" spans="1:19" x14ac:dyDescent="0.2">
      <c r="A363" s="4" t="s">
        <v>540</v>
      </c>
      <c r="B363" s="5">
        <v>46007</v>
      </c>
      <c r="C363" s="15">
        <f>WEEKNUM(Orders[[#This Row],[OrderDate]])</f>
        <v>51</v>
      </c>
      <c r="D363" s="4" t="s">
        <v>101</v>
      </c>
      <c r="E363" s="4" t="s">
        <v>20</v>
      </c>
      <c r="F363" s="4">
        <v>1</v>
      </c>
      <c r="G363" s="4">
        <v>9515.5</v>
      </c>
      <c r="H363">
        <v>8088.1750000000002</v>
      </c>
      <c r="I363">
        <f>Orders[[#This Row],[Quantity]]*Orders[[#This Row],[Selling Price]]</f>
        <v>9515.5</v>
      </c>
      <c r="J363">
        <f>Orders[[#This Row],[Quantity]]*Orders[[#This Row],[Cost Price]]</f>
        <v>8088.1750000000002</v>
      </c>
      <c r="K363">
        <f>Orders[[#This Row],[Revenue]]-Orders[[#This Row],[Expenses]]</f>
        <v>1427.3249999999998</v>
      </c>
      <c r="L363" t="s">
        <v>2213</v>
      </c>
      <c r="M363" t="str">
        <f>_xlfn.XLOOKUP(Orders[[#This Row],[CustomerID]],Customers[CustomerID],Customers[City])</f>
        <v>Texas</v>
      </c>
      <c r="N363" t="str">
        <f>_xlfn.XLOOKUP(Orders[[#This Row],[CustomerID]],Customers[CustomerID],Customers[CustomerName])</f>
        <v>Blessing Eze</v>
      </c>
      <c r="O363" t="str">
        <f>_xlfn.XLOOKUP(Orders[[#This Row],[CustomerID]],Customers[CustomerID],Customers[Gender])</f>
        <v>Female</v>
      </c>
      <c r="P363">
        <f>_xlfn.XLOOKUP(Orders[[#This Row],[CustomerID]],Customers[CustomerID],Customers[CustomerAge])</f>
        <v>55</v>
      </c>
      <c r="Q363" t="str">
        <f>IF(Orders[[#This Row],[Age]]&gt;=35,"older","young")</f>
        <v>older</v>
      </c>
      <c r="R363" t="str">
        <f>_xlfn.XLOOKUP(Orders[[#This Row],[ProductID]],Products[ProductID],Products[ProductName])</f>
        <v>GYM BAG</v>
      </c>
      <c r="S363" t="str">
        <f>_xlfn.XLOOKUP(Orders[[#This Row],[ProductID]],Products!A:A,Products!C:C)</f>
        <v>Gym</v>
      </c>
    </row>
    <row r="364" spans="1:19" x14ac:dyDescent="0.2">
      <c r="A364" s="4" t="s">
        <v>541</v>
      </c>
      <c r="B364" s="5">
        <v>45993</v>
      </c>
      <c r="C364" s="15">
        <f>WEEKNUM(Orders[[#This Row],[OrderDate]])</f>
        <v>49</v>
      </c>
      <c r="D364" s="4" t="s">
        <v>225</v>
      </c>
      <c r="E364" s="4" t="s">
        <v>92</v>
      </c>
      <c r="F364" s="4">
        <v>3</v>
      </c>
      <c r="G364" s="4">
        <v>529.79999999999995</v>
      </c>
      <c r="H364">
        <v>450.33</v>
      </c>
      <c r="I364">
        <f>Orders[[#This Row],[Quantity]]*Orders[[#This Row],[Selling Price]]</f>
        <v>1589.3999999999999</v>
      </c>
      <c r="J364">
        <f>Orders[[#This Row],[Quantity]]*Orders[[#This Row],[Cost Price]]</f>
        <v>1350.99</v>
      </c>
      <c r="K364">
        <f>Orders[[#This Row],[Revenue]]-Orders[[#This Row],[Expenses]]</f>
        <v>238.40999999999985</v>
      </c>
      <c r="L364" t="s">
        <v>2192</v>
      </c>
      <c r="M364" t="str">
        <f>_xlfn.XLOOKUP(Orders[[#This Row],[CustomerID]],Customers[CustomerID],Customers[City])</f>
        <v>Texas</v>
      </c>
      <c r="N364" t="str">
        <f>_xlfn.XLOOKUP(Orders[[#This Row],[CustomerID]],Customers[CustomerID],Customers[CustomerName])</f>
        <v>Uche Danladi</v>
      </c>
      <c r="O364" t="str">
        <f>_xlfn.XLOOKUP(Orders[[#This Row],[CustomerID]],Customers[CustomerID],Customers[Gender])</f>
        <v>Male</v>
      </c>
      <c r="P364">
        <f>_xlfn.XLOOKUP(Orders[[#This Row],[CustomerID]],Customers[CustomerID],Customers[CustomerAge])</f>
        <v>45</v>
      </c>
      <c r="Q364" t="str">
        <f>IF(Orders[[#This Row],[Age]]&gt;=35,"older","young")</f>
        <v>older</v>
      </c>
      <c r="R364" t="str">
        <f>_xlfn.XLOOKUP(Orders[[#This Row],[ProductID]],Products[ProductID],Products[ProductName])</f>
        <v>CHEST EXPANDER</v>
      </c>
      <c r="S364" t="str">
        <f>_xlfn.XLOOKUP(Orders[[#This Row],[ProductID]],Products!A:A,Products!C:C)</f>
        <v>Gym</v>
      </c>
    </row>
    <row r="365" spans="1:19" x14ac:dyDescent="0.2">
      <c r="A365" s="4" t="s">
        <v>542</v>
      </c>
      <c r="B365" s="5">
        <v>46006</v>
      </c>
      <c r="C365" s="15">
        <f>WEEKNUM(Orders[[#This Row],[OrderDate]])</f>
        <v>51</v>
      </c>
      <c r="D365" s="4" t="s">
        <v>212</v>
      </c>
      <c r="E365" s="4" t="s">
        <v>34</v>
      </c>
      <c r="F365" s="4">
        <v>5</v>
      </c>
      <c r="G365" s="4">
        <v>1988.6000000000001</v>
      </c>
      <c r="H365">
        <v>1690.3100000000002</v>
      </c>
      <c r="I365">
        <f>Orders[[#This Row],[Quantity]]*Orders[[#This Row],[Selling Price]]</f>
        <v>9943</v>
      </c>
      <c r="J365">
        <f>Orders[[#This Row],[Quantity]]*Orders[[#This Row],[Cost Price]]</f>
        <v>8451.5500000000011</v>
      </c>
      <c r="K365">
        <f>Orders[[#This Row],[Revenue]]-Orders[[#This Row],[Expenses]]</f>
        <v>1491.4499999999989</v>
      </c>
      <c r="L365" t="s">
        <v>2219</v>
      </c>
      <c r="M365" t="str">
        <f>_xlfn.XLOOKUP(Orders[[#This Row],[CustomerID]],Customers[CustomerID],Customers[City])</f>
        <v>Illinois</v>
      </c>
      <c r="N365" t="str">
        <f>_xlfn.XLOOKUP(Orders[[#This Row],[CustomerID]],Customers[CustomerID],Customers[CustomerName])</f>
        <v>Ngozi Ojo</v>
      </c>
      <c r="O365" t="str">
        <f>_xlfn.XLOOKUP(Orders[[#This Row],[CustomerID]],Customers[CustomerID],Customers[Gender])</f>
        <v>Female</v>
      </c>
      <c r="P365">
        <f>_xlfn.XLOOKUP(Orders[[#This Row],[CustomerID]],Customers[CustomerID],Customers[CustomerAge])</f>
        <v>53</v>
      </c>
      <c r="Q365" t="str">
        <f>IF(Orders[[#This Row],[Age]]&gt;=35,"older","young")</f>
        <v>older</v>
      </c>
      <c r="R365" t="str">
        <f>_xlfn.XLOOKUP(Orders[[#This Row],[ProductID]],Products[ProductID],Products[ProductName])</f>
        <v>GOLD BRACELETS</v>
      </c>
      <c r="S365" t="str">
        <f>_xlfn.XLOOKUP(Orders[[#This Row],[ProductID]],Products!A:A,Products!C:C)</f>
        <v>Accessories</v>
      </c>
    </row>
    <row r="366" spans="1:19" x14ac:dyDescent="0.2">
      <c r="A366" s="4" t="s">
        <v>543</v>
      </c>
      <c r="B366" s="5">
        <v>45960</v>
      </c>
      <c r="C366" s="15">
        <f>WEEKNUM(Orders[[#This Row],[OrderDate]])</f>
        <v>44</v>
      </c>
      <c r="D366" s="4" t="s">
        <v>180</v>
      </c>
      <c r="E366" s="4" t="s">
        <v>20</v>
      </c>
      <c r="F366" s="4">
        <v>7</v>
      </c>
      <c r="G366" s="4">
        <v>9582</v>
      </c>
      <c r="H366">
        <v>8144.7</v>
      </c>
      <c r="I366">
        <f>Orders[[#This Row],[Quantity]]*Orders[[#This Row],[Selling Price]]</f>
        <v>67074</v>
      </c>
      <c r="J366">
        <f>Orders[[#This Row],[Quantity]]*Orders[[#This Row],[Cost Price]]</f>
        <v>57012.9</v>
      </c>
      <c r="K366">
        <f>Orders[[#This Row],[Revenue]]-Orders[[#This Row],[Expenses]]</f>
        <v>10061.099999999999</v>
      </c>
      <c r="L366" t="s">
        <v>2200</v>
      </c>
      <c r="M366" t="str">
        <f>_xlfn.XLOOKUP(Orders[[#This Row],[CustomerID]],Customers[CustomerID],Customers[City])</f>
        <v>Texas</v>
      </c>
      <c r="N366" t="str">
        <f>_xlfn.XLOOKUP(Orders[[#This Row],[CustomerID]],Customers[CustomerID],Customers[CustomerName])</f>
        <v>Jide Okonkwo</v>
      </c>
      <c r="O366" t="str">
        <f>_xlfn.XLOOKUP(Orders[[#This Row],[CustomerID]],Customers[CustomerID],Customers[Gender])</f>
        <v>Male</v>
      </c>
      <c r="P366">
        <f>_xlfn.XLOOKUP(Orders[[#This Row],[CustomerID]],Customers[CustomerID],Customers[CustomerAge])</f>
        <v>25</v>
      </c>
      <c r="Q366" t="str">
        <f>IF(Orders[[#This Row],[Age]]&gt;=35,"older","young")</f>
        <v>young</v>
      </c>
      <c r="R366" t="str">
        <f>_xlfn.XLOOKUP(Orders[[#This Row],[ProductID]],Products[ProductID],Products[ProductName])</f>
        <v>GYM BAG</v>
      </c>
      <c r="S366" t="str">
        <f>_xlfn.XLOOKUP(Orders[[#This Row],[ProductID]],Products!A:A,Products!C:C)</f>
        <v>Gym</v>
      </c>
    </row>
    <row r="367" spans="1:19" x14ac:dyDescent="0.2">
      <c r="A367" s="4" t="s">
        <v>544</v>
      </c>
      <c r="B367" s="5">
        <v>45941</v>
      </c>
      <c r="C367" s="15">
        <f>WEEKNUM(Orders[[#This Row],[OrderDate]])</f>
        <v>41</v>
      </c>
      <c r="D367" s="4" t="s">
        <v>320</v>
      </c>
      <c r="E367" s="4" t="s">
        <v>53</v>
      </c>
      <c r="F367" s="4">
        <v>6</v>
      </c>
      <c r="G367" s="4">
        <v>18035.400000000001</v>
      </c>
      <c r="H367">
        <v>15330.090000000002</v>
      </c>
      <c r="I367">
        <f>Orders[[#This Row],[Quantity]]*Orders[[#This Row],[Selling Price]]</f>
        <v>108212.40000000001</v>
      </c>
      <c r="J367">
        <f>Orders[[#This Row],[Quantity]]*Orders[[#This Row],[Cost Price]]</f>
        <v>91980.540000000008</v>
      </c>
      <c r="K367">
        <f>Orders[[#This Row],[Revenue]]-Orders[[#This Row],[Expenses]]</f>
        <v>16231.86</v>
      </c>
      <c r="L367" t="s">
        <v>2210</v>
      </c>
      <c r="M367" t="str">
        <f>_xlfn.XLOOKUP(Orders[[#This Row],[CustomerID]],Customers[CustomerID],Customers[City])</f>
        <v>Texas</v>
      </c>
      <c r="N367" t="str">
        <f>_xlfn.XLOOKUP(Orders[[#This Row],[CustomerID]],Customers[CustomerID],Customers[CustomerName])</f>
        <v>Temi Okonkwo</v>
      </c>
      <c r="O367" t="str">
        <f>_xlfn.XLOOKUP(Orders[[#This Row],[CustomerID]],Customers[CustomerID],Customers[Gender])</f>
        <v>Female</v>
      </c>
      <c r="P367">
        <f>_xlfn.XLOOKUP(Orders[[#This Row],[CustomerID]],Customers[CustomerID],Customers[CustomerAge])</f>
        <v>31</v>
      </c>
      <c r="Q367" t="str">
        <f>IF(Orders[[#This Row],[Age]]&gt;=35,"older","young")</f>
        <v>young</v>
      </c>
      <c r="R367" t="str">
        <f>_xlfn.XLOOKUP(Orders[[#This Row],[ProductID]],Products[ProductID],Products[ProductName])</f>
        <v>SILVER BANGLES</v>
      </c>
      <c r="S367" t="str">
        <f>_xlfn.XLOOKUP(Orders[[#This Row],[ProductID]],Products!A:A,Products!C:C)</f>
        <v>Accessories</v>
      </c>
    </row>
    <row r="368" spans="1:19" x14ac:dyDescent="0.2">
      <c r="A368" s="4" t="s">
        <v>545</v>
      </c>
      <c r="B368" s="5">
        <v>45931</v>
      </c>
      <c r="C368" s="15">
        <f>WEEKNUM(Orders[[#This Row],[OrderDate]])</f>
        <v>40</v>
      </c>
      <c r="D368" s="4" t="s">
        <v>546</v>
      </c>
      <c r="E368" s="4" t="s">
        <v>37</v>
      </c>
      <c r="F368" s="4">
        <v>4</v>
      </c>
      <c r="G368" s="4">
        <v>19682.400000000001</v>
      </c>
      <c r="H368">
        <v>16730.04</v>
      </c>
      <c r="I368">
        <f>Orders[[#This Row],[Quantity]]*Orders[[#This Row],[Selling Price]]</f>
        <v>78729.600000000006</v>
      </c>
      <c r="J368">
        <f>Orders[[#This Row],[Quantity]]*Orders[[#This Row],[Cost Price]]</f>
        <v>66920.160000000003</v>
      </c>
      <c r="K368">
        <f>Orders[[#This Row],[Revenue]]-Orders[[#This Row],[Expenses]]</f>
        <v>11809.440000000002</v>
      </c>
      <c r="L368" t="s">
        <v>2213</v>
      </c>
      <c r="M368" t="str">
        <f>_xlfn.XLOOKUP(Orders[[#This Row],[CustomerID]],Customers[CustomerID],Customers[City])</f>
        <v>Texas</v>
      </c>
      <c r="N368" t="str">
        <f>_xlfn.XLOOKUP(Orders[[#This Row],[CustomerID]],Customers[CustomerID],Customers[CustomerName])</f>
        <v>Bisi Eze</v>
      </c>
      <c r="O368" t="str">
        <f>_xlfn.XLOOKUP(Orders[[#This Row],[CustomerID]],Customers[CustomerID],Customers[Gender])</f>
        <v>Female</v>
      </c>
      <c r="P368">
        <f>_xlfn.XLOOKUP(Orders[[#This Row],[CustomerID]],Customers[CustomerID],Customers[CustomerAge])</f>
        <v>32</v>
      </c>
      <c r="Q368" t="str">
        <f>IF(Orders[[#This Row],[Age]]&gt;=35,"older","young")</f>
        <v>young</v>
      </c>
      <c r="R368" t="str">
        <f>_xlfn.XLOOKUP(Orders[[#This Row],[ProductID]],Products[ProductID],Products[ProductName])</f>
        <v>IRON</v>
      </c>
      <c r="S368" t="str">
        <f>_xlfn.XLOOKUP(Orders[[#This Row],[ProductID]],Products!A:A,Products!C:C)</f>
        <v>Electronics</v>
      </c>
    </row>
    <row r="369" spans="1:19" x14ac:dyDescent="0.2">
      <c r="A369" s="4" t="s">
        <v>547</v>
      </c>
      <c r="B369" s="5">
        <v>45951</v>
      </c>
      <c r="C369" s="15">
        <f>WEEKNUM(Orders[[#This Row],[OrderDate]])</f>
        <v>43</v>
      </c>
      <c r="D369" s="4" t="s">
        <v>252</v>
      </c>
      <c r="E369" s="4" t="s">
        <v>25</v>
      </c>
      <c r="F369" s="4">
        <v>4</v>
      </c>
      <c r="G369" s="4">
        <v>12511.7</v>
      </c>
      <c r="H369">
        <v>10634.945</v>
      </c>
      <c r="I369">
        <f>Orders[[#This Row],[Quantity]]*Orders[[#This Row],[Selling Price]]</f>
        <v>50046.8</v>
      </c>
      <c r="J369">
        <f>Orders[[#This Row],[Quantity]]*Orders[[#This Row],[Cost Price]]</f>
        <v>42539.78</v>
      </c>
      <c r="K369">
        <f>Orders[[#This Row],[Revenue]]-Orders[[#This Row],[Expenses]]</f>
        <v>7507.0200000000041</v>
      </c>
      <c r="L369" t="s">
        <v>2213</v>
      </c>
      <c r="M369" t="str">
        <f>_xlfn.XLOOKUP(Orders[[#This Row],[CustomerID]],Customers[CustomerID],Customers[City])</f>
        <v>Texas</v>
      </c>
      <c r="N369" t="str">
        <f>_xlfn.XLOOKUP(Orders[[#This Row],[CustomerID]],Customers[CustomerID],Customers[CustomerName])</f>
        <v>Chioma Adeyemi</v>
      </c>
      <c r="O369" t="str">
        <f>_xlfn.XLOOKUP(Orders[[#This Row],[CustomerID]],Customers[CustomerID],Customers[Gender])</f>
        <v>Female</v>
      </c>
      <c r="P369">
        <f>_xlfn.XLOOKUP(Orders[[#This Row],[CustomerID]],Customers[CustomerID],Customers[CustomerAge])</f>
        <v>20</v>
      </c>
      <c r="Q369" t="str">
        <f>IF(Orders[[#This Row],[Age]]&gt;=35,"older","young")</f>
        <v>young</v>
      </c>
      <c r="R369" t="str">
        <f>_xlfn.XLOOKUP(Orders[[#This Row],[ProductID]],Products[ProductID],Products[ProductName])</f>
        <v>GOLD RINGS</v>
      </c>
      <c r="S369" t="str">
        <f>_xlfn.XLOOKUP(Orders[[#This Row],[ProductID]],Products!A:A,Products!C:C)</f>
        <v>Accessories</v>
      </c>
    </row>
    <row r="370" spans="1:19" x14ac:dyDescent="0.2">
      <c r="A370" s="4" t="s">
        <v>548</v>
      </c>
      <c r="B370" s="5">
        <v>45983</v>
      </c>
      <c r="C370" s="15">
        <f>WEEKNUM(Orders[[#This Row],[OrderDate]])</f>
        <v>47</v>
      </c>
      <c r="D370" s="4" t="s">
        <v>416</v>
      </c>
      <c r="E370" s="4" t="s">
        <v>157</v>
      </c>
      <c r="F370" s="4">
        <v>4</v>
      </c>
      <c r="G370" s="4">
        <v>10494.300000000001</v>
      </c>
      <c r="H370">
        <v>8920.1550000000007</v>
      </c>
      <c r="I370">
        <f>Orders[[#This Row],[Quantity]]*Orders[[#This Row],[Selling Price]]</f>
        <v>41977.200000000004</v>
      </c>
      <c r="J370">
        <f>Orders[[#This Row],[Quantity]]*Orders[[#This Row],[Cost Price]]</f>
        <v>35680.620000000003</v>
      </c>
      <c r="K370">
        <f>Orders[[#This Row],[Revenue]]-Orders[[#This Row],[Expenses]]</f>
        <v>6296.5800000000017</v>
      </c>
      <c r="L370" t="s">
        <v>2209</v>
      </c>
      <c r="M370" t="str">
        <f>_xlfn.XLOOKUP(Orders[[#This Row],[CustomerID]],Customers[CustomerID],Customers[City])</f>
        <v>Texas</v>
      </c>
      <c r="N370" t="str">
        <f>_xlfn.XLOOKUP(Orders[[#This Row],[CustomerID]],Customers[CustomerID],Customers[CustomerName])</f>
        <v>Chinedu Igwe</v>
      </c>
      <c r="O370" t="str">
        <f>_xlfn.XLOOKUP(Orders[[#This Row],[CustomerID]],Customers[CustomerID],Customers[Gender])</f>
        <v>Male</v>
      </c>
      <c r="P370">
        <f>_xlfn.XLOOKUP(Orders[[#This Row],[CustomerID]],Customers[CustomerID],Customers[CustomerAge])</f>
        <v>26</v>
      </c>
      <c r="Q370" t="str">
        <f>IF(Orders[[#This Row],[Age]]&gt;=35,"older","young")</f>
        <v>young</v>
      </c>
      <c r="R370" t="str">
        <f>_xlfn.XLOOKUP(Orders[[#This Row],[ProductID]],Products[ProductID],Products[ProductName])</f>
        <v>FOOTBALL</v>
      </c>
      <c r="S370" t="str">
        <f>_xlfn.XLOOKUP(Orders[[#This Row],[ProductID]],Products!A:A,Products!C:C)</f>
        <v>Sports</v>
      </c>
    </row>
    <row r="371" spans="1:19" x14ac:dyDescent="0.2">
      <c r="A371" s="4" t="s">
        <v>549</v>
      </c>
      <c r="B371" s="5">
        <v>45954</v>
      </c>
      <c r="C371" s="15">
        <f>WEEKNUM(Orders[[#This Row],[OrderDate]])</f>
        <v>43</v>
      </c>
      <c r="D371" s="4" t="s">
        <v>210</v>
      </c>
      <c r="E371" s="4" t="s">
        <v>9</v>
      </c>
      <c r="F371" s="4">
        <v>10</v>
      </c>
      <c r="G371" s="4">
        <v>11808.900000000001</v>
      </c>
      <c r="H371">
        <v>10037.565000000001</v>
      </c>
      <c r="I371">
        <f>Orders[[#This Row],[Quantity]]*Orders[[#This Row],[Selling Price]]</f>
        <v>118089.00000000001</v>
      </c>
      <c r="J371">
        <f>Orders[[#This Row],[Quantity]]*Orders[[#This Row],[Cost Price]]</f>
        <v>100375.65000000001</v>
      </c>
      <c r="K371">
        <f>Orders[[#This Row],[Revenue]]-Orders[[#This Row],[Expenses]]</f>
        <v>17713.350000000006</v>
      </c>
      <c r="L371" t="s">
        <v>2194</v>
      </c>
      <c r="M371" t="str">
        <f>_xlfn.XLOOKUP(Orders[[#This Row],[CustomerID]],Customers[CustomerID],Customers[City])</f>
        <v>Illinois</v>
      </c>
      <c r="N371" t="str">
        <f>_xlfn.XLOOKUP(Orders[[#This Row],[CustomerID]],Customers[CustomerID],Customers[CustomerName])</f>
        <v>Zainab Bello</v>
      </c>
      <c r="O371" t="str">
        <f>_xlfn.XLOOKUP(Orders[[#This Row],[CustomerID]],Customers[CustomerID],Customers[Gender])</f>
        <v>Female</v>
      </c>
      <c r="P371">
        <f>_xlfn.XLOOKUP(Orders[[#This Row],[CustomerID]],Customers[CustomerID],Customers[CustomerAge])</f>
        <v>27</v>
      </c>
      <c r="Q371" t="str">
        <f>IF(Orders[[#This Row],[Age]]&gt;=35,"older","young")</f>
        <v>young</v>
      </c>
      <c r="R371" t="str">
        <f>_xlfn.XLOOKUP(Orders[[#This Row],[ProductID]],Products[ProductID],Products[ProductName])</f>
        <v>BEADED EARRINGS AND NECKLACES</v>
      </c>
      <c r="S371" t="str">
        <f>_xlfn.XLOOKUP(Orders[[#This Row],[ProductID]],Products!A:A,Products!C:C)</f>
        <v>Accessories</v>
      </c>
    </row>
    <row r="372" spans="1:19" x14ac:dyDescent="0.2">
      <c r="A372" s="4" t="s">
        <v>550</v>
      </c>
      <c r="B372" s="5">
        <v>45931</v>
      </c>
      <c r="C372" s="15">
        <f>WEEKNUM(Orders[[#This Row],[OrderDate]])</f>
        <v>40</v>
      </c>
      <c r="D372" s="4" t="s">
        <v>129</v>
      </c>
      <c r="E372" s="4" t="s">
        <v>151</v>
      </c>
      <c r="F372" s="4">
        <v>2</v>
      </c>
      <c r="G372" s="4">
        <v>1978.6000000000001</v>
      </c>
      <c r="H372">
        <v>1681.8100000000002</v>
      </c>
      <c r="I372">
        <f>Orders[[#This Row],[Quantity]]*Orders[[#This Row],[Selling Price]]</f>
        <v>3957.2000000000003</v>
      </c>
      <c r="J372">
        <f>Orders[[#This Row],[Quantity]]*Orders[[#This Row],[Cost Price]]</f>
        <v>3363.6200000000003</v>
      </c>
      <c r="K372">
        <f>Orders[[#This Row],[Revenue]]-Orders[[#This Row],[Expenses]]</f>
        <v>593.57999999999993</v>
      </c>
      <c r="L372" t="s">
        <v>2210</v>
      </c>
      <c r="M372" t="str">
        <f>_xlfn.XLOOKUP(Orders[[#This Row],[CustomerID]],Customers[CustomerID],Customers[City])</f>
        <v>Washington</v>
      </c>
      <c r="N372" t="str">
        <f>_xlfn.XLOOKUP(Orders[[#This Row],[CustomerID]],Customers[CustomerID],Customers[CustomerName])</f>
        <v>Chioma Ojo</v>
      </c>
      <c r="O372" t="str">
        <f>_xlfn.XLOOKUP(Orders[[#This Row],[CustomerID]],Customers[CustomerID],Customers[Gender])</f>
        <v>Female</v>
      </c>
      <c r="P372">
        <f>_xlfn.XLOOKUP(Orders[[#This Row],[CustomerID]],Customers[CustomerID],Customers[CustomerAge])</f>
        <v>46</v>
      </c>
      <c r="Q372" t="str">
        <f>IF(Orders[[#This Row],[Age]]&gt;=35,"older","young")</f>
        <v>older</v>
      </c>
      <c r="R372" t="str">
        <f>_xlfn.XLOOKUP(Orders[[#This Row],[ProductID]],Products[ProductID],Products[ProductName])</f>
        <v>CHECKERS</v>
      </c>
      <c r="S372" t="str">
        <f>_xlfn.XLOOKUP(Orders[[#This Row],[ProductID]],Products!A:A,Products!C:C)</f>
        <v>Games</v>
      </c>
    </row>
    <row r="373" spans="1:19" x14ac:dyDescent="0.2">
      <c r="A373" s="4" t="s">
        <v>551</v>
      </c>
      <c r="B373" s="5">
        <v>46004</v>
      </c>
      <c r="C373" s="15">
        <f>WEEKNUM(Orders[[#This Row],[OrderDate]])</f>
        <v>50</v>
      </c>
      <c r="D373" s="4" t="s">
        <v>552</v>
      </c>
      <c r="E373" s="4" t="s">
        <v>53</v>
      </c>
      <c r="F373" s="4">
        <v>9</v>
      </c>
      <c r="G373" s="4">
        <v>6018.2000000000007</v>
      </c>
      <c r="H373">
        <v>5115.47</v>
      </c>
      <c r="I373">
        <f>Orders[[#This Row],[Quantity]]*Orders[[#This Row],[Selling Price]]</f>
        <v>54163.8</v>
      </c>
      <c r="J373">
        <f>Orders[[#This Row],[Quantity]]*Orders[[#This Row],[Cost Price]]</f>
        <v>46039.23</v>
      </c>
      <c r="K373">
        <f>Orders[[#This Row],[Revenue]]-Orders[[#This Row],[Expenses]]</f>
        <v>8124.57</v>
      </c>
      <c r="L373" t="s">
        <v>2217</v>
      </c>
      <c r="M373" t="str">
        <f>_xlfn.XLOOKUP(Orders[[#This Row],[CustomerID]],Customers[CustomerID],Customers[City])</f>
        <v>Georgia</v>
      </c>
      <c r="N373" t="str">
        <f>_xlfn.XLOOKUP(Orders[[#This Row],[CustomerID]],Customers[CustomerID],Customers[CustomerName])</f>
        <v>Chioma Eze</v>
      </c>
      <c r="O373" t="str">
        <f>_xlfn.XLOOKUP(Orders[[#This Row],[CustomerID]],Customers[CustomerID],Customers[Gender])</f>
        <v>Female</v>
      </c>
      <c r="P373">
        <f>_xlfn.XLOOKUP(Orders[[#This Row],[CustomerID]],Customers[CustomerID],Customers[CustomerAge])</f>
        <v>40</v>
      </c>
      <c r="Q373" t="str">
        <f>IF(Orders[[#This Row],[Age]]&gt;=35,"older","young")</f>
        <v>older</v>
      </c>
      <c r="R373" t="str">
        <f>_xlfn.XLOOKUP(Orders[[#This Row],[ProductID]],Products[ProductID],Products[ProductName])</f>
        <v>SILVER BANGLES</v>
      </c>
      <c r="S373" t="str">
        <f>_xlfn.XLOOKUP(Orders[[#This Row],[ProductID]],Products!A:A,Products!C:C)</f>
        <v>Accessories</v>
      </c>
    </row>
    <row r="374" spans="1:19" x14ac:dyDescent="0.2">
      <c r="A374" s="4" t="s">
        <v>553</v>
      </c>
      <c r="B374" s="5">
        <v>45944</v>
      </c>
      <c r="C374" s="15">
        <f>WEEKNUM(Orders[[#This Row],[OrderDate]])</f>
        <v>42</v>
      </c>
      <c r="D374" s="4" t="s">
        <v>80</v>
      </c>
      <c r="E374" s="4" t="s">
        <v>34</v>
      </c>
      <c r="F374" s="4">
        <v>2</v>
      </c>
      <c r="G374" s="4">
        <v>13315.8</v>
      </c>
      <c r="H374">
        <v>11318.43</v>
      </c>
      <c r="I374">
        <f>Orders[[#This Row],[Quantity]]*Orders[[#This Row],[Selling Price]]</f>
        <v>26631.599999999999</v>
      </c>
      <c r="J374">
        <f>Orders[[#This Row],[Quantity]]*Orders[[#This Row],[Cost Price]]</f>
        <v>22636.86</v>
      </c>
      <c r="K374">
        <f>Orders[[#This Row],[Revenue]]-Orders[[#This Row],[Expenses]]</f>
        <v>3994.739999999998</v>
      </c>
      <c r="L374" t="s">
        <v>2211</v>
      </c>
      <c r="M374" t="str">
        <f>_xlfn.XLOOKUP(Orders[[#This Row],[CustomerID]],Customers[CustomerID],Customers[City])</f>
        <v>Texas</v>
      </c>
      <c r="N374" t="str">
        <f>_xlfn.XLOOKUP(Orders[[#This Row],[CustomerID]],Customers[CustomerID],Customers[CustomerName])</f>
        <v>Sani Ojo</v>
      </c>
      <c r="O374" t="str">
        <f>_xlfn.XLOOKUP(Orders[[#This Row],[CustomerID]],Customers[CustomerID],Customers[Gender])</f>
        <v>Male</v>
      </c>
      <c r="P374">
        <f>_xlfn.XLOOKUP(Orders[[#This Row],[CustomerID]],Customers[CustomerID],Customers[CustomerAge])</f>
        <v>35</v>
      </c>
      <c r="Q374" t="str">
        <f>IF(Orders[[#This Row],[Age]]&gt;=35,"older","young")</f>
        <v>older</v>
      </c>
      <c r="R374" t="str">
        <f>_xlfn.XLOOKUP(Orders[[#This Row],[ProductID]],Products[ProductID],Products[ProductName])</f>
        <v>GOLD BRACELETS</v>
      </c>
      <c r="S374" t="str">
        <f>_xlfn.XLOOKUP(Orders[[#This Row],[ProductID]],Products!A:A,Products!C:C)</f>
        <v>Accessories</v>
      </c>
    </row>
    <row r="375" spans="1:19" x14ac:dyDescent="0.2">
      <c r="A375" s="4" t="s">
        <v>554</v>
      </c>
      <c r="B375" s="5">
        <v>46003</v>
      </c>
      <c r="C375" s="15">
        <f>WEEKNUM(Orders[[#This Row],[OrderDate]])</f>
        <v>50</v>
      </c>
      <c r="D375" s="4" t="s">
        <v>87</v>
      </c>
      <c r="E375" s="4" t="s">
        <v>57</v>
      </c>
      <c r="F375" s="4">
        <v>6</v>
      </c>
      <c r="G375" s="4">
        <v>4822.7</v>
      </c>
      <c r="H375">
        <v>4099.2950000000001</v>
      </c>
      <c r="I375">
        <f>Orders[[#This Row],[Quantity]]*Orders[[#This Row],[Selling Price]]</f>
        <v>28936.199999999997</v>
      </c>
      <c r="J375">
        <f>Orders[[#This Row],[Quantity]]*Orders[[#This Row],[Cost Price]]</f>
        <v>24595.77</v>
      </c>
      <c r="K375">
        <f>Orders[[#This Row],[Revenue]]-Orders[[#This Row],[Expenses]]</f>
        <v>4340.4299999999967</v>
      </c>
      <c r="L375" t="s">
        <v>2204</v>
      </c>
      <c r="M375" t="str">
        <f>_xlfn.XLOOKUP(Orders[[#This Row],[CustomerID]],Customers[CustomerID],Customers[City])</f>
        <v>Illinois</v>
      </c>
      <c r="N375" t="str">
        <f>_xlfn.XLOOKUP(Orders[[#This Row],[CustomerID]],Customers[CustomerID],Customers[CustomerName])</f>
        <v>Efe Igwe</v>
      </c>
      <c r="O375" t="str">
        <f>_xlfn.XLOOKUP(Orders[[#This Row],[CustomerID]],Customers[CustomerID],Customers[Gender])</f>
        <v>Female</v>
      </c>
      <c r="P375">
        <f>_xlfn.XLOOKUP(Orders[[#This Row],[CustomerID]],Customers[CustomerID],Customers[CustomerAge])</f>
        <v>34</v>
      </c>
      <c r="Q375" t="str">
        <f>IF(Orders[[#This Row],[Age]]&gt;=35,"older","young")</f>
        <v>young</v>
      </c>
      <c r="R375" t="str">
        <f>_xlfn.XLOOKUP(Orders[[#This Row],[ProductID]],Products[ProductID],Products[ProductName])</f>
        <v>BADMINTON RACKET</v>
      </c>
      <c r="S375" t="str">
        <f>_xlfn.XLOOKUP(Orders[[#This Row],[ProductID]],Products!A:A,Products!C:C)</f>
        <v>Sports</v>
      </c>
    </row>
    <row r="376" spans="1:19" x14ac:dyDescent="0.2">
      <c r="A376" s="4" t="s">
        <v>555</v>
      </c>
      <c r="B376" s="5">
        <v>46018</v>
      </c>
      <c r="C376" s="15">
        <f>WEEKNUM(Orders[[#This Row],[OrderDate]])</f>
        <v>52</v>
      </c>
      <c r="D376" s="4" t="s">
        <v>17</v>
      </c>
      <c r="E376" s="4" t="s">
        <v>84</v>
      </c>
      <c r="F376" s="4">
        <v>2</v>
      </c>
      <c r="G376" s="4">
        <v>13934.5</v>
      </c>
      <c r="H376">
        <v>11844.325000000001</v>
      </c>
      <c r="I376">
        <f>Orders[[#This Row],[Quantity]]*Orders[[#This Row],[Selling Price]]</f>
        <v>27869</v>
      </c>
      <c r="J376">
        <f>Orders[[#This Row],[Quantity]]*Orders[[#This Row],[Cost Price]]</f>
        <v>23688.65</v>
      </c>
      <c r="K376">
        <f>Orders[[#This Row],[Revenue]]-Orders[[#This Row],[Expenses]]</f>
        <v>4180.3499999999985</v>
      </c>
      <c r="L376" t="s">
        <v>2216</v>
      </c>
      <c r="M376" t="str">
        <f>_xlfn.XLOOKUP(Orders[[#This Row],[CustomerID]],Customers[CustomerID],Customers[City])</f>
        <v>Illinois</v>
      </c>
      <c r="N376" t="str">
        <f>_xlfn.XLOOKUP(Orders[[#This Row],[CustomerID]],Customers[CustomerID],Customers[CustomerName])</f>
        <v>Bisi Adeyemi</v>
      </c>
      <c r="O376" t="str">
        <f>_xlfn.XLOOKUP(Orders[[#This Row],[CustomerID]],Customers[CustomerID],Customers[Gender])</f>
        <v>Female</v>
      </c>
      <c r="P376">
        <f>_xlfn.XLOOKUP(Orders[[#This Row],[CustomerID]],Customers[CustomerID],Customers[CustomerAge])</f>
        <v>48</v>
      </c>
      <c r="Q376" t="str">
        <f>IF(Orders[[#This Row],[Age]]&gt;=35,"older","young")</f>
        <v>older</v>
      </c>
      <c r="R376" t="str">
        <f>_xlfn.XLOOKUP(Orders[[#This Row],[ProductID]],Products[ProductID],Products[ProductName])</f>
        <v>GYM WEARS</v>
      </c>
      <c r="S376" t="str">
        <f>_xlfn.XLOOKUP(Orders[[#This Row],[ProductID]],Products!A:A,Products!C:C)</f>
        <v>Clothing</v>
      </c>
    </row>
    <row r="377" spans="1:19" x14ac:dyDescent="0.2">
      <c r="A377" s="4" t="s">
        <v>556</v>
      </c>
      <c r="B377" s="5">
        <v>45942</v>
      </c>
      <c r="C377" s="15">
        <f>WEEKNUM(Orders[[#This Row],[OrderDate]])</f>
        <v>42</v>
      </c>
      <c r="D377" s="4" t="s">
        <v>309</v>
      </c>
      <c r="E377" s="4" t="s">
        <v>84</v>
      </c>
      <c r="F377" s="4">
        <v>5</v>
      </c>
      <c r="G377" s="4">
        <v>9378</v>
      </c>
      <c r="H377">
        <v>7971.3</v>
      </c>
      <c r="I377">
        <f>Orders[[#This Row],[Quantity]]*Orders[[#This Row],[Selling Price]]</f>
        <v>46890</v>
      </c>
      <c r="J377">
        <f>Orders[[#This Row],[Quantity]]*Orders[[#This Row],[Cost Price]]</f>
        <v>39856.5</v>
      </c>
      <c r="K377">
        <f>Orders[[#This Row],[Revenue]]-Orders[[#This Row],[Expenses]]</f>
        <v>7033.5</v>
      </c>
      <c r="L377" t="s">
        <v>2205</v>
      </c>
      <c r="M377" t="str">
        <f>_xlfn.XLOOKUP(Orders[[#This Row],[CustomerID]],Customers[CustomerID],Customers[City])</f>
        <v>Washington</v>
      </c>
      <c r="N377" t="str">
        <f>_xlfn.XLOOKUP(Orders[[#This Row],[CustomerID]],Customers[CustomerID],Customers[CustomerName])</f>
        <v>Temi Ojo</v>
      </c>
      <c r="O377" t="str">
        <f>_xlfn.XLOOKUP(Orders[[#This Row],[CustomerID]],Customers[CustomerID],Customers[Gender])</f>
        <v>Female</v>
      </c>
      <c r="P377">
        <f>_xlfn.XLOOKUP(Orders[[#This Row],[CustomerID]],Customers[CustomerID],Customers[CustomerAge])</f>
        <v>36</v>
      </c>
      <c r="Q377" t="str">
        <f>IF(Orders[[#This Row],[Age]]&gt;=35,"older","young")</f>
        <v>older</v>
      </c>
      <c r="R377" t="str">
        <f>_xlfn.XLOOKUP(Orders[[#This Row],[ProductID]],Products[ProductID],Products[ProductName])</f>
        <v>GYM WEARS</v>
      </c>
      <c r="S377" t="str">
        <f>_xlfn.XLOOKUP(Orders[[#This Row],[ProductID]],Products!A:A,Products!C:C)</f>
        <v>Clothing</v>
      </c>
    </row>
    <row r="378" spans="1:19" x14ac:dyDescent="0.2">
      <c r="A378" s="4" t="s">
        <v>557</v>
      </c>
      <c r="B378" s="5">
        <v>46013</v>
      </c>
      <c r="C378" s="15">
        <f>WEEKNUM(Orders[[#This Row],[OrderDate]])</f>
        <v>52</v>
      </c>
      <c r="D378" s="4" t="s">
        <v>272</v>
      </c>
      <c r="E378" s="4" t="s">
        <v>9</v>
      </c>
      <c r="F378" s="4">
        <v>4</v>
      </c>
      <c r="G378" s="4">
        <v>6823.4000000000005</v>
      </c>
      <c r="H378">
        <v>5799.89</v>
      </c>
      <c r="I378">
        <f>Orders[[#This Row],[Quantity]]*Orders[[#This Row],[Selling Price]]</f>
        <v>27293.600000000002</v>
      </c>
      <c r="J378">
        <f>Orders[[#This Row],[Quantity]]*Orders[[#This Row],[Cost Price]]</f>
        <v>23199.56</v>
      </c>
      <c r="K378">
        <f>Orders[[#This Row],[Revenue]]-Orders[[#This Row],[Expenses]]</f>
        <v>4094.0400000000009</v>
      </c>
      <c r="L378" t="s">
        <v>2213</v>
      </c>
      <c r="M378" t="str">
        <f>_xlfn.XLOOKUP(Orders[[#This Row],[CustomerID]],Customers[CustomerID],Customers[City])</f>
        <v>Florida</v>
      </c>
      <c r="N378" t="str">
        <f>_xlfn.XLOOKUP(Orders[[#This Row],[CustomerID]],Customers[CustomerID],Customers[CustomerName])</f>
        <v>Blessing Bello</v>
      </c>
      <c r="O378" t="str">
        <f>_xlfn.XLOOKUP(Orders[[#This Row],[CustomerID]],Customers[CustomerID],Customers[Gender])</f>
        <v>Female</v>
      </c>
      <c r="P378">
        <f>_xlfn.XLOOKUP(Orders[[#This Row],[CustomerID]],Customers[CustomerID],Customers[CustomerAge])</f>
        <v>38</v>
      </c>
      <c r="Q378" t="str">
        <f>IF(Orders[[#This Row],[Age]]&gt;=35,"older","young")</f>
        <v>older</v>
      </c>
      <c r="R378" t="str">
        <f>_xlfn.XLOOKUP(Orders[[#This Row],[ProductID]],Products[ProductID],Products[ProductName])</f>
        <v>BEADED EARRINGS AND NECKLACES</v>
      </c>
      <c r="S378" t="str">
        <f>_xlfn.XLOOKUP(Orders[[#This Row],[ProductID]],Products!A:A,Products!C:C)</f>
        <v>Accessories</v>
      </c>
    </row>
    <row r="379" spans="1:19" x14ac:dyDescent="0.2">
      <c r="A379" s="4" t="s">
        <v>558</v>
      </c>
      <c r="B379" s="5">
        <v>45993</v>
      </c>
      <c r="C379" s="15">
        <f>WEEKNUM(Orders[[#This Row],[OrderDate]])</f>
        <v>49</v>
      </c>
      <c r="D379" s="4" t="s">
        <v>174</v>
      </c>
      <c r="E379" s="4" t="s">
        <v>232</v>
      </c>
      <c r="F379" s="4">
        <v>6</v>
      </c>
      <c r="G379" s="4">
        <v>7493.2000000000007</v>
      </c>
      <c r="H379">
        <v>6369.2200000000012</v>
      </c>
      <c r="I379">
        <f>Orders[[#This Row],[Quantity]]*Orders[[#This Row],[Selling Price]]</f>
        <v>44959.200000000004</v>
      </c>
      <c r="J379">
        <f>Orders[[#This Row],[Quantity]]*Orders[[#This Row],[Cost Price]]</f>
        <v>38215.320000000007</v>
      </c>
      <c r="K379">
        <f>Orders[[#This Row],[Revenue]]-Orders[[#This Row],[Expenses]]</f>
        <v>6743.8799999999974</v>
      </c>
      <c r="L379" t="s">
        <v>2199</v>
      </c>
      <c r="M379" t="str">
        <f>_xlfn.XLOOKUP(Orders[[#This Row],[CustomerID]],Customers[CustomerID],Customers[City])</f>
        <v>California</v>
      </c>
      <c r="N379" t="str">
        <f>_xlfn.XLOOKUP(Orders[[#This Row],[CustomerID]],Customers[CustomerID],Customers[CustomerName])</f>
        <v>Zainab Obi</v>
      </c>
      <c r="O379" t="str">
        <f>_xlfn.XLOOKUP(Orders[[#This Row],[CustomerID]],Customers[CustomerID],Customers[Gender])</f>
        <v>Female</v>
      </c>
      <c r="P379">
        <f>_xlfn.XLOOKUP(Orders[[#This Row],[CustomerID]],Customers[CustomerID],Customers[CustomerAge])</f>
        <v>18</v>
      </c>
      <c r="Q379" t="str">
        <f>IF(Orders[[#This Row],[Age]]&gt;=35,"older","young")</f>
        <v>young</v>
      </c>
      <c r="R379" t="str">
        <f>_xlfn.XLOOKUP(Orders[[#This Row],[ProductID]],Products[ProductID],Products[ProductName])</f>
        <v>ANKARA</v>
      </c>
      <c r="S379" t="str">
        <f>_xlfn.XLOOKUP(Orders[[#This Row],[ProductID]],Products!A:A,Products!C:C)</f>
        <v>Clothing</v>
      </c>
    </row>
    <row r="380" spans="1:19" x14ac:dyDescent="0.2">
      <c r="A380" s="4" t="s">
        <v>559</v>
      </c>
      <c r="B380" s="5">
        <v>45995</v>
      </c>
      <c r="C380" s="15">
        <f>WEEKNUM(Orders[[#This Row],[OrderDate]])</f>
        <v>49</v>
      </c>
      <c r="D380" s="4" t="s">
        <v>154</v>
      </c>
      <c r="E380" s="4" t="s">
        <v>353</v>
      </c>
      <c r="F380" s="4">
        <v>7</v>
      </c>
      <c r="G380" s="4">
        <v>4282.5</v>
      </c>
      <c r="H380">
        <v>3640.125</v>
      </c>
      <c r="I380">
        <f>Orders[[#This Row],[Quantity]]*Orders[[#This Row],[Selling Price]]</f>
        <v>29977.5</v>
      </c>
      <c r="J380">
        <f>Orders[[#This Row],[Quantity]]*Orders[[#This Row],[Cost Price]]</f>
        <v>25480.875</v>
      </c>
      <c r="K380">
        <f>Orders[[#This Row],[Revenue]]-Orders[[#This Row],[Expenses]]</f>
        <v>4496.625</v>
      </c>
      <c r="L380" t="s">
        <v>2217</v>
      </c>
      <c r="M380" t="str">
        <f>_xlfn.XLOOKUP(Orders[[#This Row],[CustomerID]],Customers[CustomerID],Customers[City])</f>
        <v>Illinois</v>
      </c>
      <c r="N380" t="str">
        <f>_xlfn.XLOOKUP(Orders[[#This Row],[CustomerID]],Customers[CustomerID],Customers[CustomerName])</f>
        <v>Ronke Danladi</v>
      </c>
      <c r="O380" t="str">
        <f>_xlfn.XLOOKUP(Orders[[#This Row],[CustomerID]],Customers[CustomerID],Customers[Gender])</f>
        <v>Female</v>
      </c>
      <c r="P380">
        <f>_xlfn.XLOOKUP(Orders[[#This Row],[CustomerID]],Customers[CustomerID],Customers[CustomerAge])</f>
        <v>46</v>
      </c>
      <c r="Q380" t="str">
        <f>IF(Orders[[#This Row],[Age]]&gt;=35,"older","young")</f>
        <v>older</v>
      </c>
      <c r="R380" t="str">
        <f>_xlfn.XLOOKUP(Orders[[#This Row],[ProductID]],Products[ProductID],Products[ProductName])</f>
        <v>SILVER EARRINGS AND NECKLACES</v>
      </c>
      <c r="S380" t="str">
        <f>_xlfn.XLOOKUP(Orders[[#This Row],[ProductID]],Products!A:A,Products!C:C)</f>
        <v>Accessories</v>
      </c>
    </row>
    <row r="381" spans="1:19" x14ac:dyDescent="0.2">
      <c r="A381" s="4" t="s">
        <v>560</v>
      </c>
      <c r="B381" s="5">
        <v>45984</v>
      </c>
      <c r="C381" s="15">
        <f>WEEKNUM(Orders[[#This Row],[OrderDate]])</f>
        <v>48</v>
      </c>
      <c r="D381" s="4" t="s">
        <v>239</v>
      </c>
      <c r="E381" s="4" t="s">
        <v>23</v>
      </c>
      <c r="F381" s="4">
        <v>8</v>
      </c>
      <c r="G381" s="4">
        <v>16905.099999999999</v>
      </c>
      <c r="H381">
        <v>14369.334999999999</v>
      </c>
      <c r="I381">
        <f>Orders[[#This Row],[Quantity]]*Orders[[#This Row],[Selling Price]]</f>
        <v>135240.79999999999</v>
      </c>
      <c r="J381">
        <f>Orders[[#This Row],[Quantity]]*Orders[[#This Row],[Cost Price]]</f>
        <v>114954.68</v>
      </c>
      <c r="K381">
        <f>Orders[[#This Row],[Revenue]]-Orders[[#This Row],[Expenses]]</f>
        <v>20286.119999999995</v>
      </c>
      <c r="L381" t="s">
        <v>2218</v>
      </c>
      <c r="M381" t="str">
        <f>_xlfn.XLOOKUP(Orders[[#This Row],[CustomerID]],Customers[CustomerID],Customers[City])</f>
        <v>Florida</v>
      </c>
      <c r="N381" t="str">
        <f>_xlfn.XLOOKUP(Orders[[#This Row],[CustomerID]],Customers[CustomerID],Customers[CustomerName])</f>
        <v>Emeka Danladi</v>
      </c>
      <c r="O381" t="str">
        <f>_xlfn.XLOOKUP(Orders[[#This Row],[CustomerID]],Customers[CustomerID],Customers[Gender])</f>
        <v>Male</v>
      </c>
      <c r="P381">
        <f>_xlfn.XLOOKUP(Orders[[#This Row],[CustomerID]],Customers[CustomerID],Customers[CustomerAge])</f>
        <v>23</v>
      </c>
      <c r="Q381" t="str">
        <f>IF(Orders[[#This Row],[Age]]&gt;=35,"older","young")</f>
        <v>young</v>
      </c>
      <c r="R381" t="str">
        <f>_xlfn.XLOOKUP(Orders[[#This Row],[ProductID]],Products[ProductID],Products[ProductName])</f>
        <v>GYM GLOVES</v>
      </c>
      <c r="S381" t="str">
        <f>_xlfn.XLOOKUP(Orders[[#This Row],[ProductID]],Products!A:A,Products!C:C)</f>
        <v>Gym</v>
      </c>
    </row>
    <row r="382" spans="1:19" x14ac:dyDescent="0.2">
      <c r="A382" s="4" t="s">
        <v>561</v>
      </c>
      <c r="B382" s="5">
        <v>45988</v>
      </c>
      <c r="C382" s="15">
        <f>WEEKNUM(Orders[[#This Row],[OrderDate]])</f>
        <v>48</v>
      </c>
      <c r="D382" s="4" t="s">
        <v>174</v>
      </c>
      <c r="E382" s="4" t="s">
        <v>84</v>
      </c>
      <c r="F382" s="4">
        <v>1</v>
      </c>
      <c r="G382" s="4">
        <v>12632.6</v>
      </c>
      <c r="H382">
        <v>10737.710000000001</v>
      </c>
      <c r="I382">
        <f>Orders[[#This Row],[Quantity]]*Orders[[#This Row],[Selling Price]]</f>
        <v>12632.6</v>
      </c>
      <c r="J382">
        <f>Orders[[#This Row],[Quantity]]*Orders[[#This Row],[Cost Price]]</f>
        <v>10737.710000000001</v>
      </c>
      <c r="K382">
        <f>Orders[[#This Row],[Revenue]]-Orders[[#This Row],[Expenses]]</f>
        <v>1894.8899999999994</v>
      </c>
      <c r="L382" t="s">
        <v>2215</v>
      </c>
      <c r="M382" t="str">
        <f>_xlfn.XLOOKUP(Orders[[#This Row],[CustomerID]],Customers[CustomerID],Customers[City])</f>
        <v>California</v>
      </c>
      <c r="N382" t="str">
        <f>_xlfn.XLOOKUP(Orders[[#This Row],[CustomerID]],Customers[CustomerID],Customers[CustomerName])</f>
        <v>Zainab Obi</v>
      </c>
      <c r="O382" t="str">
        <f>_xlfn.XLOOKUP(Orders[[#This Row],[CustomerID]],Customers[CustomerID],Customers[Gender])</f>
        <v>Female</v>
      </c>
      <c r="P382">
        <f>_xlfn.XLOOKUP(Orders[[#This Row],[CustomerID]],Customers[CustomerID],Customers[CustomerAge])</f>
        <v>18</v>
      </c>
      <c r="Q382" t="str">
        <f>IF(Orders[[#This Row],[Age]]&gt;=35,"older","young")</f>
        <v>young</v>
      </c>
      <c r="R382" t="str">
        <f>_xlfn.XLOOKUP(Orders[[#This Row],[ProductID]],Products[ProductID],Products[ProductName])</f>
        <v>GYM WEARS</v>
      </c>
      <c r="S382" t="str">
        <f>_xlfn.XLOOKUP(Orders[[#This Row],[ProductID]],Products!A:A,Products!C:C)</f>
        <v>Clothing</v>
      </c>
    </row>
    <row r="383" spans="1:19" x14ac:dyDescent="0.2">
      <c r="A383" s="4" t="s">
        <v>562</v>
      </c>
      <c r="B383" s="5">
        <v>46014</v>
      </c>
      <c r="C383" s="15">
        <f>WEEKNUM(Orders[[#This Row],[OrderDate]])</f>
        <v>52</v>
      </c>
      <c r="D383" s="4" t="s">
        <v>295</v>
      </c>
      <c r="E383" s="4" t="s">
        <v>66</v>
      </c>
      <c r="F383" s="4">
        <v>7</v>
      </c>
      <c r="G383" s="4">
        <v>3655.8999999999996</v>
      </c>
      <c r="H383">
        <v>3107.5149999999999</v>
      </c>
      <c r="I383">
        <f>Orders[[#This Row],[Quantity]]*Orders[[#This Row],[Selling Price]]</f>
        <v>25591.299999999996</v>
      </c>
      <c r="J383">
        <f>Orders[[#This Row],[Quantity]]*Orders[[#This Row],[Cost Price]]</f>
        <v>21752.605</v>
      </c>
      <c r="K383">
        <f>Orders[[#This Row],[Revenue]]-Orders[[#This Row],[Expenses]]</f>
        <v>3838.6949999999961</v>
      </c>
      <c r="L383" t="s">
        <v>2197</v>
      </c>
      <c r="M383" t="str">
        <f>_xlfn.XLOOKUP(Orders[[#This Row],[CustomerID]],Customers[CustomerID],Customers[City])</f>
        <v>Texas</v>
      </c>
      <c r="N383" t="str">
        <f>_xlfn.XLOOKUP(Orders[[#This Row],[CustomerID]],Customers[CustomerID],Customers[CustomerName])</f>
        <v>Sani Obi</v>
      </c>
      <c r="O383" t="str">
        <f>_xlfn.XLOOKUP(Orders[[#This Row],[CustomerID]],Customers[CustomerID],Customers[Gender])</f>
        <v>Male</v>
      </c>
      <c r="P383">
        <f>_xlfn.XLOOKUP(Orders[[#This Row],[CustomerID]],Customers[CustomerID],Customers[CustomerAge])</f>
        <v>31</v>
      </c>
      <c r="Q383" t="str">
        <f>IF(Orders[[#This Row],[Age]]&gt;=35,"older","young")</f>
        <v>young</v>
      </c>
      <c r="R383" t="str">
        <f>_xlfn.XLOOKUP(Orders[[#This Row],[ProductID]],Products[ProductID],Products[ProductName])</f>
        <v>MICROWAVE</v>
      </c>
      <c r="S383" t="str">
        <f>_xlfn.XLOOKUP(Orders[[#This Row],[ProductID]],Products!A:A,Products!C:C)</f>
        <v>Electronics</v>
      </c>
    </row>
    <row r="384" spans="1:19" x14ac:dyDescent="0.2">
      <c r="A384" s="4" t="s">
        <v>563</v>
      </c>
      <c r="B384" s="5">
        <v>45943</v>
      </c>
      <c r="C384" s="15">
        <f>WEEKNUM(Orders[[#This Row],[OrderDate]])</f>
        <v>42</v>
      </c>
      <c r="D384" s="4" t="s">
        <v>564</v>
      </c>
      <c r="E384" s="4" t="s">
        <v>23</v>
      </c>
      <c r="F384" s="4">
        <v>8</v>
      </c>
      <c r="G384" s="4">
        <v>11452.1</v>
      </c>
      <c r="H384">
        <v>9734.2849999999999</v>
      </c>
      <c r="I384">
        <f>Orders[[#This Row],[Quantity]]*Orders[[#This Row],[Selling Price]]</f>
        <v>91616.8</v>
      </c>
      <c r="J384">
        <f>Orders[[#This Row],[Quantity]]*Orders[[#This Row],[Cost Price]]</f>
        <v>77874.28</v>
      </c>
      <c r="K384">
        <f>Orders[[#This Row],[Revenue]]-Orders[[#This Row],[Expenses]]</f>
        <v>13742.520000000004</v>
      </c>
      <c r="L384" t="s">
        <v>2204</v>
      </c>
      <c r="M384" t="str">
        <f>_xlfn.XLOOKUP(Orders[[#This Row],[CustomerID]],Customers[CustomerID],Customers[City])</f>
        <v>Georgia</v>
      </c>
      <c r="N384" t="str">
        <f>_xlfn.XLOOKUP(Orders[[#This Row],[CustomerID]],Customers[CustomerID],Customers[CustomerName])</f>
        <v>Blessing Eze</v>
      </c>
      <c r="O384" t="str">
        <f>_xlfn.XLOOKUP(Orders[[#This Row],[CustomerID]],Customers[CustomerID],Customers[Gender])</f>
        <v>Female</v>
      </c>
      <c r="P384">
        <f>_xlfn.XLOOKUP(Orders[[#This Row],[CustomerID]],Customers[CustomerID],Customers[CustomerAge])</f>
        <v>19</v>
      </c>
      <c r="Q384" t="str">
        <f>IF(Orders[[#This Row],[Age]]&gt;=35,"older","young")</f>
        <v>young</v>
      </c>
      <c r="R384" t="str">
        <f>_xlfn.XLOOKUP(Orders[[#This Row],[ProductID]],Products[ProductID],Products[ProductName])</f>
        <v>GYM GLOVES</v>
      </c>
      <c r="S384" t="str">
        <f>_xlfn.XLOOKUP(Orders[[#This Row],[ProductID]],Products!A:A,Products!C:C)</f>
        <v>Gym</v>
      </c>
    </row>
    <row r="385" spans="1:19" x14ac:dyDescent="0.2">
      <c r="A385" s="4" t="s">
        <v>565</v>
      </c>
      <c r="B385" s="5">
        <v>45976</v>
      </c>
      <c r="C385" s="15">
        <f>WEEKNUM(Orders[[#This Row],[OrderDate]])</f>
        <v>46</v>
      </c>
      <c r="D385" s="4" t="s">
        <v>410</v>
      </c>
      <c r="E385" s="4" t="s">
        <v>84</v>
      </c>
      <c r="F385" s="4">
        <v>5</v>
      </c>
      <c r="G385" s="4">
        <v>18578</v>
      </c>
      <c r="H385">
        <v>15791.3</v>
      </c>
      <c r="I385">
        <f>Orders[[#This Row],[Quantity]]*Orders[[#This Row],[Selling Price]]</f>
        <v>92890</v>
      </c>
      <c r="J385">
        <f>Orders[[#This Row],[Quantity]]*Orders[[#This Row],[Cost Price]]</f>
        <v>78956.5</v>
      </c>
      <c r="K385">
        <f>Orders[[#This Row],[Revenue]]-Orders[[#This Row],[Expenses]]</f>
        <v>13933.5</v>
      </c>
      <c r="L385" t="s">
        <v>2220</v>
      </c>
      <c r="M385" t="str">
        <f>_xlfn.XLOOKUP(Orders[[#This Row],[CustomerID]],Customers[CustomerID],Customers[City])</f>
        <v>Texas</v>
      </c>
      <c r="N385" t="str">
        <f>_xlfn.XLOOKUP(Orders[[#This Row],[CustomerID]],Customers[CustomerID],Customers[CustomerName])</f>
        <v>Jane Thomas</v>
      </c>
      <c r="O385" t="str">
        <f>_xlfn.XLOOKUP(Orders[[#This Row],[CustomerID]],Customers[CustomerID],Customers[Gender])</f>
        <v>Male</v>
      </c>
      <c r="P385">
        <f>_xlfn.XLOOKUP(Orders[[#This Row],[CustomerID]],Customers[CustomerID],Customers[CustomerAge])</f>
        <v>21</v>
      </c>
      <c r="Q385" t="str">
        <f>IF(Orders[[#This Row],[Age]]&gt;=35,"older","young")</f>
        <v>young</v>
      </c>
      <c r="R385" t="str">
        <f>_xlfn.XLOOKUP(Orders[[#This Row],[ProductID]],Products[ProductID],Products[ProductName])</f>
        <v>GYM WEARS</v>
      </c>
      <c r="S385" t="str">
        <f>_xlfn.XLOOKUP(Orders[[#This Row],[ProductID]],Products!A:A,Products!C:C)</f>
        <v>Clothing</v>
      </c>
    </row>
    <row r="386" spans="1:19" x14ac:dyDescent="0.2">
      <c r="A386" s="4" t="s">
        <v>566</v>
      </c>
      <c r="B386" s="5">
        <v>46010</v>
      </c>
      <c r="C386" s="15">
        <f>WEEKNUM(Orders[[#This Row],[OrderDate]])</f>
        <v>51</v>
      </c>
      <c r="D386" s="4" t="s">
        <v>346</v>
      </c>
      <c r="E386" s="4" t="s">
        <v>23</v>
      </c>
      <c r="F386" s="4">
        <v>10</v>
      </c>
      <c r="G386" s="4">
        <v>19204.400000000001</v>
      </c>
      <c r="H386">
        <v>16323.740000000002</v>
      </c>
      <c r="I386">
        <f>Orders[[#This Row],[Quantity]]*Orders[[#This Row],[Selling Price]]</f>
        <v>192044</v>
      </c>
      <c r="J386">
        <f>Orders[[#This Row],[Quantity]]*Orders[[#This Row],[Cost Price]]</f>
        <v>163237.40000000002</v>
      </c>
      <c r="K386">
        <f>Orders[[#This Row],[Revenue]]-Orders[[#This Row],[Expenses]]</f>
        <v>28806.599999999977</v>
      </c>
      <c r="L386" t="s">
        <v>2202</v>
      </c>
      <c r="M386" t="str">
        <f>_xlfn.XLOOKUP(Orders[[#This Row],[CustomerID]],Customers[CustomerID],Customers[City])</f>
        <v>California</v>
      </c>
      <c r="N386" t="str">
        <f>_xlfn.XLOOKUP(Orders[[#This Row],[CustomerID]],Customers[CustomerID],Customers[CustomerName])</f>
        <v>Ngozi Danladi</v>
      </c>
      <c r="O386" t="str">
        <f>_xlfn.XLOOKUP(Orders[[#This Row],[CustomerID]],Customers[CustomerID],Customers[Gender])</f>
        <v>Female</v>
      </c>
      <c r="P386">
        <f>_xlfn.XLOOKUP(Orders[[#This Row],[CustomerID]],Customers[CustomerID],Customers[CustomerAge])</f>
        <v>30</v>
      </c>
      <c r="Q386" t="str">
        <f>IF(Orders[[#This Row],[Age]]&gt;=35,"older","young")</f>
        <v>young</v>
      </c>
      <c r="R386" t="str">
        <f>_xlfn.XLOOKUP(Orders[[#This Row],[ProductID]],Products[ProductID],Products[ProductName])</f>
        <v>GYM GLOVES</v>
      </c>
      <c r="S386" t="str">
        <f>_xlfn.XLOOKUP(Orders[[#This Row],[ProductID]],Products!A:A,Products!C:C)</f>
        <v>Gym</v>
      </c>
    </row>
    <row r="387" spans="1:19" x14ac:dyDescent="0.2">
      <c r="A387" s="4" t="s">
        <v>567</v>
      </c>
      <c r="B387" s="5">
        <v>45998</v>
      </c>
      <c r="C387" s="15">
        <f>WEEKNUM(Orders[[#This Row],[OrderDate]])</f>
        <v>50</v>
      </c>
      <c r="D387" s="4" t="s">
        <v>62</v>
      </c>
      <c r="E387" s="4" t="s">
        <v>125</v>
      </c>
      <c r="F387" s="4">
        <v>10</v>
      </c>
      <c r="G387" s="4">
        <v>7874.9</v>
      </c>
      <c r="H387">
        <v>6693.665</v>
      </c>
      <c r="I387">
        <f>Orders[[#This Row],[Quantity]]*Orders[[#This Row],[Selling Price]]</f>
        <v>78749</v>
      </c>
      <c r="J387">
        <f>Orders[[#This Row],[Quantity]]*Orders[[#This Row],[Cost Price]]</f>
        <v>66936.649999999994</v>
      </c>
      <c r="K387">
        <f>Orders[[#This Row],[Revenue]]-Orders[[#This Row],[Expenses]]</f>
        <v>11812.350000000006</v>
      </c>
      <c r="L387" t="s">
        <v>2202</v>
      </c>
      <c r="M387" t="str">
        <f>_xlfn.XLOOKUP(Orders[[#This Row],[CustomerID]],Customers[CustomerID],Customers[City])</f>
        <v>Texas</v>
      </c>
      <c r="N387" t="str">
        <f>_xlfn.XLOOKUP(Orders[[#This Row],[CustomerID]],Customers[CustomerID],Customers[CustomerName])</f>
        <v>Ronke Okonkwo</v>
      </c>
      <c r="O387" t="str">
        <f>_xlfn.XLOOKUP(Orders[[#This Row],[CustomerID]],Customers[CustomerID],Customers[Gender])</f>
        <v>Female</v>
      </c>
      <c r="P387">
        <f>_xlfn.XLOOKUP(Orders[[#This Row],[CustomerID]],Customers[CustomerID],Customers[CustomerAge])</f>
        <v>36</v>
      </c>
      <c r="Q387" t="str">
        <f>IF(Orders[[#This Row],[Age]]&gt;=35,"older","young")</f>
        <v>older</v>
      </c>
      <c r="R387" t="str">
        <f>_xlfn.XLOOKUP(Orders[[#This Row],[ProductID]],Products[ProductID],Products[ProductName])</f>
        <v>EARRINGS</v>
      </c>
      <c r="S387" t="str">
        <f>_xlfn.XLOOKUP(Orders[[#This Row],[ProductID]],Products!A:A,Products!C:C)</f>
        <v>Accessories</v>
      </c>
    </row>
    <row r="388" spans="1:19" x14ac:dyDescent="0.2">
      <c r="A388" s="4" t="s">
        <v>568</v>
      </c>
      <c r="B388" s="5">
        <v>45931</v>
      </c>
      <c r="C388" s="15">
        <f>WEEKNUM(Orders[[#This Row],[OrderDate]])</f>
        <v>40</v>
      </c>
      <c r="D388" s="4" t="s">
        <v>374</v>
      </c>
      <c r="E388" s="4" t="s">
        <v>20</v>
      </c>
      <c r="F388" s="4">
        <v>5</v>
      </c>
      <c r="G388" s="4">
        <v>16275.5</v>
      </c>
      <c r="H388">
        <v>13834.174999999999</v>
      </c>
      <c r="I388">
        <f>Orders[[#This Row],[Quantity]]*Orders[[#This Row],[Selling Price]]</f>
        <v>81377.5</v>
      </c>
      <c r="J388">
        <f>Orders[[#This Row],[Quantity]]*Orders[[#This Row],[Cost Price]]</f>
        <v>69170.875</v>
      </c>
      <c r="K388">
        <f>Orders[[#This Row],[Revenue]]-Orders[[#This Row],[Expenses]]</f>
        <v>12206.625</v>
      </c>
      <c r="L388" t="s">
        <v>2215</v>
      </c>
      <c r="M388" t="str">
        <f>_xlfn.XLOOKUP(Orders[[#This Row],[CustomerID]],Customers[CustomerID],Customers[City])</f>
        <v>Texas</v>
      </c>
      <c r="N388" t="str">
        <f>_xlfn.XLOOKUP(Orders[[#This Row],[CustomerID]],Customers[CustomerID],Customers[CustomerName])</f>
        <v>Uche Okonkwo</v>
      </c>
      <c r="O388" t="str">
        <f>_xlfn.XLOOKUP(Orders[[#This Row],[CustomerID]],Customers[CustomerID],Customers[Gender])</f>
        <v>Male</v>
      </c>
      <c r="P388">
        <f>_xlfn.XLOOKUP(Orders[[#This Row],[CustomerID]],Customers[CustomerID],Customers[CustomerAge])</f>
        <v>27</v>
      </c>
      <c r="Q388" t="str">
        <f>IF(Orders[[#This Row],[Age]]&gt;=35,"older","young")</f>
        <v>young</v>
      </c>
      <c r="R388" t="str">
        <f>_xlfn.XLOOKUP(Orders[[#This Row],[ProductID]],Products[ProductID],Products[ProductName])</f>
        <v>GYM BAG</v>
      </c>
      <c r="S388" t="str">
        <f>_xlfn.XLOOKUP(Orders[[#This Row],[ProductID]],Products!A:A,Products!C:C)</f>
        <v>Gym</v>
      </c>
    </row>
    <row r="389" spans="1:19" x14ac:dyDescent="0.2">
      <c r="A389" s="4" t="s">
        <v>569</v>
      </c>
      <c r="B389" s="5">
        <v>45987</v>
      </c>
      <c r="C389" s="15">
        <f>WEEKNUM(Orders[[#This Row],[OrderDate]])</f>
        <v>48</v>
      </c>
      <c r="D389" s="4" t="s">
        <v>481</v>
      </c>
      <c r="E389" s="4" t="s">
        <v>111</v>
      </c>
      <c r="F389" s="4">
        <v>3</v>
      </c>
      <c r="G389" s="4">
        <v>16806.5</v>
      </c>
      <c r="H389">
        <v>14285.525</v>
      </c>
      <c r="I389">
        <f>Orders[[#This Row],[Quantity]]*Orders[[#This Row],[Selling Price]]</f>
        <v>50419.5</v>
      </c>
      <c r="J389">
        <f>Orders[[#This Row],[Quantity]]*Orders[[#This Row],[Cost Price]]</f>
        <v>42856.574999999997</v>
      </c>
      <c r="K389">
        <f>Orders[[#This Row],[Revenue]]-Orders[[#This Row],[Expenses]]</f>
        <v>7562.9250000000029</v>
      </c>
      <c r="L389" t="s">
        <v>2202</v>
      </c>
      <c r="M389" t="str">
        <f>_xlfn.XLOOKUP(Orders[[#This Row],[CustomerID]],Customers[CustomerID],Customers[City])</f>
        <v>Illinois</v>
      </c>
      <c r="N389" t="str">
        <f>_xlfn.XLOOKUP(Orders[[#This Row],[CustomerID]],Customers[CustomerID],Customers[CustomerName])</f>
        <v>Abiola Bello</v>
      </c>
      <c r="O389" t="str">
        <f>_xlfn.XLOOKUP(Orders[[#This Row],[CustomerID]],Customers[CustomerID],Customers[Gender])</f>
        <v>Male</v>
      </c>
      <c r="P389">
        <f>_xlfn.XLOOKUP(Orders[[#This Row],[CustomerID]],Customers[CustomerID],Customers[CustomerAge])</f>
        <v>33</v>
      </c>
      <c r="Q389" t="str">
        <f>IF(Orders[[#This Row],[Age]]&gt;=35,"older","young")</f>
        <v>young</v>
      </c>
      <c r="R389" t="str">
        <f>_xlfn.XLOOKUP(Orders[[#This Row],[ProductID]],Products[ProductID],Products[ProductName])</f>
        <v>REFRIGERATOR</v>
      </c>
      <c r="S389" t="str">
        <f>_xlfn.XLOOKUP(Orders[[#This Row],[ProductID]],Products!A:A,Products!C:C)</f>
        <v>Electronics</v>
      </c>
    </row>
    <row r="390" spans="1:19" x14ac:dyDescent="0.2">
      <c r="A390" s="4" t="s">
        <v>570</v>
      </c>
      <c r="B390" s="5">
        <v>45958</v>
      </c>
      <c r="C390" s="15">
        <f>WEEKNUM(Orders[[#This Row],[OrderDate]])</f>
        <v>44</v>
      </c>
      <c r="D390" s="4" t="s">
        <v>176</v>
      </c>
      <c r="E390" s="4" t="s">
        <v>60</v>
      </c>
      <c r="F390" s="4">
        <v>6</v>
      </c>
      <c r="G390" s="4">
        <v>7853.0999999999995</v>
      </c>
      <c r="H390">
        <v>6675.1349999999993</v>
      </c>
      <c r="I390">
        <f>Orders[[#This Row],[Quantity]]*Orders[[#This Row],[Selling Price]]</f>
        <v>47118.6</v>
      </c>
      <c r="J390">
        <f>Orders[[#This Row],[Quantity]]*Orders[[#This Row],[Cost Price]]</f>
        <v>40050.81</v>
      </c>
      <c r="K390">
        <f>Orders[[#This Row],[Revenue]]-Orders[[#This Row],[Expenses]]</f>
        <v>7067.7900000000009</v>
      </c>
      <c r="L390" t="s">
        <v>2193</v>
      </c>
      <c r="M390" t="str">
        <f>_xlfn.XLOOKUP(Orders[[#This Row],[CustomerID]],Customers[CustomerID],Customers[City])</f>
        <v>Florida</v>
      </c>
      <c r="N390" t="str">
        <f>_xlfn.XLOOKUP(Orders[[#This Row],[CustomerID]],Customers[CustomerID],Customers[CustomerName])</f>
        <v>Okon Eze</v>
      </c>
      <c r="O390" t="str">
        <f>_xlfn.XLOOKUP(Orders[[#This Row],[CustomerID]],Customers[CustomerID],Customers[Gender])</f>
        <v>Male</v>
      </c>
      <c r="P390">
        <f>_xlfn.XLOOKUP(Orders[[#This Row],[CustomerID]],Customers[CustomerID],Customers[CustomerAge])</f>
        <v>26</v>
      </c>
      <c r="Q390" t="str">
        <f>IF(Orders[[#This Row],[Age]]&gt;=35,"older","young")</f>
        <v>young</v>
      </c>
      <c r="R390" t="str">
        <f>_xlfn.XLOOKUP(Orders[[#This Row],[ProductID]],Products[ProductID],Products[ProductName])</f>
        <v>SILVER RINGS</v>
      </c>
      <c r="S390" t="str">
        <f>_xlfn.XLOOKUP(Orders[[#This Row],[ProductID]],Products!A:A,Products!C:C)</f>
        <v>Accessories</v>
      </c>
    </row>
    <row r="391" spans="1:19" x14ac:dyDescent="0.2">
      <c r="A391" s="4" t="s">
        <v>571</v>
      </c>
      <c r="B391" s="5">
        <v>45949</v>
      </c>
      <c r="C391" s="15">
        <f>WEEKNUM(Orders[[#This Row],[OrderDate]])</f>
        <v>43</v>
      </c>
      <c r="D391" s="4" t="s">
        <v>101</v>
      </c>
      <c r="E391" s="4" t="s">
        <v>60</v>
      </c>
      <c r="F391" s="4">
        <v>7</v>
      </c>
      <c r="G391" s="4">
        <v>6264.4000000000005</v>
      </c>
      <c r="H391">
        <v>5324.7400000000007</v>
      </c>
      <c r="I391">
        <f>Orders[[#This Row],[Quantity]]*Orders[[#This Row],[Selling Price]]</f>
        <v>43850.8</v>
      </c>
      <c r="J391">
        <f>Orders[[#This Row],[Quantity]]*Orders[[#This Row],[Cost Price]]</f>
        <v>37273.180000000008</v>
      </c>
      <c r="K391">
        <f>Orders[[#This Row],[Revenue]]-Orders[[#This Row],[Expenses]]</f>
        <v>6577.6199999999953</v>
      </c>
      <c r="L391" t="s">
        <v>2201</v>
      </c>
      <c r="M391" t="str">
        <f>_xlfn.XLOOKUP(Orders[[#This Row],[CustomerID]],Customers[CustomerID],Customers[City])</f>
        <v>Texas</v>
      </c>
      <c r="N391" t="str">
        <f>_xlfn.XLOOKUP(Orders[[#This Row],[CustomerID]],Customers[CustomerID],Customers[CustomerName])</f>
        <v>Blessing Eze</v>
      </c>
      <c r="O391" t="str">
        <f>_xlfn.XLOOKUP(Orders[[#This Row],[CustomerID]],Customers[CustomerID],Customers[Gender])</f>
        <v>Female</v>
      </c>
      <c r="P391">
        <f>_xlfn.XLOOKUP(Orders[[#This Row],[CustomerID]],Customers[CustomerID],Customers[CustomerAge])</f>
        <v>55</v>
      </c>
      <c r="Q391" t="str">
        <f>IF(Orders[[#This Row],[Age]]&gt;=35,"older","young")</f>
        <v>older</v>
      </c>
      <c r="R391" t="str">
        <f>_xlfn.XLOOKUP(Orders[[#This Row],[ProductID]],Products[ProductID],Products[ProductName])</f>
        <v>SILVER RINGS</v>
      </c>
      <c r="S391" t="str">
        <f>_xlfn.XLOOKUP(Orders[[#This Row],[ProductID]],Products!A:A,Products!C:C)</f>
        <v>Accessories</v>
      </c>
    </row>
    <row r="392" spans="1:19" x14ac:dyDescent="0.2">
      <c r="A392" s="4" t="s">
        <v>572</v>
      </c>
      <c r="B392" s="5">
        <v>45993</v>
      </c>
      <c r="C392" s="15">
        <f>WEEKNUM(Orders[[#This Row],[OrderDate]])</f>
        <v>49</v>
      </c>
      <c r="D392" s="4" t="s">
        <v>439</v>
      </c>
      <c r="E392" s="4" t="s">
        <v>63</v>
      </c>
      <c r="F392" s="4">
        <v>9</v>
      </c>
      <c r="G392" s="4">
        <v>14612.9</v>
      </c>
      <c r="H392">
        <v>12420.965</v>
      </c>
      <c r="I392">
        <f>Orders[[#This Row],[Quantity]]*Orders[[#This Row],[Selling Price]]</f>
        <v>131516.1</v>
      </c>
      <c r="J392">
        <f>Orders[[#This Row],[Quantity]]*Orders[[#This Row],[Cost Price]]</f>
        <v>111788.685</v>
      </c>
      <c r="K392">
        <f>Orders[[#This Row],[Revenue]]-Orders[[#This Row],[Expenses]]</f>
        <v>19727.415000000008</v>
      </c>
      <c r="L392" t="s">
        <v>2205</v>
      </c>
      <c r="M392" t="str">
        <f>_xlfn.XLOOKUP(Orders[[#This Row],[CustomerID]],Customers[CustomerID],Customers[City])</f>
        <v>Texas</v>
      </c>
      <c r="N392" t="str">
        <f>_xlfn.XLOOKUP(Orders[[#This Row],[CustomerID]],Customers[CustomerID],Customers[CustomerName])</f>
        <v>Efe Abubakar</v>
      </c>
      <c r="O392" t="str">
        <f>_xlfn.XLOOKUP(Orders[[#This Row],[CustomerID]],Customers[CustomerID],Customers[Gender])</f>
        <v>Female</v>
      </c>
      <c r="P392">
        <f>_xlfn.XLOOKUP(Orders[[#This Row],[CustomerID]],Customers[CustomerID],Customers[CustomerAge])</f>
        <v>50</v>
      </c>
      <c r="Q392" t="str">
        <f>IF(Orders[[#This Row],[Age]]&gt;=35,"older","young")</f>
        <v>older</v>
      </c>
      <c r="R392" t="str">
        <f>_xlfn.XLOOKUP(Orders[[#This Row],[ProductID]],Products[ProductID],Products[ProductName])</f>
        <v>TENNIS BAT</v>
      </c>
      <c r="S392" t="str">
        <f>_xlfn.XLOOKUP(Orders[[#This Row],[ProductID]],Products!A:A,Products!C:C)</f>
        <v>Sports</v>
      </c>
    </row>
    <row r="393" spans="1:19" x14ac:dyDescent="0.2">
      <c r="A393" s="4" t="s">
        <v>573</v>
      </c>
      <c r="B393" s="5">
        <v>45983</v>
      </c>
      <c r="C393" s="15">
        <f>WEEKNUM(Orders[[#This Row],[OrderDate]])</f>
        <v>47</v>
      </c>
      <c r="D393" s="4" t="s">
        <v>574</v>
      </c>
      <c r="E393" s="4" t="s">
        <v>120</v>
      </c>
      <c r="F393" s="4">
        <v>6</v>
      </c>
      <c r="G393" s="4">
        <v>7322.3</v>
      </c>
      <c r="H393">
        <v>6223.9549999999999</v>
      </c>
      <c r="I393">
        <f>Orders[[#This Row],[Quantity]]*Orders[[#This Row],[Selling Price]]</f>
        <v>43933.8</v>
      </c>
      <c r="J393">
        <f>Orders[[#This Row],[Quantity]]*Orders[[#This Row],[Cost Price]]</f>
        <v>37343.729999999996</v>
      </c>
      <c r="K393">
        <f>Orders[[#This Row],[Revenue]]-Orders[[#This Row],[Expenses]]</f>
        <v>6590.070000000007</v>
      </c>
      <c r="L393" t="s">
        <v>2208</v>
      </c>
      <c r="M393" t="str">
        <f>_xlfn.XLOOKUP(Orders[[#This Row],[CustomerID]],Customers[CustomerID],Customers[City])</f>
        <v>Texas</v>
      </c>
      <c r="N393" t="str">
        <f>_xlfn.XLOOKUP(Orders[[#This Row],[CustomerID]],Customers[CustomerID],Customers[CustomerName])</f>
        <v>Adanma Obi</v>
      </c>
      <c r="O393" t="str">
        <f>_xlfn.XLOOKUP(Orders[[#This Row],[CustomerID]],Customers[CustomerID],Customers[Gender])</f>
        <v>Female</v>
      </c>
      <c r="P393">
        <f>_xlfn.XLOOKUP(Orders[[#This Row],[CustomerID]],Customers[CustomerID],Customers[CustomerAge])</f>
        <v>23</v>
      </c>
      <c r="Q393" t="str">
        <f>IF(Orders[[#This Row],[Age]]&gt;=35,"older","young")</f>
        <v>young</v>
      </c>
      <c r="R393" t="str">
        <f>_xlfn.XLOOKUP(Orders[[#This Row],[ProductID]],Products[ProductID],Products[ProductName])</f>
        <v>CHESS</v>
      </c>
      <c r="S393" t="str">
        <f>_xlfn.XLOOKUP(Orders[[#This Row],[ProductID]],Products!A:A,Products!C:C)</f>
        <v>Games</v>
      </c>
    </row>
    <row r="394" spans="1:19" x14ac:dyDescent="0.2">
      <c r="A394" s="4" t="s">
        <v>575</v>
      </c>
      <c r="B394" s="5">
        <v>46011</v>
      </c>
      <c r="C394" s="15">
        <f>WEEKNUM(Orders[[#This Row],[OrderDate]])</f>
        <v>51</v>
      </c>
      <c r="D394" s="4" t="s">
        <v>239</v>
      </c>
      <c r="E394" s="4" t="s">
        <v>66</v>
      </c>
      <c r="F394" s="4">
        <v>8</v>
      </c>
      <c r="G394" s="4">
        <v>10475.699999999999</v>
      </c>
      <c r="H394">
        <v>8904.3449999999993</v>
      </c>
      <c r="I394">
        <f>Orders[[#This Row],[Quantity]]*Orders[[#This Row],[Selling Price]]</f>
        <v>83805.599999999991</v>
      </c>
      <c r="J394">
        <f>Orders[[#This Row],[Quantity]]*Orders[[#This Row],[Cost Price]]</f>
        <v>71234.759999999995</v>
      </c>
      <c r="K394">
        <f>Orders[[#This Row],[Revenue]]-Orders[[#This Row],[Expenses]]</f>
        <v>12570.839999999997</v>
      </c>
      <c r="L394" t="s">
        <v>2209</v>
      </c>
      <c r="M394" t="str">
        <f>_xlfn.XLOOKUP(Orders[[#This Row],[CustomerID]],Customers[CustomerID],Customers[City])</f>
        <v>Florida</v>
      </c>
      <c r="N394" t="str">
        <f>_xlfn.XLOOKUP(Orders[[#This Row],[CustomerID]],Customers[CustomerID],Customers[CustomerName])</f>
        <v>Emeka Danladi</v>
      </c>
      <c r="O394" t="str">
        <f>_xlfn.XLOOKUP(Orders[[#This Row],[CustomerID]],Customers[CustomerID],Customers[Gender])</f>
        <v>Male</v>
      </c>
      <c r="P394">
        <f>_xlfn.XLOOKUP(Orders[[#This Row],[CustomerID]],Customers[CustomerID],Customers[CustomerAge])</f>
        <v>23</v>
      </c>
      <c r="Q394" t="str">
        <f>IF(Orders[[#This Row],[Age]]&gt;=35,"older","young")</f>
        <v>young</v>
      </c>
      <c r="R394" t="str">
        <f>_xlfn.XLOOKUP(Orders[[#This Row],[ProductID]],Products[ProductID],Products[ProductName])</f>
        <v>MICROWAVE</v>
      </c>
      <c r="S394" t="str">
        <f>_xlfn.XLOOKUP(Orders[[#This Row],[ProductID]],Products!A:A,Products!C:C)</f>
        <v>Electronics</v>
      </c>
    </row>
    <row r="395" spans="1:19" x14ac:dyDescent="0.2">
      <c r="A395" s="4" t="s">
        <v>576</v>
      </c>
      <c r="B395" s="5">
        <v>45974</v>
      </c>
      <c r="C395" s="15">
        <f>WEEKNUM(Orders[[#This Row],[OrderDate]])</f>
        <v>46</v>
      </c>
      <c r="D395" s="4" t="s">
        <v>163</v>
      </c>
      <c r="E395" s="4" t="s">
        <v>15</v>
      </c>
      <c r="F395" s="4">
        <v>4</v>
      </c>
      <c r="G395" s="4">
        <v>3368.3999999999996</v>
      </c>
      <c r="H395">
        <v>2863.14</v>
      </c>
      <c r="I395">
        <f>Orders[[#This Row],[Quantity]]*Orders[[#This Row],[Selling Price]]</f>
        <v>13473.599999999999</v>
      </c>
      <c r="J395">
        <f>Orders[[#This Row],[Quantity]]*Orders[[#This Row],[Cost Price]]</f>
        <v>11452.56</v>
      </c>
      <c r="K395">
        <f>Orders[[#This Row],[Revenue]]-Orders[[#This Row],[Expenses]]</f>
        <v>2021.0399999999991</v>
      </c>
      <c r="L395" t="s">
        <v>2210</v>
      </c>
      <c r="M395" t="str">
        <f>_xlfn.XLOOKUP(Orders[[#This Row],[CustomerID]],Customers[CustomerID],Customers[City])</f>
        <v>Texas</v>
      </c>
      <c r="N395" t="str">
        <f>_xlfn.XLOOKUP(Orders[[#This Row],[CustomerID]],Customers[CustomerID],Customers[CustomerName])</f>
        <v>Folasade Danladi</v>
      </c>
      <c r="O395" t="str">
        <f>_xlfn.XLOOKUP(Orders[[#This Row],[CustomerID]],Customers[CustomerID],Customers[Gender])</f>
        <v>Female</v>
      </c>
      <c r="P395">
        <f>_xlfn.XLOOKUP(Orders[[#This Row],[CustomerID]],Customers[CustomerID],Customers[CustomerAge])</f>
        <v>32</v>
      </c>
      <c r="Q395" t="str">
        <f>IF(Orders[[#This Row],[Age]]&gt;=35,"older","young")</f>
        <v>young</v>
      </c>
      <c r="R395" t="str">
        <f>_xlfn.XLOOKUP(Orders[[#This Row],[ProductID]],Products[ProductID],Products[ProductName])</f>
        <v>MONOPOLY</v>
      </c>
      <c r="S395" t="str">
        <f>_xlfn.XLOOKUP(Orders[[#This Row],[ProductID]],Products!A:A,Products!C:C)</f>
        <v>Games</v>
      </c>
    </row>
    <row r="396" spans="1:19" x14ac:dyDescent="0.2">
      <c r="A396" s="4" t="s">
        <v>577</v>
      </c>
      <c r="B396" s="5">
        <v>45950</v>
      </c>
      <c r="C396" s="15">
        <f>WEEKNUM(Orders[[#This Row],[OrderDate]])</f>
        <v>43</v>
      </c>
      <c r="D396" s="4" t="s">
        <v>272</v>
      </c>
      <c r="E396" s="4" t="s">
        <v>253</v>
      </c>
      <c r="F396" s="4">
        <v>7</v>
      </c>
      <c r="G396" s="4">
        <v>1276.7</v>
      </c>
      <c r="H396">
        <v>1085.1950000000002</v>
      </c>
      <c r="I396">
        <f>Orders[[#This Row],[Quantity]]*Orders[[#This Row],[Selling Price]]</f>
        <v>8936.9</v>
      </c>
      <c r="J396">
        <f>Orders[[#This Row],[Quantity]]*Orders[[#This Row],[Cost Price]]</f>
        <v>7596.3650000000016</v>
      </c>
      <c r="K396">
        <f>Orders[[#This Row],[Revenue]]-Orders[[#This Row],[Expenses]]</f>
        <v>1340.534999999998</v>
      </c>
      <c r="L396" t="s">
        <v>2215</v>
      </c>
      <c r="M396" t="str">
        <f>_xlfn.XLOOKUP(Orders[[#This Row],[CustomerID]],Customers[CustomerID],Customers[City])</f>
        <v>Florida</v>
      </c>
      <c r="N396" t="str">
        <f>_xlfn.XLOOKUP(Orders[[#This Row],[CustomerID]],Customers[CustomerID],Customers[CustomerName])</f>
        <v>Blessing Bello</v>
      </c>
      <c r="O396" t="str">
        <f>_xlfn.XLOOKUP(Orders[[#This Row],[CustomerID]],Customers[CustomerID],Customers[Gender])</f>
        <v>Female</v>
      </c>
      <c r="P396">
        <f>_xlfn.XLOOKUP(Orders[[#This Row],[CustomerID]],Customers[CustomerID],Customers[CustomerAge])</f>
        <v>38</v>
      </c>
      <c r="Q396" t="str">
        <f>IF(Orders[[#This Row],[Age]]&gt;=35,"older","young")</f>
        <v>older</v>
      </c>
      <c r="R396" t="str">
        <f>_xlfn.XLOOKUP(Orders[[#This Row],[ProductID]],Products[ProductID],Products[ProductName])</f>
        <v>NOSE RINGS</v>
      </c>
      <c r="S396" t="str">
        <f>_xlfn.XLOOKUP(Orders[[#This Row],[ProductID]],Products!A:A,Products!C:C)</f>
        <v>Accessories</v>
      </c>
    </row>
    <row r="397" spans="1:19" x14ac:dyDescent="0.2">
      <c r="A397" s="4" t="s">
        <v>578</v>
      </c>
      <c r="B397" s="5">
        <v>45975</v>
      </c>
      <c r="C397" s="15">
        <f>WEEKNUM(Orders[[#This Row],[OrderDate]])</f>
        <v>46</v>
      </c>
      <c r="D397" s="4" t="s">
        <v>320</v>
      </c>
      <c r="E397" s="4" t="s">
        <v>31</v>
      </c>
      <c r="F397" s="4">
        <v>1</v>
      </c>
      <c r="G397" s="4">
        <v>9077.9</v>
      </c>
      <c r="H397">
        <v>7716.2150000000001</v>
      </c>
      <c r="I397">
        <f>Orders[[#This Row],[Quantity]]*Orders[[#This Row],[Selling Price]]</f>
        <v>9077.9</v>
      </c>
      <c r="J397">
        <f>Orders[[#This Row],[Quantity]]*Orders[[#This Row],[Cost Price]]</f>
        <v>7716.2150000000001</v>
      </c>
      <c r="K397">
        <f>Orders[[#This Row],[Revenue]]-Orders[[#This Row],[Expenses]]</f>
        <v>1361.6849999999995</v>
      </c>
      <c r="L397" t="s">
        <v>2219</v>
      </c>
      <c r="M397" t="str">
        <f>_xlfn.XLOOKUP(Orders[[#This Row],[CustomerID]],Customers[CustomerID],Customers[City])</f>
        <v>Texas</v>
      </c>
      <c r="N397" t="str">
        <f>_xlfn.XLOOKUP(Orders[[#This Row],[CustomerID]],Customers[CustomerID],Customers[CustomerName])</f>
        <v>Temi Okonkwo</v>
      </c>
      <c r="O397" t="str">
        <f>_xlfn.XLOOKUP(Orders[[#This Row],[CustomerID]],Customers[CustomerID],Customers[Gender])</f>
        <v>Female</v>
      </c>
      <c r="P397">
        <f>_xlfn.XLOOKUP(Orders[[#This Row],[CustomerID]],Customers[CustomerID],Customers[CustomerAge])</f>
        <v>31</v>
      </c>
      <c r="Q397" t="str">
        <f>IF(Orders[[#This Row],[Age]]&gt;=35,"older","young")</f>
        <v>young</v>
      </c>
      <c r="R397" t="str">
        <f>_xlfn.XLOOKUP(Orders[[#This Row],[ProductID]],Products[ProductID],Products[ProductName])</f>
        <v>KIDS GAMES</v>
      </c>
      <c r="S397" t="str">
        <f>_xlfn.XLOOKUP(Orders[[#This Row],[ProductID]],Products!A:A,Products!C:C)</f>
        <v>Games</v>
      </c>
    </row>
    <row r="398" spans="1:19" x14ac:dyDescent="0.2">
      <c r="A398" s="4" t="s">
        <v>579</v>
      </c>
      <c r="B398" s="5">
        <v>46020</v>
      </c>
      <c r="C398" s="15">
        <f>WEEKNUM(Orders[[#This Row],[OrderDate]])</f>
        <v>53</v>
      </c>
      <c r="D398" s="4" t="s">
        <v>507</v>
      </c>
      <c r="E398" s="4" t="s">
        <v>12</v>
      </c>
      <c r="F398" s="4">
        <v>4</v>
      </c>
      <c r="G398" s="4">
        <v>2489.9</v>
      </c>
      <c r="H398">
        <v>2116.415</v>
      </c>
      <c r="I398">
        <f>Orders[[#This Row],[Quantity]]*Orders[[#This Row],[Selling Price]]</f>
        <v>9959.6</v>
      </c>
      <c r="J398">
        <f>Orders[[#This Row],[Quantity]]*Orders[[#This Row],[Cost Price]]</f>
        <v>8465.66</v>
      </c>
      <c r="K398">
        <f>Orders[[#This Row],[Revenue]]-Orders[[#This Row],[Expenses]]</f>
        <v>1493.9400000000005</v>
      </c>
      <c r="L398" t="s">
        <v>2215</v>
      </c>
      <c r="M398" t="str">
        <f>_xlfn.XLOOKUP(Orders[[#This Row],[CustomerID]],Customers[CustomerID],Customers[City])</f>
        <v>Washington</v>
      </c>
      <c r="N398" t="str">
        <f>_xlfn.XLOOKUP(Orders[[#This Row],[CustomerID]],Customers[CustomerID],Customers[CustomerName])</f>
        <v>Temi Okonkwo</v>
      </c>
      <c r="O398" t="str">
        <f>_xlfn.XLOOKUP(Orders[[#This Row],[CustomerID]],Customers[CustomerID],Customers[Gender])</f>
        <v>Female</v>
      </c>
      <c r="P398">
        <f>_xlfn.XLOOKUP(Orders[[#This Row],[CustomerID]],Customers[CustomerID],Customers[CustomerAge])</f>
        <v>35</v>
      </c>
      <c r="Q398" t="str">
        <f>IF(Orders[[#This Row],[Age]]&gt;=35,"older","young")</f>
        <v>older</v>
      </c>
      <c r="R398" t="str">
        <f>_xlfn.XLOOKUP(Orders[[#This Row],[ProductID]],Products[ProductID],Products[ProductName])</f>
        <v>BOUBOU</v>
      </c>
      <c r="S398" t="str">
        <f>_xlfn.XLOOKUP(Orders[[#This Row],[ProductID]],Products!A:A,Products!C:C)</f>
        <v>Clothing</v>
      </c>
    </row>
    <row r="399" spans="1:19" x14ac:dyDescent="0.2">
      <c r="A399" s="4" t="s">
        <v>580</v>
      </c>
      <c r="B399" s="5">
        <v>45976</v>
      </c>
      <c r="C399" s="15">
        <f>WEEKNUM(Orders[[#This Row],[OrderDate]])</f>
        <v>46</v>
      </c>
      <c r="D399" s="4" t="s">
        <v>174</v>
      </c>
      <c r="E399" s="4" t="s">
        <v>20</v>
      </c>
      <c r="F399" s="4">
        <v>6</v>
      </c>
      <c r="G399" s="4">
        <v>1638.8</v>
      </c>
      <c r="H399">
        <v>1392.98</v>
      </c>
      <c r="I399">
        <f>Orders[[#This Row],[Quantity]]*Orders[[#This Row],[Selling Price]]</f>
        <v>9832.7999999999993</v>
      </c>
      <c r="J399">
        <f>Orders[[#This Row],[Quantity]]*Orders[[#This Row],[Cost Price]]</f>
        <v>8357.880000000001</v>
      </c>
      <c r="K399">
        <f>Orders[[#This Row],[Revenue]]-Orders[[#This Row],[Expenses]]</f>
        <v>1474.9199999999983</v>
      </c>
      <c r="L399" t="s">
        <v>2207</v>
      </c>
      <c r="M399" t="str">
        <f>_xlfn.XLOOKUP(Orders[[#This Row],[CustomerID]],Customers[CustomerID],Customers[City])</f>
        <v>California</v>
      </c>
      <c r="N399" t="str">
        <f>_xlfn.XLOOKUP(Orders[[#This Row],[CustomerID]],Customers[CustomerID],Customers[CustomerName])</f>
        <v>Zainab Obi</v>
      </c>
      <c r="O399" t="str">
        <f>_xlfn.XLOOKUP(Orders[[#This Row],[CustomerID]],Customers[CustomerID],Customers[Gender])</f>
        <v>Female</v>
      </c>
      <c r="P399">
        <f>_xlfn.XLOOKUP(Orders[[#This Row],[CustomerID]],Customers[CustomerID],Customers[CustomerAge])</f>
        <v>18</v>
      </c>
      <c r="Q399" t="str">
        <f>IF(Orders[[#This Row],[Age]]&gt;=35,"older","young")</f>
        <v>young</v>
      </c>
      <c r="R399" t="str">
        <f>_xlfn.XLOOKUP(Orders[[#This Row],[ProductID]],Products[ProductID],Products[ProductName])</f>
        <v>GYM BAG</v>
      </c>
      <c r="S399" t="str">
        <f>_xlfn.XLOOKUP(Orders[[#This Row],[ProductID]],Products!A:A,Products!C:C)</f>
        <v>Gym</v>
      </c>
    </row>
    <row r="400" spans="1:19" x14ac:dyDescent="0.2">
      <c r="A400" s="4" t="s">
        <v>581</v>
      </c>
      <c r="B400" s="5">
        <v>45974</v>
      </c>
      <c r="C400" s="15">
        <f>WEEKNUM(Orders[[#This Row],[OrderDate]])</f>
        <v>46</v>
      </c>
      <c r="D400" s="4" t="s">
        <v>272</v>
      </c>
      <c r="E400" s="4" t="s">
        <v>189</v>
      </c>
      <c r="F400" s="4">
        <v>4</v>
      </c>
      <c r="G400" s="4">
        <v>8398.7000000000007</v>
      </c>
      <c r="H400">
        <v>7138.8950000000004</v>
      </c>
      <c r="I400">
        <f>Orders[[#This Row],[Quantity]]*Orders[[#This Row],[Selling Price]]</f>
        <v>33594.800000000003</v>
      </c>
      <c r="J400">
        <f>Orders[[#This Row],[Quantity]]*Orders[[#This Row],[Cost Price]]</f>
        <v>28555.58</v>
      </c>
      <c r="K400">
        <f>Orders[[#This Row],[Revenue]]-Orders[[#This Row],[Expenses]]</f>
        <v>5039.2200000000012</v>
      </c>
      <c r="L400" t="s">
        <v>2199</v>
      </c>
      <c r="M400" t="str">
        <f>_xlfn.XLOOKUP(Orders[[#This Row],[CustomerID]],Customers[CustomerID],Customers[City])</f>
        <v>Florida</v>
      </c>
      <c r="N400" t="str">
        <f>_xlfn.XLOOKUP(Orders[[#This Row],[CustomerID]],Customers[CustomerID],Customers[CustomerName])</f>
        <v>Blessing Bello</v>
      </c>
      <c r="O400" t="str">
        <f>_xlfn.XLOOKUP(Orders[[#This Row],[CustomerID]],Customers[CustomerID],Customers[Gender])</f>
        <v>Female</v>
      </c>
      <c r="P400">
        <f>_xlfn.XLOOKUP(Orders[[#This Row],[CustomerID]],Customers[CustomerID],Customers[CustomerAge])</f>
        <v>38</v>
      </c>
      <c r="Q400" t="str">
        <f>IF(Orders[[#This Row],[Age]]&gt;=35,"older","young")</f>
        <v>older</v>
      </c>
      <c r="R400" t="str">
        <f>_xlfn.XLOOKUP(Orders[[#This Row],[ProductID]],Products[ProductID],Products[ProductName])</f>
        <v>SCRABBLE</v>
      </c>
      <c r="S400" t="str">
        <f>_xlfn.XLOOKUP(Orders[[#This Row],[ProductID]],Products!A:A,Products!C:C)</f>
        <v>Games</v>
      </c>
    </row>
    <row r="401" spans="1:19" x14ac:dyDescent="0.2">
      <c r="A401" s="4" t="s">
        <v>582</v>
      </c>
      <c r="B401" s="5">
        <v>45955</v>
      </c>
      <c r="C401" s="15">
        <f>WEEKNUM(Orders[[#This Row],[OrderDate]])</f>
        <v>43</v>
      </c>
      <c r="D401" s="4" t="s">
        <v>552</v>
      </c>
      <c r="E401" s="4" t="s">
        <v>76</v>
      </c>
      <c r="F401" s="4">
        <v>1</v>
      </c>
      <c r="G401" s="4">
        <v>9706.9000000000015</v>
      </c>
      <c r="H401">
        <v>8250.8650000000016</v>
      </c>
      <c r="I401">
        <f>Orders[[#This Row],[Quantity]]*Orders[[#This Row],[Selling Price]]</f>
        <v>9706.9000000000015</v>
      </c>
      <c r="J401">
        <f>Orders[[#This Row],[Quantity]]*Orders[[#This Row],[Cost Price]]</f>
        <v>8250.8650000000016</v>
      </c>
      <c r="K401">
        <f>Orders[[#This Row],[Revenue]]-Orders[[#This Row],[Expenses]]</f>
        <v>1456.0349999999999</v>
      </c>
      <c r="L401" t="s">
        <v>2218</v>
      </c>
      <c r="M401" t="str">
        <f>_xlfn.XLOOKUP(Orders[[#This Row],[CustomerID]],Customers[CustomerID],Customers[City])</f>
        <v>Georgia</v>
      </c>
      <c r="N401" t="str">
        <f>_xlfn.XLOOKUP(Orders[[#This Row],[CustomerID]],Customers[CustomerID],Customers[CustomerName])</f>
        <v>Chioma Eze</v>
      </c>
      <c r="O401" t="str">
        <f>_xlfn.XLOOKUP(Orders[[#This Row],[CustomerID]],Customers[CustomerID],Customers[Gender])</f>
        <v>Female</v>
      </c>
      <c r="P401">
        <f>_xlfn.XLOOKUP(Orders[[#This Row],[CustomerID]],Customers[CustomerID],Customers[CustomerAge])</f>
        <v>40</v>
      </c>
      <c r="Q401" t="str">
        <f>IF(Orders[[#This Row],[Age]]&gt;=35,"older","young")</f>
        <v>older</v>
      </c>
      <c r="R401" t="str">
        <f>_xlfn.XLOOKUP(Orders[[#This Row],[ProductID]],Products[ProductID],Products[ProductName])</f>
        <v>BLENDER</v>
      </c>
      <c r="S401" t="str">
        <f>_xlfn.XLOOKUP(Orders[[#This Row],[ProductID]],Products!A:A,Products!C:C)</f>
        <v>Electronics</v>
      </c>
    </row>
    <row r="402" spans="1:19" x14ac:dyDescent="0.2">
      <c r="A402" s="4" t="s">
        <v>583</v>
      </c>
      <c r="B402" s="5">
        <v>45971</v>
      </c>
      <c r="C402" s="15">
        <f>WEEKNUM(Orders[[#This Row],[OrderDate]])</f>
        <v>46</v>
      </c>
      <c r="D402" s="4" t="s">
        <v>227</v>
      </c>
      <c r="E402" s="4" t="s">
        <v>20</v>
      </c>
      <c r="F402" s="4">
        <v>3</v>
      </c>
      <c r="G402" s="4">
        <v>7571.5</v>
      </c>
      <c r="H402">
        <v>6435.7749999999996</v>
      </c>
      <c r="I402">
        <f>Orders[[#This Row],[Quantity]]*Orders[[#This Row],[Selling Price]]</f>
        <v>22714.5</v>
      </c>
      <c r="J402">
        <f>Orders[[#This Row],[Quantity]]*Orders[[#This Row],[Cost Price]]</f>
        <v>19307.324999999997</v>
      </c>
      <c r="K402">
        <f>Orders[[#This Row],[Revenue]]-Orders[[#This Row],[Expenses]]</f>
        <v>3407.1750000000029</v>
      </c>
      <c r="L402" t="s">
        <v>2209</v>
      </c>
      <c r="M402" t="str">
        <f>_xlfn.XLOOKUP(Orders[[#This Row],[CustomerID]],Customers[CustomerID],Customers[City])</f>
        <v>Washington</v>
      </c>
      <c r="N402" t="str">
        <f>_xlfn.XLOOKUP(Orders[[#This Row],[CustomerID]],Customers[CustomerID],Customers[CustomerName])</f>
        <v>Emmanuel Victor</v>
      </c>
      <c r="O402" t="str">
        <f>_xlfn.XLOOKUP(Orders[[#This Row],[CustomerID]],Customers[CustomerID],Customers[Gender])</f>
        <v>Male</v>
      </c>
      <c r="P402">
        <f>_xlfn.XLOOKUP(Orders[[#This Row],[CustomerID]],Customers[CustomerID],Customers[CustomerAge])</f>
        <v>35</v>
      </c>
      <c r="Q402" t="str">
        <f>IF(Orders[[#This Row],[Age]]&gt;=35,"older","young")</f>
        <v>older</v>
      </c>
      <c r="R402" t="str">
        <f>_xlfn.XLOOKUP(Orders[[#This Row],[ProductID]],Products[ProductID],Products[ProductName])</f>
        <v>GYM BAG</v>
      </c>
      <c r="S402" t="str">
        <f>_xlfn.XLOOKUP(Orders[[#This Row],[ProductID]],Products!A:A,Products!C:C)</f>
        <v>Gym</v>
      </c>
    </row>
    <row r="403" spans="1:19" x14ac:dyDescent="0.2">
      <c r="A403" s="4" t="s">
        <v>584</v>
      </c>
      <c r="B403" s="5">
        <v>45941</v>
      </c>
      <c r="C403" s="15">
        <f>WEEKNUM(Orders[[#This Row],[OrderDate]])</f>
        <v>41</v>
      </c>
      <c r="D403" s="4" t="s">
        <v>182</v>
      </c>
      <c r="E403" s="4" t="s">
        <v>57</v>
      </c>
      <c r="F403" s="4">
        <v>2</v>
      </c>
      <c r="G403" s="4">
        <v>10586.900000000001</v>
      </c>
      <c r="H403">
        <v>8998.8650000000016</v>
      </c>
      <c r="I403">
        <f>Orders[[#This Row],[Quantity]]*Orders[[#This Row],[Selling Price]]</f>
        <v>21173.800000000003</v>
      </c>
      <c r="J403">
        <f>Orders[[#This Row],[Quantity]]*Orders[[#This Row],[Cost Price]]</f>
        <v>17997.730000000003</v>
      </c>
      <c r="K403">
        <f>Orders[[#This Row],[Revenue]]-Orders[[#This Row],[Expenses]]</f>
        <v>3176.0699999999997</v>
      </c>
      <c r="L403" t="s">
        <v>2200</v>
      </c>
      <c r="M403" t="str">
        <f>_xlfn.XLOOKUP(Orders[[#This Row],[CustomerID]],Customers[CustomerID],Customers[City])</f>
        <v>Georgia</v>
      </c>
      <c r="N403" t="str">
        <f>_xlfn.XLOOKUP(Orders[[#This Row],[CustomerID]],Customers[CustomerID],Customers[CustomerName])</f>
        <v>Abiola Okonkwo</v>
      </c>
      <c r="O403" t="str">
        <f>_xlfn.XLOOKUP(Orders[[#This Row],[CustomerID]],Customers[CustomerID],Customers[Gender])</f>
        <v>Male</v>
      </c>
      <c r="P403">
        <f>_xlfn.XLOOKUP(Orders[[#This Row],[CustomerID]],Customers[CustomerID],Customers[CustomerAge])</f>
        <v>39</v>
      </c>
      <c r="Q403" t="str">
        <f>IF(Orders[[#This Row],[Age]]&gt;=35,"older","young")</f>
        <v>older</v>
      </c>
      <c r="R403" t="str">
        <f>_xlfn.XLOOKUP(Orders[[#This Row],[ProductID]],Products[ProductID],Products[ProductName])</f>
        <v>BADMINTON RACKET</v>
      </c>
      <c r="S403" t="str">
        <f>_xlfn.XLOOKUP(Orders[[#This Row],[ProductID]],Products!A:A,Products!C:C)</f>
        <v>Sports</v>
      </c>
    </row>
    <row r="404" spans="1:19" x14ac:dyDescent="0.2">
      <c r="A404" s="4" t="s">
        <v>585</v>
      </c>
      <c r="B404" s="5">
        <v>45997</v>
      </c>
      <c r="C404" s="15">
        <f>WEEKNUM(Orders[[#This Row],[OrderDate]])</f>
        <v>49</v>
      </c>
      <c r="D404" s="4" t="s">
        <v>142</v>
      </c>
      <c r="E404" s="4" t="s">
        <v>34</v>
      </c>
      <c r="F404" s="4">
        <v>3</v>
      </c>
      <c r="G404" s="4">
        <v>16309.2</v>
      </c>
      <c r="H404">
        <v>13862.82</v>
      </c>
      <c r="I404">
        <f>Orders[[#This Row],[Quantity]]*Orders[[#This Row],[Selling Price]]</f>
        <v>48927.600000000006</v>
      </c>
      <c r="J404">
        <f>Orders[[#This Row],[Quantity]]*Orders[[#This Row],[Cost Price]]</f>
        <v>41588.46</v>
      </c>
      <c r="K404">
        <f>Orders[[#This Row],[Revenue]]-Orders[[#This Row],[Expenses]]</f>
        <v>7339.1400000000067</v>
      </c>
      <c r="L404" t="s">
        <v>2207</v>
      </c>
      <c r="M404" t="str">
        <f>_xlfn.XLOOKUP(Orders[[#This Row],[CustomerID]],Customers[CustomerID],Customers[City])</f>
        <v>Florida</v>
      </c>
      <c r="N404" t="str">
        <f>_xlfn.XLOOKUP(Orders[[#This Row],[CustomerID]],Customers[CustomerID],Customers[CustomerName])</f>
        <v>Obi Adeyemi</v>
      </c>
      <c r="O404" t="str">
        <f>_xlfn.XLOOKUP(Orders[[#This Row],[CustomerID]],Customers[CustomerID],Customers[Gender])</f>
        <v>Male</v>
      </c>
      <c r="P404">
        <f>_xlfn.XLOOKUP(Orders[[#This Row],[CustomerID]],Customers[CustomerID],Customers[CustomerAge])</f>
        <v>31</v>
      </c>
      <c r="Q404" t="str">
        <f>IF(Orders[[#This Row],[Age]]&gt;=35,"older","young")</f>
        <v>young</v>
      </c>
      <c r="R404" t="str">
        <f>_xlfn.XLOOKUP(Orders[[#This Row],[ProductID]],Products[ProductID],Products[ProductName])</f>
        <v>GOLD BRACELETS</v>
      </c>
      <c r="S404" t="str">
        <f>_xlfn.XLOOKUP(Orders[[#This Row],[ProductID]],Products!A:A,Products!C:C)</f>
        <v>Accessories</v>
      </c>
    </row>
    <row r="405" spans="1:19" x14ac:dyDescent="0.2">
      <c r="A405" s="4" t="s">
        <v>586</v>
      </c>
      <c r="B405" s="5">
        <v>45985</v>
      </c>
      <c r="C405" s="15">
        <f>WEEKNUM(Orders[[#This Row],[OrderDate]])</f>
        <v>48</v>
      </c>
      <c r="D405" s="4" t="s">
        <v>439</v>
      </c>
      <c r="E405" s="4" t="s">
        <v>37</v>
      </c>
      <c r="F405" s="4">
        <v>2</v>
      </c>
      <c r="G405" s="4">
        <v>2764.4</v>
      </c>
      <c r="H405">
        <v>2349.7400000000002</v>
      </c>
      <c r="I405">
        <f>Orders[[#This Row],[Quantity]]*Orders[[#This Row],[Selling Price]]</f>
        <v>5528.8</v>
      </c>
      <c r="J405">
        <f>Orders[[#This Row],[Quantity]]*Orders[[#This Row],[Cost Price]]</f>
        <v>4699.4800000000005</v>
      </c>
      <c r="K405">
        <f>Orders[[#This Row],[Revenue]]-Orders[[#This Row],[Expenses]]</f>
        <v>829.31999999999971</v>
      </c>
      <c r="L405" t="s">
        <v>2199</v>
      </c>
      <c r="M405" t="str">
        <f>_xlfn.XLOOKUP(Orders[[#This Row],[CustomerID]],Customers[CustomerID],Customers[City])</f>
        <v>Texas</v>
      </c>
      <c r="N405" t="str">
        <f>_xlfn.XLOOKUP(Orders[[#This Row],[CustomerID]],Customers[CustomerID],Customers[CustomerName])</f>
        <v>Efe Abubakar</v>
      </c>
      <c r="O405" t="str">
        <f>_xlfn.XLOOKUP(Orders[[#This Row],[CustomerID]],Customers[CustomerID],Customers[Gender])</f>
        <v>Female</v>
      </c>
      <c r="P405">
        <f>_xlfn.XLOOKUP(Orders[[#This Row],[CustomerID]],Customers[CustomerID],Customers[CustomerAge])</f>
        <v>50</v>
      </c>
      <c r="Q405" t="str">
        <f>IF(Orders[[#This Row],[Age]]&gt;=35,"older","young")</f>
        <v>older</v>
      </c>
      <c r="R405" t="str">
        <f>_xlfn.XLOOKUP(Orders[[#This Row],[ProductID]],Products[ProductID],Products[ProductName])</f>
        <v>IRON</v>
      </c>
      <c r="S405" t="str">
        <f>_xlfn.XLOOKUP(Orders[[#This Row],[ProductID]],Products!A:A,Products!C:C)</f>
        <v>Electronics</v>
      </c>
    </row>
    <row r="406" spans="1:19" x14ac:dyDescent="0.2">
      <c r="A406" s="4" t="s">
        <v>587</v>
      </c>
      <c r="B406" s="5">
        <v>45974</v>
      </c>
      <c r="C406" s="15">
        <f>WEEKNUM(Orders[[#This Row],[OrderDate]])</f>
        <v>46</v>
      </c>
      <c r="D406" s="4" t="s">
        <v>239</v>
      </c>
      <c r="E406" s="4" t="s">
        <v>157</v>
      </c>
      <c r="F406" s="4">
        <v>10</v>
      </c>
      <c r="G406" s="4">
        <v>4769.3</v>
      </c>
      <c r="H406">
        <v>4053.9050000000002</v>
      </c>
      <c r="I406">
        <f>Orders[[#This Row],[Quantity]]*Orders[[#This Row],[Selling Price]]</f>
        <v>47693</v>
      </c>
      <c r="J406">
        <f>Orders[[#This Row],[Quantity]]*Orders[[#This Row],[Cost Price]]</f>
        <v>40539.050000000003</v>
      </c>
      <c r="K406">
        <f>Orders[[#This Row],[Revenue]]-Orders[[#This Row],[Expenses]]</f>
        <v>7153.9499999999971</v>
      </c>
      <c r="L406" t="s">
        <v>2195</v>
      </c>
      <c r="M406" t="str">
        <f>_xlfn.XLOOKUP(Orders[[#This Row],[CustomerID]],Customers[CustomerID],Customers[City])</f>
        <v>Florida</v>
      </c>
      <c r="N406" t="str">
        <f>_xlfn.XLOOKUP(Orders[[#This Row],[CustomerID]],Customers[CustomerID],Customers[CustomerName])</f>
        <v>Emeka Danladi</v>
      </c>
      <c r="O406" t="str">
        <f>_xlfn.XLOOKUP(Orders[[#This Row],[CustomerID]],Customers[CustomerID],Customers[Gender])</f>
        <v>Male</v>
      </c>
      <c r="P406">
        <f>_xlfn.XLOOKUP(Orders[[#This Row],[CustomerID]],Customers[CustomerID],Customers[CustomerAge])</f>
        <v>23</v>
      </c>
      <c r="Q406" t="str">
        <f>IF(Orders[[#This Row],[Age]]&gt;=35,"older","young")</f>
        <v>young</v>
      </c>
      <c r="R406" t="str">
        <f>_xlfn.XLOOKUP(Orders[[#This Row],[ProductID]],Products[ProductID],Products[ProductName])</f>
        <v>FOOTBALL</v>
      </c>
      <c r="S406" t="str">
        <f>_xlfn.XLOOKUP(Orders[[#This Row],[ProductID]],Products!A:A,Products!C:C)</f>
        <v>Sports</v>
      </c>
    </row>
    <row r="407" spans="1:19" x14ac:dyDescent="0.2">
      <c r="A407" s="4" t="s">
        <v>588</v>
      </c>
      <c r="B407" s="5">
        <v>45940</v>
      </c>
      <c r="C407" s="15">
        <f>WEEKNUM(Orders[[#This Row],[OrderDate]])</f>
        <v>41</v>
      </c>
      <c r="D407" s="4" t="s">
        <v>48</v>
      </c>
      <c r="E407" s="4" t="s">
        <v>20</v>
      </c>
      <c r="F407" s="4">
        <v>2</v>
      </c>
      <c r="G407" s="4">
        <v>18424.7</v>
      </c>
      <c r="H407">
        <v>15660.995000000001</v>
      </c>
      <c r="I407">
        <f>Orders[[#This Row],[Quantity]]*Orders[[#This Row],[Selling Price]]</f>
        <v>36849.4</v>
      </c>
      <c r="J407">
        <f>Orders[[#This Row],[Quantity]]*Orders[[#This Row],[Cost Price]]</f>
        <v>31321.99</v>
      </c>
      <c r="K407">
        <f>Orders[[#This Row],[Revenue]]-Orders[[#This Row],[Expenses]]</f>
        <v>5527.41</v>
      </c>
      <c r="L407" t="s">
        <v>2206</v>
      </c>
      <c r="M407" t="str">
        <f>_xlfn.XLOOKUP(Orders[[#This Row],[CustomerID]],Customers[CustomerID],Customers[City])</f>
        <v>California</v>
      </c>
      <c r="N407" t="str">
        <f>_xlfn.XLOOKUP(Orders[[#This Row],[CustomerID]],Customers[CustomerID],Customers[CustomerName])</f>
        <v>Mustafa Obi</v>
      </c>
      <c r="O407" t="str">
        <f>_xlfn.XLOOKUP(Orders[[#This Row],[CustomerID]],Customers[CustomerID],Customers[Gender])</f>
        <v>Male</v>
      </c>
      <c r="P407">
        <f>_xlfn.XLOOKUP(Orders[[#This Row],[CustomerID]],Customers[CustomerID],Customers[CustomerAge])</f>
        <v>23</v>
      </c>
      <c r="Q407" t="str">
        <f>IF(Orders[[#This Row],[Age]]&gt;=35,"older","young")</f>
        <v>young</v>
      </c>
      <c r="R407" t="str">
        <f>_xlfn.XLOOKUP(Orders[[#This Row],[ProductID]],Products[ProductID],Products[ProductName])</f>
        <v>GYM BAG</v>
      </c>
      <c r="S407" t="str">
        <f>_xlfn.XLOOKUP(Orders[[#This Row],[ProductID]],Products!A:A,Products!C:C)</f>
        <v>Gym</v>
      </c>
    </row>
    <row r="408" spans="1:19" x14ac:dyDescent="0.2">
      <c r="A408" s="4" t="s">
        <v>589</v>
      </c>
      <c r="B408" s="5">
        <v>45944</v>
      </c>
      <c r="C408" s="15">
        <f>WEEKNUM(Orders[[#This Row],[OrderDate]])</f>
        <v>42</v>
      </c>
      <c r="D408" s="4" t="s">
        <v>252</v>
      </c>
      <c r="E408" s="4" t="s">
        <v>57</v>
      </c>
      <c r="F408" s="4">
        <v>2</v>
      </c>
      <c r="G408" s="4">
        <v>1218.1999999999998</v>
      </c>
      <c r="H408">
        <v>1035.4699999999998</v>
      </c>
      <c r="I408">
        <f>Orders[[#This Row],[Quantity]]*Orders[[#This Row],[Selling Price]]</f>
        <v>2436.3999999999996</v>
      </c>
      <c r="J408">
        <f>Orders[[#This Row],[Quantity]]*Orders[[#This Row],[Cost Price]]</f>
        <v>2070.9399999999996</v>
      </c>
      <c r="K408">
        <f>Orders[[#This Row],[Revenue]]-Orders[[#This Row],[Expenses]]</f>
        <v>365.46000000000004</v>
      </c>
      <c r="L408" t="s">
        <v>2210</v>
      </c>
      <c r="M408" t="str">
        <f>_xlfn.XLOOKUP(Orders[[#This Row],[CustomerID]],Customers[CustomerID],Customers[City])</f>
        <v>Texas</v>
      </c>
      <c r="N408" t="str">
        <f>_xlfn.XLOOKUP(Orders[[#This Row],[CustomerID]],Customers[CustomerID],Customers[CustomerName])</f>
        <v>Chioma Adeyemi</v>
      </c>
      <c r="O408" t="str">
        <f>_xlfn.XLOOKUP(Orders[[#This Row],[CustomerID]],Customers[CustomerID],Customers[Gender])</f>
        <v>Female</v>
      </c>
      <c r="P408">
        <f>_xlfn.XLOOKUP(Orders[[#This Row],[CustomerID]],Customers[CustomerID],Customers[CustomerAge])</f>
        <v>20</v>
      </c>
      <c r="Q408" t="str">
        <f>IF(Orders[[#This Row],[Age]]&gt;=35,"older","young")</f>
        <v>young</v>
      </c>
      <c r="R408" t="str">
        <f>_xlfn.XLOOKUP(Orders[[#This Row],[ProductID]],Products[ProductID],Products[ProductName])</f>
        <v>BADMINTON RACKET</v>
      </c>
      <c r="S408" t="str">
        <f>_xlfn.XLOOKUP(Orders[[#This Row],[ProductID]],Products!A:A,Products!C:C)</f>
        <v>Sports</v>
      </c>
    </row>
    <row r="409" spans="1:19" x14ac:dyDescent="0.2">
      <c r="A409" s="4" t="s">
        <v>590</v>
      </c>
      <c r="B409" s="5">
        <v>45987</v>
      </c>
      <c r="C409" s="15">
        <f>WEEKNUM(Orders[[#This Row],[OrderDate]])</f>
        <v>48</v>
      </c>
      <c r="D409" s="4" t="s">
        <v>136</v>
      </c>
      <c r="E409" s="4" t="s">
        <v>31</v>
      </c>
      <c r="F409" s="4">
        <v>4</v>
      </c>
      <c r="G409" s="4">
        <v>17804.2</v>
      </c>
      <c r="H409">
        <v>15133.57</v>
      </c>
      <c r="I409">
        <f>Orders[[#This Row],[Quantity]]*Orders[[#This Row],[Selling Price]]</f>
        <v>71216.800000000003</v>
      </c>
      <c r="J409">
        <f>Orders[[#This Row],[Quantity]]*Orders[[#This Row],[Cost Price]]</f>
        <v>60534.28</v>
      </c>
      <c r="K409">
        <f>Orders[[#This Row],[Revenue]]-Orders[[#This Row],[Expenses]]</f>
        <v>10682.520000000004</v>
      </c>
      <c r="L409" t="s">
        <v>2213</v>
      </c>
      <c r="M409" t="str">
        <f>_xlfn.XLOOKUP(Orders[[#This Row],[CustomerID]],Customers[CustomerID],Customers[City])</f>
        <v>California</v>
      </c>
      <c r="N409" t="str">
        <f>_xlfn.XLOOKUP(Orders[[#This Row],[CustomerID]],Customers[CustomerID],Customers[CustomerName])</f>
        <v>Chinedu Obi</v>
      </c>
      <c r="O409" t="str">
        <f>_xlfn.XLOOKUP(Orders[[#This Row],[CustomerID]],Customers[CustomerID],Customers[Gender])</f>
        <v>Male</v>
      </c>
      <c r="P409">
        <f>_xlfn.XLOOKUP(Orders[[#This Row],[CustomerID]],Customers[CustomerID],Customers[CustomerAge])</f>
        <v>27</v>
      </c>
      <c r="Q409" t="str">
        <f>IF(Orders[[#This Row],[Age]]&gt;=35,"older","young")</f>
        <v>young</v>
      </c>
      <c r="R409" t="str">
        <f>_xlfn.XLOOKUP(Orders[[#This Row],[ProductID]],Products[ProductID],Products[ProductName])</f>
        <v>KIDS GAMES</v>
      </c>
      <c r="S409" t="str">
        <f>_xlfn.XLOOKUP(Orders[[#This Row],[ProductID]],Products!A:A,Products!C:C)</f>
        <v>Games</v>
      </c>
    </row>
    <row r="410" spans="1:19" x14ac:dyDescent="0.2">
      <c r="A410" s="4" t="s">
        <v>591</v>
      </c>
      <c r="B410" s="5">
        <v>46018</v>
      </c>
      <c r="C410" s="15">
        <f>WEEKNUM(Orders[[#This Row],[OrderDate]])</f>
        <v>52</v>
      </c>
      <c r="D410" s="4" t="s">
        <v>134</v>
      </c>
      <c r="E410" s="4" t="s">
        <v>15</v>
      </c>
      <c r="F410" s="4">
        <v>4</v>
      </c>
      <c r="G410" s="4">
        <v>16794.5</v>
      </c>
      <c r="H410">
        <v>14275.325000000001</v>
      </c>
      <c r="I410">
        <f>Orders[[#This Row],[Quantity]]*Orders[[#This Row],[Selling Price]]</f>
        <v>67178</v>
      </c>
      <c r="J410">
        <f>Orders[[#This Row],[Quantity]]*Orders[[#This Row],[Cost Price]]</f>
        <v>57101.3</v>
      </c>
      <c r="K410">
        <f>Orders[[#This Row],[Revenue]]-Orders[[#This Row],[Expenses]]</f>
        <v>10076.699999999997</v>
      </c>
      <c r="L410" t="s">
        <v>2218</v>
      </c>
      <c r="M410" t="str">
        <f>_xlfn.XLOOKUP(Orders[[#This Row],[CustomerID]],Customers[CustomerID],Customers[City])</f>
        <v>Florida</v>
      </c>
      <c r="N410" t="str">
        <f>_xlfn.XLOOKUP(Orders[[#This Row],[CustomerID]],Customers[CustomerID],Customers[CustomerName])</f>
        <v>Ngozi Ojo</v>
      </c>
      <c r="O410" t="str">
        <f>_xlfn.XLOOKUP(Orders[[#This Row],[CustomerID]],Customers[CustomerID],Customers[Gender])</f>
        <v>Female</v>
      </c>
      <c r="P410">
        <f>_xlfn.XLOOKUP(Orders[[#This Row],[CustomerID]],Customers[CustomerID],Customers[CustomerAge])</f>
        <v>18</v>
      </c>
      <c r="Q410" t="str">
        <f>IF(Orders[[#This Row],[Age]]&gt;=35,"older","young")</f>
        <v>young</v>
      </c>
      <c r="R410" t="str">
        <f>_xlfn.XLOOKUP(Orders[[#This Row],[ProductID]],Products[ProductID],Products[ProductName])</f>
        <v>MONOPOLY</v>
      </c>
      <c r="S410" t="str">
        <f>_xlfn.XLOOKUP(Orders[[#This Row],[ProductID]],Products!A:A,Products!C:C)</f>
        <v>Games</v>
      </c>
    </row>
    <row r="411" spans="1:19" x14ac:dyDescent="0.2">
      <c r="A411" s="4" t="s">
        <v>592</v>
      </c>
      <c r="B411" s="5">
        <v>46018</v>
      </c>
      <c r="C411" s="15">
        <f>WEEKNUM(Orders[[#This Row],[OrderDate]])</f>
        <v>52</v>
      </c>
      <c r="D411" s="4" t="s">
        <v>36</v>
      </c>
      <c r="E411" s="4" t="s">
        <v>84</v>
      </c>
      <c r="F411" s="4">
        <v>3</v>
      </c>
      <c r="G411" s="4">
        <v>11233.099999999999</v>
      </c>
      <c r="H411">
        <v>9548.1349999999984</v>
      </c>
      <c r="I411">
        <f>Orders[[#This Row],[Quantity]]*Orders[[#This Row],[Selling Price]]</f>
        <v>33699.299999999996</v>
      </c>
      <c r="J411">
        <f>Orders[[#This Row],[Quantity]]*Orders[[#This Row],[Cost Price]]</f>
        <v>28644.404999999995</v>
      </c>
      <c r="K411">
        <f>Orders[[#This Row],[Revenue]]-Orders[[#This Row],[Expenses]]</f>
        <v>5054.8950000000004</v>
      </c>
      <c r="L411" t="s">
        <v>2194</v>
      </c>
      <c r="M411" t="str">
        <f>_xlfn.XLOOKUP(Orders[[#This Row],[CustomerID]],Customers[CustomerID],Customers[City])</f>
        <v>California</v>
      </c>
      <c r="N411" t="str">
        <f>_xlfn.XLOOKUP(Orders[[#This Row],[CustomerID]],Customers[CustomerID],Customers[CustomerName])</f>
        <v>Jide Eze</v>
      </c>
      <c r="O411" t="str">
        <f>_xlfn.XLOOKUP(Orders[[#This Row],[CustomerID]],Customers[CustomerID],Customers[Gender])</f>
        <v>Male</v>
      </c>
      <c r="P411">
        <f>_xlfn.XLOOKUP(Orders[[#This Row],[CustomerID]],Customers[CustomerID],Customers[CustomerAge])</f>
        <v>21</v>
      </c>
      <c r="Q411" t="str">
        <f>IF(Orders[[#This Row],[Age]]&gt;=35,"older","young")</f>
        <v>young</v>
      </c>
      <c r="R411" t="str">
        <f>_xlfn.XLOOKUP(Orders[[#This Row],[ProductID]],Products[ProductID],Products[ProductName])</f>
        <v>GYM WEARS</v>
      </c>
      <c r="S411" t="str">
        <f>_xlfn.XLOOKUP(Orders[[#This Row],[ProductID]],Products!A:A,Products!C:C)</f>
        <v>Clothing</v>
      </c>
    </row>
    <row r="412" spans="1:19" x14ac:dyDescent="0.2">
      <c r="A412" s="4" t="s">
        <v>593</v>
      </c>
      <c r="B412" s="5">
        <v>46020</v>
      </c>
      <c r="C412" s="15">
        <f>WEEKNUM(Orders[[#This Row],[OrderDate]])</f>
        <v>53</v>
      </c>
      <c r="D412" s="4" t="s">
        <v>517</v>
      </c>
      <c r="E412" s="4" t="s">
        <v>130</v>
      </c>
      <c r="F412" s="4">
        <v>1</v>
      </c>
      <c r="G412" s="4">
        <v>4653.2</v>
      </c>
      <c r="H412">
        <v>3955.22</v>
      </c>
      <c r="I412">
        <f>Orders[[#This Row],[Quantity]]*Orders[[#This Row],[Selling Price]]</f>
        <v>4653.2</v>
      </c>
      <c r="J412">
        <f>Orders[[#This Row],[Quantity]]*Orders[[#This Row],[Cost Price]]</f>
        <v>3955.22</v>
      </c>
      <c r="K412">
        <f>Orders[[#This Row],[Revenue]]-Orders[[#This Row],[Expenses]]</f>
        <v>697.98</v>
      </c>
      <c r="L412" t="s">
        <v>2220</v>
      </c>
      <c r="M412" t="str">
        <f>_xlfn.XLOOKUP(Orders[[#This Row],[CustomerID]],Customers[CustomerID],Customers[City])</f>
        <v>Florida</v>
      </c>
      <c r="N412" t="str">
        <f>_xlfn.XLOOKUP(Orders[[#This Row],[CustomerID]],Customers[CustomerID],Customers[CustomerName])</f>
        <v>Efe Adeyemi</v>
      </c>
      <c r="O412" t="str">
        <f>_xlfn.XLOOKUP(Orders[[#This Row],[CustomerID]],Customers[CustomerID],Customers[Gender])</f>
        <v>Female</v>
      </c>
      <c r="P412">
        <f>_xlfn.XLOOKUP(Orders[[#This Row],[CustomerID]],Customers[CustomerID],Customers[CustomerAge])</f>
        <v>25</v>
      </c>
      <c r="Q412" t="str">
        <f>IF(Orders[[#This Row],[Age]]&gt;=35,"older","young")</f>
        <v>young</v>
      </c>
      <c r="R412" t="str">
        <f>_xlfn.XLOOKUP(Orders[[#This Row],[ProductID]],Products[ProductID],Products[ProductName])</f>
        <v>GOLD EARRINGS AND NECKLACES</v>
      </c>
      <c r="S412" t="str">
        <f>_xlfn.XLOOKUP(Orders[[#This Row],[ProductID]],Products!A:A,Products!C:C)</f>
        <v>Accessories</v>
      </c>
    </row>
    <row r="413" spans="1:19" x14ac:dyDescent="0.2">
      <c r="A413" s="4" t="s">
        <v>594</v>
      </c>
      <c r="B413" s="5">
        <v>45962</v>
      </c>
      <c r="C413" s="15">
        <f>WEEKNUM(Orders[[#This Row],[OrderDate]])</f>
        <v>44</v>
      </c>
      <c r="D413" s="4" t="s">
        <v>311</v>
      </c>
      <c r="E413" s="4" t="s">
        <v>232</v>
      </c>
      <c r="F413" s="4">
        <v>5</v>
      </c>
      <c r="G413" s="4">
        <v>11829.400000000001</v>
      </c>
      <c r="H413">
        <v>10054.990000000002</v>
      </c>
      <c r="I413">
        <f>Orders[[#This Row],[Quantity]]*Orders[[#This Row],[Selling Price]]</f>
        <v>59147.000000000007</v>
      </c>
      <c r="J413">
        <f>Orders[[#This Row],[Quantity]]*Orders[[#This Row],[Cost Price]]</f>
        <v>50274.950000000012</v>
      </c>
      <c r="K413">
        <f>Orders[[#This Row],[Revenue]]-Orders[[#This Row],[Expenses]]</f>
        <v>8872.0499999999956</v>
      </c>
      <c r="L413" t="s">
        <v>2212</v>
      </c>
      <c r="M413" t="str">
        <f>_xlfn.XLOOKUP(Orders[[#This Row],[CustomerID]],Customers[CustomerID],Customers[City])</f>
        <v>Georgia</v>
      </c>
      <c r="N413" t="str">
        <f>_xlfn.XLOOKUP(Orders[[#This Row],[CustomerID]],Customers[CustomerID],Customers[CustomerName])</f>
        <v>Bisi Bello</v>
      </c>
      <c r="O413" t="str">
        <f>_xlfn.XLOOKUP(Orders[[#This Row],[CustomerID]],Customers[CustomerID],Customers[Gender])</f>
        <v>Female</v>
      </c>
      <c r="P413">
        <f>_xlfn.XLOOKUP(Orders[[#This Row],[CustomerID]],Customers[CustomerID],Customers[CustomerAge])</f>
        <v>31</v>
      </c>
      <c r="Q413" t="str">
        <f>IF(Orders[[#This Row],[Age]]&gt;=35,"older","young")</f>
        <v>young</v>
      </c>
      <c r="R413" t="str">
        <f>_xlfn.XLOOKUP(Orders[[#This Row],[ProductID]],Products[ProductID],Products[ProductName])</f>
        <v>ANKARA</v>
      </c>
      <c r="S413" t="str">
        <f>_xlfn.XLOOKUP(Orders[[#This Row],[ProductID]],Products!A:A,Products!C:C)</f>
        <v>Clothing</v>
      </c>
    </row>
    <row r="414" spans="1:19" x14ac:dyDescent="0.2">
      <c r="A414" s="4" t="s">
        <v>595</v>
      </c>
      <c r="B414" s="5">
        <v>46002</v>
      </c>
      <c r="C414" s="15">
        <f>WEEKNUM(Orders[[#This Row],[OrderDate]])</f>
        <v>50</v>
      </c>
      <c r="D414" s="4" t="s">
        <v>596</v>
      </c>
      <c r="E414" s="4" t="s">
        <v>120</v>
      </c>
      <c r="F414" s="4">
        <v>2</v>
      </c>
      <c r="G414" s="4">
        <v>8222.1</v>
      </c>
      <c r="H414">
        <v>6988.7849999999999</v>
      </c>
      <c r="I414">
        <f>Orders[[#This Row],[Quantity]]*Orders[[#This Row],[Selling Price]]</f>
        <v>16444.2</v>
      </c>
      <c r="J414">
        <f>Orders[[#This Row],[Quantity]]*Orders[[#This Row],[Cost Price]]</f>
        <v>13977.57</v>
      </c>
      <c r="K414">
        <f>Orders[[#This Row],[Revenue]]-Orders[[#This Row],[Expenses]]</f>
        <v>2466.630000000001</v>
      </c>
      <c r="L414" t="s">
        <v>2196</v>
      </c>
      <c r="M414" t="str">
        <f>_xlfn.XLOOKUP(Orders[[#This Row],[CustomerID]],Customers[CustomerID],Customers[City])</f>
        <v>Texas</v>
      </c>
      <c r="N414" t="str">
        <f>_xlfn.XLOOKUP(Orders[[#This Row],[CustomerID]],Customers[CustomerID],Customers[CustomerName])</f>
        <v>Blessing Balogun</v>
      </c>
      <c r="O414" t="str">
        <f>_xlfn.XLOOKUP(Orders[[#This Row],[CustomerID]],Customers[CustomerID],Customers[Gender])</f>
        <v>Female</v>
      </c>
      <c r="P414">
        <f>_xlfn.XLOOKUP(Orders[[#This Row],[CustomerID]],Customers[CustomerID],Customers[CustomerAge])</f>
        <v>26</v>
      </c>
      <c r="Q414" t="str">
        <f>IF(Orders[[#This Row],[Age]]&gt;=35,"older","young")</f>
        <v>young</v>
      </c>
      <c r="R414" t="str">
        <f>_xlfn.XLOOKUP(Orders[[#This Row],[ProductID]],Products[ProductID],Products[ProductName])</f>
        <v>CHESS</v>
      </c>
      <c r="S414" t="str">
        <f>_xlfn.XLOOKUP(Orders[[#This Row],[ProductID]],Products!A:A,Products!C:C)</f>
        <v>Games</v>
      </c>
    </row>
    <row r="415" spans="1:19" x14ac:dyDescent="0.2">
      <c r="A415" s="4" t="s">
        <v>597</v>
      </c>
      <c r="B415" s="5">
        <v>45982</v>
      </c>
      <c r="C415" s="15">
        <f>WEEKNUM(Orders[[#This Row],[OrderDate]])</f>
        <v>47</v>
      </c>
      <c r="D415" s="4" t="s">
        <v>124</v>
      </c>
      <c r="E415" s="4" t="s">
        <v>57</v>
      </c>
      <c r="F415" s="4">
        <v>9</v>
      </c>
      <c r="G415" s="4">
        <v>12733.699999999999</v>
      </c>
      <c r="H415">
        <v>10823.644999999999</v>
      </c>
      <c r="I415">
        <f>Orders[[#This Row],[Quantity]]*Orders[[#This Row],[Selling Price]]</f>
        <v>114603.29999999999</v>
      </c>
      <c r="J415">
        <f>Orders[[#This Row],[Quantity]]*Orders[[#This Row],[Cost Price]]</f>
        <v>97412.804999999993</v>
      </c>
      <c r="K415">
        <f>Orders[[#This Row],[Revenue]]-Orders[[#This Row],[Expenses]]</f>
        <v>17190.494999999995</v>
      </c>
      <c r="L415" t="s">
        <v>2199</v>
      </c>
      <c r="M415" t="str">
        <f>_xlfn.XLOOKUP(Orders[[#This Row],[CustomerID]],Customers[CustomerID],Customers[City])</f>
        <v>Texas</v>
      </c>
      <c r="N415" t="str">
        <f>_xlfn.XLOOKUP(Orders[[#This Row],[CustomerID]],Customers[CustomerID],Customers[CustomerName])</f>
        <v>Ngozi Ojo</v>
      </c>
      <c r="O415" t="str">
        <f>_xlfn.XLOOKUP(Orders[[#This Row],[CustomerID]],Customers[CustomerID],Customers[Gender])</f>
        <v>Female</v>
      </c>
      <c r="P415">
        <f>_xlfn.XLOOKUP(Orders[[#This Row],[CustomerID]],Customers[CustomerID],Customers[CustomerAge])</f>
        <v>22</v>
      </c>
      <c r="Q415" t="str">
        <f>IF(Orders[[#This Row],[Age]]&gt;=35,"older","young")</f>
        <v>young</v>
      </c>
      <c r="R415" t="str">
        <f>_xlfn.XLOOKUP(Orders[[#This Row],[ProductID]],Products[ProductID],Products[ProductName])</f>
        <v>BADMINTON RACKET</v>
      </c>
      <c r="S415" t="str">
        <f>_xlfn.XLOOKUP(Orders[[#This Row],[ProductID]],Products!A:A,Products!C:C)</f>
        <v>Sports</v>
      </c>
    </row>
    <row r="416" spans="1:19" x14ac:dyDescent="0.2">
      <c r="A416" s="4" t="s">
        <v>598</v>
      </c>
      <c r="B416" s="5">
        <v>45946</v>
      </c>
      <c r="C416" s="15">
        <f>WEEKNUM(Orders[[#This Row],[OrderDate]])</f>
        <v>42</v>
      </c>
      <c r="D416" s="4" t="s">
        <v>574</v>
      </c>
      <c r="E416" s="4" t="s">
        <v>28</v>
      </c>
      <c r="F416" s="4">
        <v>9</v>
      </c>
      <c r="G416" s="4">
        <v>17170.3</v>
      </c>
      <c r="H416">
        <v>14594.754999999999</v>
      </c>
      <c r="I416">
        <f>Orders[[#This Row],[Quantity]]*Orders[[#This Row],[Selling Price]]</f>
        <v>154532.69999999998</v>
      </c>
      <c r="J416">
        <f>Orders[[#This Row],[Quantity]]*Orders[[#This Row],[Cost Price]]</f>
        <v>131352.79499999998</v>
      </c>
      <c r="K416">
        <f>Orders[[#This Row],[Revenue]]-Orders[[#This Row],[Expenses]]</f>
        <v>23179.904999999999</v>
      </c>
      <c r="L416" t="s">
        <v>2208</v>
      </c>
      <c r="M416" t="str">
        <f>_xlfn.XLOOKUP(Orders[[#This Row],[CustomerID]],Customers[CustomerID],Customers[City])</f>
        <v>Texas</v>
      </c>
      <c r="N416" t="str">
        <f>_xlfn.XLOOKUP(Orders[[#This Row],[CustomerID]],Customers[CustomerID],Customers[CustomerName])</f>
        <v>Adanma Obi</v>
      </c>
      <c r="O416" t="str">
        <f>_xlfn.XLOOKUP(Orders[[#This Row],[CustomerID]],Customers[CustomerID],Customers[Gender])</f>
        <v>Female</v>
      </c>
      <c r="P416">
        <f>_xlfn.XLOOKUP(Orders[[#This Row],[CustomerID]],Customers[CustomerID],Customers[CustomerAge])</f>
        <v>23</v>
      </c>
      <c r="Q416" t="str">
        <f>IF(Orders[[#This Row],[Age]]&gt;=35,"older","young")</f>
        <v>young</v>
      </c>
      <c r="R416" t="str">
        <f>_xlfn.XLOOKUP(Orders[[#This Row],[ProductID]],Products[ProductID],Products[ProductName])</f>
        <v>SNEAKERS</v>
      </c>
      <c r="S416" t="str">
        <f>_xlfn.XLOOKUP(Orders[[#This Row],[ProductID]],Products!A:A,Products!C:C)</f>
        <v>Sports</v>
      </c>
    </row>
    <row r="417" spans="1:19" x14ac:dyDescent="0.2">
      <c r="A417" s="4" t="s">
        <v>599</v>
      </c>
      <c r="B417" s="5">
        <v>45990</v>
      </c>
      <c r="C417" s="15">
        <f>WEEKNUM(Orders[[#This Row],[OrderDate]])</f>
        <v>48</v>
      </c>
      <c r="D417" s="4" t="s">
        <v>221</v>
      </c>
      <c r="E417" s="4" t="s">
        <v>120</v>
      </c>
      <c r="F417" s="4">
        <v>10</v>
      </c>
      <c r="G417" s="4">
        <v>1733.1999999999998</v>
      </c>
      <c r="H417">
        <v>1473.2199999999998</v>
      </c>
      <c r="I417">
        <f>Orders[[#This Row],[Quantity]]*Orders[[#This Row],[Selling Price]]</f>
        <v>17332</v>
      </c>
      <c r="J417">
        <f>Orders[[#This Row],[Quantity]]*Orders[[#This Row],[Cost Price]]</f>
        <v>14732.199999999997</v>
      </c>
      <c r="K417">
        <f>Orders[[#This Row],[Revenue]]-Orders[[#This Row],[Expenses]]</f>
        <v>2599.8000000000029</v>
      </c>
      <c r="L417" t="s">
        <v>2212</v>
      </c>
      <c r="M417" t="str">
        <f>_xlfn.XLOOKUP(Orders[[#This Row],[CustomerID]],Customers[CustomerID],Customers[City])</f>
        <v>Texas</v>
      </c>
      <c r="N417" t="str">
        <f>_xlfn.XLOOKUP(Orders[[#This Row],[CustomerID]],Customers[CustomerID],Customers[CustomerName])</f>
        <v>Obi Bello</v>
      </c>
      <c r="O417" t="str">
        <f>_xlfn.XLOOKUP(Orders[[#This Row],[CustomerID]],Customers[CustomerID],Customers[Gender])</f>
        <v>Male</v>
      </c>
      <c r="P417">
        <f>_xlfn.XLOOKUP(Orders[[#This Row],[CustomerID]],Customers[CustomerID],Customers[CustomerAge])</f>
        <v>18</v>
      </c>
      <c r="Q417" t="str">
        <f>IF(Orders[[#This Row],[Age]]&gt;=35,"older","young")</f>
        <v>young</v>
      </c>
      <c r="R417" t="str">
        <f>_xlfn.XLOOKUP(Orders[[#This Row],[ProductID]],Products[ProductID],Products[ProductName])</f>
        <v>CHESS</v>
      </c>
      <c r="S417" t="str">
        <f>_xlfn.XLOOKUP(Orders[[#This Row],[ProductID]],Products!A:A,Products!C:C)</f>
        <v>Games</v>
      </c>
    </row>
    <row r="418" spans="1:19" x14ac:dyDescent="0.2">
      <c r="A418" s="4" t="s">
        <v>600</v>
      </c>
      <c r="B418" s="5">
        <v>45954</v>
      </c>
      <c r="C418" s="15">
        <f>WEEKNUM(Orders[[#This Row],[OrderDate]])</f>
        <v>43</v>
      </c>
      <c r="D418" s="4" t="s">
        <v>305</v>
      </c>
      <c r="E418" s="4" t="s">
        <v>60</v>
      </c>
      <c r="F418" s="4">
        <v>9</v>
      </c>
      <c r="G418" s="4">
        <v>15387.3</v>
      </c>
      <c r="H418">
        <v>13079.205</v>
      </c>
      <c r="I418">
        <f>Orders[[#This Row],[Quantity]]*Orders[[#This Row],[Selling Price]]</f>
        <v>138485.69999999998</v>
      </c>
      <c r="J418">
        <f>Orders[[#This Row],[Quantity]]*Orders[[#This Row],[Cost Price]]</f>
        <v>117712.845</v>
      </c>
      <c r="K418">
        <f>Orders[[#This Row],[Revenue]]-Orders[[#This Row],[Expenses]]</f>
        <v>20772.854999999981</v>
      </c>
      <c r="L418" t="s">
        <v>2220</v>
      </c>
      <c r="M418" t="str">
        <f>_xlfn.XLOOKUP(Orders[[#This Row],[CustomerID]],Customers[CustomerID],Customers[City])</f>
        <v>California</v>
      </c>
      <c r="N418" t="str">
        <f>_xlfn.XLOOKUP(Orders[[#This Row],[CustomerID]],Customers[CustomerID],Customers[CustomerName])</f>
        <v>Tunde Danladi</v>
      </c>
      <c r="O418" t="str">
        <f>_xlfn.XLOOKUP(Orders[[#This Row],[CustomerID]],Customers[CustomerID],Customers[Gender])</f>
        <v>Male</v>
      </c>
      <c r="P418">
        <f>_xlfn.XLOOKUP(Orders[[#This Row],[CustomerID]],Customers[CustomerID],Customers[CustomerAge])</f>
        <v>40</v>
      </c>
      <c r="Q418" t="str">
        <f>IF(Orders[[#This Row],[Age]]&gt;=35,"older","young")</f>
        <v>older</v>
      </c>
      <c r="R418" t="str">
        <f>_xlfn.XLOOKUP(Orders[[#This Row],[ProductID]],Products[ProductID],Products[ProductName])</f>
        <v>SILVER RINGS</v>
      </c>
      <c r="S418" t="str">
        <f>_xlfn.XLOOKUP(Orders[[#This Row],[ProductID]],Products!A:A,Products!C:C)</f>
        <v>Accessories</v>
      </c>
    </row>
    <row r="419" spans="1:19" x14ac:dyDescent="0.2">
      <c r="A419" s="4" t="s">
        <v>601</v>
      </c>
      <c r="B419" s="5">
        <v>46015</v>
      </c>
      <c r="C419" s="15">
        <f>WEEKNUM(Orders[[#This Row],[OrderDate]])</f>
        <v>52</v>
      </c>
      <c r="D419" s="4" t="s">
        <v>146</v>
      </c>
      <c r="E419" s="4" t="s">
        <v>157</v>
      </c>
      <c r="F419" s="4">
        <v>3</v>
      </c>
      <c r="G419" s="4">
        <v>19428.900000000001</v>
      </c>
      <c r="H419">
        <v>16514.565000000002</v>
      </c>
      <c r="I419">
        <f>Orders[[#This Row],[Quantity]]*Orders[[#This Row],[Selling Price]]</f>
        <v>58286.700000000004</v>
      </c>
      <c r="J419">
        <f>Orders[[#This Row],[Quantity]]*Orders[[#This Row],[Cost Price]]</f>
        <v>49543.695000000007</v>
      </c>
      <c r="K419">
        <f>Orders[[#This Row],[Revenue]]-Orders[[#This Row],[Expenses]]</f>
        <v>8743.0049999999974</v>
      </c>
      <c r="L419" t="s">
        <v>2194</v>
      </c>
      <c r="M419" t="str">
        <f>_xlfn.XLOOKUP(Orders[[#This Row],[CustomerID]],Customers[CustomerID],Customers[City])</f>
        <v>Texas</v>
      </c>
      <c r="N419" t="str">
        <f>_xlfn.XLOOKUP(Orders[[#This Row],[CustomerID]],Customers[CustomerID],Customers[CustomerName])</f>
        <v>Mustafa Igwe</v>
      </c>
      <c r="O419" t="str">
        <f>_xlfn.XLOOKUP(Orders[[#This Row],[CustomerID]],Customers[CustomerID],Customers[Gender])</f>
        <v>Male</v>
      </c>
      <c r="P419">
        <f>_xlfn.XLOOKUP(Orders[[#This Row],[CustomerID]],Customers[CustomerID],Customers[CustomerAge])</f>
        <v>27</v>
      </c>
      <c r="Q419" t="str">
        <f>IF(Orders[[#This Row],[Age]]&gt;=35,"older","young")</f>
        <v>young</v>
      </c>
      <c r="R419" t="str">
        <f>_xlfn.XLOOKUP(Orders[[#This Row],[ProductID]],Products[ProductID],Products[ProductName])</f>
        <v>FOOTBALL</v>
      </c>
      <c r="S419" t="str">
        <f>_xlfn.XLOOKUP(Orders[[#This Row],[ProductID]],Products!A:A,Products!C:C)</f>
        <v>Sports</v>
      </c>
    </row>
    <row r="420" spans="1:19" x14ac:dyDescent="0.2">
      <c r="A420" s="4" t="s">
        <v>602</v>
      </c>
      <c r="B420" s="5">
        <v>45958</v>
      </c>
      <c r="C420" s="15">
        <f>WEEKNUM(Orders[[#This Row],[OrderDate]])</f>
        <v>44</v>
      </c>
      <c r="D420" s="4" t="s">
        <v>30</v>
      </c>
      <c r="E420" s="4" t="s">
        <v>37</v>
      </c>
      <c r="F420" s="4">
        <v>5</v>
      </c>
      <c r="G420" s="4">
        <v>3198.1</v>
      </c>
      <c r="H420">
        <v>2718.3849999999998</v>
      </c>
      <c r="I420">
        <f>Orders[[#This Row],[Quantity]]*Orders[[#This Row],[Selling Price]]</f>
        <v>15990.5</v>
      </c>
      <c r="J420">
        <f>Orders[[#This Row],[Quantity]]*Orders[[#This Row],[Cost Price]]</f>
        <v>13591.924999999999</v>
      </c>
      <c r="K420">
        <f>Orders[[#This Row],[Revenue]]-Orders[[#This Row],[Expenses]]</f>
        <v>2398.5750000000007</v>
      </c>
      <c r="L420" t="s">
        <v>2214</v>
      </c>
      <c r="M420" t="str">
        <f>_xlfn.XLOOKUP(Orders[[#This Row],[CustomerID]],Customers[CustomerID],Customers[City])</f>
        <v>Florida</v>
      </c>
      <c r="N420" t="str">
        <f>_xlfn.XLOOKUP(Orders[[#This Row],[CustomerID]],Customers[CustomerID],Customers[CustomerName])</f>
        <v>Amina Danladi</v>
      </c>
      <c r="O420" t="str">
        <f>_xlfn.XLOOKUP(Orders[[#This Row],[CustomerID]],Customers[CustomerID],Customers[Gender])</f>
        <v>Female</v>
      </c>
      <c r="P420">
        <f>_xlfn.XLOOKUP(Orders[[#This Row],[CustomerID]],Customers[CustomerID],Customers[CustomerAge])</f>
        <v>42</v>
      </c>
      <c r="Q420" t="str">
        <f>IF(Orders[[#This Row],[Age]]&gt;=35,"older","young")</f>
        <v>older</v>
      </c>
      <c r="R420" t="str">
        <f>_xlfn.XLOOKUP(Orders[[#This Row],[ProductID]],Products[ProductID],Products[ProductName])</f>
        <v>IRON</v>
      </c>
      <c r="S420" t="str">
        <f>_xlfn.XLOOKUP(Orders[[#This Row],[ProductID]],Products!A:A,Products!C:C)</f>
        <v>Electronics</v>
      </c>
    </row>
    <row r="421" spans="1:19" x14ac:dyDescent="0.2">
      <c r="A421" s="4" t="s">
        <v>603</v>
      </c>
      <c r="B421" s="5">
        <v>46007</v>
      </c>
      <c r="C421" s="15">
        <f>WEEKNUM(Orders[[#This Row],[OrderDate]])</f>
        <v>51</v>
      </c>
      <c r="D421" s="4" t="s">
        <v>481</v>
      </c>
      <c r="E421" s="4" t="s">
        <v>120</v>
      </c>
      <c r="F421" s="4">
        <v>2</v>
      </c>
      <c r="G421" s="4">
        <v>2665.7999999999997</v>
      </c>
      <c r="H421">
        <v>2265.9299999999998</v>
      </c>
      <c r="I421">
        <f>Orders[[#This Row],[Quantity]]*Orders[[#This Row],[Selling Price]]</f>
        <v>5331.5999999999995</v>
      </c>
      <c r="J421">
        <f>Orders[[#This Row],[Quantity]]*Orders[[#This Row],[Cost Price]]</f>
        <v>4531.8599999999997</v>
      </c>
      <c r="K421">
        <f>Orders[[#This Row],[Revenue]]-Orders[[#This Row],[Expenses]]</f>
        <v>799.73999999999978</v>
      </c>
      <c r="L421" t="s">
        <v>2200</v>
      </c>
      <c r="M421" t="str">
        <f>_xlfn.XLOOKUP(Orders[[#This Row],[CustomerID]],Customers[CustomerID],Customers[City])</f>
        <v>Illinois</v>
      </c>
      <c r="N421" t="str">
        <f>_xlfn.XLOOKUP(Orders[[#This Row],[CustomerID]],Customers[CustomerID],Customers[CustomerName])</f>
        <v>Abiola Bello</v>
      </c>
      <c r="O421" t="str">
        <f>_xlfn.XLOOKUP(Orders[[#This Row],[CustomerID]],Customers[CustomerID],Customers[Gender])</f>
        <v>Male</v>
      </c>
      <c r="P421">
        <f>_xlfn.XLOOKUP(Orders[[#This Row],[CustomerID]],Customers[CustomerID],Customers[CustomerAge])</f>
        <v>33</v>
      </c>
      <c r="Q421" t="str">
        <f>IF(Orders[[#This Row],[Age]]&gt;=35,"older","young")</f>
        <v>young</v>
      </c>
      <c r="R421" t="str">
        <f>_xlfn.XLOOKUP(Orders[[#This Row],[ProductID]],Products[ProductID],Products[ProductName])</f>
        <v>CHESS</v>
      </c>
      <c r="S421" t="str">
        <f>_xlfn.XLOOKUP(Orders[[#This Row],[ProductID]],Products!A:A,Products!C:C)</f>
        <v>Games</v>
      </c>
    </row>
    <row r="422" spans="1:19" x14ac:dyDescent="0.2">
      <c r="A422" s="4" t="s">
        <v>604</v>
      </c>
      <c r="B422" s="5">
        <v>45983</v>
      </c>
      <c r="C422" s="15">
        <f>WEEKNUM(Orders[[#This Row],[OrderDate]])</f>
        <v>47</v>
      </c>
      <c r="D422" s="4" t="s">
        <v>605</v>
      </c>
      <c r="E422" s="4" t="s">
        <v>253</v>
      </c>
      <c r="F422" s="4">
        <v>5</v>
      </c>
      <c r="G422" s="4">
        <v>9905.1</v>
      </c>
      <c r="H422">
        <v>8419.3350000000009</v>
      </c>
      <c r="I422">
        <f>Orders[[#This Row],[Quantity]]*Orders[[#This Row],[Selling Price]]</f>
        <v>49525.5</v>
      </c>
      <c r="J422">
        <f>Orders[[#This Row],[Quantity]]*Orders[[#This Row],[Cost Price]]</f>
        <v>42096.675000000003</v>
      </c>
      <c r="K422">
        <f>Orders[[#This Row],[Revenue]]-Orders[[#This Row],[Expenses]]</f>
        <v>7428.8249999999971</v>
      </c>
      <c r="L422" t="s">
        <v>2211</v>
      </c>
      <c r="M422" t="str">
        <f>_xlfn.XLOOKUP(Orders[[#This Row],[CustomerID]],Customers[CustomerID],Customers[City])</f>
        <v>Texas</v>
      </c>
      <c r="N422" t="str">
        <f>_xlfn.XLOOKUP(Orders[[#This Row],[CustomerID]],Customers[CustomerID],Customers[CustomerName])</f>
        <v>Blessing Abubakar</v>
      </c>
      <c r="O422" t="str">
        <f>_xlfn.XLOOKUP(Orders[[#This Row],[CustomerID]],Customers[CustomerID],Customers[Gender])</f>
        <v>Female</v>
      </c>
      <c r="P422">
        <f>_xlfn.XLOOKUP(Orders[[#This Row],[CustomerID]],Customers[CustomerID],Customers[CustomerAge])</f>
        <v>44</v>
      </c>
      <c r="Q422" t="str">
        <f>IF(Orders[[#This Row],[Age]]&gt;=35,"older","young")</f>
        <v>older</v>
      </c>
      <c r="R422" t="str">
        <f>_xlfn.XLOOKUP(Orders[[#This Row],[ProductID]],Products[ProductID],Products[ProductName])</f>
        <v>NOSE RINGS</v>
      </c>
      <c r="S422" t="str">
        <f>_xlfn.XLOOKUP(Orders[[#This Row],[ProductID]],Products!A:A,Products!C:C)</f>
        <v>Accessories</v>
      </c>
    </row>
    <row r="423" spans="1:19" x14ac:dyDescent="0.2">
      <c r="A423" s="4" t="s">
        <v>606</v>
      </c>
      <c r="B423" s="5">
        <v>46011</v>
      </c>
      <c r="C423" s="15">
        <f>WEEKNUM(Orders[[#This Row],[OrderDate]])</f>
        <v>51</v>
      </c>
      <c r="D423" s="4" t="s">
        <v>607</v>
      </c>
      <c r="E423" s="4" t="s">
        <v>70</v>
      </c>
      <c r="F423" s="4">
        <v>1</v>
      </c>
      <c r="G423" s="4">
        <v>18652.8</v>
      </c>
      <c r="H423">
        <v>15854.88</v>
      </c>
      <c r="I423">
        <f>Orders[[#This Row],[Quantity]]*Orders[[#This Row],[Selling Price]]</f>
        <v>18652.8</v>
      </c>
      <c r="J423">
        <f>Orders[[#This Row],[Quantity]]*Orders[[#This Row],[Cost Price]]</f>
        <v>15854.88</v>
      </c>
      <c r="K423">
        <f>Orders[[#This Row],[Revenue]]-Orders[[#This Row],[Expenses]]</f>
        <v>2797.92</v>
      </c>
      <c r="L423" t="s">
        <v>2199</v>
      </c>
      <c r="M423" t="str">
        <f>_xlfn.XLOOKUP(Orders[[#This Row],[CustomerID]],Customers[CustomerID],Customers[City])</f>
        <v>Texas</v>
      </c>
      <c r="N423" t="str">
        <f>_xlfn.XLOOKUP(Orders[[#This Row],[CustomerID]],Customers[CustomerID],Customers[CustomerName])</f>
        <v>Folasade Ojo</v>
      </c>
      <c r="O423" t="str">
        <f>_xlfn.XLOOKUP(Orders[[#This Row],[CustomerID]],Customers[CustomerID],Customers[Gender])</f>
        <v>Female</v>
      </c>
      <c r="P423">
        <f>_xlfn.XLOOKUP(Orders[[#This Row],[CustomerID]],Customers[CustomerID],Customers[CustomerAge])</f>
        <v>19</v>
      </c>
      <c r="Q423" t="str">
        <f>IF(Orders[[#This Row],[Age]]&gt;=35,"older","young")</f>
        <v>young</v>
      </c>
      <c r="R423" t="str">
        <f>_xlfn.XLOOKUP(Orders[[#This Row],[ProductID]],Products[ProductID],Products[ProductName])</f>
        <v>YOGA MAT</v>
      </c>
      <c r="S423" t="str">
        <f>_xlfn.XLOOKUP(Orders[[#This Row],[ProductID]],Products!A:A,Products!C:C)</f>
        <v>Gym</v>
      </c>
    </row>
    <row r="424" spans="1:19" x14ac:dyDescent="0.2">
      <c r="A424" s="4" t="s">
        <v>608</v>
      </c>
      <c r="B424" s="5">
        <v>45965</v>
      </c>
      <c r="C424" s="15">
        <f>WEEKNUM(Orders[[#This Row],[OrderDate]])</f>
        <v>45</v>
      </c>
      <c r="D424" s="4" t="s">
        <v>55</v>
      </c>
      <c r="E424" s="4" t="s">
        <v>46</v>
      </c>
      <c r="F424" s="4">
        <v>6</v>
      </c>
      <c r="G424" s="4">
        <v>10950.3</v>
      </c>
      <c r="H424">
        <v>9307.7549999999992</v>
      </c>
      <c r="I424">
        <f>Orders[[#This Row],[Quantity]]*Orders[[#This Row],[Selling Price]]</f>
        <v>65701.799999999988</v>
      </c>
      <c r="J424">
        <f>Orders[[#This Row],[Quantity]]*Orders[[#This Row],[Cost Price]]</f>
        <v>55846.53</v>
      </c>
      <c r="K424">
        <f>Orders[[#This Row],[Revenue]]-Orders[[#This Row],[Expenses]]</f>
        <v>9855.2699999999895</v>
      </c>
      <c r="L424" t="s">
        <v>2199</v>
      </c>
      <c r="M424" t="str">
        <f>_xlfn.XLOOKUP(Orders[[#This Row],[CustomerID]],Customers[CustomerID],Customers[City])</f>
        <v>California</v>
      </c>
      <c r="N424" t="str">
        <f>_xlfn.XLOOKUP(Orders[[#This Row],[CustomerID]],Customers[CustomerID],Customers[CustomerName])</f>
        <v>Adanma Ojo</v>
      </c>
      <c r="O424" t="str">
        <f>_xlfn.XLOOKUP(Orders[[#This Row],[CustomerID]],Customers[CustomerID],Customers[Gender])</f>
        <v>Female</v>
      </c>
      <c r="P424">
        <f>_xlfn.XLOOKUP(Orders[[#This Row],[CustomerID]],Customers[CustomerID],Customers[CustomerAge])</f>
        <v>48</v>
      </c>
      <c r="Q424" t="str">
        <f>IF(Orders[[#This Row],[Age]]&gt;=35,"older","young")</f>
        <v>older</v>
      </c>
      <c r="R424" t="str">
        <f>_xlfn.XLOOKUP(Orders[[#This Row],[ProductID]],Products[ProductID],Products[ProductName])</f>
        <v>TURTLE NECK</v>
      </c>
      <c r="S424" t="str">
        <f>_xlfn.XLOOKUP(Orders[[#This Row],[ProductID]],Products!A:A,Products!C:C)</f>
        <v>Clothing</v>
      </c>
    </row>
    <row r="425" spans="1:19" x14ac:dyDescent="0.2">
      <c r="A425" s="4" t="s">
        <v>609</v>
      </c>
      <c r="B425" s="5">
        <v>45941</v>
      </c>
      <c r="C425" s="15">
        <f>WEEKNUM(Orders[[#This Row],[OrderDate]])</f>
        <v>41</v>
      </c>
      <c r="D425" s="4" t="s">
        <v>305</v>
      </c>
      <c r="E425" s="4" t="s">
        <v>25</v>
      </c>
      <c r="F425" s="4">
        <v>10</v>
      </c>
      <c r="G425" s="4">
        <v>1367.8999999999999</v>
      </c>
      <c r="H425">
        <v>1162.7149999999999</v>
      </c>
      <c r="I425">
        <f>Orders[[#This Row],[Quantity]]*Orders[[#This Row],[Selling Price]]</f>
        <v>13678.999999999998</v>
      </c>
      <c r="J425">
        <f>Orders[[#This Row],[Quantity]]*Orders[[#This Row],[Cost Price]]</f>
        <v>11627.15</v>
      </c>
      <c r="K425">
        <f>Orders[[#This Row],[Revenue]]-Orders[[#This Row],[Expenses]]</f>
        <v>2051.8499999999985</v>
      </c>
      <c r="L425" t="s">
        <v>2219</v>
      </c>
      <c r="M425" t="str">
        <f>_xlfn.XLOOKUP(Orders[[#This Row],[CustomerID]],Customers[CustomerID],Customers[City])</f>
        <v>California</v>
      </c>
      <c r="N425" t="str">
        <f>_xlfn.XLOOKUP(Orders[[#This Row],[CustomerID]],Customers[CustomerID],Customers[CustomerName])</f>
        <v>Tunde Danladi</v>
      </c>
      <c r="O425" t="str">
        <f>_xlfn.XLOOKUP(Orders[[#This Row],[CustomerID]],Customers[CustomerID],Customers[Gender])</f>
        <v>Male</v>
      </c>
      <c r="P425">
        <f>_xlfn.XLOOKUP(Orders[[#This Row],[CustomerID]],Customers[CustomerID],Customers[CustomerAge])</f>
        <v>40</v>
      </c>
      <c r="Q425" t="str">
        <f>IF(Orders[[#This Row],[Age]]&gt;=35,"older","young")</f>
        <v>older</v>
      </c>
      <c r="R425" t="str">
        <f>_xlfn.XLOOKUP(Orders[[#This Row],[ProductID]],Products[ProductID],Products[ProductName])</f>
        <v>GOLD RINGS</v>
      </c>
      <c r="S425" t="str">
        <f>_xlfn.XLOOKUP(Orders[[#This Row],[ProductID]],Products!A:A,Products!C:C)</f>
        <v>Accessories</v>
      </c>
    </row>
    <row r="426" spans="1:19" x14ac:dyDescent="0.2">
      <c r="A426" s="4" t="s">
        <v>610</v>
      </c>
      <c r="B426" s="5">
        <v>45986</v>
      </c>
      <c r="C426" s="15">
        <f>WEEKNUM(Orders[[#This Row],[OrderDate]])</f>
        <v>48</v>
      </c>
      <c r="D426" s="4" t="s">
        <v>256</v>
      </c>
      <c r="E426" s="4" t="s">
        <v>12</v>
      </c>
      <c r="F426" s="4">
        <v>3</v>
      </c>
      <c r="G426" s="4">
        <v>14676.099999999999</v>
      </c>
      <c r="H426">
        <v>12474.684999999999</v>
      </c>
      <c r="I426">
        <f>Orders[[#This Row],[Quantity]]*Orders[[#This Row],[Selling Price]]</f>
        <v>44028.299999999996</v>
      </c>
      <c r="J426">
        <f>Orders[[#This Row],[Quantity]]*Orders[[#This Row],[Cost Price]]</f>
        <v>37424.055</v>
      </c>
      <c r="K426">
        <f>Orders[[#This Row],[Revenue]]-Orders[[#This Row],[Expenses]]</f>
        <v>6604.2449999999953</v>
      </c>
      <c r="L426" t="s">
        <v>2200</v>
      </c>
      <c r="M426" t="str">
        <f>_xlfn.XLOOKUP(Orders[[#This Row],[CustomerID]],Customers[CustomerID],Customers[City])</f>
        <v>Georgia</v>
      </c>
      <c r="N426" t="str">
        <f>_xlfn.XLOOKUP(Orders[[#This Row],[CustomerID]],Customers[CustomerID],Customers[CustomerName])</f>
        <v>Efe Ojo</v>
      </c>
      <c r="O426" t="str">
        <f>_xlfn.XLOOKUP(Orders[[#This Row],[CustomerID]],Customers[CustomerID],Customers[Gender])</f>
        <v>Female</v>
      </c>
      <c r="P426">
        <f>_xlfn.XLOOKUP(Orders[[#This Row],[CustomerID]],Customers[CustomerID],Customers[CustomerAge])</f>
        <v>23</v>
      </c>
      <c r="Q426" t="str">
        <f>IF(Orders[[#This Row],[Age]]&gt;=35,"older","young")</f>
        <v>young</v>
      </c>
      <c r="R426" t="str">
        <f>_xlfn.XLOOKUP(Orders[[#This Row],[ProductID]],Products[ProductID],Products[ProductName])</f>
        <v>BOUBOU</v>
      </c>
      <c r="S426" t="str">
        <f>_xlfn.XLOOKUP(Orders[[#This Row],[ProductID]],Products!A:A,Products!C:C)</f>
        <v>Clothing</v>
      </c>
    </row>
    <row r="427" spans="1:19" x14ac:dyDescent="0.2">
      <c r="A427" s="4" t="s">
        <v>611</v>
      </c>
      <c r="B427" s="5">
        <v>45966</v>
      </c>
      <c r="C427" s="15">
        <f>WEEKNUM(Orders[[#This Row],[OrderDate]])</f>
        <v>45</v>
      </c>
      <c r="D427" s="4" t="s">
        <v>96</v>
      </c>
      <c r="E427" s="4" t="s">
        <v>130</v>
      </c>
      <c r="F427" s="4">
        <v>4</v>
      </c>
      <c r="G427" s="4">
        <v>8072.3</v>
      </c>
      <c r="H427">
        <v>6861.4549999999999</v>
      </c>
      <c r="I427">
        <f>Orders[[#This Row],[Quantity]]*Orders[[#This Row],[Selling Price]]</f>
        <v>32289.200000000001</v>
      </c>
      <c r="J427">
        <f>Orders[[#This Row],[Quantity]]*Orders[[#This Row],[Cost Price]]</f>
        <v>27445.82</v>
      </c>
      <c r="K427">
        <f>Orders[[#This Row],[Revenue]]-Orders[[#This Row],[Expenses]]</f>
        <v>4843.380000000001</v>
      </c>
      <c r="L427" t="s">
        <v>2210</v>
      </c>
      <c r="M427" t="str">
        <f>_xlfn.XLOOKUP(Orders[[#This Row],[CustomerID]],Customers[CustomerID],Customers[City])</f>
        <v>Texas</v>
      </c>
      <c r="N427" t="str">
        <f>_xlfn.XLOOKUP(Orders[[#This Row],[CustomerID]],Customers[CustomerID],Customers[CustomerName])</f>
        <v>Amina Abubakar</v>
      </c>
      <c r="O427" t="str">
        <f>_xlfn.XLOOKUP(Orders[[#This Row],[CustomerID]],Customers[CustomerID],Customers[Gender])</f>
        <v>Female</v>
      </c>
      <c r="P427">
        <f>_xlfn.XLOOKUP(Orders[[#This Row],[CustomerID]],Customers[CustomerID],Customers[CustomerAge])</f>
        <v>35</v>
      </c>
      <c r="Q427" t="str">
        <f>IF(Orders[[#This Row],[Age]]&gt;=35,"older","young")</f>
        <v>older</v>
      </c>
      <c r="R427" t="str">
        <f>_xlfn.XLOOKUP(Orders[[#This Row],[ProductID]],Products[ProductID],Products[ProductName])</f>
        <v>GOLD EARRINGS AND NECKLACES</v>
      </c>
      <c r="S427" t="str">
        <f>_xlfn.XLOOKUP(Orders[[#This Row],[ProductID]],Products!A:A,Products!C:C)</f>
        <v>Accessories</v>
      </c>
    </row>
    <row r="428" spans="1:19" x14ac:dyDescent="0.2">
      <c r="A428" s="4" t="s">
        <v>612</v>
      </c>
      <c r="B428" s="5">
        <v>45944</v>
      </c>
      <c r="C428" s="15">
        <f>WEEKNUM(Orders[[#This Row],[OrderDate]])</f>
        <v>42</v>
      </c>
      <c r="D428" s="4" t="s">
        <v>346</v>
      </c>
      <c r="E428" s="4" t="s">
        <v>28</v>
      </c>
      <c r="F428" s="4">
        <v>8</v>
      </c>
      <c r="G428" s="4">
        <v>4478.6000000000004</v>
      </c>
      <c r="H428">
        <v>3806.8100000000004</v>
      </c>
      <c r="I428">
        <f>Orders[[#This Row],[Quantity]]*Orders[[#This Row],[Selling Price]]</f>
        <v>35828.800000000003</v>
      </c>
      <c r="J428">
        <f>Orders[[#This Row],[Quantity]]*Orders[[#This Row],[Cost Price]]</f>
        <v>30454.480000000003</v>
      </c>
      <c r="K428">
        <f>Orders[[#This Row],[Revenue]]-Orders[[#This Row],[Expenses]]</f>
        <v>5374.32</v>
      </c>
      <c r="L428" t="s">
        <v>2198</v>
      </c>
      <c r="M428" t="str">
        <f>_xlfn.XLOOKUP(Orders[[#This Row],[CustomerID]],Customers[CustomerID],Customers[City])</f>
        <v>California</v>
      </c>
      <c r="N428" t="str">
        <f>_xlfn.XLOOKUP(Orders[[#This Row],[CustomerID]],Customers[CustomerID],Customers[CustomerName])</f>
        <v>Ngozi Danladi</v>
      </c>
      <c r="O428" t="str">
        <f>_xlfn.XLOOKUP(Orders[[#This Row],[CustomerID]],Customers[CustomerID],Customers[Gender])</f>
        <v>Female</v>
      </c>
      <c r="P428">
        <f>_xlfn.XLOOKUP(Orders[[#This Row],[CustomerID]],Customers[CustomerID],Customers[CustomerAge])</f>
        <v>30</v>
      </c>
      <c r="Q428" t="str">
        <f>IF(Orders[[#This Row],[Age]]&gt;=35,"older","young")</f>
        <v>young</v>
      </c>
      <c r="R428" t="str">
        <f>_xlfn.XLOOKUP(Orders[[#This Row],[ProductID]],Products[ProductID],Products[ProductName])</f>
        <v>SNEAKERS</v>
      </c>
      <c r="S428" t="str">
        <f>_xlfn.XLOOKUP(Orders[[#This Row],[ProductID]],Products!A:A,Products!C:C)</f>
        <v>Sports</v>
      </c>
    </row>
    <row r="429" spans="1:19" x14ac:dyDescent="0.2">
      <c r="A429" s="4" t="s">
        <v>613</v>
      </c>
      <c r="B429" s="5">
        <v>45959</v>
      </c>
      <c r="C429" s="15">
        <f>WEEKNUM(Orders[[#This Row],[OrderDate]])</f>
        <v>44</v>
      </c>
      <c r="D429" s="4" t="s">
        <v>309</v>
      </c>
      <c r="E429" s="4" t="s">
        <v>353</v>
      </c>
      <c r="F429" s="4">
        <v>3</v>
      </c>
      <c r="G429" s="4">
        <v>8388.9</v>
      </c>
      <c r="H429">
        <v>7130.5649999999996</v>
      </c>
      <c r="I429">
        <f>Orders[[#This Row],[Quantity]]*Orders[[#This Row],[Selling Price]]</f>
        <v>25166.699999999997</v>
      </c>
      <c r="J429">
        <f>Orders[[#This Row],[Quantity]]*Orders[[#This Row],[Cost Price]]</f>
        <v>21391.695</v>
      </c>
      <c r="K429">
        <f>Orders[[#This Row],[Revenue]]-Orders[[#This Row],[Expenses]]</f>
        <v>3775.0049999999974</v>
      </c>
      <c r="L429" t="s">
        <v>2206</v>
      </c>
      <c r="M429" t="str">
        <f>_xlfn.XLOOKUP(Orders[[#This Row],[CustomerID]],Customers[CustomerID],Customers[City])</f>
        <v>Washington</v>
      </c>
      <c r="N429" t="str">
        <f>_xlfn.XLOOKUP(Orders[[#This Row],[CustomerID]],Customers[CustomerID],Customers[CustomerName])</f>
        <v>Temi Ojo</v>
      </c>
      <c r="O429" t="str">
        <f>_xlfn.XLOOKUP(Orders[[#This Row],[CustomerID]],Customers[CustomerID],Customers[Gender])</f>
        <v>Female</v>
      </c>
      <c r="P429">
        <f>_xlfn.XLOOKUP(Orders[[#This Row],[CustomerID]],Customers[CustomerID],Customers[CustomerAge])</f>
        <v>36</v>
      </c>
      <c r="Q429" t="str">
        <f>IF(Orders[[#This Row],[Age]]&gt;=35,"older","young")</f>
        <v>older</v>
      </c>
      <c r="R429" t="str">
        <f>_xlfn.XLOOKUP(Orders[[#This Row],[ProductID]],Products[ProductID],Products[ProductName])</f>
        <v>SILVER EARRINGS AND NECKLACES</v>
      </c>
      <c r="S429" t="str">
        <f>_xlfn.XLOOKUP(Orders[[#This Row],[ProductID]],Products!A:A,Products!C:C)</f>
        <v>Accessories</v>
      </c>
    </row>
    <row r="430" spans="1:19" x14ac:dyDescent="0.2">
      <c r="A430" s="4" t="s">
        <v>614</v>
      </c>
      <c r="B430" s="5">
        <v>45986</v>
      </c>
      <c r="C430" s="15">
        <f>WEEKNUM(Orders[[#This Row],[OrderDate]])</f>
        <v>48</v>
      </c>
      <c r="D430" s="4" t="s">
        <v>186</v>
      </c>
      <c r="E430" s="4" t="s">
        <v>20</v>
      </c>
      <c r="F430" s="4">
        <v>2</v>
      </c>
      <c r="G430" s="4">
        <v>5559.9</v>
      </c>
      <c r="H430">
        <v>4725.915</v>
      </c>
      <c r="I430">
        <f>Orders[[#This Row],[Quantity]]*Orders[[#This Row],[Selling Price]]</f>
        <v>11119.8</v>
      </c>
      <c r="J430">
        <f>Orders[[#This Row],[Quantity]]*Orders[[#This Row],[Cost Price]]</f>
        <v>9451.83</v>
      </c>
      <c r="K430">
        <f>Orders[[#This Row],[Revenue]]-Orders[[#This Row],[Expenses]]</f>
        <v>1667.9699999999993</v>
      </c>
      <c r="L430" t="s">
        <v>2194</v>
      </c>
      <c r="M430" t="str">
        <f>_xlfn.XLOOKUP(Orders[[#This Row],[CustomerID]],Customers[CustomerID],Customers[City])</f>
        <v>Texas</v>
      </c>
      <c r="N430" t="str">
        <f>_xlfn.XLOOKUP(Orders[[#This Row],[CustomerID]],Customers[CustomerID],Customers[CustomerName])</f>
        <v>Ronke Eze</v>
      </c>
      <c r="O430" t="str">
        <f>_xlfn.XLOOKUP(Orders[[#This Row],[CustomerID]],Customers[CustomerID],Customers[Gender])</f>
        <v>Female</v>
      </c>
      <c r="P430">
        <f>_xlfn.XLOOKUP(Orders[[#This Row],[CustomerID]],Customers[CustomerID],Customers[CustomerAge])</f>
        <v>37</v>
      </c>
      <c r="Q430" t="str">
        <f>IF(Orders[[#This Row],[Age]]&gt;=35,"older","young")</f>
        <v>older</v>
      </c>
      <c r="R430" t="str">
        <f>_xlfn.XLOOKUP(Orders[[#This Row],[ProductID]],Products[ProductID],Products[ProductName])</f>
        <v>GYM BAG</v>
      </c>
      <c r="S430" t="str">
        <f>_xlfn.XLOOKUP(Orders[[#This Row],[ProductID]],Products!A:A,Products!C:C)</f>
        <v>Gym</v>
      </c>
    </row>
    <row r="431" spans="1:19" x14ac:dyDescent="0.2">
      <c r="A431" s="4" t="s">
        <v>615</v>
      </c>
      <c r="B431" s="5">
        <v>45945</v>
      </c>
      <c r="C431" s="15">
        <f>WEEKNUM(Orders[[#This Row],[OrderDate]])</f>
        <v>42</v>
      </c>
      <c r="D431" s="4" t="s">
        <v>481</v>
      </c>
      <c r="E431" s="4" t="s">
        <v>15</v>
      </c>
      <c r="F431" s="4">
        <v>3</v>
      </c>
      <c r="G431" s="4">
        <v>7234.5</v>
      </c>
      <c r="H431">
        <v>6149.3249999999998</v>
      </c>
      <c r="I431">
        <f>Orders[[#This Row],[Quantity]]*Orders[[#This Row],[Selling Price]]</f>
        <v>21703.5</v>
      </c>
      <c r="J431">
        <f>Orders[[#This Row],[Quantity]]*Orders[[#This Row],[Cost Price]]</f>
        <v>18447.974999999999</v>
      </c>
      <c r="K431">
        <f>Orders[[#This Row],[Revenue]]-Orders[[#This Row],[Expenses]]</f>
        <v>3255.5250000000015</v>
      </c>
      <c r="L431" t="s">
        <v>2198</v>
      </c>
      <c r="M431" t="str">
        <f>_xlfn.XLOOKUP(Orders[[#This Row],[CustomerID]],Customers[CustomerID],Customers[City])</f>
        <v>Illinois</v>
      </c>
      <c r="N431" t="str">
        <f>_xlfn.XLOOKUP(Orders[[#This Row],[CustomerID]],Customers[CustomerID],Customers[CustomerName])</f>
        <v>Abiola Bello</v>
      </c>
      <c r="O431" t="str">
        <f>_xlfn.XLOOKUP(Orders[[#This Row],[CustomerID]],Customers[CustomerID],Customers[Gender])</f>
        <v>Male</v>
      </c>
      <c r="P431">
        <f>_xlfn.XLOOKUP(Orders[[#This Row],[CustomerID]],Customers[CustomerID],Customers[CustomerAge])</f>
        <v>33</v>
      </c>
      <c r="Q431" t="str">
        <f>IF(Orders[[#This Row],[Age]]&gt;=35,"older","young")</f>
        <v>young</v>
      </c>
      <c r="R431" t="str">
        <f>_xlfn.XLOOKUP(Orders[[#This Row],[ProductID]],Products[ProductID],Products[ProductName])</f>
        <v>MONOPOLY</v>
      </c>
      <c r="S431" t="str">
        <f>_xlfn.XLOOKUP(Orders[[#This Row],[ProductID]],Products!A:A,Products!C:C)</f>
        <v>Games</v>
      </c>
    </row>
    <row r="432" spans="1:19" x14ac:dyDescent="0.2">
      <c r="A432" s="4" t="s">
        <v>616</v>
      </c>
      <c r="B432" s="5">
        <v>45967</v>
      </c>
      <c r="C432" s="15">
        <f>WEEKNUM(Orders[[#This Row],[OrderDate]])</f>
        <v>45</v>
      </c>
      <c r="D432" s="4" t="s">
        <v>146</v>
      </c>
      <c r="E432" s="4" t="s">
        <v>25</v>
      </c>
      <c r="F432" s="4">
        <v>4</v>
      </c>
      <c r="G432" s="4">
        <v>1504.1999999999998</v>
      </c>
      <c r="H432">
        <v>1278.57</v>
      </c>
      <c r="I432">
        <f>Orders[[#This Row],[Quantity]]*Orders[[#This Row],[Selling Price]]</f>
        <v>6016.7999999999993</v>
      </c>
      <c r="J432">
        <f>Orders[[#This Row],[Quantity]]*Orders[[#This Row],[Cost Price]]</f>
        <v>5114.28</v>
      </c>
      <c r="K432">
        <f>Orders[[#This Row],[Revenue]]-Orders[[#This Row],[Expenses]]</f>
        <v>902.51999999999953</v>
      </c>
      <c r="L432" t="s">
        <v>2200</v>
      </c>
      <c r="M432" t="str">
        <f>_xlfn.XLOOKUP(Orders[[#This Row],[CustomerID]],Customers[CustomerID],Customers[City])</f>
        <v>Texas</v>
      </c>
      <c r="N432" t="str">
        <f>_xlfn.XLOOKUP(Orders[[#This Row],[CustomerID]],Customers[CustomerID],Customers[CustomerName])</f>
        <v>Mustafa Igwe</v>
      </c>
      <c r="O432" t="str">
        <f>_xlfn.XLOOKUP(Orders[[#This Row],[CustomerID]],Customers[CustomerID],Customers[Gender])</f>
        <v>Male</v>
      </c>
      <c r="P432">
        <f>_xlfn.XLOOKUP(Orders[[#This Row],[CustomerID]],Customers[CustomerID],Customers[CustomerAge])</f>
        <v>27</v>
      </c>
      <c r="Q432" t="str">
        <f>IF(Orders[[#This Row],[Age]]&gt;=35,"older","young")</f>
        <v>young</v>
      </c>
      <c r="R432" t="str">
        <f>_xlfn.XLOOKUP(Orders[[#This Row],[ProductID]],Products[ProductID],Products[ProductName])</f>
        <v>GOLD RINGS</v>
      </c>
      <c r="S432" t="str">
        <f>_xlfn.XLOOKUP(Orders[[#This Row],[ProductID]],Products!A:A,Products!C:C)</f>
        <v>Accessories</v>
      </c>
    </row>
    <row r="433" spans="1:19" x14ac:dyDescent="0.2">
      <c r="A433" s="4" t="s">
        <v>617</v>
      </c>
      <c r="B433" s="5">
        <v>45973</v>
      </c>
      <c r="C433" s="15">
        <f>WEEKNUM(Orders[[#This Row],[OrderDate]])</f>
        <v>46</v>
      </c>
      <c r="D433" s="4" t="s">
        <v>272</v>
      </c>
      <c r="E433" s="4" t="s">
        <v>208</v>
      </c>
      <c r="F433" s="4">
        <v>10</v>
      </c>
      <c r="G433" s="4">
        <v>11698.599999999999</v>
      </c>
      <c r="H433">
        <v>9943.81</v>
      </c>
      <c r="I433">
        <f>Orders[[#This Row],[Quantity]]*Orders[[#This Row],[Selling Price]]</f>
        <v>116985.99999999999</v>
      </c>
      <c r="J433">
        <f>Orders[[#This Row],[Quantity]]*Orders[[#This Row],[Cost Price]]</f>
        <v>99438.099999999991</v>
      </c>
      <c r="K433">
        <f>Orders[[#This Row],[Revenue]]-Orders[[#This Row],[Expenses]]</f>
        <v>17547.899999999994</v>
      </c>
      <c r="L433" t="s">
        <v>2209</v>
      </c>
      <c r="M433" t="str">
        <f>_xlfn.XLOOKUP(Orders[[#This Row],[CustomerID]],Customers[CustomerID],Customers[City])</f>
        <v>Florida</v>
      </c>
      <c r="N433" t="str">
        <f>_xlfn.XLOOKUP(Orders[[#This Row],[CustomerID]],Customers[CustomerID],Customers[CustomerName])</f>
        <v>Blessing Bello</v>
      </c>
      <c r="O433" t="str">
        <f>_xlfn.XLOOKUP(Orders[[#This Row],[CustomerID]],Customers[CustomerID],Customers[Gender])</f>
        <v>Female</v>
      </c>
      <c r="P433">
        <f>_xlfn.XLOOKUP(Orders[[#This Row],[CustomerID]],Customers[CustomerID],Customers[CustomerAge])</f>
        <v>38</v>
      </c>
      <c r="Q433" t="str">
        <f>IF(Orders[[#This Row],[Age]]&gt;=35,"older","young")</f>
        <v>older</v>
      </c>
      <c r="R433" t="str">
        <f>_xlfn.XLOOKUP(Orders[[#This Row],[ProductID]],Products[ProductID],Products[ProductName])</f>
        <v>SKIPPING ROPE</v>
      </c>
      <c r="S433" t="str">
        <f>_xlfn.XLOOKUP(Orders[[#This Row],[ProductID]],Products!A:A,Products!C:C)</f>
        <v>Sports</v>
      </c>
    </row>
    <row r="434" spans="1:19" x14ac:dyDescent="0.2">
      <c r="A434" s="4" t="s">
        <v>618</v>
      </c>
      <c r="B434" s="5">
        <v>45996</v>
      </c>
      <c r="C434" s="15">
        <f>WEEKNUM(Orders[[#This Row],[OrderDate]])</f>
        <v>49</v>
      </c>
      <c r="D434" s="4" t="s">
        <v>521</v>
      </c>
      <c r="E434" s="4" t="s">
        <v>28</v>
      </c>
      <c r="F434" s="4">
        <v>8</v>
      </c>
      <c r="G434" s="4">
        <v>12155.599999999999</v>
      </c>
      <c r="H434">
        <v>10332.259999999998</v>
      </c>
      <c r="I434">
        <f>Orders[[#This Row],[Quantity]]*Orders[[#This Row],[Selling Price]]</f>
        <v>97244.799999999988</v>
      </c>
      <c r="J434">
        <f>Orders[[#This Row],[Quantity]]*Orders[[#This Row],[Cost Price]]</f>
        <v>82658.079999999987</v>
      </c>
      <c r="K434">
        <f>Orders[[#This Row],[Revenue]]-Orders[[#This Row],[Expenses]]</f>
        <v>14586.720000000001</v>
      </c>
      <c r="L434" t="s">
        <v>2193</v>
      </c>
      <c r="M434" t="str">
        <f>_xlfn.XLOOKUP(Orders[[#This Row],[CustomerID]],Customers[CustomerID],Customers[City])</f>
        <v>Illinois</v>
      </c>
      <c r="N434" t="str">
        <f>_xlfn.XLOOKUP(Orders[[#This Row],[CustomerID]],Customers[CustomerID],Customers[CustomerName])</f>
        <v>Ronke Eze</v>
      </c>
      <c r="O434" t="str">
        <f>_xlfn.XLOOKUP(Orders[[#This Row],[CustomerID]],Customers[CustomerID],Customers[Gender])</f>
        <v>Female</v>
      </c>
      <c r="P434">
        <f>_xlfn.XLOOKUP(Orders[[#This Row],[CustomerID]],Customers[CustomerID],Customers[CustomerAge])</f>
        <v>25</v>
      </c>
      <c r="Q434" t="str">
        <f>IF(Orders[[#This Row],[Age]]&gt;=35,"older","young")</f>
        <v>young</v>
      </c>
      <c r="R434" t="str">
        <f>_xlfn.XLOOKUP(Orders[[#This Row],[ProductID]],Products[ProductID],Products[ProductName])</f>
        <v>SNEAKERS</v>
      </c>
      <c r="S434" t="str">
        <f>_xlfn.XLOOKUP(Orders[[#This Row],[ProductID]],Products!A:A,Products!C:C)</f>
        <v>Sports</v>
      </c>
    </row>
    <row r="435" spans="1:19" x14ac:dyDescent="0.2">
      <c r="A435" s="4" t="s">
        <v>619</v>
      </c>
      <c r="B435" s="5">
        <v>45989</v>
      </c>
      <c r="C435" s="15">
        <f>WEEKNUM(Orders[[#This Row],[OrderDate]])</f>
        <v>48</v>
      </c>
      <c r="D435" s="4" t="s">
        <v>154</v>
      </c>
      <c r="E435" s="4" t="s">
        <v>15</v>
      </c>
      <c r="F435" s="4">
        <v>1</v>
      </c>
      <c r="G435" s="4">
        <v>19017.900000000001</v>
      </c>
      <c r="H435">
        <v>16165.215000000002</v>
      </c>
      <c r="I435">
        <f>Orders[[#This Row],[Quantity]]*Orders[[#This Row],[Selling Price]]</f>
        <v>19017.900000000001</v>
      </c>
      <c r="J435">
        <f>Orders[[#This Row],[Quantity]]*Orders[[#This Row],[Cost Price]]</f>
        <v>16165.215000000002</v>
      </c>
      <c r="K435">
        <f>Orders[[#This Row],[Revenue]]-Orders[[#This Row],[Expenses]]</f>
        <v>2852.6849999999995</v>
      </c>
      <c r="L435" t="s">
        <v>2195</v>
      </c>
      <c r="M435" t="str">
        <f>_xlfn.XLOOKUP(Orders[[#This Row],[CustomerID]],Customers[CustomerID],Customers[City])</f>
        <v>Illinois</v>
      </c>
      <c r="N435" t="str">
        <f>_xlfn.XLOOKUP(Orders[[#This Row],[CustomerID]],Customers[CustomerID],Customers[CustomerName])</f>
        <v>Ronke Danladi</v>
      </c>
      <c r="O435" t="str">
        <f>_xlfn.XLOOKUP(Orders[[#This Row],[CustomerID]],Customers[CustomerID],Customers[Gender])</f>
        <v>Female</v>
      </c>
      <c r="P435">
        <f>_xlfn.XLOOKUP(Orders[[#This Row],[CustomerID]],Customers[CustomerID],Customers[CustomerAge])</f>
        <v>46</v>
      </c>
      <c r="Q435" t="str">
        <f>IF(Orders[[#This Row],[Age]]&gt;=35,"older","young")</f>
        <v>older</v>
      </c>
      <c r="R435" t="str">
        <f>_xlfn.XLOOKUP(Orders[[#This Row],[ProductID]],Products[ProductID],Products[ProductName])</f>
        <v>MONOPOLY</v>
      </c>
      <c r="S435" t="str">
        <f>_xlfn.XLOOKUP(Orders[[#This Row],[ProductID]],Products!A:A,Products!C:C)</f>
        <v>Games</v>
      </c>
    </row>
    <row r="436" spans="1:19" x14ac:dyDescent="0.2">
      <c r="A436" s="4" t="s">
        <v>620</v>
      </c>
      <c r="B436" s="5">
        <v>46014</v>
      </c>
      <c r="C436" s="15">
        <f>WEEKNUM(Orders[[#This Row],[OrderDate]])</f>
        <v>52</v>
      </c>
      <c r="D436" s="4" t="s">
        <v>410</v>
      </c>
      <c r="E436" s="4" t="s">
        <v>20</v>
      </c>
      <c r="F436" s="4">
        <v>10</v>
      </c>
      <c r="G436" s="4">
        <v>5046.5</v>
      </c>
      <c r="H436">
        <v>4289.5249999999996</v>
      </c>
      <c r="I436">
        <f>Orders[[#This Row],[Quantity]]*Orders[[#This Row],[Selling Price]]</f>
        <v>50465</v>
      </c>
      <c r="J436">
        <f>Orders[[#This Row],[Quantity]]*Orders[[#This Row],[Cost Price]]</f>
        <v>42895.25</v>
      </c>
      <c r="K436">
        <f>Orders[[#This Row],[Revenue]]-Orders[[#This Row],[Expenses]]</f>
        <v>7569.75</v>
      </c>
      <c r="L436" t="s">
        <v>2198</v>
      </c>
      <c r="M436" t="str">
        <f>_xlfn.XLOOKUP(Orders[[#This Row],[CustomerID]],Customers[CustomerID],Customers[City])</f>
        <v>Texas</v>
      </c>
      <c r="N436" t="str">
        <f>_xlfn.XLOOKUP(Orders[[#This Row],[CustomerID]],Customers[CustomerID],Customers[CustomerName])</f>
        <v>Jane Thomas</v>
      </c>
      <c r="O436" t="str">
        <f>_xlfn.XLOOKUP(Orders[[#This Row],[CustomerID]],Customers[CustomerID],Customers[Gender])</f>
        <v>Male</v>
      </c>
      <c r="P436">
        <f>_xlfn.XLOOKUP(Orders[[#This Row],[CustomerID]],Customers[CustomerID],Customers[CustomerAge])</f>
        <v>21</v>
      </c>
      <c r="Q436" t="str">
        <f>IF(Orders[[#This Row],[Age]]&gt;=35,"older","young")</f>
        <v>young</v>
      </c>
      <c r="R436" t="str">
        <f>_xlfn.XLOOKUP(Orders[[#This Row],[ProductID]],Products[ProductID],Products[ProductName])</f>
        <v>GYM BAG</v>
      </c>
      <c r="S436" t="str">
        <f>_xlfn.XLOOKUP(Orders[[#This Row],[ProductID]],Products!A:A,Products!C:C)</f>
        <v>Gym</v>
      </c>
    </row>
    <row r="437" spans="1:19" x14ac:dyDescent="0.2">
      <c r="A437" s="4" t="s">
        <v>621</v>
      </c>
      <c r="B437" s="5">
        <v>45935</v>
      </c>
      <c r="C437" s="15">
        <f>WEEKNUM(Orders[[#This Row],[OrderDate]])</f>
        <v>41</v>
      </c>
      <c r="D437" s="4" t="s">
        <v>75</v>
      </c>
      <c r="E437" s="4" t="s">
        <v>23</v>
      </c>
      <c r="F437" s="4">
        <v>8</v>
      </c>
      <c r="G437" s="4">
        <v>4013.8999999999996</v>
      </c>
      <c r="H437">
        <v>3411.8149999999996</v>
      </c>
      <c r="I437">
        <f>Orders[[#This Row],[Quantity]]*Orders[[#This Row],[Selling Price]]</f>
        <v>32111.199999999997</v>
      </c>
      <c r="J437">
        <f>Orders[[#This Row],[Quantity]]*Orders[[#This Row],[Cost Price]]</f>
        <v>27294.519999999997</v>
      </c>
      <c r="K437">
        <f>Orders[[#This Row],[Revenue]]-Orders[[#This Row],[Expenses]]</f>
        <v>4816.68</v>
      </c>
      <c r="L437" t="s">
        <v>2217</v>
      </c>
      <c r="M437" t="str">
        <f>_xlfn.XLOOKUP(Orders[[#This Row],[CustomerID]],Customers[CustomerID],Customers[City])</f>
        <v>Texas</v>
      </c>
      <c r="N437" t="str">
        <f>_xlfn.XLOOKUP(Orders[[#This Row],[CustomerID]],Customers[CustomerID],Customers[CustomerName])</f>
        <v>Tunde Danladi</v>
      </c>
      <c r="O437" t="str">
        <f>_xlfn.XLOOKUP(Orders[[#This Row],[CustomerID]],Customers[CustomerID],Customers[Gender])</f>
        <v>Male</v>
      </c>
      <c r="P437">
        <f>_xlfn.XLOOKUP(Orders[[#This Row],[CustomerID]],Customers[CustomerID],Customers[CustomerAge])</f>
        <v>47</v>
      </c>
      <c r="Q437" t="str">
        <f>IF(Orders[[#This Row],[Age]]&gt;=35,"older","young")</f>
        <v>older</v>
      </c>
      <c r="R437" t="str">
        <f>_xlfn.XLOOKUP(Orders[[#This Row],[ProductID]],Products[ProductID],Products[ProductName])</f>
        <v>GYM GLOVES</v>
      </c>
      <c r="S437" t="str">
        <f>_xlfn.XLOOKUP(Orders[[#This Row],[ProductID]],Products!A:A,Products!C:C)</f>
        <v>Gym</v>
      </c>
    </row>
    <row r="438" spans="1:19" x14ac:dyDescent="0.2">
      <c r="A438" s="4" t="s">
        <v>622</v>
      </c>
      <c r="B438" s="5">
        <v>45942</v>
      </c>
      <c r="C438" s="15">
        <f>WEEKNUM(Orders[[#This Row],[OrderDate]])</f>
        <v>42</v>
      </c>
      <c r="D438" s="4" t="s">
        <v>45</v>
      </c>
      <c r="E438" s="4" t="s">
        <v>63</v>
      </c>
      <c r="F438" s="4">
        <v>5</v>
      </c>
      <c r="G438" s="4">
        <v>3450.6</v>
      </c>
      <c r="H438">
        <v>2933.01</v>
      </c>
      <c r="I438">
        <f>Orders[[#This Row],[Quantity]]*Orders[[#This Row],[Selling Price]]</f>
        <v>17253</v>
      </c>
      <c r="J438">
        <f>Orders[[#This Row],[Quantity]]*Orders[[#This Row],[Cost Price]]</f>
        <v>14665.050000000001</v>
      </c>
      <c r="K438">
        <f>Orders[[#This Row],[Revenue]]-Orders[[#This Row],[Expenses]]</f>
        <v>2587.9499999999989</v>
      </c>
      <c r="L438" t="s">
        <v>2210</v>
      </c>
      <c r="M438" t="str">
        <f>_xlfn.XLOOKUP(Orders[[#This Row],[CustomerID]],Customers[CustomerID],Customers[City])</f>
        <v>Florida</v>
      </c>
      <c r="N438" t="str">
        <f>_xlfn.XLOOKUP(Orders[[#This Row],[CustomerID]],Customers[CustomerID],Customers[CustomerName])</f>
        <v>Abiola Abubakar</v>
      </c>
      <c r="O438" t="str">
        <f>_xlfn.XLOOKUP(Orders[[#This Row],[CustomerID]],Customers[CustomerID],Customers[Gender])</f>
        <v>Male</v>
      </c>
      <c r="P438">
        <f>_xlfn.XLOOKUP(Orders[[#This Row],[CustomerID]],Customers[CustomerID],Customers[CustomerAge])</f>
        <v>26</v>
      </c>
      <c r="Q438" t="str">
        <f>IF(Orders[[#This Row],[Age]]&gt;=35,"older","young")</f>
        <v>young</v>
      </c>
      <c r="R438" t="str">
        <f>_xlfn.XLOOKUP(Orders[[#This Row],[ProductID]],Products[ProductID],Products[ProductName])</f>
        <v>TENNIS BAT</v>
      </c>
      <c r="S438" t="str">
        <f>_xlfn.XLOOKUP(Orders[[#This Row],[ProductID]],Products!A:A,Products!C:C)</f>
        <v>Sports</v>
      </c>
    </row>
    <row r="439" spans="1:19" x14ac:dyDescent="0.2">
      <c r="A439" s="4" t="s">
        <v>623</v>
      </c>
      <c r="B439" s="5">
        <v>46012</v>
      </c>
      <c r="C439" s="15">
        <f>WEEKNUM(Orders[[#This Row],[OrderDate]])</f>
        <v>52</v>
      </c>
      <c r="D439" s="4" t="s">
        <v>138</v>
      </c>
      <c r="E439" s="4" t="s">
        <v>34</v>
      </c>
      <c r="F439" s="4">
        <v>3</v>
      </c>
      <c r="G439" s="4">
        <v>7480.5999999999995</v>
      </c>
      <c r="H439">
        <v>6358.5099999999993</v>
      </c>
      <c r="I439">
        <f>Orders[[#This Row],[Quantity]]*Orders[[#This Row],[Selling Price]]</f>
        <v>22441.8</v>
      </c>
      <c r="J439">
        <f>Orders[[#This Row],[Quantity]]*Orders[[#This Row],[Cost Price]]</f>
        <v>19075.53</v>
      </c>
      <c r="K439">
        <f>Orders[[#This Row],[Revenue]]-Orders[[#This Row],[Expenses]]</f>
        <v>3366.2700000000004</v>
      </c>
      <c r="L439" t="s">
        <v>2211</v>
      </c>
      <c r="M439" t="str">
        <f>_xlfn.XLOOKUP(Orders[[#This Row],[CustomerID]],Customers[CustomerID],Customers[City])</f>
        <v>Washington</v>
      </c>
      <c r="N439" t="str">
        <f>_xlfn.XLOOKUP(Orders[[#This Row],[CustomerID]],Customers[CustomerID],Customers[CustomerName])</f>
        <v>Efe Adeyemi</v>
      </c>
      <c r="O439" t="str">
        <f>_xlfn.XLOOKUP(Orders[[#This Row],[CustomerID]],Customers[CustomerID],Customers[Gender])</f>
        <v>Female</v>
      </c>
      <c r="P439">
        <f>_xlfn.XLOOKUP(Orders[[#This Row],[CustomerID]],Customers[CustomerID],Customers[CustomerAge])</f>
        <v>22</v>
      </c>
      <c r="Q439" t="str">
        <f>IF(Orders[[#This Row],[Age]]&gt;=35,"older","young")</f>
        <v>young</v>
      </c>
      <c r="R439" t="str">
        <f>_xlfn.XLOOKUP(Orders[[#This Row],[ProductID]],Products[ProductID],Products[ProductName])</f>
        <v>GOLD BRACELETS</v>
      </c>
      <c r="S439" t="str">
        <f>_xlfn.XLOOKUP(Orders[[#This Row],[ProductID]],Products!A:A,Products!C:C)</f>
        <v>Accessories</v>
      </c>
    </row>
    <row r="440" spans="1:19" x14ac:dyDescent="0.2">
      <c r="A440" s="4" t="s">
        <v>624</v>
      </c>
      <c r="B440" s="5">
        <v>45997</v>
      </c>
      <c r="C440" s="15">
        <f>WEEKNUM(Orders[[#This Row],[OrderDate]])</f>
        <v>49</v>
      </c>
      <c r="D440" s="4" t="s">
        <v>105</v>
      </c>
      <c r="E440" s="4" t="s">
        <v>120</v>
      </c>
      <c r="F440" s="4">
        <v>2</v>
      </c>
      <c r="G440" s="4">
        <v>17540.599999999999</v>
      </c>
      <c r="H440">
        <v>14909.509999999998</v>
      </c>
      <c r="I440">
        <f>Orders[[#This Row],[Quantity]]*Orders[[#This Row],[Selling Price]]</f>
        <v>35081.199999999997</v>
      </c>
      <c r="J440">
        <f>Orders[[#This Row],[Quantity]]*Orders[[#This Row],[Cost Price]]</f>
        <v>29819.019999999997</v>
      </c>
      <c r="K440">
        <f>Orders[[#This Row],[Revenue]]-Orders[[#This Row],[Expenses]]</f>
        <v>5262.18</v>
      </c>
      <c r="L440" t="s">
        <v>2212</v>
      </c>
      <c r="M440" t="str">
        <f>_xlfn.XLOOKUP(Orders[[#This Row],[CustomerID]],Customers[CustomerID],Customers[City])</f>
        <v>Georgia</v>
      </c>
      <c r="N440" t="str">
        <f>_xlfn.XLOOKUP(Orders[[#This Row],[CustomerID]],Customers[CustomerID],Customers[CustomerName])</f>
        <v>Folasade Adeyemi</v>
      </c>
      <c r="O440" t="str">
        <f>_xlfn.XLOOKUP(Orders[[#This Row],[CustomerID]],Customers[CustomerID],Customers[Gender])</f>
        <v>Female</v>
      </c>
      <c r="P440">
        <f>_xlfn.XLOOKUP(Orders[[#This Row],[CustomerID]],Customers[CustomerID],Customers[CustomerAge])</f>
        <v>42</v>
      </c>
      <c r="Q440" t="str">
        <f>IF(Orders[[#This Row],[Age]]&gt;=35,"older","young")</f>
        <v>older</v>
      </c>
      <c r="R440" t="str">
        <f>_xlfn.XLOOKUP(Orders[[#This Row],[ProductID]],Products[ProductID],Products[ProductName])</f>
        <v>CHESS</v>
      </c>
      <c r="S440" t="str">
        <f>_xlfn.XLOOKUP(Orders[[#This Row],[ProductID]],Products!A:A,Products!C:C)</f>
        <v>Games</v>
      </c>
    </row>
    <row r="441" spans="1:19" x14ac:dyDescent="0.2">
      <c r="A441" s="4" t="s">
        <v>625</v>
      </c>
      <c r="B441" s="5">
        <v>46009</v>
      </c>
      <c r="C441" s="15">
        <f>WEEKNUM(Orders[[#This Row],[OrderDate]])</f>
        <v>51</v>
      </c>
      <c r="D441" s="4" t="s">
        <v>118</v>
      </c>
      <c r="E441" s="4" t="s">
        <v>157</v>
      </c>
      <c r="F441" s="4">
        <v>2</v>
      </c>
      <c r="G441" s="4">
        <v>7126.7999999999993</v>
      </c>
      <c r="H441">
        <v>6057.78</v>
      </c>
      <c r="I441">
        <f>Orders[[#This Row],[Quantity]]*Orders[[#This Row],[Selling Price]]</f>
        <v>14253.599999999999</v>
      </c>
      <c r="J441">
        <f>Orders[[#This Row],[Quantity]]*Orders[[#This Row],[Cost Price]]</f>
        <v>12115.56</v>
      </c>
      <c r="K441">
        <f>Orders[[#This Row],[Revenue]]-Orders[[#This Row],[Expenses]]</f>
        <v>2138.0399999999991</v>
      </c>
      <c r="L441" t="s">
        <v>2217</v>
      </c>
      <c r="M441" t="str">
        <f>_xlfn.XLOOKUP(Orders[[#This Row],[CustomerID]],Customers[CustomerID],Customers[City])</f>
        <v>Georgia</v>
      </c>
      <c r="N441" t="str">
        <f>_xlfn.XLOOKUP(Orders[[#This Row],[CustomerID]],Customers[CustomerID],Customers[CustomerName])</f>
        <v>Ibrahim Balogun</v>
      </c>
      <c r="O441" t="str">
        <f>_xlfn.XLOOKUP(Orders[[#This Row],[CustomerID]],Customers[CustomerID],Customers[Gender])</f>
        <v>Male</v>
      </c>
      <c r="P441">
        <f>_xlfn.XLOOKUP(Orders[[#This Row],[CustomerID]],Customers[CustomerID],Customers[CustomerAge])</f>
        <v>55</v>
      </c>
      <c r="Q441" t="str">
        <f>IF(Orders[[#This Row],[Age]]&gt;=35,"older","young")</f>
        <v>older</v>
      </c>
      <c r="R441" t="str">
        <f>_xlfn.XLOOKUP(Orders[[#This Row],[ProductID]],Products[ProductID],Products[ProductName])</f>
        <v>FOOTBALL</v>
      </c>
      <c r="S441" t="str">
        <f>_xlfn.XLOOKUP(Orders[[#This Row],[ProductID]],Products!A:A,Products!C:C)</f>
        <v>Sports</v>
      </c>
    </row>
    <row r="442" spans="1:19" x14ac:dyDescent="0.2">
      <c r="A442" s="4" t="s">
        <v>626</v>
      </c>
      <c r="B442" s="5">
        <v>45985</v>
      </c>
      <c r="C442" s="15">
        <f>WEEKNUM(Orders[[#This Row],[OrderDate]])</f>
        <v>48</v>
      </c>
      <c r="D442" s="4" t="s">
        <v>210</v>
      </c>
      <c r="E442" s="4" t="s">
        <v>127</v>
      </c>
      <c r="F442" s="4">
        <v>1</v>
      </c>
      <c r="G442" s="4">
        <v>12393.099999999999</v>
      </c>
      <c r="H442">
        <v>10534.134999999998</v>
      </c>
      <c r="I442">
        <f>Orders[[#This Row],[Quantity]]*Orders[[#This Row],[Selling Price]]</f>
        <v>12393.099999999999</v>
      </c>
      <c r="J442">
        <f>Orders[[#This Row],[Quantity]]*Orders[[#This Row],[Cost Price]]</f>
        <v>10534.134999999998</v>
      </c>
      <c r="K442">
        <f>Orders[[#This Row],[Revenue]]-Orders[[#This Row],[Expenses]]</f>
        <v>1858.9650000000001</v>
      </c>
      <c r="L442" t="s">
        <v>2201</v>
      </c>
      <c r="M442" t="str">
        <f>_xlfn.XLOOKUP(Orders[[#This Row],[CustomerID]],Customers[CustomerID],Customers[City])</f>
        <v>Illinois</v>
      </c>
      <c r="N442" t="str">
        <f>_xlfn.XLOOKUP(Orders[[#This Row],[CustomerID]],Customers[CustomerID],Customers[CustomerName])</f>
        <v>Zainab Bello</v>
      </c>
      <c r="O442" t="str">
        <f>_xlfn.XLOOKUP(Orders[[#This Row],[CustomerID]],Customers[CustomerID],Customers[Gender])</f>
        <v>Female</v>
      </c>
      <c r="P442">
        <f>_xlfn.XLOOKUP(Orders[[#This Row],[CustomerID]],Customers[CustomerID],Customers[CustomerAge])</f>
        <v>27</v>
      </c>
      <c r="Q442" t="str">
        <f>IF(Orders[[#This Row],[Age]]&gt;=35,"older","young")</f>
        <v>young</v>
      </c>
      <c r="R442" t="str">
        <f>_xlfn.XLOOKUP(Orders[[#This Row],[ProductID]],Products[ProductID],Products[ProductName])</f>
        <v>TOPS</v>
      </c>
      <c r="S442" t="str">
        <f>_xlfn.XLOOKUP(Orders[[#This Row],[ProductID]],Products!A:A,Products!C:C)</f>
        <v>Clothing</v>
      </c>
    </row>
    <row r="443" spans="1:19" x14ac:dyDescent="0.2">
      <c r="A443" s="4" t="s">
        <v>627</v>
      </c>
      <c r="B443" s="5">
        <v>45956</v>
      </c>
      <c r="C443" s="15">
        <f>WEEKNUM(Orders[[#This Row],[OrderDate]])</f>
        <v>44</v>
      </c>
      <c r="D443" s="4" t="s">
        <v>87</v>
      </c>
      <c r="E443" s="4" t="s">
        <v>25</v>
      </c>
      <c r="F443" s="4">
        <v>3</v>
      </c>
      <c r="G443" s="4">
        <v>10079.799999999999</v>
      </c>
      <c r="H443">
        <v>8567.83</v>
      </c>
      <c r="I443">
        <f>Orders[[#This Row],[Quantity]]*Orders[[#This Row],[Selling Price]]</f>
        <v>30239.399999999998</v>
      </c>
      <c r="J443">
        <f>Orders[[#This Row],[Quantity]]*Orders[[#This Row],[Cost Price]]</f>
        <v>25703.489999999998</v>
      </c>
      <c r="K443">
        <f>Orders[[#This Row],[Revenue]]-Orders[[#This Row],[Expenses]]</f>
        <v>4535.91</v>
      </c>
      <c r="L443" t="s">
        <v>2216</v>
      </c>
      <c r="M443" t="str">
        <f>_xlfn.XLOOKUP(Orders[[#This Row],[CustomerID]],Customers[CustomerID],Customers[City])</f>
        <v>Illinois</v>
      </c>
      <c r="N443" t="str">
        <f>_xlfn.XLOOKUP(Orders[[#This Row],[CustomerID]],Customers[CustomerID],Customers[CustomerName])</f>
        <v>Efe Igwe</v>
      </c>
      <c r="O443" t="str">
        <f>_xlfn.XLOOKUP(Orders[[#This Row],[CustomerID]],Customers[CustomerID],Customers[Gender])</f>
        <v>Female</v>
      </c>
      <c r="P443">
        <f>_xlfn.XLOOKUP(Orders[[#This Row],[CustomerID]],Customers[CustomerID],Customers[CustomerAge])</f>
        <v>34</v>
      </c>
      <c r="Q443" t="str">
        <f>IF(Orders[[#This Row],[Age]]&gt;=35,"older","young")</f>
        <v>young</v>
      </c>
      <c r="R443" t="str">
        <f>_xlfn.XLOOKUP(Orders[[#This Row],[ProductID]],Products[ProductID],Products[ProductName])</f>
        <v>GOLD RINGS</v>
      </c>
      <c r="S443" t="str">
        <f>_xlfn.XLOOKUP(Orders[[#This Row],[ProductID]],Products!A:A,Products!C:C)</f>
        <v>Accessories</v>
      </c>
    </row>
    <row r="444" spans="1:19" x14ac:dyDescent="0.2">
      <c r="A444" s="4" t="s">
        <v>628</v>
      </c>
      <c r="B444" s="5">
        <v>45936</v>
      </c>
      <c r="C444" s="15">
        <f>WEEKNUM(Orders[[#This Row],[OrderDate]])</f>
        <v>41</v>
      </c>
      <c r="D444" s="4" t="s">
        <v>43</v>
      </c>
      <c r="E444" s="4" t="s">
        <v>15</v>
      </c>
      <c r="F444" s="4">
        <v>9</v>
      </c>
      <c r="G444" s="4">
        <v>1121.5</v>
      </c>
      <c r="H444">
        <v>953.27499999999998</v>
      </c>
      <c r="I444">
        <f>Orders[[#This Row],[Quantity]]*Orders[[#This Row],[Selling Price]]</f>
        <v>10093.5</v>
      </c>
      <c r="J444">
        <f>Orders[[#This Row],[Quantity]]*Orders[[#This Row],[Cost Price]]</f>
        <v>8579.4750000000004</v>
      </c>
      <c r="K444">
        <f>Orders[[#This Row],[Revenue]]-Orders[[#This Row],[Expenses]]</f>
        <v>1514.0249999999996</v>
      </c>
      <c r="L444" t="s">
        <v>2206</v>
      </c>
      <c r="M444" t="str">
        <f>_xlfn.XLOOKUP(Orders[[#This Row],[CustomerID]],Customers[CustomerID],Customers[City])</f>
        <v>Georgia</v>
      </c>
      <c r="N444" t="str">
        <f>_xlfn.XLOOKUP(Orders[[#This Row],[CustomerID]],Customers[CustomerID],Customers[CustomerName])</f>
        <v>Mustafa Danladi</v>
      </c>
      <c r="O444" t="str">
        <f>_xlfn.XLOOKUP(Orders[[#This Row],[CustomerID]],Customers[CustomerID],Customers[Gender])</f>
        <v>Male</v>
      </c>
      <c r="P444">
        <f>_xlfn.XLOOKUP(Orders[[#This Row],[CustomerID]],Customers[CustomerID],Customers[CustomerAge])</f>
        <v>49</v>
      </c>
      <c r="Q444" t="str">
        <f>IF(Orders[[#This Row],[Age]]&gt;=35,"older","young")</f>
        <v>older</v>
      </c>
      <c r="R444" t="str">
        <f>_xlfn.XLOOKUP(Orders[[#This Row],[ProductID]],Products[ProductID],Products[ProductName])</f>
        <v>MONOPOLY</v>
      </c>
      <c r="S444" t="str">
        <f>_xlfn.XLOOKUP(Orders[[#This Row],[ProductID]],Products!A:A,Products!C:C)</f>
        <v>Games</v>
      </c>
    </row>
    <row r="445" spans="1:19" x14ac:dyDescent="0.2">
      <c r="A445" s="4" t="s">
        <v>629</v>
      </c>
      <c r="B445" s="5">
        <v>45989</v>
      </c>
      <c r="C445" s="15">
        <f>WEEKNUM(Orders[[#This Row],[OrderDate]])</f>
        <v>48</v>
      </c>
      <c r="D445" s="4" t="s">
        <v>136</v>
      </c>
      <c r="E445" s="4" t="s">
        <v>31</v>
      </c>
      <c r="F445" s="4">
        <v>1</v>
      </c>
      <c r="G445" s="4">
        <v>16126.900000000001</v>
      </c>
      <c r="H445">
        <v>13707.865000000002</v>
      </c>
      <c r="I445">
        <f>Orders[[#This Row],[Quantity]]*Orders[[#This Row],[Selling Price]]</f>
        <v>16126.900000000001</v>
      </c>
      <c r="J445">
        <f>Orders[[#This Row],[Quantity]]*Orders[[#This Row],[Cost Price]]</f>
        <v>13707.865000000002</v>
      </c>
      <c r="K445">
        <f>Orders[[#This Row],[Revenue]]-Orders[[#This Row],[Expenses]]</f>
        <v>2419.0349999999999</v>
      </c>
      <c r="L445" t="s">
        <v>2195</v>
      </c>
      <c r="M445" t="str">
        <f>_xlfn.XLOOKUP(Orders[[#This Row],[CustomerID]],Customers[CustomerID],Customers[City])</f>
        <v>California</v>
      </c>
      <c r="N445" t="str">
        <f>_xlfn.XLOOKUP(Orders[[#This Row],[CustomerID]],Customers[CustomerID],Customers[CustomerName])</f>
        <v>Chinedu Obi</v>
      </c>
      <c r="O445" t="str">
        <f>_xlfn.XLOOKUP(Orders[[#This Row],[CustomerID]],Customers[CustomerID],Customers[Gender])</f>
        <v>Male</v>
      </c>
      <c r="P445">
        <f>_xlfn.XLOOKUP(Orders[[#This Row],[CustomerID]],Customers[CustomerID],Customers[CustomerAge])</f>
        <v>27</v>
      </c>
      <c r="Q445" t="str">
        <f>IF(Orders[[#This Row],[Age]]&gt;=35,"older","young")</f>
        <v>young</v>
      </c>
      <c r="R445" t="str">
        <f>_xlfn.XLOOKUP(Orders[[#This Row],[ProductID]],Products[ProductID],Products[ProductName])</f>
        <v>KIDS GAMES</v>
      </c>
      <c r="S445" t="str">
        <f>_xlfn.XLOOKUP(Orders[[#This Row],[ProductID]],Products!A:A,Products!C:C)</f>
        <v>Games</v>
      </c>
    </row>
    <row r="446" spans="1:19" x14ac:dyDescent="0.2">
      <c r="A446" s="4" t="s">
        <v>630</v>
      </c>
      <c r="B446" s="5">
        <v>45985</v>
      </c>
      <c r="C446" s="15">
        <f>WEEKNUM(Orders[[#This Row],[OrderDate]])</f>
        <v>48</v>
      </c>
      <c r="D446" s="4" t="s">
        <v>280</v>
      </c>
      <c r="E446" s="4" t="s">
        <v>60</v>
      </c>
      <c r="F446" s="4">
        <v>10</v>
      </c>
      <c r="G446" s="4">
        <v>2161</v>
      </c>
      <c r="H446">
        <v>1836.85</v>
      </c>
      <c r="I446">
        <f>Orders[[#This Row],[Quantity]]*Orders[[#This Row],[Selling Price]]</f>
        <v>21610</v>
      </c>
      <c r="J446">
        <f>Orders[[#This Row],[Quantity]]*Orders[[#This Row],[Cost Price]]</f>
        <v>18368.5</v>
      </c>
      <c r="K446">
        <f>Orders[[#This Row],[Revenue]]-Orders[[#This Row],[Expenses]]</f>
        <v>3241.5</v>
      </c>
      <c r="L446" t="s">
        <v>2213</v>
      </c>
      <c r="M446" t="str">
        <f>_xlfn.XLOOKUP(Orders[[#This Row],[CustomerID]],Customers[CustomerID],Customers[City])</f>
        <v>Texas</v>
      </c>
      <c r="N446" t="str">
        <f>_xlfn.XLOOKUP(Orders[[#This Row],[CustomerID]],Customers[CustomerID],Customers[CustomerName])</f>
        <v>Folasade Okonkwo</v>
      </c>
      <c r="O446" t="str">
        <f>_xlfn.XLOOKUP(Orders[[#This Row],[CustomerID]],Customers[CustomerID],Customers[Gender])</f>
        <v>Female</v>
      </c>
      <c r="P446">
        <f>_xlfn.XLOOKUP(Orders[[#This Row],[CustomerID]],Customers[CustomerID],Customers[CustomerAge])</f>
        <v>21</v>
      </c>
      <c r="Q446" t="str">
        <f>IF(Orders[[#This Row],[Age]]&gt;=35,"older","young")</f>
        <v>young</v>
      </c>
      <c r="R446" t="str">
        <f>_xlfn.XLOOKUP(Orders[[#This Row],[ProductID]],Products[ProductID],Products[ProductName])</f>
        <v>SILVER RINGS</v>
      </c>
      <c r="S446" t="str">
        <f>_xlfn.XLOOKUP(Orders[[#This Row],[ProductID]],Products!A:A,Products!C:C)</f>
        <v>Accessories</v>
      </c>
    </row>
    <row r="447" spans="1:19" x14ac:dyDescent="0.2">
      <c r="A447" s="4" t="s">
        <v>631</v>
      </c>
      <c r="B447" s="5">
        <v>45987</v>
      </c>
      <c r="C447" s="15">
        <f>WEEKNUM(Orders[[#This Row],[OrderDate]])</f>
        <v>48</v>
      </c>
      <c r="D447" s="4" t="s">
        <v>258</v>
      </c>
      <c r="E447" s="4" t="s">
        <v>81</v>
      </c>
      <c r="F447" s="4">
        <v>10</v>
      </c>
      <c r="G447" s="4">
        <v>16315.2</v>
      </c>
      <c r="H447">
        <v>13867.92</v>
      </c>
      <c r="I447">
        <f>Orders[[#This Row],[Quantity]]*Orders[[#This Row],[Selling Price]]</f>
        <v>163152</v>
      </c>
      <c r="J447">
        <f>Orders[[#This Row],[Quantity]]*Orders[[#This Row],[Cost Price]]</f>
        <v>138679.20000000001</v>
      </c>
      <c r="K447">
        <f>Orders[[#This Row],[Revenue]]-Orders[[#This Row],[Expenses]]</f>
        <v>24472.799999999988</v>
      </c>
      <c r="L447" t="s">
        <v>2195</v>
      </c>
      <c r="M447" t="str">
        <f>_xlfn.XLOOKUP(Orders[[#This Row],[CustomerID]],Customers[CustomerID],Customers[City])</f>
        <v>Washington</v>
      </c>
      <c r="N447" t="str">
        <f>_xlfn.XLOOKUP(Orders[[#This Row],[CustomerID]],Customers[CustomerID],Customers[CustomerName])</f>
        <v>Sani Abubakar</v>
      </c>
      <c r="O447" t="str">
        <f>_xlfn.XLOOKUP(Orders[[#This Row],[CustomerID]],Customers[CustomerID],Customers[Gender])</f>
        <v>Male</v>
      </c>
      <c r="P447">
        <f>_xlfn.XLOOKUP(Orders[[#This Row],[CustomerID]],Customers[CustomerID],Customers[CustomerAge])</f>
        <v>37</v>
      </c>
      <c r="Q447" t="str">
        <f>IF(Orders[[#This Row],[Age]]&gt;=35,"older","young")</f>
        <v>older</v>
      </c>
      <c r="R447" t="str">
        <f>_xlfn.XLOOKUP(Orders[[#This Row],[ProductID]],Products[ProductID],Products[ProductName])</f>
        <v>TROUSERS</v>
      </c>
      <c r="S447" t="str">
        <f>_xlfn.XLOOKUP(Orders[[#This Row],[ProductID]],Products!A:A,Products!C:C)</f>
        <v>Clothing</v>
      </c>
    </row>
    <row r="448" spans="1:19" x14ac:dyDescent="0.2">
      <c r="A448" s="4" t="s">
        <v>632</v>
      </c>
      <c r="B448" s="5">
        <v>46012</v>
      </c>
      <c r="C448" s="15">
        <f>WEEKNUM(Orders[[#This Row],[OrderDate]])</f>
        <v>52</v>
      </c>
      <c r="D448" s="4" t="s">
        <v>305</v>
      </c>
      <c r="E448" s="4" t="s">
        <v>151</v>
      </c>
      <c r="F448" s="4">
        <v>6</v>
      </c>
      <c r="G448" s="4">
        <v>7214.2</v>
      </c>
      <c r="H448">
        <v>6132.07</v>
      </c>
      <c r="I448">
        <f>Orders[[#This Row],[Quantity]]*Orders[[#This Row],[Selling Price]]</f>
        <v>43285.2</v>
      </c>
      <c r="J448">
        <f>Orders[[#This Row],[Quantity]]*Orders[[#This Row],[Cost Price]]</f>
        <v>36792.42</v>
      </c>
      <c r="K448">
        <f>Orders[[#This Row],[Revenue]]-Orders[[#This Row],[Expenses]]</f>
        <v>6492.7799999999988</v>
      </c>
      <c r="L448" t="s">
        <v>2203</v>
      </c>
      <c r="M448" t="str">
        <f>_xlfn.XLOOKUP(Orders[[#This Row],[CustomerID]],Customers[CustomerID],Customers[City])</f>
        <v>California</v>
      </c>
      <c r="N448" t="str">
        <f>_xlfn.XLOOKUP(Orders[[#This Row],[CustomerID]],Customers[CustomerID],Customers[CustomerName])</f>
        <v>Tunde Danladi</v>
      </c>
      <c r="O448" t="str">
        <f>_xlfn.XLOOKUP(Orders[[#This Row],[CustomerID]],Customers[CustomerID],Customers[Gender])</f>
        <v>Male</v>
      </c>
      <c r="P448">
        <f>_xlfn.XLOOKUP(Orders[[#This Row],[CustomerID]],Customers[CustomerID],Customers[CustomerAge])</f>
        <v>40</v>
      </c>
      <c r="Q448" t="str">
        <f>IF(Orders[[#This Row],[Age]]&gt;=35,"older","young")</f>
        <v>older</v>
      </c>
      <c r="R448" t="str">
        <f>_xlfn.XLOOKUP(Orders[[#This Row],[ProductID]],Products[ProductID],Products[ProductName])</f>
        <v>CHECKERS</v>
      </c>
      <c r="S448" t="str">
        <f>_xlfn.XLOOKUP(Orders[[#This Row],[ProductID]],Products!A:A,Products!C:C)</f>
        <v>Games</v>
      </c>
    </row>
    <row r="449" spans="1:19" x14ac:dyDescent="0.2">
      <c r="A449" s="4" t="s">
        <v>633</v>
      </c>
      <c r="B449" s="5">
        <v>45983</v>
      </c>
      <c r="C449" s="15">
        <f>WEEKNUM(Orders[[#This Row],[OrderDate]])</f>
        <v>47</v>
      </c>
      <c r="D449" s="4" t="s">
        <v>400</v>
      </c>
      <c r="E449" s="4" t="s">
        <v>84</v>
      </c>
      <c r="F449" s="4">
        <v>6</v>
      </c>
      <c r="G449" s="4">
        <v>15212.4</v>
      </c>
      <c r="H449">
        <v>12930.54</v>
      </c>
      <c r="I449">
        <f>Orders[[#This Row],[Quantity]]*Orders[[#This Row],[Selling Price]]</f>
        <v>91274.4</v>
      </c>
      <c r="J449">
        <f>Orders[[#This Row],[Quantity]]*Orders[[#This Row],[Cost Price]]</f>
        <v>77583.240000000005</v>
      </c>
      <c r="K449">
        <f>Orders[[#This Row],[Revenue]]-Orders[[#This Row],[Expenses]]</f>
        <v>13691.159999999989</v>
      </c>
      <c r="L449" t="s">
        <v>2199</v>
      </c>
      <c r="M449" t="str">
        <f>_xlfn.XLOOKUP(Orders[[#This Row],[CustomerID]],Customers[CustomerID],Customers[City])</f>
        <v>Florida</v>
      </c>
      <c r="N449" t="str">
        <f>_xlfn.XLOOKUP(Orders[[#This Row],[CustomerID]],Customers[CustomerID],Customers[CustomerName])</f>
        <v>Obi Igwe</v>
      </c>
      <c r="O449" t="str">
        <f>_xlfn.XLOOKUP(Orders[[#This Row],[CustomerID]],Customers[CustomerID],Customers[Gender])</f>
        <v>Male</v>
      </c>
      <c r="P449">
        <f>_xlfn.XLOOKUP(Orders[[#This Row],[CustomerID]],Customers[CustomerID],Customers[CustomerAge])</f>
        <v>35</v>
      </c>
      <c r="Q449" t="str">
        <f>IF(Orders[[#This Row],[Age]]&gt;=35,"older","young")</f>
        <v>older</v>
      </c>
      <c r="R449" t="str">
        <f>_xlfn.XLOOKUP(Orders[[#This Row],[ProductID]],Products[ProductID],Products[ProductName])</f>
        <v>GYM WEARS</v>
      </c>
      <c r="S449" t="str">
        <f>_xlfn.XLOOKUP(Orders[[#This Row],[ProductID]],Products!A:A,Products!C:C)</f>
        <v>Clothing</v>
      </c>
    </row>
    <row r="450" spans="1:19" x14ac:dyDescent="0.2">
      <c r="A450" s="4" t="s">
        <v>634</v>
      </c>
      <c r="B450" s="5">
        <v>46007</v>
      </c>
      <c r="C450" s="15">
        <f>WEEKNUM(Orders[[#This Row],[OrderDate]])</f>
        <v>51</v>
      </c>
      <c r="D450" s="4" t="s">
        <v>457</v>
      </c>
      <c r="E450" s="4" t="s">
        <v>15</v>
      </c>
      <c r="F450" s="4">
        <v>1</v>
      </c>
      <c r="G450" s="4">
        <v>6849.4000000000005</v>
      </c>
      <c r="H450">
        <v>5821.9900000000007</v>
      </c>
      <c r="I450">
        <f>Orders[[#This Row],[Quantity]]*Orders[[#This Row],[Selling Price]]</f>
        <v>6849.4000000000005</v>
      </c>
      <c r="J450">
        <f>Orders[[#This Row],[Quantity]]*Orders[[#This Row],[Cost Price]]</f>
        <v>5821.9900000000007</v>
      </c>
      <c r="K450">
        <f>Orders[[#This Row],[Revenue]]-Orders[[#This Row],[Expenses]]</f>
        <v>1027.4099999999999</v>
      </c>
      <c r="L450" t="s">
        <v>2195</v>
      </c>
      <c r="M450" t="str">
        <f>_xlfn.XLOOKUP(Orders[[#This Row],[CustomerID]],Customers[CustomerID],Customers[City])</f>
        <v>Illinois</v>
      </c>
      <c r="N450" t="str">
        <f>_xlfn.XLOOKUP(Orders[[#This Row],[CustomerID]],Customers[CustomerID],Customers[CustomerName])</f>
        <v>Tunde Okonkwo</v>
      </c>
      <c r="O450" t="str">
        <f>_xlfn.XLOOKUP(Orders[[#This Row],[CustomerID]],Customers[CustomerID],Customers[Gender])</f>
        <v>Male</v>
      </c>
      <c r="P450">
        <f>_xlfn.XLOOKUP(Orders[[#This Row],[CustomerID]],Customers[CustomerID],Customers[CustomerAge])</f>
        <v>23</v>
      </c>
      <c r="Q450" t="str">
        <f>IF(Orders[[#This Row],[Age]]&gt;=35,"older","young")</f>
        <v>young</v>
      </c>
      <c r="R450" t="str">
        <f>_xlfn.XLOOKUP(Orders[[#This Row],[ProductID]],Products[ProductID],Products[ProductName])</f>
        <v>MONOPOLY</v>
      </c>
      <c r="S450" t="str">
        <f>_xlfn.XLOOKUP(Orders[[#This Row],[ProductID]],Products!A:A,Products!C:C)</f>
        <v>Games</v>
      </c>
    </row>
    <row r="451" spans="1:19" x14ac:dyDescent="0.2">
      <c r="A451" s="4" t="s">
        <v>635</v>
      </c>
      <c r="B451" s="5">
        <v>46011</v>
      </c>
      <c r="C451" s="15">
        <f>WEEKNUM(Orders[[#This Row],[OrderDate]])</f>
        <v>51</v>
      </c>
      <c r="D451" s="4" t="s">
        <v>19</v>
      </c>
      <c r="E451" s="4" t="s">
        <v>120</v>
      </c>
      <c r="F451" s="4">
        <v>6</v>
      </c>
      <c r="G451" s="4">
        <v>18346</v>
      </c>
      <c r="H451">
        <v>15594.1</v>
      </c>
      <c r="I451">
        <f>Orders[[#This Row],[Quantity]]*Orders[[#This Row],[Selling Price]]</f>
        <v>110076</v>
      </c>
      <c r="J451">
        <f>Orders[[#This Row],[Quantity]]*Orders[[#This Row],[Cost Price]]</f>
        <v>93564.6</v>
      </c>
      <c r="K451">
        <f>Orders[[#This Row],[Revenue]]-Orders[[#This Row],[Expenses]]</f>
        <v>16511.399999999994</v>
      </c>
      <c r="L451" t="s">
        <v>2194</v>
      </c>
      <c r="M451" t="str">
        <f>_xlfn.XLOOKUP(Orders[[#This Row],[CustomerID]],Customers[CustomerID],Customers[City])</f>
        <v>California</v>
      </c>
      <c r="N451" t="str">
        <f>_xlfn.XLOOKUP(Orders[[#This Row],[CustomerID]],Customers[CustomerID],Customers[CustomerName])</f>
        <v>Obi Adeyemi</v>
      </c>
      <c r="O451" t="str">
        <f>_xlfn.XLOOKUP(Orders[[#This Row],[CustomerID]],Customers[CustomerID],Customers[Gender])</f>
        <v>Male</v>
      </c>
      <c r="P451">
        <f>_xlfn.XLOOKUP(Orders[[#This Row],[CustomerID]],Customers[CustomerID],Customers[CustomerAge])</f>
        <v>24</v>
      </c>
      <c r="Q451" t="str">
        <f>IF(Orders[[#This Row],[Age]]&gt;=35,"older","young")</f>
        <v>young</v>
      </c>
      <c r="R451" t="str">
        <f>_xlfn.XLOOKUP(Orders[[#This Row],[ProductID]],Products[ProductID],Products[ProductName])</f>
        <v>CHESS</v>
      </c>
      <c r="S451" t="str">
        <f>_xlfn.XLOOKUP(Orders[[#This Row],[ProductID]],Products!A:A,Products!C:C)</f>
        <v>Games</v>
      </c>
    </row>
    <row r="452" spans="1:19" x14ac:dyDescent="0.2">
      <c r="A452" s="4" t="s">
        <v>636</v>
      </c>
      <c r="B452" s="5">
        <v>45936</v>
      </c>
      <c r="C452" s="15">
        <f>WEEKNUM(Orders[[#This Row],[OrderDate]])</f>
        <v>41</v>
      </c>
      <c r="D452" s="4" t="s">
        <v>418</v>
      </c>
      <c r="E452" s="4" t="s">
        <v>15</v>
      </c>
      <c r="F452" s="4">
        <v>10</v>
      </c>
      <c r="G452" s="4">
        <v>16772.099999999999</v>
      </c>
      <c r="H452">
        <v>14256.285</v>
      </c>
      <c r="I452">
        <f>Orders[[#This Row],[Quantity]]*Orders[[#This Row],[Selling Price]]</f>
        <v>167721</v>
      </c>
      <c r="J452">
        <f>Orders[[#This Row],[Quantity]]*Orders[[#This Row],[Cost Price]]</f>
        <v>142562.85</v>
      </c>
      <c r="K452">
        <f>Orders[[#This Row],[Revenue]]-Orders[[#This Row],[Expenses]]</f>
        <v>25158.149999999994</v>
      </c>
      <c r="L452" t="s">
        <v>2211</v>
      </c>
      <c r="M452" t="str">
        <f>_xlfn.XLOOKUP(Orders[[#This Row],[CustomerID]],Customers[CustomerID],Customers[City])</f>
        <v>Illinois</v>
      </c>
      <c r="N452" t="str">
        <f>_xlfn.XLOOKUP(Orders[[#This Row],[CustomerID]],Customers[CustomerID],Customers[CustomerName])</f>
        <v>Amina Danladi</v>
      </c>
      <c r="O452" t="str">
        <f>_xlfn.XLOOKUP(Orders[[#This Row],[CustomerID]],Customers[CustomerID],Customers[Gender])</f>
        <v>Female</v>
      </c>
      <c r="P452">
        <f>_xlfn.XLOOKUP(Orders[[#This Row],[CustomerID]],Customers[CustomerID],Customers[CustomerAge])</f>
        <v>20</v>
      </c>
      <c r="Q452" t="str">
        <f>IF(Orders[[#This Row],[Age]]&gt;=35,"older","young")</f>
        <v>young</v>
      </c>
      <c r="R452" t="str">
        <f>_xlfn.XLOOKUP(Orders[[#This Row],[ProductID]],Products[ProductID],Products[ProductName])</f>
        <v>MONOPOLY</v>
      </c>
      <c r="S452" t="str">
        <f>_xlfn.XLOOKUP(Orders[[#This Row],[ProductID]],Products!A:A,Products!C:C)</f>
        <v>Games</v>
      </c>
    </row>
    <row r="453" spans="1:19" x14ac:dyDescent="0.2">
      <c r="A453" s="4" t="s">
        <v>637</v>
      </c>
      <c r="B453" s="5">
        <v>45958</v>
      </c>
      <c r="C453" s="15">
        <f>WEEKNUM(Orders[[#This Row],[OrderDate]])</f>
        <v>44</v>
      </c>
      <c r="D453" s="4" t="s">
        <v>343</v>
      </c>
      <c r="E453" s="4" t="s">
        <v>125</v>
      </c>
      <c r="F453" s="4">
        <v>1</v>
      </c>
      <c r="G453" s="4">
        <v>11904.1</v>
      </c>
      <c r="H453">
        <v>10118.485000000001</v>
      </c>
      <c r="I453">
        <f>Orders[[#This Row],[Quantity]]*Orders[[#This Row],[Selling Price]]</f>
        <v>11904.1</v>
      </c>
      <c r="J453">
        <f>Orders[[#This Row],[Quantity]]*Orders[[#This Row],[Cost Price]]</f>
        <v>10118.485000000001</v>
      </c>
      <c r="K453">
        <f>Orders[[#This Row],[Revenue]]-Orders[[#This Row],[Expenses]]</f>
        <v>1785.6149999999998</v>
      </c>
      <c r="L453" t="s">
        <v>2218</v>
      </c>
      <c r="M453" t="str">
        <f>_xlfn.XLOOKUP(Orders[[#This Row],[CustomerID]],Customers[CustomerID],Customers[City])</f>
        <v>Washington</v>
      </c>
      <c r="N453" t="str">
        <f>_xlfn.XLOOKUP(Orders[[#This Row],[CustomerID]],Customers[CustomerID],Customers[CustomerName])</f>
        <v>Ronke Obi</v>
      </c>
      <c r="O453" t="str">
        <f>_xlfn.XLOOKUP(Orders[[#This Row],[CustomerID]],Customers[CustomerID],Customers[Gender])</f>
        <v>Female</v>
      </c>
      <c r="P453">
        <f>_xlfn.XLOOKUP(Orders[[#This Row],[CustomerID]],Customers[CustomerID],Customers[CustomerAge])</f>
        <v>31</v>
      </c>
      <c r="Q453" t="str">
        <f>IF(Orders[[#This Row],[Age]]&gt;=35,"older","young")</f>
        <v>young</v>
      </c>
      <c r="R453" t="str">
        <f>_xlfn.XLOOKUP(Orders[[#This Row],[ProductID]],Products[ProductID],Products[ProductName])</f>
        <v>EARRINGS</v>
      </c>
      <c r="S453" t="str">
        <f>_xlfn.XLOOKUP(Orders[[#This Row],[ProductID]],Products!A:A,Products!C:C)</f>
        <v>Accessories</v>
      </c>
    </row>
    <row r="454" spans="1:19" x14ac:dyDescent="0.2">
      <c r="A454" s="4" t="s">
        <v>638</v>
      </c>
      <c r="B454" s="5">
        <v>45948</v>
      </c>
      <c r="C454" s="15">
        <f>WEEKNUM(Orders[[#This Row],[OrderDate]])</f>
        <v>42</v>
      </c>
      <c r="D454" s="4" t="s">
        <v>282</v>
      </c>
      <c r="E454" s="4" t="s">
        <v>130</v>
      </c>
      <c r="F454" s="4">
        <v>7</v>
      </c>
      <c r="G454" s="4">
        <v>10433.5</v>
      </c>
      <c r="H454">
        <v>8868.4750000000004</v>
      </c>
      <c r="I454">
        <f>Orders[[#This Row],[Quantity]]*Orders[[#This Row],[Selling Price]]</f>
        <v>73034.5</v>
      </c>
      <c r="J454">
        <f>Orders[[#This Row],[Quantity]]*Orders[[#This Row],[Cost Price]]</f>
        <v>62079.325000000004</v>
      </c>
      <c r="K454">
        <f>Orders[[#This Row],[Revenue]]-Orders[[#This Row],[Expenses]]</f>
        <v>10955.174999999996</v>
      </c>
      <c r="L454" t="s">
        <v>2193</v>
      </c>
      <c r="M454" t="str">
        <f>_xlfn.XLOOKUP(Orders[[#This Row],[CustomerID]],Customers[CustomerID],Customers[City])</f>
        <v>Texas</v>
      </c>
      <c r="N454" t="str">
        <f>_xlfn.XLOOKUP(Orders[[#This Row],[CustomerID]],Customers[CustomerID],Customers[CustomerName])</f>
        <v>Bisi Ojo</v>
      </c>
      <c r="O454" t="str">
        <f>_xlfn.XLOOKUP(Orders[[#This Row],[CustomerID]],Customers[CustomerID],Customers[Gender])</f>
        <v>Female</v>
      </c>
      <c r="P454">
        <f>_xlfn.XLOOKUP(Orders[[#This Row],[CustomerID]],Customers[CustomerID],Customers[CustomerAge])</f>
        <v>26</v>
      </c>
      <c r="Q454" t="str">
        <f>IF(Orders[[#This Row],[Age]]&gt;=35,"older","young")</f>
        <v>young</v>
      </c>
      <c r="R454" t="str">
        <f>_xlfn.XLOOKUP(Orders[[#This Row],[ProductID]],Products[ProductID],Products[ProductName])</f>
        <v>GOLD EARRINGS AND NECKLACES</v>
      </c>
      <c r="S454" t="str">
        <f>_xlfn.XLOOKUP(Orders[[#This Row],[ProductID]],Products!A:A,Products!C:C)</f>
        <v>Accessories</v>
      </c>
    </row>
    <row r="455" spans="1:19" x14ac:dyDescent="0.2">
      <c r="A455" s="4" t="s">
        <v>639</v>
      </c>
      <c r="B455" s="5">
        <v>46006</v>
      </c>
      <c r="C455" s="15">
        <f>WEEKNUM(Orders[[#This Row],[OrderDate]])</f>
        <v>51</v>
      </c>
      <c r="D455" s="4" t="s">
        <v>607</v>
      </c>
      <c r="E455" s="4" t="s">
        <v>127</v>
      </c>
      <c r="F455" s="4">
        <v>5</v>
      </c>
      <c r="G455" s="4">
        <v>3164.5</v>
      </c>
      <c r="H455">
        <v>2689.8249999999998</v>
      </c>
      <c r="I455">
        <f>Orders[[#This Row],[Quantity]]*Orders[[#This Row],[Selling Price]]</f>
        <v>15822.5</v>
      </c>
      <c r="J455">
        <f>Orders[[#This Row],[Quantity]]*Orders[[#This Row],[Cost Price]]</f>
        <v>13449.125</v>
      </c>
      <c r="K455">
        <f>Orders[[#This Row],[Revenue]]-Orders[[#This Row],[Expenses]]</f>
        <v>2373.375</v>
      </c>
      <c r="L455" t="s">
        <v>2201</v>
      </c>
      <c r="M455" t="str">
        <f>_xlfn.XLOOKUP(Orders[[#This Row],[CustomerID]],Customers[CustomerID],Customers[City])</f>
        <v>Texas</v>
      </c>
      <c r="N455" t="str">
        <f>_xlfn.XLOOKUP(Orders[[#This Row],[CustomerID]],Customers[CustomerID],Customers[CustomerName])</f>
        <v>Folasade Ojo</v>
      </c>
      <c r="O455" t="str">
        <f>_xlfn.XLOOKUP(Orders[[#This Row],[CustomerID]],Customers[CustomerID],Customers[Gender])</f>
        <v>Female</v>
      </c>
      <c r="P455">
        <f>_xlfn.XLOOKUP(Orders[[#This Row],[CustomerID]],Customers[CustomerID],Customers[CustomerAge])</f>
        <v>19</v>
      </c>
      <c r="Q455" t="str">
        <f>IF(Orders[[#This Row],[Age]]&gt;=35,"older","young")</f>
        <v>young</v>
      </c>
      <c r="R455" t="str">
        <f>_xlfn.XLOOKUP(Orders[[#This Row],[ProductID]],Products[ProductID],Products[ProductName])</f>
        <v>TOPS</v>
      </c>
      <c r="S455" t="str">
        <f>_xlfn.XLOOKUP(Orders[[#This Row],[ProductID]],Products!A:A,Products!C:C)</f>
        <v>Clothing</v>
      </c>
    </row>
    <row r="456" spans="1:19" x14ac:dyDescent="0.2">
      <c r="A456" s="4" t="s">
        <v>640</v>
      </c>
      <c r="B456" s="5">
        <v>45977</v>
      </c>
      <c r="C456" s="15">
        <f>WEEKNUM(Orders[[#This Row],[OrderDate]])</f>
        <v>47</v>
      </c>
      <c r="D456" s="4" t="s">
        <v>105</v>
      </c>
      <c r="E456" s="4" t="s">
        <v>208</v>
      </c>
      <c r="F456" s="4">
        <v>3</v>
      </c>
      <c r="G456" s="4">
        <v>6902.2000000000007</v>
      </c>
      <c r="H456">
        <v>5866.8700000000008</v>
      </c>
      <c r="I456">
        <f>Orders[[#This Row],[Quantity]]*Orders[[#This Row],[Selling Price]]</f>
        <v>20706.600000000002</v>
      </c>
      <c r="J456">
        <f>Orders[[#This Row],[Quantity]]*Orders[[#This Row],[Cost Price]]</f>
        <v>17600.61</v>
      </c>
      <c r="K456">
        <f>Orders[[#This Row],[Revenue]]-Orders[[#This Row],[Expenses]]</f>
        <v>3105.9900000000016</v>
      </c>
      <c r="L456" t="s">
        <v>2194</v>
      </c>
      <c r="M456" t="str">
        <f>_xlfn.XLOOKUP(Orders[[#This Row],[CustomerID]],Customers[CustomerID],Customers[City])</f>
        <v>Georgia</v>
      </c>
      <c r="N456" t="str">
        <f>_xlfn.XLOOKUP(Orders[[#This Row],[CustomerID]],Customers[CustomerID],Customers[CustomerName])</f>
        <v>Folasade Adeyemi</v>
      </c>
      <c r="O456" t="str">
        <f>_xlfn.XLOOKUP(Orders[[#This Row],[CustomerID]],Customers[CustomerID],Customers[Gender])</f>
        <v>Female</v>
      </c>
      <c r="P456">
        <f>_xlfn.XLOOKUP(Orders[[#This Row],[CustomerID]],Customers[CustomerID],Customers[CustomerAge])</f>
        <v>42</v>
      </c>
      <c r="Q456" t="str">
        <f>IF(Orders[[#This Row],[Age]]&gt;=35,"older","young")</f>
        <v>older</v>
      </c>
      <c r="R456" t="str">
        <f>_xlfn.XLOOKUP(Orders[[#This Row],[ProductID]],Products[ProductID],Products[ProductName])</f>
        <v>SKIPPING ROPE</v>
      </c>
      <c r="S456" t="str">
        <f>_xlfn.XLOOKUP(Orders[[#This Row],[ProductID]],Products!A:A,Products!C:C)</f>
        <v>Sports</v>
      </c>
    </row>
    <row r="457" spans="1:19" x14ac:dyDescent="0.2">
      <c r="A457" s="4" t="s">
        <v>641</v>
      </c>
      <c r="B457" s="5">
        <v>45985</v>
      </c>
      <c r="C457" s="15">
        <f>WEEKNUM(Orders[[#This Row],[OrderDate]])</f>
        <v>48</v>
      </c>
      <c r="D457" s="4" t="s">
        <v>383</v>
      </c>
      <c r="E457" s="4" t="s">
        <v>25</v>
      </c>
      <c r="F457" s="4">
        <v>9</v>
      </c>
      <c r="G457" s="4">
        <v>15250.2</v>
      </c>
      <c r="H457">
        <v>12962.67</v>
      </c>
      <c r="I457">
        <f>Orders[[#This Row],[Quantity]]*Orders[[#This Row],[Selling Price]]</f>
        <v>137251.80000000002</v>
      </c>
      <c r="J457">
        <f>Orders[[#This Row],[Quantity]]*Orders[[#This Row],[Cost Price]]</f>
        <v>116664.03</v>
      </c>
      <c r="K457">
        <f>Orders[[#This Row],[Revenue]]-Orders[[#This Row],[Expenses]]</f>
        <v>20587.770000000019</v>
      </c>
      <c r="L457" t="s">
        <v>2192</v>
      </c>
      <c r="M457" t="str">
        <f>_xlfn.XLOOKUP(Orders[[#This Row],[CustomerID]],Customers[CustomerID],Customers[City])</f>
        <v>Florida</v>
      </c>
      <c r="N457" t="str">
        <f>_xlfn.XLOOKUP(Orders[[#This Row],[CustomerID]],Customers[CustomerID],Customers[CustomerName])</f>
        <v>Ibrahim Balogun</v>
      </c>
      <c r="O457" t="str">
        <f>_xlfn.XLOOKUP(Orders[[#This Row],[CustomerID]],Customers[CustomerID],Customers[Gender])</f>
        <v>Male</v>
      </c>
      <c r="P457">
        <f>_xlfn.XLOOKUP(Orders[[#This Row],[CustomerID]],Customers[CustomerID],Customers[CustomerAge])</f>
        <v>27</v>
      </c>
      <c r="Q457" t="str">
        <f>IF(Orders[[#This Row],[Age]]&gt;=35,"older","young")</f>
        <v>young</v>
      </c>
      <c r="R457" t="str">
        <f>_xlfn.XLOOKUP(Orders[[#This Row],[ProductID]],Products[ProductID],Products[ProductName])</f>
        <v>GOLD RINGS</v>
      </c>
      <c r="S457" t="str">
        <f>_xlfn.XLOOKUP(Orders[[#This Row],[ProductID]],Products!A:A,Products!C:C)</f>
        <v>Accessories</v>
      </c>
    </row>
    <row r="458" spans="1:19" x14ac:dyDescent="0.2">
      <c r="A458" s="4" t="s">
        <v>642</v>
      </c>
      <c r="B458" s="5">
        <v>45964</v>
      </c>
      <c r="C458" s="15">
        <f>WEEKNUM(Orders[[#This Row],[OrderDate]])</f>
        <v>45</v>
      </c>
      <c r="D458" s="4" t="s">
        <v>36</v>
      </c>
      <c r="E458" s="4" t="s">
        <v>25</v>
      </c>
      <c r="F458" s="4">
        <v>3</v>
      </c>
      <c r="G458" s="4">
        <v>15496.300000000001</v>
      </c>
      <c r="H458">
        <v>13171.855000000001</v>
      </c>
      <c r="I458">
        <f>Orders[[#This Row],[Quantity]]*Orders[[#This Row],[Selling Price]]</f>
        <v>46488.9</v>
      </c>
      <c r="J458">
        <f>Orders[[#This Row],[Quantity]]*Orders[[#This Row],[Cost Price]]</f>
        <v>39515.565000000002</v>
      </c>
      <c r="K458">
        <f>Orders[[#This Row],[Revenue]]-Orders[[#This Row],[Expenses]]</f>
        <v>6973.3349999999991</v>
      </c>
      <c r="L458" t="s">
        <v>2200</v>
      </c>
      <c r="M458" t="str">
        <f>_xlfn.XLOOKUP(Orders[[#This Row],[CustomerID]],Customers[CustomerID],Customers[City])</f>
        <v>California</v>
      </c>
      <c r="N458" t="str">
        <f>_xlfn.XLOOKUP(Orders[[#This Row],[CustomerID]],Customers[CustomerID],Customers[CustomerName])</f>
        <v>Jide Eze</v>
      </c>
      <c r="O458" t="str">
        <f>_xlfn.XLOOKUP(Orders[[#This Row],[CustomerID]],Customers[CustomerID],Customers[Gender])</f>
        <v>Male</v>
      </c>
      <c r="P458">
        <f>_xlfn.XLOOKUP(Orders[[#This Row],[CustomerID]],Customers[CustomerID],Customers[CustomerAge])</f>
        <v>21</v>
      </c>
      <c r="Q458" t="str">
        <f>IF(Orders[[#This Row],[Age]]&gt;=35,"older","young")</f>
        <v>young</v>
      </c>
      <c r="R458" t="str">
        <f>_xlfn.XLOOKUP(Orders[[#This Row],[ProductID]],Products[ProductID],Products[ProductName])</f>
        <v>GOLD RINGS</v>
      </c>
      <c r="S458" t="str">
        <f>_xlfn.XLOOKUP(Orders[[#This Row],[ProductID]],Products!A:A,Products!C:C)</f>
        <v>Accessories</v>
      </c>
    </row>
    <row r="459" spans="1:19" x14ac:dyDescent="0.2">
      <c r="A459" s="4" t="s">
        <v>643</v>
      </c>
      <c r="B459" s="5">
        <v>46003</v>
      </c>
      <c r="C459" s="15">
        <f>WEEKNUM(Orders[[#This Row],[OrderDate]])</f>
        <v>50</v>
      </c>
      <c r="D459" s="4" t="s">
        <v>383</v>
      </c>
      <c r="E459" s="4" t="s">
        <v>76</v>
      </c>
      <c r="F459" s="4">
        <v>2</v>
      </c>
      <c r="G459" s="4">
        <v>19571.300000000003</v>
      </c>
      <c r="H459">
        <v>16635.605000000003</v>
      </c>
      <c r="I459">
        <f>Orders[[#This Row],[Quantity]]*Orders[[#This Row],[Selling Price]]</f>
        <v>39142.600000000006</v>
      </c>
      <c r="J459">
        <f>Orders[[#This Row],[Quantity]]*Orders[[#This Row],[Cost Price]]</f>
        <v>33271.210000000006</v>
      </c>
      <c r="K459">
        <f>Orders[[#This Row],[Revenue]]-Orders[[#This Row],[Expenses]]</f>
        <v>5871.3899999999994</v>
      </c>
      <c r="L459" t="s">
        <v>2195</v>
      </c>
      <c r="M459" t="str">
        <f>_xlfn.XLOOKUP(Orders[[#This Row],[CustomerID]],Customers[CustomerID],Customers[City])</f>
        <v>Florida</v>
      </c>
      <c r="N459" t="str">
        <f>_xlfn.XLOOKUP(Orders[[#This Row],[CustomerID]],Customers[CustomerID],Customers[CustomerName])</f>
        <v>Ibrahim Balogun</v>
      </c>
      <c r="O459" t="str">
        <f>_xlfn.XLOOKUP(Orders[[#This Row],[CustomerID]],Customers[CustomerID],Customers[Gender])</f>
        <v>Male</v>
      </c>
      <c r="P459">
        <f>_xlfn.XLOOKUP(Orders[[#This Row],[CustomerID]],Customers[CustomerID],Customers[CustomerAge])</f>
        <v>27</v>
      </c>
      <c r="Q459" t="str">
        <f>IF(Orders[[#This Row],[Age]]&gt;=35,"older","young")</f>
        <v>young</v>
      </c>
      <c r="R459" t="str">
        <f>_xlfn.XLOOKUP(Orders[[#This Row],[ProductID]],Products[ProductID],Products[ProductName])</f>
        <v>BLENDER</v>
      </c>
      <c r="S459" t="str">
        <f>_xlfn.XLOOKUP(Orders[[#This Row],[ProductID]],Products!A:A,Products!C:C)</f>
        <v>Electronics</v>
      </c>
    </row>
    <row r="460" spans="1:19" x14ac:dyDescent="0.2">
      <c r="A460" s="4" t="s">
        <v>644</v>
      </c>
      <c r="B460" s="5">
        <v>46012</v>
      </c>
      <c r="C460" s="15">
        <f>WEEKNUM(Orders[[#This Row],[OrderDate]])</f>
        <v>52</v>
      </c>
      <c r="D460" s="4" t="s">
        <v>105</v>
      </c>
      <c r="E460" s="4" t="s">
        <v>37</v>
      </c>
      <c r="F460" s="4">
        <v>4</v>
      </c>
      <c r="G460" s="4">
        <v>8584.7000000000007</v>
      </c>
      <c r="H460">
        <v>7296.9950000000008</v>
      </c>
      <c r="I460">
        <f>Orders[[#This Row],[Quantity]]*Orders[[#This Row],[Selling Price]]</f>
        <v>34338.800000000003</v>
      </c>
      <c r="J460">
        <f>Orders[[#This Row],[Quantity]]*Orders[[#This Row],[Cost Price]]</f>
        <v>29187.980000000003</v>
      </c>
      <c r="K460">
        <f>Orders[[#This Row],[Revenue]]-Orders[[#This Row],[Expenses]]</f>
        <v>5150.82</v>
      </c>
      <c r="L460" t="s">
        <v>2205</v>
      </c>
      <c r="M460" t="str">
        <f>_xlfn.XLOOKUP(Orders[[#This Row],[CustomerID]],Customers[CustomerID],Customers[City])</f>
        <v>Georgia</v>
      </c>
      <c r="N460" t="str">
        <f>_xlfn.XLOOKUP(Orders[[#This Row],[CustomerID]],Customers[CustomerID],Customers[CustomerName])</f>
        <v>Folasade Adeyemi</v>
      </c>
      <c r="O460" t="str">
        <f>_xlfn.XLOOKUP(Orders[[#This Row],[CustomerID]],Customers[CustomerID],Customers[Gender])</f>
        <v>Female</v>
      </c>
      <c r="P460">
        <f>_xlfn.XLOOKUP(Orders[[#This Row],[CustomerID]],Customers[CustomerID],Customers[CustomerAge])</f>
        <v>42</v>
      </c>
      <c r="Q460" t="str">
        <f>IF(Orders[[#This Row],[Age]]&gt;=35,"older","young")</f>
        <v>older</v>
      </c>
      <c r="R460" t="str">
        <f>_xlfn.XLOOKUP(Orders[[#This Row],[ProductID]],Products[ProductID],Products[ProductName])</f>
        <v>IRON</v>
      </c>
      <c r="S460" t="str">
        <f>_xlfn.XLOOKUP(Orders[[#This Row],[ProductID]],Products!A:A,Products!C:C)</f>
        <v>Electronics</v>
      </c>
    </row>
    <row r="461" spans="1:19" x14ac:dyDescent="0.2">
      <c r="A461" s="4" t="s">
        <v>645</v>
      </c>
      <c r="B461" s="5">
        <v>45973</v>
      </c>
      <c r="C461" s="15">
        <f>WEEKNUM(Orders[[#This Row],[OrderDate]])</f>
        <v>46</v>
      </c>
      <c r="D461" s="4" t="s">
        <v>521</v>
      </c>
      <c r="E461" s="4" t="s">
        <v>70</v>
      </c>
      <c r="F461" s="4">
        <v>9</v>
      </c>
      <c r="G461" s="4">
        <v>18988</v>
      </c>
      <c r="H461">
        <v>16139.8</v>
      </c>
      <c r="I461">
        <f>Orders[[#This Row],[Quantity]]*Orders[[#This Row],[Selling Price]]</f>
        <v>170892</v>
      </c>
      <c r="J461">
        <f>Orders[[#This Row],[Quantity]]*Orders[[#This Row],[Cost Price]]</f>
        <v>145258.19999999998</v>
      </c>
      <c r="K461">
        <f>Orders[[#This Row],[Revenue]]-Orders[[#This Row],[Expenses]]</f>
        <v>25633.800000000017</v>
      </c>
      <c r="L461" t="s">
        <v>2197</v>
      </c>
      <c r="M461" t="str">
        <f>_xlfn.XLOOKUP(Orders[[#This Row],[CustomerID]],Customers[CustomerID],Customers[City])</f>
        <v>Illinois</v>
      </c>
      <c r="N461" t="str">
        <f>_xlfn.XLOOKUP(Orders[[#This Row],[CustomerID]],Customers[CustomerID],Customers[CustomerName])</f>
        <v>Ronke Eze</v>
      </c>
      <c r="O461" t="str">
        <f>_xlfn.XLOOKUP(Orders[[#This Row],[CustomerID]],Customers[CustomerID],Customers[Gender])</f>
        <v>Female</v>
      </c>
      <c r="P461">
        <f>_xlfn.XLOOKUP(Orders[[#This Row],[CustomerID]],Customers[CustomerID],Customers[CustomerAge])</f>
        <v>25</v>
      </c>
      <c r="Q461" t="str">
        <f>IF(Orders[[#This Row],[Age]]&gt;=35,"older","young")</f>
        <v>young</v>
      </c>
      <c r="R461" t="str">
        <f>_xlfn.XLOOKUP(Orders[[#This Row],[ProductID]],Products[ProductID],Products[ProductName])</f>
        <v>YOGA MAT</v>
      </c>
      <c r="S461" t="str">
        <f>_xlfn.XLOOKUP(Orders[[#This Row],[ProductID]],Products!A:A,Products!C:C)</f>
        <v>Gym</v>
      </c>
    </row>
    <row r="462" spans="1:19" x14ac:dyDescent="0.2">
      <c r="A462" s="4" t="s">
        <v>646</v>
      </c>
      <c r="B462" s="5">
        <v>45953</v>
      </c>
      <c r="C462" s="15">
        <f>WEEKNUM(Orders[[#This Row],[OrderDate]])</f>
        <v>43</v>
      </c>
      <c r="D462" s="4" t="s">
        <v>75</v>
      </c>
      <c r="E462" s="4" t="s">
        <v>70</v>
      </c>
      <c r="F462" s="4">
        <v>8</v>
      </c>
      <c r="G462" s="4">
        <v>7816.5999999999995</v>
      </c>
      <c r="H462">
        <v>6644.11</v>
      </c>
      <c r="I462">
        <f>Orders[[#This Row],[Quantity]]*Orders[[#This Row],[Selling Price]]</f>
        <v>62532.799999999996</v>
      </c>
      <c r="J462">
        <f>Orders[[#This Row],[Quantity]]*Orders[[#This Row],[Cost Price]]</f>
        <v>53152.88</v>
      </c>
      <c r="K462">
        <f>Orders[[#This Row],[Revenue]]-Orders[[#This Row],[Expenses]]</f>
        <v>9379.9199999999983</v>
      </c>
      <c r="L462" t="s">
        <v>2208</v>
      </c>
      <c r="M462" t="str">
        <f>_xlfn.XLOOKUP(Orders[[#This Row],[CustomerID]],Customers[CustomerID],Customers[City])</f>
        <v>Texas</v>
      </c>
      <c r="N462" t="str">
        <f>_xlfn.XLOOKUP(Orders[[#This Row],[CustomerID]],Customers[CustomerID],Customers[CustomerName])</f>
        <v>Tunde Danladi</v>
      </c>
      <c r="O462" t="str">
        <f>_xlfn.XLOOKUP(Orders[[#This Row],[CustomerID]],Customers[CustomerID],Customers[Gender])</f>
        <v>Male</v>
      </c>
      <c r="P462">
        <f>_xlfn.XLOOKUP(Orders[[#This Row],[CustomerID]],Customers[CustomerID],Customers[CustomerAge])</f>
        <v>47</v>
      </c>
      <c r="Q462" t="str">
        <f>IF(Orders[[#This Row],[Age]]&gt;=35,"older","young")</f>
        <v>older</v>
      </c>
      <c r="R462" t="str">
        <f>_xlfn.XLOOKUP(Orders[[#This Row],[ProductID]],Products[ProductID],Products[ProductName])</f>
        <v>YOGA MAT</v>
      </c>
      <c r="S462" t="str">
        <f>_xlfn.XLOOKUP(Orders[[#This Row],[ProductID]],Products!A:A,Products!C:C)</f>
        <v>Gym</v>
      </c>
    </row>
    <row r="463" spans="1:19" x14ac:dyDescent="0.2">
      <c r="A463" s="4" t="s">
        <v>647</v>
      </c>
      <c r="B463" s="5">
        <v>45996</v>
      </c>
      <c r="C463" s="15">
        <f>WEEKNUM(Orders[[#This Row],[OrderDate]])</f>
        <v>49</v>
      </c>
      <c r="D463" s="4" t="s">
        <v>212</v>
      </c>
      <c r="E463" s="4" t="s">
        <v>28</v>
      </c>
      <c r="F463" s="4">
        <v>7</v>
      </c>
      <c r="G463" s="4">
        <v>4849.7000000000007</v>
      </c>
      <c r="H463">
        <v>4122.2450000000008</v>
      </c>
      <c r="I463">
        <f>Orders[[#This Row],[Quantity]]*Orders[[#This Row],[Selling Price]]</f>
        <v>33947.900000000009</v>
      </c>
      <c r="J463">
        <f>Orders[[#This Row],[Quantity]]*Orders[[#This Row],[Cost Price]]</f>
        <v>28855.715000000004</v>
      </c>
      <c r="K463">
        <f>Orders[[#This Row],[Revenue]]-Orders[[#This Row],[Expenses]]</f>
        <v>5092.1850000000049</v>
      </c>
      <c r="L463" t="s">
        <v>2198</v>
      </c>
      <c r="M463" t="str">
        <f>_xlfn.XLOOKUP(Orders[[#This Row],[CustomerID]],Customers[CustomerID],Customers[City])</f>
        <v>Illinois</v>
      </c>
      <c r="N463" t="str">
        <f>_xlfn.XLOOKUP(Orders[[#This Row],[CustomerID]],Customers[CustomerID],Customers[CustomerName])</f>
        <v>Ngozi Ojo</v>
      </c>
      <c r="O463" t="str">
        <f>_xlfn.XLOOKUP(Orders[[#This Row],[CustomerID]],Customers[CustomerID],Customers[Gender])</f>
        <v>Female</v>
      </c>
      <c r="P463">
        <f>_xlfn.XLOOKUP(Orders[[#This Row],[CustomerID]],Customers[CustomerID],Customers[CustomerAge])</f>
        <v>53</v>
      </c>
      <c r="Q463" t="str">
        <f>IF(Orders[[#This Row],[Age]]&gt;=35,"older","young")</f>
        <v>older</v>
      </c>
      <c r="R463" t="str">
        <f>_xlfn.XLOOKUP(Orders[[#This Row],[ProductID]],Products[ProductID],Products[ProductName])</f>
        <v>SNEAKERS</v>
      </c>
      <c r="S463" t="str">
        <f>_xlfn.XLOOKUP(Orders[[#This Row],[ProductID]],Products!A:A,Products!C:C)</f>
        <v>Sports</v>
      </c>
    </row>
    <row r="464" spans="1:19" x14ac:dyDescent="0.2">
      <c r="A464" s="4" t="s">
        <v>648</v>
      </c>
      <c r="B464" s="5">
        <v>45957</v>
      </c>
      <c r="C464" s="15">
        <f>WEEKNUM(Orders[[#This Row],[OrderDate]])</f>
        <v>44</v>
      </c>
      <c r="D464" s="4" t="s">
        <v>649</v>
      </c>
      <c r="E464" s="4" t="s">
        <v>53</v>
      </c>
      <c r="F464" s="4">
        <v>8</v>
      </c>
      <c r="G464" s="4">
        <v>1976.8000000000002</v>
      </c>
      <c r="H464">
        <v>1680.2800000000002</v>
      </c>
      <c r="I464">
        <f>Orders[[#This Row],[Quantity]]*Orders[[#This Row],[Selling Price]]</f>
        <v>15814.400000000001</v>
      </c>
      <c r="J464">
        <f>Orders[[#This Row],[Quantity]]*Orders[[#This Row],[Cost Price]]</f>
        <v>13442.240000000002</v>
      </c>
      <c r="K464">
        <f>Orders[[#This Row],[Revenue]]-Orders[[#This Row],[Expenses]]</f>
        <v>2372.16</v>
      </c>
      <c r="L464" t="s">
        <v>2207</v>
      </c>
      <c r="M464" t="str">
        <f>_xlfn.XLOOKUP(Orders[[#This Row],[CustomerID]],Customers[CustomerID],Customers[City])</f>
        <v>Washington</v>
      </c>
      <c r="N464" t="str">
        <f>_xlfn.XLOOKUP(Orders[[#This Row],[CustomerID]],Customers[CustomerID],Customers[CustomerName])</f>
        <v>Bisi Abubakar</v>
      </c>
      <c r="O464" t="str">
        <f>_xlfn.XLOOKUP(Orders[[#This Row],[CustomerID]],Customers[CustomerID],Customers[Gender])</f>
        <v>Female</v>
      </c>
      <c r="P464">
        <f>_xlfn.XLOOKUP(Orders[[#This Row],[CustomerID]],Customers[CustomerID],Customers[CustomerAge])</f>
        <v>35</v>
      </c>
      <c r="Q464" t="str">
        <f>IF(Orders[[#This Row],[Age]]&gt;=35,"older","young")</f>
        <v>older</v>
      </c>
      <c r="R464" t="str">
        <f>_xlfn.XLOOKUP(Orders[[#This Row],[ProductID]],Products[ProductID],Products[ProductName])</f>
        <v>SILVER BANGLES</v>
      </c>
      <c r="S464" t="str">
        <f>_xlfn.XLOOKUP(Orders[[#This Row],[ProductID]],Products!A:A,Products!C:C)</f>
        <v>Accessories</v>
      </c>
    </row>
    <row r="465" spans="1:19" x14ac:dyDescent="0.2">
      <c r="A465" s="4" t="s">
        <v>650</v>
      </c>
      <c r="B465" s="5">
        <v>46011</v>
      </c>
      <c r="C465" s="15">
        <f>WEEKNUM(Orders[[#This Row],[OrderDate]])</f>
        <v>51</v>
      </c>
      <c r="D465" s="4" t="s">
        <v>194</v>
      </c>
      <c r="E465" s="4" t="s">
        <v>20</v>
      </c>
      <c r="F465" s="4">
        <v>9</v>
      </c>
      <c r="G465" s="4">
        <v>6140.1</v>
      </c>
      <c r="H465">
        <v>5219.085</v>
      </c>
      <c r="I465">
        <f>Orders[[#This Row],[Quantity]]*Orders[[#This Row],[Selling Price]]</f>
        <v>55260.9</v>
      </c>
      <c r="J465">
        <f>Orders[[#This Row],[Quantity]]*Orders[[#This Row],[Cost Price]]</f>
        <v>46971.764999999999</v>
      </c>
      <c r="K465">
        <f>Orders[[#This Row],[Revenue]]-Orders[[#This Row],[Expenses]]</f>
        <v>8289.135000000002</v>
      </c>
      <c r="L465" t="s">
        <v>2194</v>
      </c>
      <c r="M465" t="str">
        <f>_xlfn.XLOOKUP(Orders[[#This Row],[CustomerID]],Customers[CustomerID],Customers[City])</f>
        <v>Washington</v>
      </c>
      <c r="N465" t="str">
        <f>_xlfn.XLOOKUP(Orders[[#This Row],[CustomerID]],Customers[CustomerID],Customers[CustomerName])</f>
        <v>Adanma Adeyemi</v>
      </c>
      <c r="O465" t="str">
        <f>_xlfn.XLOOKUP(Orders[[#This Row],[CustomerID]],Customers[CustomerID],Customers[Gender])</f>
        <v>Female</v>
      </c>
      <c r="P465">
        <f>_xlfn.XLOOKUP(Orders[[#This Row],[CustomerID]],Customers[CustomerID],Customers[CustomerAge])</f>
        <v>45</v>
      </c>
      <c r="Q465" t="str">
        <f>IF(Orders[[#This Row],[Age]]&gt;=35,"older","young")</f>
        <v>older</v>
      </c>
      <c r="R465" t="str">
        <f>_xlfn.XLOOKUP(Orders[[#This Row],[ProductID]],Products[ProductID],Products[ProductName])</f>
        <v>GYM BAG</v>
      </c>
      <c r="S465" t="str">
        <f>_xlfn.XLOOKUP(Orders[[#This Row],[ProductID]],Products!A:A,Products!C:C)</f>
        <v>Gym</v>
      </c>
    </row>
    <row r="466" spans="1:19" x14ac:dyDescent="0.2">
      <c r="A466" s="4" t="s">
        <v>651</v>
      </c>
      <c r="B466" s="5">
        <v>45961</v>
      </c>
      <c r="C466" s="15">
        <f>WEEKNUM(Orders[[#This Row],[OrderDate]])</f>
        <v>44</v>
      </c>
      <c r="D466" s="4" t="s">
        <v>201</v>
      </c>
      <c r="E466" s="4" t="s">
        <v>34</v>
      </c>
      <c r="F466" s="4">
        <v>8</v>
      </c>
      <c r="G466" s="4">
        <v>3242</v>
      </c>
      <c r="H466">
        <v>2755.7</v>
      </c>
      <c r="I466">
        <f>Orders[[#This Row],[Quantity]]*Orders[[#This Row],[Selling Price]]</f>
        <v>25936</v>
      </c>
      <c r="J466">
        <f>Orders[[#This Row],[Quantity]]*Orders[[#This Row],[Cost Price]]</f>
        <v>22045.599999999999</v>
      </c>
      <c r="K466">
        <f>Orders[[#This Row],[Revenue]]-Orders[[#This Row],[Expenses]]</f>
        <v>3890.4000000000015</v>
      </c>
      <c r="L466" t="s">
        <v>2218</v>
      </c>
      <c r="M466" t="str">
        <f>_xlfn.XLOOKUP(Orders[[#This Row],[CustomerID]],Customers[CustomerID],Customers[City])</f>
        <v>Georgia</v>
      </c>
      <c r="N466" t="str">
        <f>_xlfn.XLOOKUP(Orders[[#This Row],[CustomerID]],Customers[CustomerID],Customers[CustomerName])</f>
        <v>Sani Igwe</v>
      </c>
      <c r="O466" t="str">
        <f>_xlfn.XLOOKUP(Orders[[#This Row],[CustomerID]],Customers[CustomerID],Customers[Gender])</f>
        <v>Male</v>
      </c>
      <c r="P466">
        <f>_xlfn.XLOOKUP(Orders[[#This Row],[CustomerID]],Customers[CustomerID],Customers[CustomerAge])</f>
        <v>20</v>
      </c>
      <c r="Q466" t="str">
        <f>IF(Orders[[#This Row],[Age]]&gt;=35,"older","young")</f>
        <v>young</v>
      </c>
      <c r="R466" t="str">
        <f>_xlfn.XLOOKUP(Orders[[#This Row],[ProductID]],Products[ProductID],Products[ProductName])</f>
        <v>GOLD BRACELETS</v>
      </c>
      <c r="S466" t="str">
        <f>_xlfn.XLOOKUP(Orders[[#This Row],[ProductID]],Products!A:A,Products!C:C)</f>
        <v>Accessories</v>
      </c>
    </row>
    <row r="467" spans="1:19" x14ac:dyDescent="0.2">
      <c r="A467" s="4" t="s">
        <v>652</v>
      </c>
      <c r="B467" s="5">
        <v>46013</v>
      </c>
      <c r="C467" s="15">
        <f>WEEKNUM(Orders[[#This Row],[OrderDate]])</f>
        <v>52</v>
      </c>
      <c r="D467" s="4" t="s">
        <v>36</v>
      </c>
      <c r="E467" s="4" t="s">
        <v>157</v>
      </c>
      <c r="F467" s="4">
        <v>4</v>
      </c>
      <c r="G467" s="4">
        <v>18080.3</v>
      </c>
      <c r="H467">
        <v>15368.254999999999</v>
      </c>
      <c r="I467">
        <f>Orders[[#This Row],[Quantity]]*Orders[[#This Row],[Selling Price]]</f>
        <v>72321.2</v>
      </c>
      <c r="J467">
        <f>Orders[[#This Row],[Quantity]]*Orders[[#This Row],[Cost Price]]</f>
        <v>61473.02</v>
      </c>
      <c r="K467">
        <f>Orders[[#This Row],[Revenue]]-Orders[[#This Row],[Expenses]]</f>
        <v>10848.18</v>
      </c>
      <c r="L467" t="s">
        <v>2198</v>
      </c>
      <c r="M467" t="str">
        <f>_xlfn.XLOOKUP(Orders[[#This Row],[CustomerID]],Customers[CustomerID],Customers[City])</f>
        <v>California</v>
      </c>
      <c r="N467" t="str">
        <f>_xlfn.XLOOKUP(Orders[[#This Row],[CustomerID]],Customers[CustomerID],Customers[CustomerName])</f>
        <v>Jide Eze</v>
      </c>
      <c r="O467" t="str">
        <f>_xlfn.XLOOKUP(Orders[[#This Row],[CustomerID]],Customers[CustomerID],Customers[Gender])</f>
        <v>Male</v>
      </c>
      <c r="P467">
        <f>_xlfn.XLOOKUP(Orders[[#This Row],[CustomerID]],Customers[CustomerID],Customers[CustomerAge])</f>
        <v>21</v>
      </c>
      <c r="Q467" t="str">
        <f>IF(Orders[[#This Row],[Age]]&gt;=35,"older","young")</f>
        <v>young</v>
      </c>
      <c r="R467" t="str">
        <f>_xlfn.XLOOKUP(Orders[[#This Row],[ProductID]],Products[ProductID],Products[ProductName])</f>
        <v>FOOTBALL</v>
      </c>
      <c r="S467" t="str">
        <f>_xlfn.XLOOKUP(Orders[[#This Row],[ProductID]],Products!A:A,Products!C:C)</f>
        <v>Sports</v>
      </c>
    </row>
    <row r="468" spans="1:19" x14ac:dyDescent="0.2">
      <c r="A468" s="4" t="s">
        <v>653</v>
      </c>
      <c r="B468" s="5">
        <v>45986</v>
      </c>
      <c r="C468" s="15">
        <f>WEEKNUM(Orders[[#This Row],[OrderDate]])</f>
        <v>48</v>
      </c>
      <c r="D468" s="4" t="s">
        <v>388</v>
      </c>
      <c r="E468" s="4" t="s">
        <v>84</v>
      </c>
      <c r="F468" s="4">
        <v>3</v>
      </c>
      <c r="G468" s="4">
        <v>3355.8999999999996</v>
      </c>
      <c r="H468">
        <v>2852.5149999999999</v>
      </c>
      <c r="I468">
        <f>Orders[[#This Row],[Quantity]]*Orders[[#This Row],[Selling Price]]</f>
        <v>10067.699999999999</v>
      </c>
      <c r="J468">
        <f>Orders[[#This Row],[Quantity]]*Orders[[#This Row],[Cost Price]]</f>
        <v>8557.5450000000001</v>
      </c>
      <c r="K468">
        <f>Orders[[#This Row],[Revenue]]-Orders[[#This Row],[Expenses]]</f>
        <v>1510.1549999999988</v>
      </c>
      <c r="L468" t="s">
        <v>2202</v>
      </c>
      <c r="M468" t="str">
        <f>_xlfn.XLOOKUP(Orders[[#This Row],[CustomerID]],Customers[CustomerID],Customers[City])</f>
        <v>Washington</v>
      </c>
      <c r="N468" t="str">
        <f>_xlfn.XLOOKUP(Orders[[#This Row],[CustomerID]],Customers[CustomerID],Customers[CustomerName])</f>
        <v>Folasade Okonkwo</v>
      </c>
      <c r="O468" t="str">
        <f>_xlfn.XLOOKUP(Orders[[#This Row],[CustomerID]],Customers[CustomerID],Customers[Gender])</f>
        <v>Female</v>
      </c>
      <c r="P468">
        <f>_xlfn.XLOOKUP(Orders[[#This Row],[CustomerID]],Customers[CustomerID],Customers[CustomerAge])</f>
        <v>52</v>
      </c>
      <c r="Q468" t="str">
        <f>IF(Orders[[#This Row],[Age]]&gt;=35,"older","young")</f>
        <v>older</v>
      </c>
      <c r="R468" t="str">
        <f>_xlfn.XLOOKUP(Orders[[#This Row],[ProductID]],Products[ProductID],Products[ProductName])</f>
        <v>GYM WEARS</v>
      </c>
      <c r="S468" t="str">
        <f>_xlfn.XLOOKUP(Orders[[#This Row],[ProductID]],Products!A:A,Products!C:C)</f>
        <v>Clothing</v>
      </c>
    </row>
    <row r="469" spans="1:19" x14ac:dyDescent="0.2">
      <c r="A469" s="4" t="s">
        <v>654</v>
      </c>
      <c r="B469" s="5">
        <v>46021</v>
      </c>
      <c r="C469" s="15">
        <f>WEEKNUM(Orders[[#This Row],[OrderDate]])</f>
        <v>53</v>
      </c>
      <c r="D469" s="4" t="s">
        <v>272</v>
      </c>
      <c r="E469" s="4" t="s">
        <v>76</v>
      </c>
      <c r="F469" s="4">
        <v>2</v>
      </c>
      <c r="G469" s="4">
        <v>18499.2</v>
      </c>
      <c r="H469">
        <v>15724.32</v>
      </c>
      <c r="I469">
        <f>Orders[[#This Row],[Quantity]]*Orders[[#This Row],[Selling Price]]</f>
        <v>36998.400000000001</v>
      </c>
      <c r="J469">
        <f>Orders[[#This Row],[Quantity]]*Orders[[#This Row],[Cost Price]]</f>
        <v>31448.639999999999</v>
      </c>
      <c r="K469">
        <f>Orders[[#This Row],[Revenue]]-Orders[[#This Row],[Expenses]]</f>
        <v>5549.760000000002</v>
      </c>
      <c r="L469" t="s">
        <v>2197</v>
      </c>
      <c r="M469" t="str">
        <f>_xlfn.XLOOKUP(Orders[[#This Row],[CustomerID]],Customers[CustomerID],Customers[City])</f>
        <v>Florida</v>
      </c>
      <c r="N469" t="str">
        <f>_xlfn.XLOOKUP(Orders[[#This Row],[CustomerID]],Customers[CustomerID],Customers[CustomerName])</f>
        <v>Blessing Bello</v>
      </c>
      <c r="O469" t="str">
        <f>_xlfn.XLOOKUP(Orders[[#This Row],[CustomerID]],Customers[CustomerID],Customers[Gender])</f>
        <v>Female</v>
      </c>
      <c r="P469">
        <f>_xlfn.XLOOKUP(Orders[[#This Row],[CustomerID]],Customers[CustomerID],Customers[CustomerAge])</f>
        <v>38</v>
      </c>
      <c r="Q469" t="str">
        <f>IF(Orders[[#This Row],[Age]]&gt;=35,"older","young")</f>
        <v>older</v>
      </c>
      <c r="R469" t="str">
        <f>_xlfn.XLOOKUP(Orders[[#This Row],[ProductID]],Products[ProductID],Products[ProductName])</f>
        <v>BLENDER</v>
      </c>
      <c r="S469" t="str">
        <f>_xlfn.XLOOKUP(Orders[[#This Row],[ProductID]],Products!A:A,Products!C:C)</f>
        <v>Electronics</v>
      </c>
    </row>
    <row r="470" spans="1:19" x14ac:dyDescent="0.2">
      <c r="A470" s="4" t="s">
        <v>655</v>
      </c>
      <c r="B470" s="5">
        <v>45981</v>
      </c>
      <c r="C470" s="15">
        <f>WEEKNUM(Orders[[#This Row],[OrderDate]])</f>
        <v>47</v>
      </c>
      <c r="D470" s="4" t="s">
        <v>246</v>
      </c>
      <c r="E470" s="4" t="s">
        <v>23</v>
      </c>
      <c r="F470" s="4">
        <v>7</v>
      </c>
      <c r="G470" s="4">
        <v>12466.300000000001</v>
      </c>
      <c r="H470">
        <v>10596.355000000001</v>
      </c>
      <c r="I470">
        <f>Orders[[#This Row],[Quantity]]*Orders[[#This Row],[Selling Price]]</f>
        <v>87264.1</v>
      </c>
      <c r="J470">
        <f>Orders[[#This Row],[Quantity]]*Orders[[#This Row],[Cost Price]]</f>
        <v>74174.485000000015</v>
      </c>
      <c r="K470">
        <f>Orders[[#This Row],[Revenue]]-Orders[[#This Row],[Expenses]]</f>
        <v>13089.614999999991</v>
      </c>
      <c r="L470" t="s">
        <v>2195</v>
      </c>
      <c r="M470" t="str">
        <f>_xlfn.XLOOKUP(Orders[[#This Row],[CustomerID]],Customers[CustomerID],Customers[City])</f>
        <v>Florida</v>
      </c>
      <c r="N470" t="str">
        <f>_xlfn.XLOOKUP(Orders[[#This Row],[CustomerID]],Customers[CustomerID],Customers[CustomerName])</f>
        <v>Emeka Abubakar</v>
      </c>
      <c r="O470" t="str">
        <f>_xlfn.XLOOKUP(Orders[[#This Row],[CustomerID]],Customers[CustomerID],Customers[Gender])</f>
        <v>Male</v>
      </c>
      <c r="P470">
        <f>_xlfn.XLOOKUP(Orders[[#This Row],[CustomerID]],Customers[CustomerID],Customers[CustomerAge])</f>
        <v>28</v>
      </c>
      <c r="Q470" t="str">
        <f>IF(Orders[[#This Row],[Age]]&gt;=35,"older","young")</f>
        <v>young</v>
      </c>
      <c r="R470" t="str">
        <f>_xlfn.XLOOKUP(Orders[[#This Row],[ProductID]],Products[ProductID],Products[ProductName])</f>
        <v>GYM GLOVES</v>
      </c>
      <c r="S470" t="str">
        <f>_xlfn.XLOOKUP(Orders[[#This Row],[ProductID]],Products!A:A,Products!C:C)</f>
        <v>Gym</v>
      </c>
    </row>
    <row r="471" spans="1:19" x14ac:dyDescent="0.2">
      <c r="A471" s="4" t="s">
        <v>656</v>
      </c>
      <c r="B471" s="5">
        <v>45971</v>
      </c>
      <c r="C471" s="15">
        <f>WEEKNUM(Orders[[#This Row],[OrderDate]])</f>
        <v>46</v>
      </c>
      <c r="D471" s="4" t="s">
        <v>324</v>
      </c>
      <c r="E471" s="4" t="s">
        <v>37</v>
      </c>
      <c r="F471" s="4">
        <v>3</v>
      </c>
      <c r="G471" s="4">
        <v>17394.2</v>
      </c>
      <c r="H471">
        <v>14785.07</v>
      </c>
      <c r="I471">
        <f>Orders[[#This Row],[Quantity]]*Orders[[#This Row],[Selling Price]]</f>
        <v>52182.600000000006</v>
      </c>
      <c r="J471">
        <f>Orders[[#This Row],[Quantity]]*Orders[[#This Row],[Cost Price]]</f>
        <v>44355.21</v>
      </c>
      <c r="K471">
        <f>Orders[[#This Row],[Revenue]]-Orders[[#This Row],[Expenses]]</f>
        <v>7827.3900000000067</v>
      </c>
      <c r="L471" t="s">
        <v>2215</v>
      </c>
      <c r="M471" t="str">
        <f>_xlfn.XLOOKUP(Orders[[#This Row],[CustomerID]],Customers[CustomerID],Customers[City])</f>
        <v>Texas</v>
      </c>
      <c r="N471" t="str">
        <f>_xlfn.XLOOKUP(Orders[[#This Row],[CustomerID]],Customers[CustomerID],Customers[CustomerName])</f>
        <v>Tunde Okonkwo</v>
      </c>
      <c r="O471" t="str">
        <f>_xlfn.XLOOKUP(Orders[[#This Row],[CustomerID]],Customers[CustomerID],Customers[Gender])</f>
        <v>Male</v>
      </c>
      <c r="P471">
        <f>_xlfn.XLOOKUP(Orders[[#This Row],[CustomerID]],Customers[CustomerID],Customers[CustomerAge])</f>
        <v>25</v>
      </c>
      <c r="Q471" t="str">
        <f>IF(Orders[[#This Row],[Age]]&gt;=35,"older","young")</f>
        <v>young</v>
      </c>
      <c r="R471" t="str">
        <f>_xlfn.XLOOKUP(Orders[[#This Row],[ProductID]],Products[ProductID],Products[ProductName])</f>
        <v>IRON</v>
      </c>
      <c r="S471" t="str">
        <f>_xlfn.XLOOKUP(Orders[[#This Row],[ProductID]],Products!A:A,Products!C:C)</f>
        <v>Electronics</v>
      </c>
    </row>
    <row r="472" spans="1:19" x14ac:dyDescent="0.2">
      <c r="A472" s="4" t="s">
        <v>657</v>
      </c>
      <c r="B472" s="5">
        <v>45989</v>
      </c>
      <c r="C472" s="15">
        <f>WEEKNUM(Orders[[#This Row],[OrderDate]])</f>
        <v>48</v>
      </c>
      <c r="D472" s="4" t="s">
        <v>180</v>
      </c>
      <c r="E472" s="4" t="s">
        <v>25</v>
      </c>
      <c r="F472" s="4">
        <v>8</v>
      </c>
      <c r="G472" s="4">
        <v>13944</v>
      </c>
      <c r="H472">
        <v>11852.4</v>
      </c>
      <c r="I472">
        <f>Orders[[#This Row],[Quantity]]*Orders[[#This Row],[Selling Price]]</f>
        <v>111552</v>
      </c>
      <c r="J472">
        <f>Orders[[#This Row],[Quantity]]*Orders[[#This Row],[Cost Price]]</f>
        <v>94819.199999999997</v>
      </c>
      <c r="K472">
        <f>Orders[[#This Row],[Revenue]]-Orders[[#This Row],[Expenses]]</f>
        <v>16732.800000000003</v>
      </c>
      <c r="L472" t="s">
        <v>2193</v>
      </c>
      <c r="M472" t="str">
        <f>_xlfn.XLOOKUP(Orders[[#This Row],[CustomerID]],Customers[CustomerID],Customers[City])</f>
        <v>Texas</v>
      </c>
      <c r="N472" t="str">
        <f>_xlfn.XLOOKUP(Orders[[#This Row],[CustomerID]],Customers[CustomerID],Customers[CustomerName])</f>
        <v>Jide Okonkwo</v>
      </c>
      <c r="O472" t="str">
        <f>_xlfn.XLOOKUP(Orders[[#This Row],[CustomerID]],Customers[CustomerID],Customers[Gender])</f>
        <v>Male</v>
      </c>
      <c r="P472">
        <f>_xlfn.XLOOKUP(Orders[[#This Row],[CustomerID]],Customers[CustomerID],Customers[CustomerAge])</f>
        <v>25</v>
      </c>
      <c r="Q472" t="str">
        <f>IF(Orders[[#This Row],[Age]]&gt;=35,"older","young")</f>
        <v>young</v>
      </c>
      <c r="R472" t="str">
        <f>_xlfn.XLOOKUP(Orders[[#This Row],[ProductID]],Products[ProductID],Products[ProductName])</f>
        <v>GOLD RINGS</v>
      </c>
      <c r="S472" t="str">
        <f>_xlfn.XLOOKUP(Orders[[#This Row],[ProductID]],Products!A:A,Products!C:C)</f>
        <v>Accessories</v>
      </c>
    </row>
    <row r="473" spans="1:19" x14ac:dyDescent="0.2">
      <c r="A473" s="4" t="s">
        <v>658</v>
      </c>
      <c r="B473" s="5">
        <v>45960</v>
      </c>
      <c r="C473" s="15">
        <f>WEEKNUM(Orders[[#This Row],[OrderDate]])</f>
        <v>44</v>
      </c>
      <c r="D473" s="4" t="s">
        <v>314</v>
      </c>
      <c r="E473" s="4" t="s">
        <v>120</v>
      </c>
      <c r="F473" s="4">
        <v>10</v>
      </c>
      <c r="G473" s="4">
        <v>13082.8</v>
      </c>
      <c r="H473">
        <v>11120.38</v>
      </c>
      <c r="I473">
        <f>Orders[[#This Row],[Quantity]]*Orders[[#This Row],[Selling Price]]</f>
        <v>130828</v>
      </c>
      <c r="J473">
        <f>Orders[[#This Row],[Quantity]]*Orders[[#This Row],[Cost Price]]</f>
        <v>111203.79999999999</v>
      </c>
      <c r="K473">
        <f>Orders[[#This Row],[Revenue]]-Orders[[#This Row],[Expenses]]</f>
        <v>19624.200000000012</v>
      </c>
      <c r="L473" t="s">
        <v>2204</v>
      </c>
      <c r="M473" t="str">
        <f>_xlfn.XLOOKUP(Orders[[#This Row],[CustomerID]],Customers[CustomerID],Customers[City])</f>
        <v>Washington</v>
      </c>
      <c r="N473" t="str">
        <f>_xlfn.XLOOKUP(Orders[[#This Row],[CustomerID]],Customers[CustomerID],Customers[CustomerName])</f>
        <v>Bisi Ojo</v>
      </c>
      <c r="O473" t="str">
        <f>_xlfn.XLOOKUP(Orders[[#This Row],[CustomerID]],Customers[CustomerID],Customers[Gender])</f>
        <v>Female</v>
      </c>
      <c r="P473">
        <f>_xlfn.XLOOKUP(Orders[[#This Row],[CustomerID]],Customers[CustomerID],Customers[CustomerAge])</f>
        <v>18</v>
      </c>
      <c r="Q473" t="str">
        <f>IF(Orders[[#This Row],[Age]]&gt;=35,"older","young")</f>
        <v>young</v>
      </c>
      <c r="R473" t="str">
        <f>_xlfn.XLOOKUP(Orders[[#This Row],[ProductID]],Products[ProductID],Products[ProductName])</f>
        <v>CHESS</v>
      </c>
      <c r="S473" t="str">
        <f>_xlfn.XLOOKUP(Orders[[#This Row],[ProductID]],Products!A:A,Products!C:C)</f>
        <v>Games</v>
      </c>
    </row>
    <row r="474" spans="1:19" x14ac:dyDescent="0.2">
      <c r="A474" s="4" t="s">
        <v>659</v>
      </c>
      <c r="B474" s="5">
        <v>46000</v>
      </c>
      <c r="C474" s="15">
        <f>WEEKNUM(Orders[[#This Row],[OrderDate]])</f>
        <v>50</v>
      </c>
      <c r="D474" s="4" t="s">
        <v>256</v>
      </c>
      <c r="E474" s="4" t="s">
        <v>31</v>
      </c>
      <c r="F474" s="4">
        <v>1</v>
      </c>
      <c r="G474" s="4">
        <v>17504.100000000002</v>
      </c>
      <c r="H474">
        <v>14878.485000000002</v>
      </c>
      <c r="I474">
        <f>Orders[[#This Row],[Quantity]]*Orders[[#This Row],[Selling Price]]</f>
        <v>17504.100000000002</v>
      </c>
      <c r="J474">
        <f>Orders[[#This Row],[Quantity]]*Orders[[#This Row],[Cost Price]]</f>
        <v>14878.485000000002</v>
      </c>
      <c r="K474">
        <f>Orders[[#This Row],[Revenue]]-Orders[[#This Row],[Expenses]]</f>
        <v>2625.6149999999998</v>
      </c>
      <c r="L474" t="s">
        <v>2220</v>
      </c>
      <c r="M474" t="str">
        <f>_xlfn.XLOOKUP(Orders[[#This Row],[CustomerID]],Customers[CustomerID],Customers[City])</f>
        <v>Georgia</v>
      </c>
      <c r="N474" t="str">
        <f>_xlfn.XLOOKUP(Orders[[#This Row],[CustomerID]],Customers[CustomerID],Customers[CustomerName])</f>
        <v>Efe Ojo</v>
      </c>
      <c r="O474" t="str">
        <f>_xlfn.XLOOKUP(Orders[[#This Row],[CustomerID]],Customers[CustomerID],Customers[Gender])</f>
        <v>Female</v>
      </c>
      <c r="P474">
        <f>_xlfn.XLOOKUP(Orders[[#This Row],[CustomerID]],Customers[CustomerID],Customers[CustomerAge])</f>
        <v>23</v>
      </c>
      <c r="Q474" t="str">
        <f>IF(Orders[[#This Row],[Age]]&gt;=35,"older","young")</f>
        <v>young</v>
      </c>
      <c r="R474" t="str">
        <f>_xlfn.XLOOKUP(Orders[[#This Row],[ProductID]],Products[ProductID],Products[ProductName])</f>
        <v>KIDS GAMES</v>
      </c>
      <c r="S474" t="str">
        <f>_xlfn.XLOOKUP(Orders[[#This Row],[ProductID]],Products!A:A,Products!C:C)</f>
        <v>Games</v>
      </c>
    </row>
    <row r="475" spans="1:19" x14ac:dyDescent="0.2">
      <c r="A475" s="4" t="s">
        <v>660</v>
      </c>
      <c r="B475" s="5">
        <v>46016</v>
      </c>
      <c r="C475" s="15">
        <f>WEEKNUM(Orders[[#This Row],[OrderDate]])</f>
        <v>52</v>
      </c>
      <c r="D475" s="4" t="s">
        <v>468</v>
      </c>
      <c r="E475" s="4" t="s">
        <v>208</v>
      </c>
      <c r="F475" s="4">
        <v>5</v>
      </c>
      <c r="G475" s="4">
        <v>5355.5999999999995</v>
      </c>
      <c r="H475">
        <v>4552.2599999999993</v>
      </c>
      <c r="I475">
        <f>Orders[[#This Row],[Quantity]]*Orders[[#This Row],[Selling Price]]</f>
        <v>26777.999999999996</v>
      </c>
      <c r="J475">
        <f>Orders[[#This Row],[Quantity]]*Orders[[#This Row],[Cost Price]]</f>
        <v>22761.299999999996</v>
      </c>
      <c r="K475">
        <f>Orders[[#This Row],[Revenue]]-Orders[[#This Row],[Expenses]]</f>
        <v>4016.7000000000007</v>
      </c>
      <c r="L475" t="s">
        <v>2206</v>
      </c>
      <c r="M475" t="str">
        <f>_xlfn.XLOOKUP(Orders[[#This Row],[CustomerID]],Customers[CustomerID],Customers[City])</f>
        <v>California</v>
      </c>
      <c r="N475" t="str">
        <f>_xlfn.XLOOKUP(Orders[[#This Row],[CustomerID]],Customers[CustomerID],Customers[CustomerName])</f>
        <v>Chioma Adeyemi</v>
      </c>
      <c r="O475" t="str">
        <f>_xlfn.XLOOKUP(Orders[[#This Row],[CustomerID]],Customers[CustomerID],Customers[Gender])</f>
        <v>Female</v>
      </c>
      <c r="P475">
        <f>_xlfn.XLOOKUP(Orders[[#This Row],[CustomerID]],Customers[CustomerID],Customers[CustomerAge])</f>
        <v>23</v>
      </c>
      <c r="Q475" t="str">
        <f>IF(Orders[[#This Row],[Age]]&gt;=35,"older","young")</f>
        <v>young</v>
      </c>
      <c r="R475" t="str">
        <f>_xlfn.XLOOKUP(Orders[[#This Row],[ProductID]],Products[ProductID],Products[ProductName])</f>
        <v>SKIPPING ROPE</v>
      </c>
      <c r="S475" t="str">
        <f>_xlfn.XLOOKUP(Orders[[#This Row],[ProductID]],Products!A:A,Products!C:C)</f>
        <v>Sports</v>
      </c>
    </row>
    <row r="476" spans="1:19" x14ac:dyDescent="0.2">
      <c r="A476" s="4" t="s">
        <v>661</v>
      </c>
      <c r="B476" s="5">
        <v>45933</v>
      </c>
      <c r="C476" s="15">
        <f>WEEKNUM(Orders[[#This Row],[OrderDate]])</f>
        <v>40</v>
      </c>
      <c r="D476" s="4" t="s">
        <v>83</v>
      </c>
      <c r="E476" s="4" t="s">
        <v>25</v>
      </c>
      <c r="F476" s="4">
        <v>7</v>
      </c>
      <c r="G476" s="4">
        <v>12575</v>
      </c>
      <c r="H476">
        <v>10688.75</v>
      </c>
      <c r="I476">
        <f>Orders[[#This Row],[Quantity]]*Orders[[#This Row],[Selling Price]]</f>
        <v>88025</v>
      </c>
      <c r="J476">
        <f>Orders[[#This Row],[Quantity]]*Orders[[#This Row],[Cost Price]]</f>
        <v>74821.25</v>
      </c>
      <c r="K476">
        <f>Orders[[#This Row],[Revenue]]-Orders[[#This Row],[Expenses]]</f>
        <v>13203.75</v>
      </c>
      <c r="L476" t="s">
        <v>2202</v>
      </c>
      <c r="M476" t="str">
        <f>_xlfn.XLOOKUP(Orders[[#This Row],[CustomerID]],Customers[CustomerID],Customers[City])</f>
        <v>Florida</v>
      </c>
      <c r="N476" t="str">
        <f>_xlfn.XLOOKUP(Orders[[#This Row],[CustomerID]],Customers[CustomerID],Customers[CustomerName])</f>
        <v>Funke Danladi</v>
      </c>
      <c r="O476" t="str">
        <f>_xlfn.XLOOKUP(Orders[[#This Row],[CustomerID]],Customers[CustomerID],Customers[Gender])</f>
        <v>Female</v>
      </c>
      <c r="P476">
        <f>_xlfn.XLOOKUP(Orders[[#This Row],[CustomerID]],Customers[CustomerID],Customers[CustomerAge])</f>
        <v>26</v>
      </c>
      <c r="Q476" t="str">
        <f>IF(Orders[[#This Row],[Age]]&gt;=35,"older","young")</f>
        <v>young</v>
      </c>
      <c r="R476" t="str">
        <f>_xlfn.XLOOKUP(Orders[[#This Row],[ProductID]],Products[ProductID],Products[ProductName])</f>
        <v>GOLD RINGS</v>
      </c>
      <c r="S476" t="str">
        <f>_xlfn.XLOOKUP(Orders[[#This Row],[ProductID]],Products!A:A,Products!C:C)</f>
        <v>Accessories</v>
      </c>
    </row>
    <row r="477" spans="1:19" x14ac:dyDescent="0.2">
      <c r="A477" s="4" t="s">
        <v>662</v>
      </c>
      <c r="B477" s="5">
        <v>46012</v>
      </c>
      <c r="C477" s="15">
        <f>WEEKNUM(Orders[[#This Row],[OrderDate]])</f>
        <v>52</v>
      </c>
      <c r="D477" s="4" t="s">
        <v>298</v>
      </c>
      <c r="E477" s="4" t="s">
        <v>37</v>
      </c>
      <c r="F477" s="4">
        <v>9</v>
      </c>
      <c r="G477" s="4">
        <v>4796.8</v>
      </c>
      <c r="H477">
        <v>4077.28</v>
      </c>
      <c r="I477">
        <f>Orders[[#This Row],[Quantity]]*Orders[[#This Row],[Selling Price]]</f>
        <v>43171.200000000004</v>
      </c>
      <c r="J477">
        <f>Orders[[#This Row],[Quantity]]*Orders[[#This Row],[Cost Price]]</f>
        <v>36695.520000000004</v>
      </c>
      <c r="K477">
        <f>Orders[[#This Row],[Revenue]]-Orders[[#This Row],[Expenses]]</f>
        <v>6475.68</v>
      </c>
      <c r="L477" t="s">
        <v>2195</v>
      </c>
      <c r="M477" t="str">
        <f>_xlfn.XLOOKUP(Orders[[#This Row],[CustomerID]],Customers[CustomerID],Customers[City])</f>
        <v>Florida</v>
      </c>
      <c r="N477" t="str">
        <f>_xlfn.XLOOKUP(Orders[[#This Row],[CustomerID]],Customers[CustomerID],Customers[CustomerName])</f>
        <v>Amina Obi</v>
      </c>
      <c r="O477" t="str">
        <f>_xlfn.XLOOKUP(Orders[[#This Row],[CustomerID]],Customers[CustomerID],Customers[Gender])</f>
        <v>Female</v>
      </c>
      <c r="P477">
        <f>_xlfn.XLOOKUP(Orders[[#This Row],[CustomerID]],Customers[CustomerID],Customers[CustomerAge])</f>
        <v>19</v>
      </c>
      <c r="Q477" t="str">
        <f>IF(Orders[[#This Row],[Age]]&gt;=35,"older","young")</f>
        <v>young</v>
      </c>
      <c r="R477" t="str">
        <f>_xlfn.XLOOKUP(Orders[[#This Row],[ProductID]],Products[ProductID],Products[ProductName])</f>
        <v>IRON</v>
      </c>
      <c r="S477" t="str">
        <f>_xlfn.XLOOKUP(Orders[[#This Row],[ProductID]],Products!A:A,Products!C:C)</f>
        <v>Electronics</v>
      </c>
    </row>
    <row r="478" spans="1:19" x14ac:dyDescent="0.2">
      <c r="A478" s="4" t="s">
        <v>663</v>
      </c>
      <c r="B478" s="5">
        <v>45936</v>
      </c>
      <c r="C478" s="15">
        <f>WEEKNUM(Orders[[#This Row],[OrderDate]])</f>
        <v>41</v>
      </c>
      <c r="D478" s="4" t="s">
        <v>150</v>
      </c>
      <c r="E478" s="4" t="s">
        <v>9</v>
      </c>
      <c r="F478" s="4">
        <v>3</v>
      </c>
      <c r="G478" s="4">
        <v>10607</v>
      </c>
      <c r="H478">
        <v>9015.9500000000007</v>
      </c>
      <c r="I478">
        <f>Orders[[#This Row],[Quantity]]*Orders[[#This Row],[Selling Price]]</f>
        <v>31821</v>
      </c>
      <c r="J478">
        <f>Orders[[#This Row],[Quantity]]*Orders[[#This Row],[Cost Price]]</f>
        <v>27047.850000000002</v>
      </c>
      <c r="K478">
        <f>Orders[[#This Row],[Revenue]]-Orders[[#This Row],[Expenses]]</f>
        <v>4773.1499999999978</v>
      </c>
      <c r="L478" t="s">
        <v>2210</v>
      </c>
      <c r="M478" t="str">
        <f>_xlfn.XLOOKUP(Orders[[#This Row],[CustomerID]],Customers[CustomerID],Customers[City])</f>
        <v>Georgia</v>
      </c>
      <c r="N478" t="str">
        <f>_xlfn.XLOOKUP(Orders[[#This Row],[CustomerID]],Customers[CustomerID],Customers[CustomerName])</f>
        <v>Ronke Eze</v>
      </c>
      <c r="O478" t="str">
        <f>_xlfn.XLOOKUP(Orders[[#This Row],[CustomerID]],Customers[CustomerID],Customers[Gender])</f>
        <v>Female</v>
      </c>
      <c r="P478">
        <f>_xlfn.XLOOKUP(Orders[[#This Row],[CustomerID]],Customers[CustomerID],Customers[CustomerAge])</f>
        <v>23</v>
      </c>
      <c r="Q478" t="str">
        <f>IF(Orders[[#This Row],[Age]]&gt;=35,"older","young")</f>
        <v>young</v>
      </c>
      <c r="R478" t="str">
        <f>_xlfn.XLOOKUP(Orders[[#This Row],[ProductID]],Products[ProductID],Products[ProductName])</f>
        <v>BEADED EARRINGS AND NECKLACES</v>
      </c>
      <c r="S478" t="str">
        <f>_xlfn.XLOOKUP(Orders[[#This Row],[ProductID]],Products!A:A,Products!C:C)</f>
        <v>Accessories</v>
      </c>
    </row>
    <row r="479" spans="1:19" x14ac:dyDescent="0.2">
      <c r="A479" s="4" t="s">
        <v>664</v>
      </c>
      <c r="B479" s="5">
        <v>45984</v>
      </c>
      <c r="C479" s="15">
        <f>WEEKNUM(Orders[[#This Row],[OrderDate]])</f>
        <v>48</v>
      </c>
      <c r="D479" s="4" t="s">
        <v>223</v>
      </c>
      <c r="E479" s="4" t="s">
        <v>37</v>
      </c>
      <c r="F479" s="4">
        <v>7</v>
      </c>
      <c r="G479" s="4">
        <v>7226.2</v>
      </c>
      <c r="H479">
        <v>6142.27</v>
      </c>
      <c r="I479">
        <f>Orders[[#This Row],[Quantity]]*Orders[[#This Row],[Selling Price]]</f>
        <v>50583.4</v>
      </c>
      <c r="J479">
        <f>Orders[[#This Row],[Quantity]]*Orders[[#This Row],[Cost Price]]</f>
        <v>42995.89</v>
      </c>
      <c r="K479">
        <f>Orders[[#This Row],[Revenue]]-Orders[[#This Row],[Expenses]]</f>
        <v>7587.510000000002</v>
      </c>
      <c r="L479" t="s">
        <v>2193</v>
      </c>
      <c r="M479" t="str">
        <f>_xlfn.XLOOKUP(Orders[[#This Row],[CustomerID]],Customers[CustomerID],Customers[City])</f>
        <v>Washington</v>
      </c>
      <c r="N479" t="str">
        <f>_xlfn.XLOOKUP(Orders[[#This Row],[CustomerID]],Customers[CustomerID],Customers[CustomerName])</f>
        <v>Blessing Danladi</v>
      </c>
      <c r="O479" t="str">
        <f>_xlfn.XLOOKUP(Orders[[#This Row],[CustomerID]],Customers[CustomerID],Customers[Gender])</f>
        <v>Female</v>
      </c>
      <c r="P479">
        <f>_xlfn.XLOOKUP(Orders[[#This Row],[CustomerID]],Customers[CustomerID],Customers[CustomerAge])</f>
        <v>20</v>
      </c>
      <c r="Q479" t="str">
        <f>IF(Orders[[#This Row],[Age]]&gt;=35,"older","young")</f>
        <v>young</v>
      </c>
      <c r="R479" t="str">
        <f>_xlfn.XLOOKUP(Orders[[#This Row],[ProductID]],Products[ProductID],Products[ProductName])</f>
        <v>IRON</v>
      </c>
      <c r="S479" t="str">
        <f>_xlfn.XLOOKUP(Orders[[#This Row],[ProductID]],Products!A:A,Products!C:C)</f>
        <v>Electronics</v>
      </c>
    </row>
    <row r="480" spans="1:19" x14ac:dyDescent="0.2">
      <c r="A480" s="4" t="s">
        <v>665</v>
      </c>
      <c r="B480" s="5">
        <v>45962</v>
      </c>
      <c r="C480" s="15">
        <f>WEEKNUM(Orders[[#This Row],[OrderDate]])</f>
        <v>44</v>
      </c>
      <c r="D480" s="4" t="s">
        <v>320</v>
      </c>
      <c r="E480" s="4" t="s">
        <v>76</v>
      </c>
      <c r="F480" s="4">
        <v>10</v>
      </c>
      <c r="G480" s="4">
        <v>5711.3</v>
      </c>
      <c r="H480">
        <v>4854.6050000000005</v>
      </c>
      <c r="I480">
        <f>Orders[[#This Row],[Quantity]]*Orders[[#This Row],[Selling Price]]</f>
        <v>57113</v>
      </c>
      <c r="J480">
        <f>Orders[[#This Row],[Quantity]]*Orders[[#This Row],[Cost Price]]</f>
        <v>48546.05</v>
      </c>
      <c r="K480">
        <f>Orders[[#This Row],[Revenue]]-Orders[[#This Row],[Expenses]]</f>
        <v>8566.9499999999971</v>
      </c>
      <c r="L480" t="s">
        <v>2194</v>
      </c>
      <c r="M480" t="str">
        <f>_xlfn.XLOOKUP(Orders[[#This Row],[CustomerID]],Customers[CustomerID],Customers[City])</f>
        <v>Texas</v>
      </c>
      <c r="N480" t="str">
        <f>_xlfn.XLOOKUP(Orders[[#This Row],[CustomerID]],Customers[CustomerID],Customers[CustomerName])</f>
        <v>Temi Okonkwo</v>
      </c>
      <c r="O480" t="str">
        <f>_xlfn.XLOOKUP(Orders[[#This Row],[CustomerID]],Customers[CustomerID],Customers[Gender])</f>
        <v>Female</v>
      </c>
      <c r="P480">
        <f>_xlfn.XLOOKUP(Orders[[#This Row],[CustomerID]],Customers[CustomerID],Customers[CustomerAge])</f>
        <v>31</v>
      </c>
      <c r="Q480" t="str">
        <f>IF(Orders[[#This Row],[Age]]&gt;=35,"older","young")</f>
        <v>young</v>
      </c>
      <c r="R480" t="str">
        <f>_xlfn.XLOOKUP(Orders[[#This Row],[ProductID]],Products[ProductID],Products[ProductName])</f>
        <v>BLENDER</v>
      </c>
      <c r="S480" t="str">
        <f>_xlfn.XLOOKUP(Orders[[#This Row],[ProductID]],Products!A:A,Products!C:C)</f>
        <v>Electronics</v>
      </c>
    </row>
    <row r="481" spans="1:19" x14ac:dyDescent="0.2">
      <c r="A481" s="4" t="s">
        <v>666</v>
      </c>
      <c r="B481" s="5">
        <v>45940</v>
      </c>
      <c r="C481" s="15">
        <f>WEEKNUM(Orders[[#This Row],[OrderDate]])</f>
        <v>41</v>
      </c>
      <c r="D481" s="4" t="s">
        <v>234</v>
      </c>
      <c r="E481" s="4" t="s">
        <v>34</v>
      </c>
      <c r="F481" s="4">
        <v>6</v>
      </c>
      <c r="G481" s="4">
        <v>19362.7</v>
      </c>
      <c r="H481">
        <v>16458.295000000002</v>
      </c>
      <c r="I481">
        <f>Orders[[#This Row],[Quantity]]*Orders[[#This Row],[Selling Price]]</f>
        <v>116176.20000000001</v>
      </c>
      <c r="J481">
        <f>Orders[[#This Row],[Quantity]]*Orders[[#This Row],[Cost Price]]</f>
        <v>98749.770000000019</v>
      </c>
      <c r="K481">
        <f>Orders[[#This Row],[Revenue]]-Orders[[#This Row],[Expenses]]</f>
        <v>17426.429999999993</v>
      </c>
      <c r="L481" t="s">
        <v>2214</v>
      </c>
      <c r="M481" t="str">
        <f>_xlfn.XLOOKUP(Orders[[#This Row],[CustomerID]],Customers[CustomerID],Customers[City])</f>
        <v>Texas</v>
      </c>
      <c r="N481" t="str">
        <f>_xlfn.XLOOKUP(Orders[[#This Row],[CustomerID]],Customers[CustomerID],Customers[CustomerName])</f>
        <v>Adanma Ojo</v>
      </c>
      <c r="O481" t="str">
        <f>_xlfn.XLOOKUP(Orders[[#This Row],[CustomerID]],Customers[CustomerID],Customers[Gender])</f>
        <v>Female</v>
      </c>
      <c r="P481">
        <f>_xlfn.XLOOKUP(Orders[[#This Row],[CustomerID]],Customers[CustomerID],Customers[CustomerAge])</f>
        <v>18</v>
      </c>
      <c r="Q481" t="str">
        <f>IF(Orders[[#This Row],[Age]]&gt;=35,"older","young")</f>
        <v>young</v>
      </c>
      <c r="R481" t="str">
        <f>_xlfn.XLOOKUP(Orders[[#This Row],[ProductID]],Products[ProductID],Products[ProductName])</f>
        <v>GOLD BRACELETS</v>
      </c>
      <c r="S481" t="str">
        <f>_xlfn.XLOOKUP(Orders[[#This Row],[ProductID]],Products!A:A,Products!C:C)</f>
        <v>Accessories</v>
      </c>
    </row>
    <row r="482" spans="1:19" x14ac:dyDescent="0.2">
      <c r="A482" s="4" t="s">
        <v>667</v>
      </c>
      <c r="B482" s="5">
        <v>45999</v>
      </c>
      <c r="C482" s="15">
        <f>WEEKNUM(Orders[[#This Row],[OrderDate]])</f>
        <v>50</v>
      </c>
      <c r="D482" s="4" t="s">
        <v>89</v>
      </c>
      <c r="E482" s="4" t="s">
        <v>127</v>
      </c>
      <c r="F482" s="4">
        <v>4</v>
      </c>
      <c r="G482" s="4">
        <v>2339.1999999999998</v>
      </c>
      <c r="H482">
        <v>1988.32</v>
      </c>
      <c r="I482">
        <f>Orders[[#This Row],[Quantity]]*Orders[[#This Row],[Selling Price]]</f>
        <v>9356.7999999999993</v>
      </c>
      <c r="J482">
        <f>Orders[[#This Row],[Quantity]]*Orders[[#This Row],[Cost Price]]</f>
        <v>7953.28</v>
      </c>
      <c r="K482">
        <f>Orders[[#This Row],[Revenue]]-Orders[[#This Row],[Expenses]]</f>
        <v>1403.5199999999995</v>
      </c>
      <c r="L482" t="s">
        <v>2205</v>
      </c>
      <c r="M482" t="str">
        <f>_xlfn.XLOOKUP(Orders[[#This Row],[CustomerID]],Customers[CustomerID],Customers[City])</f>
        <v>Washington</v>
      </c>
      <c r="N482" t="str">
        <f>_xlfn.XLOOKUP(Orders[[#This Row],[CustomerID]],Customers[CustomerID],Customers[CustomerName])</f>
        <v>Blessing Balogun</v>
      </c>
      <c r="O482" t="str">
        <f>_xlfn.XLOOKUP(Orders[[#This Row],[CustomerID]],Customers[CustomerID],Customers[Gender])</f>
        <v>Female</v>
      </c>
      <c r="P482">
        <f>_xlfn.XLOOKUP(Orders[[#This Row],[CustomerID]],Customers[CustomerID],Customers[CustomerAge])</f>
        <v>19</v>
      </c>
      <c r="Q482" t="str">
        <f>IF(Orders[[#This Row],[Age]]&gt;=35,"older","young")</f>
        <v>young</v>
      </c>
      <c r="R482" t="str">
        <f>_xlfn.XLOOKUP(Orders[[#This Row],[ProductID]],Products[ProductID],Products[ProductName])</f>
        <v>TOPS</v>
      </c>
      <c r="S482" t="str">
        <f>_xlfn.XLOOKUP(Orders[[#This Row],[ProductID]],Products!A:A,Products!C:C)</f>
        <v>Clothing</v>
      </c>
    </row>
    <row r="483" spans="1:19" x14ac:dyDescent="0.2">
      <c r="A483" s="4" t="s">
        <v>668</v>
      </c>
      <c r="B483" s="5">
        <v>45965</v>
      </c>
      <c r="C483" s="15">
        <f>WEEKNUM(Orders[[#This Row],[OrderDate]])</f>
        <v>45</v>
      </c>
      <c r="D483" s="4" t="s">
        <v>564</v>
      </c>
      <c r="E483" s="4" t="s">
        <v>60</v>
      </c>
      <c r="F483" s="4">
        <v>4</v>
      </c>
      <c r="G483" s="4">
        <v>10470.699999999999</v>
      </c>
      <c r="H483">
        <v>8900.0949999999993</v>
      </c>
      <c r="I483">
        <f>Orders[[#This Row],[Quantity]]*Orders[[#This Row],[Selling Price]]</f>
        <v>41882.799999999996</v>
      </c>
      <c r="J483">
        <f>Orders[[#This Row],[Quantity]]*Orders[[#This Row],[Cost Price]]</f>
        <v>35600.379999999997</v>
      </c>
      <c r="K483">
        <f>Orders[[#This Row],[Revenue]]-Orders[[#This Row],[Expenses]]</f>
        <v>6282.4199999999983</v>
      </c>
      <c r="L483" t="s">
        <v>2218</v>
      </c>
      <c r="M483" t="str">
        <f>_xlfn.XLOOKUP(Orders[[#This Row],[CustomerID]],Customers[CustomerID],Customers[City])</f>
        <v>Georgia</v>
      </c>
      <c r="N483" t="str">
        <f>_xlfn.XLOOKUP(Orders[[#This Row],[CustomerID]],Customers[CustomerID],Customers[CustomerName])</f>
        <v>Blessing Eze</v>
      </c>
      <c r="O483" t="str">
        <f>_xlfn.XLOOKUP(Orders[[#This Row],[CustomerID]],Customers[CustomerID],Customers[Gender])</f>
        <v>Female</v>
      </c>
      <c r="P483">
        <f>_xlfn.XLOOKUP(Orders[[#This Row],[CustomerID]],Customers[CustomerID],Customers[CustomerAge])</f>
        <v>19</v>
      </c>
      <c r="Q483" t="str">
        <f>IF(Orders[[#This Row],[Age]]&gt;=35,"older","young")</f>
        <v>young</v>
      </c>
      <c r="R483" t="str">
        <f>_xlfn.XLOOKUP(Orders[[#This Row],[ProductID]],Products[ProductID],Products[ProductName])</f>
        <v>SILVER RINGS</v>
      </c>
      <c r="S483" t="str">
        <f>_xlfn.XLOOKUP(Orders[[#This Row],[ProductID]],Products!A:A,Products!C:C)</f>
        <v>Accessories</v>
      </c>
    </row>
    <row r="484" spans="1:19" x14ac:dyDescent="0.2">
      <c r="A484" s="4" t="s">
        <v>669</v>
      </c>
      <c r="B484" s="5">
        <v>46018</v>
      </c>
      <c r="C484" s="15">
        <f>WEEKNUM(Orders[[#This Row],[OrderDate]])</f>
        <v>52</v>
      </c>
      <c r="D484" s="4" t="s">
        <v>22</v>
      </c>
      <c r="E484" s="4" t="s">
        <v>127</v>
      </c>
      <c r="F484" s="4">
        <v>7</v>
      </c>
      <c r="G484" s="4">
        <v>19131.8</v>
      </c>
      <c r="H484">
        <v>16262.029999999999</v>
      </c>
      <c r="I484">
        <f>Orders[[#This Row],[Quantity]]*Orders[[#This Row],[Selling Price]]</f>
        <v>133922.6</v>
      </c>
      <c r="J484">
        <f>Orders[[#This Row],[Quantity]]*Orders[[#This Row],[Cost Price]]</f>
        <v>113834.20999999999</v>
      </c>
      <c r="K484">
        <f>Orders[[#This Row],[Revenue]]-Orders[[#This Row],[Expenses]]</f>
        <v>20088.390000000014</v>
      </c>
      <c r="L484" t="s">
        <v>2211</v>
      </c>
      <c r="M484" t="str">
        <f>_xlfn.XLOOKUP(Orders[[#This Row],[CustomerID]],Customers[CustomerID],Customers[City])</f>
        <v>Texas</v>
      </c>
      <c r="N484" t="str">
        <f>_xlfn.XLOOKUP(Orders[[#This Row],[CustomerID]],Customers[CustomerID],Customers[CustomerName])</f>
        <v>Temi Bello</v>
      </c>
      <c r="O484" t="str">
        <f>_xlfn.XLOOKUP(Orders[[#This Row],[CustomerID]],Customers[CustomerID],Customers[Gender])</f>
        <v>Female</v>
      </c>
      <c r="P484">
        <f>_xlfn.XLOOKUP(Orders[[#This Row],[CustomerID]],Customers[CustomerID],Customers[CustomerAge])</f>
        <v>52</v>
      </c>
      <c r="Q484" t="str">
        <f>IF(Orders[[#This Row],[Age]]&gt;=35,"older","young")</f>
        <v>older</v>
      </c>
      <c r="R484" t="str">
        <f>_xlfn.XLOOKUP(Orders[[#This Row],[ProductID]],Products[ProductID],Products[ProductName])</f>
        <v>TOPS</v>
      </c>
      <c r="S484" t="str">
        <f>_xlfn.XLOOKUP(Orders[[#This Row],[ProductID]],Products!A:A,Products!C:C)</f>
        <v>Clothing</v>
      </c>
    </row>
    <row r="485" spans="1:19" x14ac:dyDescent="0.2">
      <c r="A485" s="4" t="s">
        <v>670</v>
      </c>
      <c r="B485" s="5">
        <v>45980</v>
      </c>
      <c r="C485" s="15">
        <f>WEEKNUM(Orders[[#This Row],[OrderDate]])</f>
        <v>47</v>
      </c>
      <c r="D485" s="4" t="s">
        <v>671</v>
      </c>
      <c r="E485" s="4" t="s">
        <v>111</v>
      </c>
      <c r="F485" s="4">
        <v>10</v>
      </c>
      <c r="G485" s="4">
        <v>1351.3</v>
      </c>
      <c r="H485">
        <v>1148.605</v>
      </c>
      <c r="I485">
        <f>Orders[[#This Row],[Quantity]]*Orders[[#This Row],[Selling Price]]</f>
        <v>13513</v>
      </c>
      <c r="J485">
        <f>Orders[[#This Row],[Quantity]]*Orders[[#This Row],[Cost Price]]</f>
        <v>11486.05</v>
      </c>
      <c r="K485">
        <f>Orders[[#This Row],[Revenue]]-Orders[[#This Row],[Expenses]]</f>
        <v>2026.9500000000007</v>
      </c>
      <c r="L485" t="s">
        <v>2202</v>
      </c>
      <c r="M485" t="str">
        <f>_xlfn.XLOOKUP(Orders[[#This Row],[CustomerID]],Customers[CustomerID],Customers[City])</f>
        <v>Texas</v>
      </c>
      <c r="N485" t="str">
        <f>_xlfn.XLOOKUP(Orders[[#This Row],[CustomerID]],Customers[CustomerID],Customers[CustomerName])</f>
        <v>Tunde Abubakar</v>
      </c>
      <c r="O485" t="str">
        <f>_xlfn.XLOOKUP(Orders[[#This Row],[CustomerID]],Customers[CustomerID],Customers[Gender])</f>
        <v>Male</v>
      </c>
      <c r="P485">
        <f>_xlfn.XLOOKUP(Orders[[#This Row],[CustomerID]],Customers[CustomerID],Customers[CustomerAge])</f>
        <v>26</v>
      </c>
      <c r="Q485" t="str">
        <f>IF(Orders[[#This Row],[Age]]&gt;=35,"older","young")</f>
        <v>young</v>
      </c>
      <c r="R485" t="str">
        <f>_xlfn.XLOOKUP(Orders[[#This Row],[ProductID]],Products[ProductID],Products[ProductName])</f>
        <v>REFRIGERATOR</v>
      </c>
      <c r="S485" t="str">
        <f>_xlfn.XLOOKUP(Orders[[#This Row],[ProductID]],Products!A:A,Products!C:C)</f>
        <v>Electronics</v>
      </c>
    </row>
    <row r="486" spans="1:19" x14ac:dyDescent="0.2">
      <c r="A486" s="4" t="s">
        <v>672</v>
      </c>
      <c r="B486" s="5">
        <v>45976</v>
      </c>
      <c r="C486" s="15">
        <f>WEEKNUM(Orders[[#This Row],[OrderDate]])</f>
        <v>46</v>
      </c>
      <c r="D486" s="4" t="s">
        <v>239</v>
      </c>
      <c r="E486" s="4" t="s">
        <v>111</v>
      </c>
      <c r="F486" s="4">
        <v>2</v>
      </c>
      <c r="G486" s="4">
        <v>17703.5</v>
      </c>
      <c r="H486">
        <v>15047.975</v>
      </c>
      <c r="I486">
        <f>Orders[[#This Row],[Quantity]]*Orders[[#This Row],[Selling Price]]</f>
        <v>35407</v>
      </c>
      <c r="J486">
        <f>Orders[[#This Row],[Quantity]]*Orders[[#This Row],[Cost Price]]</f>
        <v>30095.95</v>
      </c>
      <c r="K486">
        <f>Orders[[#This Row],[Revenue]]-Orders[[#This Row],[Expenses]]</f>
        <v>5311.0499999999993</v>
      </c>
      <c r="L486" t="s">
        <v>2218</v>
      </c>
      <c r="M486" t="str">
        <f>_xlfn.XLOOKUP(Orders[[#This Row],[CustomerID]],Customers[CustomerID],Customers[City])</f>
        <v>Florida</v>
      </c>
      <c r="N486" t="str">
        <f>_xlfn.XLOOKUP(Orders[[#This Row],[CustomerID]],Customers[CustomerID],Customers[CustomerName])</f>
        <v>Emeka Danladi</v>
      </c>
      <c r="O486" t="str">
        <f>_xlfn.XLOOKUP(Orders[[#This Row],[CustomerID]],Customers[CustomerID],Customers[Gender])</f>
        <v>Male</v>
      </c>
      <c r="P486">
        <f>_xlfn.XLOOKUP(Orders[[#This Row],[CustomerID]],Customers[CustomerID],Customers[CustomerAge])</f>
        <v>23</v>
      </c>
      <c r="Q486" t="str">
        <f>IF(Orders[[#This Row],[Age]]&gt;=35,"older","young")</f>
        <v>young</v>
      </c>
      <c r="R486" t="str">
        <f>_xlfn.XLOOKUP(Orders[[#This Row],[ProductID]],Products[ProductID],Products[ProductName])</f>
        <v>REFRIGERATOR</v>
      </c>
      <c r="S486" t="str">
        <f>_xlfn.XLOOKUP(Orders[[#This Row],[ProductID]],Products!A:A,Products!C:C)</f>
        <v>Electronics</v>
      </c>
    </row>
    <row r="487" spans="1:19" x14ac:dyDescent="0.2">
      <c r="A487" s="4" t="s">
        <v>673</v>
      </c>
      <c r="B487" s="5">
        <v>45979</v>
      </c>
      <c r="C487" s="15">
        <f>WEEKNUM(Orders[[#This Row],[OrderDate]])</f>
        <v>47</v>
      </c>
      <c r="D487" s="4" t="s">
        <v>159</v>
      </c>
      <c r="E487" s="4" t="s">
        <v>63</v>
      </c>
      <c r="F487" s="4">
        <v>3</v>
      </c>
      <c r="G487" s="4">
        <v>16309.6</v>
      </c>
      <c r="H487">
        <v>13863.16</v>
      </c>
      <c r="I487">
        <f>Orders[[#This Row],[Quantity]]*Orders[[#This Row],[Selling Price]]</f>
        <v>48928.800000000003</v>
      </c>
      <c r="J487">
        <f>Orders[[#This Row],[Quantity]]*Orders[[#This Row],[Cost Price]]</f>
        <v>41589.479999999996</v>
      </c>
      <c r="K487">
        <f>Orders[[#This Row],[Revenue]]-Orders[[#This Row],[Expenses]]</f>
        <v>7339.320000000007</v>
      </c>
      <c r="L487" t="s">
        <v>2203</v>
      </c>
      <c r="M487" t="str">
        <f>_xlfn.XLOOKUP(Orders[[#This Row],[CustomerID]],Customers[CustomerID],Customers[City])</f>
        <v>Florida</v>
      </c>
      <c r="N487" t="str">
        <f>_xlfn.XLOOKUP(Orders[[#This Row],[CustomerID]],Customers[CustomerID],Customers[CustomerName])</f>
        <v>Ibrahim Okonkwo</v>
      </c>
      <c r="O487" t="str">
        <f>_xlfn.XLOOKUP(Orders[[#This Row],[CustomerID]],Customers[CustomerID],Customers[Gender])</f>
        <v>Male</v>
      </c>
      <c r="P487">
        <f>_xlfn.XLOOKUP(Orders[[#This Row],[CustomerID]],Customers[CustomerID],Customers[CustomerAge])</f>
        <v>49</v>
      </c>
      <c r="Q487" t="str">
        <f>IF(Orders[[#This Row],[Age]]&gt;=35,"older","young")</f>
        <v>older</v>
      </c>
      <c r="R487" t="str">
        <f>_xlfn.XLOOKUP(Orders[[#This Row],[ProductID]],Products[ProductID],Products[ProductName])</f>
        <v>TENNIS BAT</v>
      </c>
      <c r="S487" t="str">
        <f>_xlfn.XLOOKUP(Orders[[#This Row],[ProductID]],Products!A:A,Products!C:C)</f>
        <v>Sports</v>
      </c>
    </row>
    <row r="488" spans="1:19" x14ac:dyDescent="0.2">
      <c r="A488" s="4" t="s">
        <v>674</v>
      </c>
      <c r="B488" s="5">
        <v>45986</v>
      </c>
      <c r="C488" s="15">
        <f>WEEKNUM(Orders[[#This Row],[OrderDate]])</f>
        <v>48</v>
      </c>
      <c r="D488" s="4" t="s">
        <v>98</v>
      </c>
      <c r="E488" s="4" t="s">
        <v>120</v>
      </c>
      <c r="F488" s="4">
        <v>2</v>
      </c>
      <c r="G488" s="4">
        <v>4222.9000000000005</v>
      </c>
      <c r="H488">
        <v>3589.4650000000006</v>
      </c>
      <c r="I488">
        <f>Orders[[#This Row],[Quantity]]*Orders[[#This Row],[Selling Price]]</f>
        <v>8445.8000000000011</v>
      </c>
      <c r="J488">
        <f>Orders[[#This Row],[Quantity]]*Orders[[#This Row],[Cost Price]]</f>
        <v>7178.9300000000012</v>
      </c>
      <c r="K488">
        <f>Orders[[#This Row],[Revenue]]-Orders[[#This Row],[Expenses]]</f>
        <v>1266.8699999999999</v>
      </c>
      <c r="L488" t="s">
        <v>2206</v>
      </c>
      <c r="M488" t="str">
        <f>_xlfn.XLOOKUP(Orders[[#This Row],[CustomerID]],Customers[CustomerID],Customers[City])</f>
        <v>Illinois</v>
      </c>
      <c r="N488" t="str">
        <f>_xlfn.XLOOKUP(Orders[[#This Row],[CustomerID]],Customers[CustomerID],Customers[CustomerName])</f>
        <v>Chioma Adeyemi</v>
      </c>
      <c r="O488" t="str">
        <f>_xlfn.XLOOKUP(Orders[[#This Row],[CustomerID]],Customers[CustomerID],Customers[Gender])</f>
        <v>Female</v>
      </c>
      <c r="P488">
        <f>_xlfn.XLOOKUP(Orders[[#This Row],[CustomerID]],Customers[CustomerID],Customers[CustomerAge])</f>
        <v>23</v>
      </c>
      <c r="Q488" t="str">
        <f>IF(Orders[[#This Row],[Age]]&gt;=35,"older","young")</f>
        <v>young</v>
      </c>
      <c r="R488" t="str">
        <f>_xlfn.XLOOKUP(Orders[[#This Row],[ProductID]],Products[ProductID],Products[ProductName])</f>
        <v>CHESS</v>
      </c>
      <c r="S488" t="str">
        <f>_xlfn.XLOOKUP(Orders[[#This Row],[ProductID]],Products!A:A,Products!C:C)</f>
        <v>Games</v>
      </c>
    </row>
    <row r="489" spans="1:19" x14ac:dyDescent="0.2">
      <c r="A489" s="4" t="s">
        <v>675</v>
      </c>
      <c r="B489" s="5">
        <v>45948</v>
      </c>
      <c r="C489" s="15">
        <f>WEEKNUM(Orders[[#This Row],[OrderDate]])</f>
        <v>42</v>
      </c>
      <c r="D489" s="4" t="s">
        <v>140</v>
      </c>
      <c r="E489" s="4" t="s">
        <v>120</v>
      </c>
      <c r="F489" s="4">
        <v>6</v>
      </c>
      <c r="G489" s="4">
        <v>650.19999999999993</v>
      </c>
      <c r="H489">
        <v>552.66999999999996</v>
      </c>
      <c r="I489">
        <f>Orders[[#This Row],[Quantity]]*Orders[[#This Row],[Selling Price]]</f>
        <v>3901.2</v>
      </c>
      <c r="J489">
        <f>Orders[[#This Row],[Quantity]]*Orders[[#This Row],[Cost Price]]</f>
        <v>3316.0199999999995</v>
      </c>
      <c r="K489">
        <f>Orders[[#This Row],[Revenue]]-Orders[[#This Row],[Expenses]]</f>
        <v>585.18000000000029</v>
      </c>
      <c r="L489" t="s">
        <v>2200</v>
      </c>
      <c r="M489" t="str">
        <f>_xlfn.XLOOKUP(Orders[[#This Row],[CustomerID]],Customers[CustomerID],Customers[City])</f>
        <v>Washington</v>
      </c>
      <c r="N489" t="str">
        <f>_xlfn.XLOOKUP(Orders[[#This Row],[CustomerID]],Customers[CustomerID],Customers[CustomerName])</f>
        <v>Tunde Igwe</v>
      </c>
      <c r="O489" t="str">
        <f>_xlfn.XLOOKUP(Orders[[#This Row],[CustomerID]],Customers[CustomerID],Customers[Gender])</f>
        <v>Male</v>
      </c>
      <c r="P489">
        <f>_xlfn.XLOOKUP(Orders[[#This Row],[CustomerID]],Customers[CustomerID],Customers[CustomerAge])</f>
        <v>20</v>
      </c>
      <c r="Q489" t="str">
        <f>IF(Orders[[#This Row],[Age]]&gt;=35,"older","young")</f>
        <v>young</v>
      </c>
      <c r="R489" t="str">
        <f>_xlfn.XLOOKUP(Orders[[#This Row],[ProductID]],Products[ProductID],Products[ProductName])</f>
        <v>CHESS</v>
      </c>
      <c r="S489" t="str">
        <f>_xlfn.XLOOKUP(Orders[[#This Row],[ProductID]],Products!A:A,Products!C:C)</f>
        <v>Games</v>
      </c>
    </row>
    <row r="490" spans="1:19" x14ac:dyDescent="0.2">
      <c r="A490" s="4" t="s">
        <v>676</v>
      </c>
      <c r="B490" s="5">
        <v>45988</v>
      </c>
      <c r="C490" s="15">
        <f>WEEKNUM(Orders[[#This Row],[OrderDate]])</f>
        <v>48</v>
      </c>
      <c r="D490" s="4" t="s">
        <v>285</v>
      </c>
      <c r="E490" s="4" t="s">
        <v>20</v>
      </c>
      <c r="F490" s="4">
        <v>10</v>
      </c>
      <c r="G490" s="4">
        <v>11883</v>
      </c>
      <c r="H490">
        <v>10100.549999999999</v>
      </c>
      <c r="I490">
        <f>Orders[[#This Row],[Quantity]]*Orders[[#This Row],[Selling Price]]</f>
        <v>118830</v>
      </c>
      <c r="J490">
        <f>Orders[[#This Row],[Quantity]]*Orders[[#This Row],[Cost Price]]</f>
        <v>101005.5</v>
      </c>
      <c r="K490">
        <f>Orders[[#This Row],[Revenue]]-Orders[[#This Row],[Expenses]]</f>
        <v>17824.5</v>
      </c>
      <c r="L490" t="s">
        <v>2207</v>
      </c>
      <c r="M490" t="str">
        <f>_xlfn.XLOOKUP(Orders[[#This Row],[CustomerID]],Customers[CustomerID],Customers[City])</f>
        <v>California</v>
      </c>
      <c r="N490" t="str">
        <f>_xlfn.XLOOKUP(Orders[[#This Row],[CustomerID]],Customers[CustomerID],Customers[CustomerName])</f>
        <v>Sani Balogun</v>
      </c>
      <c r="O490" t="str">
        <f>_xlfn.XLOOKUP(Orders[[#This Row],[CustomerID]],Customers[CustomerID],Customers[Gender])</f>
        <v>Male</v>
      </c>
      <c r="P490">
        <f>_xlfn.XLOOKUP(Orders[[#This Row],[CustomerID]],Customers[CustomerID],Customers[CustomerAge])</f>
        <v>27</v>
      </c>
      <c r="Q490" t="str">
        <f>IF(Orders[[#This Row],[Age]]&gt;=35,"older","young")</f>
        <v>young</v>
      </c>
      <c r="R490" t="str">
        <f>_xlfn.XLOOKUP(Orders[[#This Row],[ProductID]],Products[ProductID],Products[ProductName])</f>
        <v>GYM BAG</v>
      </c>
      <c r="S490" t="str">
        <f>_xlfn.XLOOKUP(Orders[[#This Row],[ProductID]],Products!A:A,Products!C:C)</f>
        <v>Gym</v>
      </c>
    </row>
    <row r="491" spans="1:19" x14ac:dyDescent="0.2">
      <c r="A491" s="4" t="s">
        <v>677</v>
      </c>
      <c r="B491" s="5">
        <v>46014</v>
      </c>
      <c r="C491" s="15">
        <f>WEEKNUM(Orders[[#This Row],[OrderDate]])</f>
        <v>52</v>
      </c>
      <c r="D491" s="4" t="s">
        <v>210</v>
      </c>
      <c r="E491" s="4" t="s">
        <v>66</v>
      </c>
      <c r="F491" s="4">
        <v>9</v>
      </c>
      <c r="G491" s="4">
        <v>11208.900000000001</v>
      </c>
      <c r="H491">
        <v>9527.5650000000005</v>
      </c>
      <c r="I491">
        <f>Orders[[#This Row],[Quantity]]*Orders[[#This Row],[Selling Price]]</f>
        <v>100880.1</v>
      </c>
      <c r="J491">
        <f>Orders[[#This Row],[Quantity]]*Orders[[#This Row],[Cost Price]]</f>
        <v>85748.085000000006</v>
      </c>
      <c r="K491">
        <f>Orders[[#This Row],[Revenue]]-Orders[[#This Row],[Expenses]]</f>
        <v>15132.014999999999</v>
      </c>
      <c r="L491" t="s">
        <v>2208</v>
      </c>
      <c r="M491" t="str">
        <f>_xlfn.XLOOKUP(Orders[[#This Row],[CustomerID]],Customers[CustomerID],Customers[City])</f>
        <v>Illinois</v>
      </c>
      <c r="N491" t="str">
        <f>_xlfn.XLOOKUP(Orders[[#This Row],[CustomerID]],Customers[CustomerID],Customers[CustomerName])</f>
        <v>Zainab Bello</v>
      </c>
      <c r="O491" t="str">
        <f>_xlfn.XLOOKUP(Orders[[#This Row],[CustomerID]],Customers[CustomerID],Customers[Gender])</f>
        <v>Female</v>
      </c>
      <c r="P491">
        <f>_xlfn.XLOOKUP(Orders[[#This Row],[CustomerID]],Customers[CustomerID],Customers[CustomerAge])</f>
        <v>27</v>
      </c>
      <c r="Q491" t="str">
        <f>IF(Orders[[#This Row],[Age]]&gt;=35,"older","young")</f>
        <v>young</v>
      </c>
      <c r="R491" t="str">
        <f>_xlfn.XLOOKUP(Orders[[#This Row],[ProductID]],Products[ProductID],Products[ProductName])</f>
        <v>MICROWAVE</v>
      </c>
      <c r="S491" t="str">
        <f>_xlfn.XLOOKUP(Orders[[#This Row],[ProductID]],Products!A:A,Products!C:C)</f>
        <v>Electronics</v>
      </c>
    </row>
    <row r="492" spans="1:19" x14ac:dyDescent="0.2">
      <c r="A492" s="4" t="s">
        <v>678</v>
      </c>
      <c r="B492" s="5">
        <v>45949</v>
      </c>
      <c r="C492" s="15">
        <f>WEEKNUM(Orders[[#This Row],[OrderDate]])</f>
        <v>43</v>
      </c>
      <c r="D492" s="4" t="s">
        <v>327</v>
      </c>
      <c r="E492" s="4" t="s">
        <v>127</v>
      </c>
      <c r="F492" s="4">
        <v>2</v>
      </c>
      <c r="G492" s="4">
        <v>5072.5</v>
      </c>
      <c r="H492">
        <v>4311.625</v>
      </c>
      <c r="I492">
        <f>Orders[[#This Row],[Quantity]]*Orders[[#This Row],[Selling Price]]</f>
        <v>10145</v>
      </c>
      <c r="J492">
        <f>Orders[[#This Row],[Quantity]]*Orders[[#This Row],[Cost Price]]</f>
        <v>8623.25</v>
      </c>
      <c r="K492">
        <f>Orders[[#This Row],[Revenue]]-Orders[[#This Row],[Expenses]]</f>
        <v>1521.75</v>
      </c>
      <c r="L492" t="s">
        <v>2219</v>
      </c>
      <c r="M492" t="str">
        <f>_xlfn.XLOOKUP(Orders[[#This Row],[CustomerID]],Customers[CustomerID],Customers[City])</f>
        <v>Washington</v>
      </c>
      <c r="N492" t="str">
        <f>_xlfn.XLOOKUP(Orders[[#This Row],[CustomerID]],Customers[CustomerID],Customers[CustomerName])</f>
        <v>Folasade Ojo</v>
      </c>
      <c r="O492" t="str">
        <f>_xlfn.XLOOKUP(Orders[[#This Row],[CustomerID]],Customers[CustomerID],Customers[Gender])</f>
        <v>Female</v>
      </c>
      <c r="P492">
        <f>_xlfn.XLOOKUP(Orders[[#This Row],[CustomerID]],Customers[CustomerID],Customers[CustomerAge])</f>
        <v>24</v>
      </c>
      <c r="Q492" t="str">
        <f>IF(Orders[[#This Row],[Age]]&gt;=35,"older","young")</f>
        <v>young</v>
      </c>
      <c r="R492" t="str">
        <f>_xlfn.XLOOKUP(Orders[[#This Row],[ProductID]],Products[ProductID],Products[ProductName])</f>
        <v>TOPS</v>
      </c>
      <c r="S492" t="str">
        <f>_xlfn.XLOOKUP(Orders[[#This Row],[ProductID]],Products!A:A,Products!C:C)</f>
        <v>Clothing</v>
      </c>
    </row>
    <row r="493" spans="1:19" x14ac:dyDescent="0.2">
      <c r="A493" s="4" t="s">
        <v>679</v>
      </c>
      <c r="B493" s="5">
        <v>45998</v>
      </c>
      <c r="C493" s="15">
        <f>WEEKNUM(Orders[[#This Row],[OrderDate]])</f>
        <v>50</v>
      </c>
      <c r="D493" s="4" t="s">
        <v>272</v>
      </c>
      <c r="E493" s="4" t="s">
        <v>9</v>
      </c>
      <c r="F493" s="4">
        <v>4</v>
      </c>
      <c r="G493" s="4">
        <v>1615.5</v>
      </c>
      <c r="H493">
        <v>1373.175</v>
      </c>
      <c r="I493">
        <f>Orders[[#This Row],[Quantity]]*Orders[[#This Row],[Selling Price]]</f>
        <v>6462</v>
      </c>
      <c r="J493">
        <f>Orders[[#This Row],[Quantity]]*Orders[[#This Row],[Cost Price]]</f>
        <v>5492.7</v>
      </c>
      <c r="K493">
        <f>Orders[[#This Row],[Revenue]]-Orders[[#This Row],[Expenses]]</f>
        <v>969.30000000000018</v>
      </c>
      <c r="L493" t="s">
        <v>2212</v>
      </c>
      <c r="M493" t="str">
        <f>_xlfn.XLOOKUP(Orders[[#This Row],[CustomerID]],Customers[CustomerID],Customers[City])</f>
        <v>Florida</v>
      </c>
      <c r="N493" t="str">
        <f>_xlfn.XLOOKUP(Orders[[#This Row],[CustomerID]],Customers[CustomerID],Customers[CustomerName])</f>
        <v>Blessing Bello</v>
      </c>
      <c r="O493" t="str">
        <f>_xlfn.XLOOKUP(Orders[[#This Row],[CustomerID]],Customers[CustomerID],Customers[Gender])</f>
        <v>Female</v>
      </c>
      <c r="P493">
        <f>_xlfn.XLOOKUP(Orders[[#This Row],[CustomerID]],Customers[CustomerID],Customers[CustomerAge])</f>
        <v>38</v>
      </c>
      <c r="Q493" t="str">
        <f>IF(Orders[[#This Row],[Age]]&gt;=35,"older","young")</f>
        <v>older</v>
      </c>
      <c r="R493" t="str">
        <f>_xlfn.XLOOKUP(Orders[[#This Row],[ProductID]],Products[ProductID],Products[ProductName])</f>
        <v>BEADED EARRINGS AND NECKLACES</v>
      </c>
      <c r="S493" t="str">
        <f>_xlfn.XLOOKUP(Orders[[#This Row],[ProductID]],Products!A:A,Products!C:C)</f>
        <v>Accessories</v>
      </c>
    </row>
    <row r="494" spans="1:19" x14ac:dyDescent="0.2">
      <c r="A494" s="4" t="s">
        <v>680</v>
      </c>
      <c r="B494" s="5">
        <v>45965</v>
      </c>
      <c r="C494" s="15">
        <f>WEEKNUM(Orders[[#This Row],[OrderDate]])</f>
        <v>45</v>
      </c>
      <c r="D494" s="4" t="s">
        <v>524</v>
      </c>
      <c r="E494" s="4" t="s">
        <v>23</v>
      </c>
      <c r="F494" s="4">
        <v>10</v>
      </c>
      <c r="G494" s="4">
        <v>18928</v>
      </c>
      <c r="H494">
        <v>16088.8</v>
      </c>
      <c r="I494">
        <f>Orders[[#This Row],[Quantity]]*Orders[[#This Row],[Selling Price]]</f>
        <v>189280</v>
      </c>
      <c r="J494">
        <f>Orders[[#This Row],[Quantity]]*Orders[[#This Row],[Cost Price]]</f>
        <v>160888</v>
      </c>
      <c r="K494">
        <f>Orders[[#This Row],[Revenue]]-Orders[[#This Row],[Expenses]]</f>
        <v>28392</v>
      </c>
      <c r="L494" t="s">
        <v>2214</v>
      </c>
      <c r="M494" t="str">
        <f>_xlfn.XLOOKUP(Orders[[#This Row],[CustomerID]],Customers[CustomerID],Customers[City])</f>
        <v>Florida</v>
      </c>
      <c r="N494" t="str">
        <f>_xlfn.XLOOKUP(Orders[[#This Row],[CustomerID]],Customers[CustomerID],Customers[CustomerName])</f>
        <v>Chinedu Igwe</v>
      </c>
      <c r="O494" t="str">
        <f>_xlfn.XLOOKUP(Orders[[#This Row],[CustomerID]],Customers[CustomerID],Customers[Gender])</f>
        <v>Male</v>
      </c>
      <c r="P494">
        <f>_xlfn.XLOOKUP(Orders[[#This Row],[CustomerID]],Customers[CustomerID],Customers[CustomerAge])</f>
        <v>21</v>
      </c>
      <c r="Q494" t="str">
        <f>IF(Orders[[#This Row],[Age]]&gt;=35,"older","young")</f>
        <v>young</v>
      </c>
      <c r="R494" t="str">
        <f>_xlfn.XLOOKUP(Orders[[#This Row],[ProductID]],Products[ProductID],Products[ProductName])</f>
        <v>GYM GLOVES</v>
      </c>
      <c r="S494" t="str">
        <f>_xlfn.XLOOKUP(Orders[[#This Row],[ProductID]],Products!A:A,Products!C:C)</f>
        <v>Gym</v>
      </c>
    </row>
    <row r="495" spans="1:19" x14ac:dyDescent="0.2">
      <c r="A495" s="4" t="s">
        <v>681</v>
      </c>
      <c r="B495" s="5">
        <v>45960</v>
      </c>
      <c r="C495" s="15">
        <f>WEEKNUM(Orders[[#This Row],[OrderDate]])</f>
        <v>44</v>
      </c>
      <c r="D495" s="4" t="s">
        <v>260</v>
      </c>
      <c r="E495" s="4" t="s">
        <v>151</v>
      </c>
      <c r="F495" s="4">
        <v>5</v>
      </c>
      <c r="G495" s="4">
        <v>7133.0999999999995</v>
      </c>
      <c r="H495">
        <v>6063.1349999999993</v>
      </c>
      <c r="I495">
        <f>Orders[[#This Row],[Quantity]]*Orders[[#This Row],[Selling Price]]</f>
        <v>35665.5</v>
      </c>
      <c r="J495">
        <f>Orders[[#This Row],[Quantity]]*Orders[[#This Row],[Cost Price]]</f>
        <v>30315.674999999996</v>
      </c>
      <c r="K495">
        <f>Orders[[#This Row],[Revenue]]-Orders[[#This Row],[Expenses]]</f>
        <v>5349.8250000000044</v>
      </c>
      <c r="L495" t="s">
        <v>2207</v>
      </c>
      <c r="M495" t="str">
        <f>_xlfn.XLOOKUP(Orders[[#This Row],[CustomerID]],Customers[CustomerID],Customers[City])</f>
        <v>Florida</v>
      </c>
      <c r="N495" t="str">
        <f>_xlfn.XLOOKUP(Orders[[#This Row],[CustomerID]],Customers[CustomerID],Customers[CustomerName])</f>
        <v>Amina Obi</v>
      </c>
      <c r="O495" t="str">
        <f>_xlfn.XLOOKUP(Orders[[#This Row],[CustomerID]],Customers[CustomerID],Customers[Gender])</f>
        <v>Female</v>
      </c>
      <c r="P495">
        <f>_xlfn.XLOOKUP(Orders[[#This Row],[CustomerID]],Customers[CustomerID],Customers[CustomerAge])</f>
        <v>29</v>
      </c>
      <c r="Q495" t="str">
        <f>IF(Orders[[#This Row],[Age]]&gt;=35,"older","young")</f>
        <v>young</v>
      </c>
      <c r="R495" t="str">
        <f>_xlfn.XLOOKUP(Orders[[#This Row],[ProductID]],Products[ProductID],Products[ProductName])</f>
        <v>CHECKERS</v>
      </c>
      <c r="S495" t="str">
        <f>_xlfn.XLOOKUP(Orders[[#This Row],[ProductID]],Products!A:A,Products!C:C)</f>
        <v>Games</v>
      </c>
    </row>
    <row r="496" spans="1:19" x14ac:dyDescent="0.2">
      <c r="A496" s="4" t="s">
        <v>682</v>
      </c>
      <c r="B496" s="5">
        <v>46005</v>
      </c>
      <c r="C496" s="15">
        <f>WEEKNUM(Orders[[#This Row],[OrderDate]])</f>
        <v>51</v>
      </c>
      <c r="D496" s="4" t="s">
        <v>218</v>
      </c>
      <c r="E496" s="4" t="s">
        <v>57</v>
      </c>
      <c r="F496" s="4">
        <v>9</v>
      </c>
      <c r="G496" s="4">
        <v>811.7</v>
      </c>
      <c r="H496">
        <v>689.94500000000005</v>
      </c>
      <c r="I496">
        <f>Orders[[#This Row],[Quantity]]*Orders[[#This Row],[Selling Price]]</f>
        <v>7305.3</v>
      </c>
      <c r="J496">
        <f>Orders[[#This Row],[Quantity]]*Orders[[#This Row],[Cost Price]]</f>
        <v>6209.5050000000001</v>
      </c>
      <c r="K496">
        <f>Orders[[#This Row],[Revenue]]-Orders[[#This Row],[Expenses]]</f>
        <v>1095.7950000000001</v>
      </c>
      <c r="L496" t="s">
        <v>2208</v>
      </c>
      <c r="M496" t="str">
        <f>_xlfn.XLOOKUP(Orders[[#This Row],[CustomerID]],Customers[CustomerID],Customers[City])</f>
        <v>Florida</v>
      </c>
      <c r="N496" t="str">
        <f>_xlfn.XLOOKUP(Orders[[#This Row],[CustomerID]],Customers[CustomerID],Customers[CustomerName])</f>
        <v>Temi Danladi</v>
      </c>
      <c r="O496" t="str">
        <f>_xlfn.XLOOKUP(Orders[[#This Row],[CustomerID]],Customers[CustomerID],Customers[Gender])</f>
        <v>Female</v>
      </c>
      <c r="P496">
        <f>_xlfn.XLOOKUP(Orders[[#This Row],[CustomerID]],Customers[CustomerID],Customers[CustomerAge])</f>
        <v>48</v>
      </c>
      <c r="Q496" t="str">
        <f>IF(Orders[[#This Row],[Age]]&gt;=35,"older","young")</f>
        <v>older</v>
      </c>
      <c r="R496" t="str">
        <f>_xlfn.XLOOKUP(Orders[[#This Row],[ProductID]],Products[ProductID],Products[ProductName])</f>
        <v>BADMINTON RACKET</v>
      </c>
      <c r="S496" t="str">
        <f>_xlfn.XLOOKUP(Orders[[#This Row],[ProductID]],Products!A:A,Products!C:C)</f>
        <v>Sports</v>
      </c>
    </row>
    <row r="497" spans="1:19" x14ac:dyDescent="0.2">
      <c r="A497" s="4" t="s">
        <v>683</v>
      </c>
      <c r="B497" s="5">
        <v>45994</v>
      </c>
      <c r="C497" s="15">
        <f>WEEKNUM(Orders[[#This Row],[OrderDate]])</f>
        <v>49</v>
      </c>
      <c r="D497" s="4" t="s">
        <v>252</v>
      </c>
      <c r="E497" s="4" t="s">
        <v>70</v>
      </c>
      <c r="F497" s="4">
        <v>2</v>
      </c>
      <c r="G497" s="4">
        <v>19489.3</v>
      </c>
      <c r="H497">
        <v>16565.904999999999</v>
      </c>
      <c r="I497">
        <f>Orders[[#This Row],[Quantity]]*Orders[[#This Row],[Selling Price]]</f>
        <v>38978.6</v>
      </c>
      <c r="J497">
        <f>Orders[[#This Row],[Quantity]]*Orders[[#This Row],[Cost Price]]</f>
        <v>33131.81</v>
      </c>
      <c r="K497">
        <f>Orders[[#This Row],[Revenue]]-Orders[[#This Row],[Expenses]]</f>
        <v>5846.7900000000009</v>
      </c>
      <c r="L497" t="s">
        <v>2196</v>
      </c>
      <c r="M497" t="str">
        <f>_xlfn.XLOOKUP(Orders[[#This Row],[CustomerID]],Customers[CustomerID],Customers[City])</f>
        <v>Texas</v>
      </c>
      <c r="N497" t="str">
        <f>_xlfn.XLOOKUP(Orders[[#This Row],[CustomerID]],Customers[CustomerID],Customers[CustomerName])</f>
        <v>Chioma Adeyemi</v>
      </c>
      <c r="O497" t="str">
        <f>_xlfn.XLOOKUP(Orders[[#This Row],[CustomerID]],Customers[CustomerID],Customers[Gender])</f>
        <v>Female</v>
      </c>
      <c r="P497">
        <f>_xlfn.XLOOKUP(Orders[[#This Row],[CustomerID]],Customers[CustomerID],Customers[CustomerAge])</f>
        <v>20</v>
      </c>
      <c r="Q497" t="str">
        <f>IF(Orders[[#This Row],[Age]]&gt;=35,"older","young")</f>
        <v>young</v>
      </c>
      <c r="R497" t="str">
        <f>_xlfn.XLOOKUP(Orders[[#This Row],[ProductID]],Products[ProductID],Products[ProductName])</f>
        <v>YOGA MAT</v>
      </c>
      <c r="S497" t="str">
        <f>_xlfn.XLOOKUP(Orders[[#This Row],[ProductID]],Products!A:A,Products!C:C)</f>
        <v>Gym</v>
      </c>
    </row>
    <row r="498" spans="1:19" x14ac:dyDescent="0.2">
      <c r="A498" s="4" t="s">
        <v>684</v>
      </c>
      <c r="B498" s="5">
        <v>45932</v>
      </c>
      <c r="C498" s="15">
        <f>WEEKNUM(Orders[[#This Row],[OrderDate]])</f>
        <v>40</v>
      </c>
      <c r="D498" s="4" t="s">
        <v>239</v>
      </c>
      <c r="E498" s="4" t="s">
        <v>46</v>
      </c>
      <c r="F498" s="4">
        <v>6</v>
      </c>
      <c r="G498" s="4">
        <v>7295.4</v>
      </c>
      <c r="H498">
        <v>6201.09</v>
      </c>
      <c r="I498">
        <f>Orders[[#This Row],[Quantity]]*Orders[[#This Row],[Selling Price]]</f>
        <v>43772.399999999994</v>
      </c>
      <c r="J498">
        <f>Orders[[#This Row],[Quantity]]*Orders[[#This Row],[Cost Price]]</f>
        <v>37206.54</v>
      </c>
      <c r="K498">
        <f>Orders[[#This Row],[Revenue]]-Orders[[#This Row],[Expenses]]</f>
        <v>6565.8599999999933</v>
      </c>
      <c r="L498" t="s">
        <v>2210</v>
      </c>
      <c r="M498" t="str">
        <f>_xlfn.XLOOKUP(Orders[[#This Row],[CustomerID]],Customers[CustomerID],Customers[City])</f>
        <v>Florida</v>
      </c>
      <c r="N498" t="str">
        <f>_xlfn.XLOOKUP(Orders[[#This Row],[CustomerID]],Customers[CustomerID],Customers[CustomerName])</f>
        <v>Emeka Danladi</v>
      </c>
      <c r="O498" t="str">
        <f>_xlfn.XLOOKUP(Orders[[#This Row],[CustomerID]],Customers[CustomerID],Customers[Gender])</f>
        <v>Male</v>
      </c>
      <c r="P498">
        <f>_xlfn.XLOOKUP(Orders[[#This Row],[CustomerID]],Customers[CustomerID],Customers[CustomerAge])</f>
        <v>23</v>
      </c>
      <c r="Q498" t="str">
        <f>IF(Orders[[#This Row],[Age]]&gt;=35,"older","young")</f>
        <v>young</v>
      </c>
      <c r="R498" t="str">
        <f>_xlfn.XLOOKUP(Orders[[#This Row],[ProductID]],Products[ProductID],Products[ProductName])</f>
        <v>TURTLE NECK</v>
      </c>
      <c r="S498" t="str">
        <f>_xlfn.XLOOKUP(Orders[[#This Row],[ProductID]],Products!A:A,Products!C:C)</f>
        <v>Clothing</v>
      </c>
    </row>
    <row r="499" spans="1:19" x14ac:dyDescent="0.2">
      <c r="A499" s="4" t="s">
        <v>685</v>
      </c>
      <c r="B499" s="5">
        <v>45953</v>
      </c>
      <c r="C499" s="15">
        <f>WEEKNUM(Orders[[#This Row],[OrderDate]])</f>
        <v>43</v>
      </c>
      <c r="D499" s="4" t="s">
        <v>207</v>
      </c>
      <c r="E499" s="4" t="s">
        <v>23</v>
      </c>
      <c r="F499" s="4">
        <v>3</v>
      </c>
      <c r="G499" s="4">
        <v>9075.7000000000007</v>
      </c>
      <c r="H499">
        <v>7714.3450000000012</v>
      </c>
      <c r="I499">
        <f>Orders[[#This Row],[Quantity]]*Orders[[#This Row],[Selling Price]]</f>
        <v>27227.100000000002</v>
      </c>
      <c r="J499">
        <f>Orders[[#This Row],[Quantity]]*Orders[[#This Row],[Cost Price]]</f>
        <v>23143.035000000003</v>
      </c>
      <c r="K499">
        <f>Orders[[#This Row],[Revenue]]-Orders[[#This Row],[Expenses]]</f>
        <v>4084.0649999999987</v>
      </c>
      <c r="L499" t="s">
        <v>2211</v>
      </c>
      <c r="M499" t="str">
        <f>_xlfn.XLOOKUP(Orders[[#This Row],[CustomerID]],Customers[CustomerID],Customers[City])</f>
        <v>Florida</v>
      </c>
      <c r="N499" t="str">
        <f>_xlfn.XLOOKUP(Orders[[#This Row],[CustomerID]],Customers[CustomerID],Customers[CustomerName])</f>
        <v>Bisi Eze</v>
      </c>
      <c r="O499" t="str">
        <f>_xlfn.XLOOKUP(Orders[[#This Row],[CustomerID]],Customers[CustomerID],Customers[Gender])</f>
        <v>Female</v>
      </c>
      <c r="P499">
        <f>_xlfn.XLOOKUP(Orders[[#This Row],[CustomerID]],Customers[CustomerID],Customers[CustomerAge])</f>
        <v>37</v>
      </c>
      <c r="Q499" t="str">
        <f>IF(Orders[[#This Row],[Age]]&gt;=35,"older","young")</f>
        <v>older</v>
      </c>
      <c r="R499" t="str">
        <f>_xlfn.XLOOKUP(Orders[[#This Row],[ProductID]],Products[ProductID],Products[ProductName])</f>
        <v>GYM GLOVES</v>
      </c>
      <c r="S499" t="str">
        <f>_xlfn.XLOOKUP(Orders[[#This Row],[ProductID]],Products!A:A,Products!C:C)</f>
        <v>Gym</v>
      </c>
    </row>
    <row r="500" spans="1:19" x14ac:dyDescent="0.2">
      <c r="A500" s="4" t="s">
        <v>686</v>
      </c>
      <c r="B500" s="5">
        <v>46015</v>
      </c>
      <c r="C500" s="15">
        <f>WEEKNUM(Orders[[#This Row],[OrderDate]])</f>
        <v>52</v>
      </c>
      <c r="D500" s="4" t="s">
        <v>295</v>
      </c>
      <c r="E500" s="4" t="s">
        <v>84</v>
      </c>
      <c r="F500" s="4">
        <v>2</v>
      </c>
      <c r="G500" s="4">
        <v>2298.4</v>
      </c>
      <c r="H500">
        <v>1953.64</v>
      </c>
      <c r="I500">
        <f>Orders[[#This Row],[Quantity]]*Orders[[#This Row],[Selling Price]]</f>
        <v>4596.8</v>
      </c>
      <c r="J500">
        <f>Orders[[#This Row],[Quantity]]*Orders[[#This Row],[Cost Price]]</f>
        <v>3907.28</v>
      </c>
      <c r="K500">
        <f>Orders[[#This Row],[Revenue]]-Orders[[#This Row],[Expenses]]</f>
        <v>689.52</v>
      </c>
      <c r="L500" t="s">
        <v>2215</v>
      </c>
      <c r="M500" t="str">
        <f>_xlfn.XLOOKUP(Orders[[#This Row],[CustomerID]],Customers[CustomerID],Customers[City])</f>
        <v>Texas</v>
      </c>
      <c r="N500" t="str">
        <f>_xlfn.XLOOKUP(Orders[[#This Row],[CustomerID]],Customers[CustomerID],Customers[CustomerName])</f>
        <v>Sani Obi</v>
      </c>
      <c r="O500" t="str">
        <f>_xlfn.XLOOKUP(Orders[[#This Row],[CustomerID]],Customers[CustomerID],Customers[Gender])</f>
        <v>Male</v>
      </c>
      <c r="P500">
        <f>_xlfn.XLOOKUP(Orders[[#This Row],[CustomerID]],Customers[CustomerID],Customers[CustomerAge])</f>
        <v>31</v>
      </c>
      <c r="Q500" t="str">
        <f>IF(Orders[[#This Row],[Age]]&gt;=35,"older","young")</f>
        <v>young</v>
      </c>
      <c r="R500" t="str">
        <f>_xlfn.XLOOKUP(Orders[[#This Row],[ProductID]],Products[ProductID],Products[ProductName])</f>
        <v>GYM WEARS</v>
      </c>
      <c r="S500" t="str">
        <f>_xlfn.XLOOKUP(Orders[[#This Row],[ProductID]],Products!A:A,Products!C:C)</f>
        <v>Clothing</v>
      </c>
    </row>
    <row r="501" spans="1:19" x14ac:dyDescent="0.2">
      <c r="A501" s="4" t="s">
        <v>687</v>
      </c>
      <c r="B501" s="5">
        <v>46001</v>
      </c>
      <c r="C501" s="15">
        <f>WEEKNUM(Orders[[#This Row],[OrderDate]])</f>
        <v>50</v>
      </c>
      <c r="D501" s="4" t="s">
        <v>457</v>
      </c>
      <c r="E501" s="4" t="s">
        <v>111</v>
      </c>
      <c r="F501" s="4">
        <v>7</v>
      </c>
      <c r="G501" s="4">
        <v>6097.6</v>
      </c>
      <c r="H501">
        <v>5182.96</v>
      </c>
      <c r="I501">
        <f>Orders[[#This Row],[Quantity]]*Orders[[#This Row],[Selling Price]]</f>
        <v>42683.200000000004</v>
      </c>
      <c r="J501">
        <f>Orders[[#This Row],[Quantity]]*Orders[[#This Row],[Cost Price]]</f>
        <v>36280.720000000001</v>
      </c>
      <c r="K501">
        <f>Orders[[#This Row],[Revenue]]-Orders[[#This Row],[Expenses]]</f>
        <v>6402.4800000000032</v>
      </c>
      <c r="L501" t="s">
        <v>2218</v>
      </c>
      <c r="M501" t="str">
        <f>_xlfn.XLOOKUP(Orders[[#This Row],[CustomerID]],Customers[CustomerID],Customers[City])</f>
        <v>Illinois</v>
      </c>
      <c r="N501" t="str">
        <f>_xlfn.XLOOKUP(Orders[[#This Row],[CustomerID]],Customers[CustomerID],Customers[CustomerName])</f>
        <v>Tunde Okonkwo</v>
      </c>
      <c r="O501" t="str">
        <f>_xlfn.XLOOKUP(Orders[[#This Row],[CustomerID]],Customers[CustomerID],Customers[Gender])</f>
        <v>Male</v>
      </c>
      <c r="P501">
        <f>_xlfn.XLOOKUP(Orders[[#This Row],[CustomerID]],Customers[CustomerID],Customers[CustomerAge])</f>
        <v>23</v>
      </c>
      <c r="Q501" t="str">
        <f>IF(Orders[[#This Row],[Age]]&gt;=35,"older","young")</f>
        <v>young</v>
      </c>
      <c r="R501" t="str">
        <f>_xlfn.XLOOKUP(Orders[[#This Row],[ProductID]],Products[ProductID],Products[ProductName])</f>
        <v>REFRIGERATOR</v>
      </c>
      <c r="S501" t="str">
        <f>_xlfn.XLOOKUP(Orders[[#This Row],[ProductID]],Products!A:A,Products!C:C)</f>
        <v>Electronics</v>
      </c>
    </row>
    <row r="502" spans="1:19" x14ac:dyDescent="0.2">
      <c r="A502" s="4" t="s">
        <v>688</v>
      </c>
      <c r="B502" s="5">
        <v>45934</v>
      </c>
      <c r="C502" s="15">
        <f>WEEKNUM(Orders[[#This Row],[OrderDate]])</f>
        <v>40</v>
      </c>
      <c r="D502" s="4" t="s">
        <v>36</v>
      </c>
      <c r="E502" s="4" t="s">
        <v>92</v>
      </c>
      <c r="F502" s="4">
        <v>7</v>
      </c>
      <c r="G502" s="4">
        <v>16059.7</v>
      </c>
      <c r="H502">
        <v>13650.745000000001</v>
      </c>
      <c r="I502">
        <f>Orders[[#This Row],[Quantity]]*Orders[[#This Row],[Selling Price]]</f>
        <v>112417.90000000001</v>
      </c>
      <c r="J502">
        <f>Orders[[#This Row],[Quantity]]*Orders[[#This Row],[Cost Price]]</f>
        <v>95555.215000000011</v>
      </c>
      <c r="K502">
        <f>Orders[[#This Row],[Revenue]]-Orders[[#This Row],[Expenses]]</f>
        <v>16862.684999999998</v>
      </c>
      <c r="L502" t="s">
        <v>2213</v>
      </c>
      <c r="M502" t="str">
        <f>_xlfn.XLOOKUP(Orders[[#This Row],[CustomerID]],Customers[CustomerID],Customers[City])</f>
        <v>California</v>
      </c>
      <c r="N502" t="str">
        <f>_xlfn.XLOOKUP(Orders[[#This Row],[CustomerID]],Customers[CustomerID],Customers[CustomerName])</f>
        <v>Jide Eze</v>
      </c>
      <c r="O502" t="str">
        <f>_xlfn.XLOOKUP(Orders[[#This Row],[CustomerID]],Customers[CustomerID],Customers[Gender])</f>
        <v>Male</v>
      </c>
      <c r="P502">
        <f>_xlfn.XLOOKUP(Orders[[#This Row],[CustomerID]],Customers[CustomerID],Customers[CustomerAge])</f>
        <v>21</v>
      </c>
      <c r="Q502" t="str">
        <f>IF(Orders[[#This Row],[Age]]&gt;=35,"older","young")</f>
        <v>young</v>
      </c>
      <c r="R502" t="str">
        <f>_xlfn.XLOOKUP(Orders[[#This Row],[ProductID]],Products[ProductID],Products[ProductName])</f>
        <v>CHEST EXPANDER</v>
      </c>
      <c r="S502" t="str">
        <f>_xlfn.XLOOKUP(Orders[[#This Row],[ProductID]],Products!A:A,Products!C:C)</f>
        <v>Gym</v>
      </c>
    </row>
    <row r="503" spans="1:19" x14ac:dyDescent="0.2">
      <c r="A503" s="4" t="s">
        <v>689</v>
      </c>
      <c r="B503" s="5">
        <v>45969</v>
      </c>
      <c r="C503" s="15">
        <f>WEEKNUM(Orders[[#This Row],[OrderDate]])</f>
        <v>45</v>
      </c>
      <c r="D503" s="4" t="s">
        <v>285</v>
      </c>
      <c r="E503" s="4" t="s">
        <v>92</v>
      </c>
      <c r="F503" s="4">
        <v>2</v>
      </c>
      <c r="G503" s="4">
        <v>17513</v>
      </c>
      <c r="H503">
        <v>14886.05</v>
      </c>
      <c r="I503">
        <f>Orders[[#This Row],[Quantity]]*Orders[[#This Row],[Selling Price]]</f>
        <v>35026</v>
      </c>
      <c r="J503">
        <f>Orders[[#This Row],[Quantity]]*Orders[[#This Row],[Cost Price]]</f>
        <v>29772.1</v>
      </c>
      <c r="K503">
        <f>Orders[[#This Row],[Revenue]]-Orders[[#This Row],[Expenses]]</f>
        <v>5253.9000000000015</v>
      </c>
      <c r="L503" t="s">
        <v>2199</v>
      </c>
      <c r="M503" t="str">
        <f>_xlfn.XLOOKUP(Orders[[#This Row],[CustomerID]],Customers[CustomerID],Customers[City])</f>
        <v>California</v>
      </c>
      <c r="N503" t="str">
        <f>_xlfn.XLOOKUP(Orders[[#This Row],[CustomerID]],Customers[CustomerID],Customers[CustomerName])</f>
        <v>Sani Balogun</v>
      </c>
      <c r="O503" t="str">
        <f>_xlfn.XLOOKUP(Orders[[#This Row],[CustomerID]],Customers[CustomerID],Customers[Gender])</f>
        <v>Male</v>
      </c>
      <c r="P503">
        <f>_xlfn.XLOOKUP(Orders[[#This Row],[CustomerID]],Customers[CustomerID],Customers[CustomerAge])</f>
        <v>27</v>
      </c>
      <c r="Q503" t="str">
        <f>IF(Orders[[#This Row],[Age]]&gt;=35,"older","young")</f>
        <v>young</v>
      </c>
      <c r="R503" t="str">
        <f>_xlfn.XLOOKUP(Orders[[#This Row],[ProductID]],Products[ProductID],Products[ProductName])</f>
        <v>CHEST EXPANDER</v>
      </c>
      <c r="S503" t="str">
        <f>_xlfn.XLOOKUP(Orders[[#This Row],[ProductID]],Products!A:A,Products!C:C)</f>
        <v>Gym</v>
      </c>
    </row>
    <row r="504" spans="1:19" x14ac:dyDescent="0.2">
      <c r="A504" s="4" t="s">
        <v>690</v>
      </c>
      <c r="B504" s="5">
        <v>45939</v>
      </c>
      <c r="C504" s="15">
        <f>WEEKNUM(Orders[[#This Row],[OrderDate]])</f>
        <v>41</v>
      </c>
      <c r="D504" s="4" t="s">
        <v>507</v>
      </c>
      <c r="E504" s="4" t="s">
        <v>37</v>
      </c>
      <c r="F504" s="4">
        <v>9</v>
      </c>
      <c r="G504" s="4">
        <v>4580.7</v>
      </c>
      <c r="H504">
        <v>3893.5949999999998</v>
      </c>
      <c r="I504">
        <f>Orders[[#This Row],[Quantity]]*Orders[[#This Row],[Selling Price]]</f>
        <v>41226.299999999996</v>
      </c>
      <c r="J504">
        <f>Orders[[#This Row],[Quantity]]*Orders[[#This Row],[Cost Price]]</f>
        <v>35042.354999999996</v>
      </c>
      <c r="K504">
        <f>Orders[[#This Row],[Revenue]]-Orders[[#This Row],[Expenses]]</f>
        <v>6183.9449999999997</v>
      </c>
      <c r="L504" t="s">
        <v>2214</v>
      </c>
      <c r="M504" t="str">
        <f>_xlfn.XLOOKUP(Orders[[#This Row],[CustomerID]],Customers[CustomerID],Customers[City])</f>
        <v>Washington</v>
      </c>
      <c r="N504" t="str">
        <f>_xlfn.XLOOKUP(Orders[[#This Row],[CustomerID]],Customers[CustomerID],Customers[CustomerName])</f>
        <v>Temi Okonkwo</v>
      </c>
      <c r="O504" t="str">
        <f>_xlfn.XLOOKUP(Orders[[#This Row],[CustomerID]],Customers[CustomerID],Customers[Gender])</f>
        <v>Female</v>
      </c>
      <c r="P504">
        <f>_xlfn.XLOOKUP(Orders[[#This Row],[CustomerID]],Customers[CustomerID],Customers[CustomerAge])</f>
        <v>35</v>
      </c>
      <c r="Q504" t="str">
        <f>IF(Orders[[#This Row],[Age]]&gt;=35,"older","young")</f>
        <v>older</v>
      </c>
      <c r="R504" t="str">
        <f>_xlfn.XLOOKUP(Orders[[#This Row],[ProductID]],Products[ProductID],Products[ProductName])</f>
        <v>IRON</v>
      </c>
      <c r="S504" t="str">
        <f>_xlfn.XLOOKUP(Orders[[#This Row],[ProductID]],Products!A:A,Products!C:C)</f>
        <v>Electronics</v>
      </c>
    </row>
    <row r="505" spans="1:19" x14ac:dyDescent="0.2">
      <c r="A505" s="4" t="s">
        <v>691</v>
      </c>
      <c r="B505" s="5">
        <v>45978</v>
      </c>
      <c r="C505" s="15">
        <f>WEEKNUM(Orders[[#This Row],[OrderDate]])</f>
        <v>47</v>
      </c>
      <c r="D505" s="4" t="s">
        <v>174</v>
      </c>
      <c r="E505" s="4" t="s">
        <v>127</v>
      </c>
      <c r="F505" s="4">
        <v>6</v>
      </c>
      <c r="G505" s="4">
        <v>11309.9</v>
      </c>
      <c r="H505">
        <v>9613.4149999999991</v>
      </c>
      <c r="I505">
        <f>Orders[[#This Row],[Quantity]]*Orders[[#This Row],[Selling Price]]</f>
        <v>67859.399999999994</v>
      </c>
      <c r="J505">
        <f>Orders[[#This Row],[Quantity]]*Orders[[#This Row],[Cost Price]]</f>
        <v>57680.489999999991</v>
      </c>
      <c r="K505">
        <f>Orders[[#This Row],[Revenue]]-Orders[[#This Row],[Expenses]]</f>
        <v>10178.910000000003</v>
      </c>
      <c r="L505" t="s">
        <v>2203</v>
      </c>
      <c r="M505" t="str">
        <f>_xlfn.XLOOKUP(Orders[[#This Row],[CustomerID]],Customers[CustomerID],Customers[City])</f>
        <v>California</v>
      </c>
      <c r="N505" t="str">
        <f>_xlfn.XLOOKUP(Orders[[#This Row],[CustomerID]],Customers[CustomerID],Customers[CustomerName])</f>
        <v>Zainab Obi</v>
      </c>
      <c r="O505" t="str">
        <f>_xlfn.XLOOKUP(Orders[[#This Row],[CustomerID]],Customers[CustomerID],Customers[Gender])</f>
        <v>Female</v>
      </c>
      <c r="P505">
        <f>_xlfn.XLOOKUP(Orders[[#This Row],[CustomerID]],Customers[CustomerID],Customers[CustomerAge])</f>
        <v>18</v>
      </c>
      <c r="Q505" t="str">
        <f>IF(Orders[[#This Row],[Age]]&gt;=35,"older","young")</f>
        <v>young</v>
      </c>
      <c r="R505" t="str">
        <f>_xlfn.XLOOKUP(Orders[[#This Row],[ProductID]],Products[ProductID],Products[ProductName])</f>
        <v>TOPS</v>
      </c>
      <c r="S505" t="str">
        <f>_xlfn.XLOOKUP(Orders[[#This Row],[ProductID]],Products!A:A,Products!C:C)</f>
        <v>Clothing</v>
      </c>
    </row>
    <row r="506" spans="1:19" x14ac:dyDescent="0.2">
      <c r="A506" s="4" t="s">
        <v>692</v>
      </c>
      <c r="B506" s="5">
        <v>45957</v>
      </c>
      <c r="C506" s="15">
        <f>WEEKNUM(Orders[[#This Row],[OrderDate]])</f>
        <v>44</v>
      </c>
      <c r="D506" s="4" t="s">
        <v>89</v>
      </c>
      <c r="E506" s="4" t="s">
        <v>37</v>
      </c>
      <c r="F506" s="4">
        <v>6</v>
      </c>
      <c r="G506" s="4">
        <v>5468.5</v>
      </c>
      <c r="H506">
        <v>4648.2250000000004</v>
      </c>
      <c r="I506">
        <f>Orders[[#This Row],[Quantity]]*Orders[[#This Row],[Selling Price]]</f>
        <v>32811</v>
      </c>
      <c r="J506">
        <f>Orders[[#This Row],[Quantity]]*Orders[[#This Row],[Cost Price]]</f>
        <v>27889.350000000002</v>
      </c>
      <c r="K506">
        <f>Orders[[#This Row],[Revenue]]-Orders[[#This Row],[Expenses]]</f>
        <v>4921.6499999999978</v>
      </c>
      <c r="L506" t="s">
        <v>2212</v>
      </c>
      <c r="M506" t="str">
        <f>_xlfn.XLOOKUP(Orders[[#This Row],[CustomerID]],Customers[CustomerID],Customers[City])</f>
        <v>Washington</v>
      </c>
      <c r="N506" t="str">
        <f>_xlfn.XLOOKUP(Orders[[#This Row],[CustomerID]],Customers[CustomerID],Customers[CustomerName])</f>
        <v>Blessing Balogun</v>
      </c>
      <c r="O506" t="str">
        <f>_xlfn.XLOOKUP(Orders[[#This Row],[CustomerID]],Customers[CustomerID],Customers[Gender])</f>
        <v>Female</v>
      </c>
      <c r="P506">
        <f>_xlfn.XLOOKUP(Orders[[#This Row],[CustomerID]],Customers[CustomerID],Customers[CustomerAge])</f>
        <v>19</v>
      </c>
      <c r="Q506" t="str">
        <f>IF(Orders[[#This Row],[Age]]&gt;=35,"older","young")</f>
        <v>young</v>
      </c>
      <c r="R506" t="str">
        <f>_xlfn.XLOOKUP(Orders[[#This Row],[ProductID]],Products[ProductID],Products[ProductName])</f>
        <v>IRON</v>
      </c>
      <c r="S506" t="str">
        <f>_xlfn.XLOOKUP(Orders[[#This Row],[ProductID]],Products!A:A,Products!C:C)</f>
        <v>Electronics</v>
      </c>
    </row>
    <row r="507" spans="1:19" x14ac:dyDescent="0.2">
      <c r="A507" s="4" t="s">
        <v>693</v>
      </c>
      <c r="B507" s="5">
        <v>45955</v>
      </c>
      <c r="C507" s="15">
        <f>WEEKNUM(Orders[[#This Row],[OrderDate]])</f>
        <v>43</v>
      </c>
      <c r="D507" s="4" t="s">
        <v>227</v>
      </c>
      <c r="E507" s="4" t="s">
        <v>66</v>
      </c>
      <c r="F507" s="4">
        <v>6</v>
      </c>
      <c r="G507" s="4">
        <v>16400.7</v>
      </c>
      <c r="H507">
        <v>13940.595000000001</v>
      </c>
      <c r="I507">
        <f>Orders[[#This Row],[Quantity]]*Orders[[#This Row],[Selling Price]]</f>
        <v>98404.200000000012</v>
      </c>
      <c r="J507">
        <f>Orders[[#This Row],[Quantity]]*Orders[[#This Row],[Cost Price]]</f>
        <v>83643.570000000007</v>
      </c>
      <c r="K507">
        <f>Orders[[#This Row],[Revenue]]-Orders[[#This Row],[Expenses]]</f>
        <v>14760.630000000005</v>
      </c>
      <c r="L507" t="s">
        <v>2199</v>
      </c>
      <c r="M507" t="str">
        <f>_xlfn.XLOOKUP(Orders[[#This Row],[CustomerID]],Customers[CustomerID],Customers[City])</f>
        <v>Washington</v>
      </c>
      <c r="N507" t="str">
        <f>_xlfn.XLOOKUP(Orders[[#This Row],[CustomerID]],Customers[CustomerID],Customers[CustomerName])</f>
        <v>Emmanuel Victor</v>
      </c>
      <c r="O507" t="str">
        <f>_xlfn.XLOOKUP(Orders[[#This Row],[CustomerID]],Customers[CustomerID],Customers[Gender])</f>
        <v>Male</v>
      </c>
      <c r="P507">
        <f>_xlfn.XLOOKUP(Orders[[#This Row],[CustomerID]],Customers[CustomerID],Customers[CustomerAge])</f>
        <v>35</v>
      </c>
      <c r="Q507" t="str">
        <f>IF(Orders[[#This Row],[Age]]&gt;=35,"older","young")</f>
        <v>older</v>
      </c>
      <c r="R507" t="str">
        <f>_xlfn.XLOOKUP(Orders[[#This Row],[ProductID]],Products[ProductID],Products[ProductName])</f>
        <v>MICROWAVE</v>
      </c>
      <c r="S507" t="str">
        <f>_xlfn.XLOOKUP(Orders[[#This Row],[ProductID]],Products!A:A,Products!C:C)</f>
        <v>Electronics</v>
      </c>
    </row>
    <row r="508" spans="1:19" x14ac:dyDescent="0.2">
      <c r="A508" s="4" t="s">
        <v>694</v>
      </c>
      <c r="B508" s="5">
        <v>46000</v>
      </c>
      <c r="C508" s="15">
        <f>WEEKNUM(Orders[[#This Row],[OrderDate]])</f>
        <v>50</v>
      </c>
      <c r="D508" s="4" t="s">
        <v>134</v>
      </c>
      <c r="E508" s="4" t="s">
        <v>76</v>
      </c>
      <c r="F508" s="4">
        <v>4</v>
      </c>
      <c r="G508" s="4">
        <v>16167.2</v>
      </c>
      <c r="H508">
        <v>13742.12</v>
      </c>
      <c r="I508">
        <f>Orders[[#This Row],[Quantity]]*Orders[[#This Row],[Selling Price]]</f>
        <v>64668.800000000003</v>
      </c>
      <c r="J508">
        <f>Orders[[#This Row],[Quantity]]*Orders[[#This Row],[Cost Price]]</f>
        <v>54968.480000000003</v>
      </c>
      <c r="K508">
        <f>Orders[[#This Row],[Revenue]]-Orders[[#This Row],[Expenses]]</f>
        <v>9700.32</v>
      </c>
      <c r="L508" t="s">
        <v>2200</v>
      </c>
      <c r="M508" t="str">
        <f>_xlfn.XLOOKUP(Orders[[#This Row],[CustomerID]],Customers[CustomerID],Customers[City])</f>
        <v>Florida</v>
      </c>
      <c r="N508" t="str">
        <f>_xlfn.XLOOKUP(Orders[[#This Row],[CustomerID]],Customers[CustomerID],Customers[CustomerName])</f>
        <v>Ngozi Ojo</v>
      </c>
      <c r="O508" t="str">
        <f>_xlfn.XLOOKUP(Orders[[#This Row],[CustomerID]],Customers[CustomerID],Customers[Gender])</f>
        <v>Female</v>
      </c>
      <c r="P508">
        <f>_xlfn.XLOOKUP(Orders[[#This Row],[CustomerID]],Customers[CustomerID],Customers[CustomerAge])</f>
        <v>18</v>
      </c>
      <c r="Q508" t="str">
        <f>IF(Orders[[#This Row],[Age]]&gt;=35,"older","young")</f>
        <v>young</v>
      </c>
      <c r="R508" t="str">
        <f>_xlfn.XLOOKUP(Orders[[#This Row],[ProductID]],Products[ProductID],Products[ProductName])</f>
        <v>BLENDER</v>
      </c>
      <c r="S508" t="str">
        <f>_xlfn.XLOOKUP(Orders[[#This Row],[ProductID]],Products!A:A,Products!C:C)</f>
        <v>Electronics</v>
      </c>
    </row>
    <row r="509" spans="1:19" x14ac:dyDescent="0.2">
      <c r="A509" s="4" t="s">
        <v>695</v>
      </c>
      <c r="B509" s="5">
        <v>45944</v>
      </c>
      <c r="C509" s="15">
        <f>WEEKNUM(Orders[[#This Row],[OrderDate]])</f>
        <v>42</v>
      </c>
      <c r="D509" s="4" t="s">
        <v>180</v>
      </c>
      <c r="E509" s="4" t="s">
        <v>120</v>
      </c>
      <c r="F509" s="4">
        <v>8</v>
      </c>
      <c r="G509" s="4">
        <v>3478.5</v>
      </c>
      <c r="H509">
        <v>2956.7249999999999</v>
      </c>
      <c r="I509">
        <f>Orders[[#This Row],[Quantity]]*Orders[[#This Row],[Selling Price]]</f>
        <v>27828</v>
      </c>
      <c r="J509">
        <f>Orders[[#This Row],[Quantity]]*Orders[[#This Row],[Cost Price]]</f>
        <v>23653.8</v>
      </c>
      <c r="K509">
        <f>Orders[[#This Row],[Revenue]]-Orders[[#This Row],[Expenses]]</f>
        <v>4174.2000000000007</v>
      </c>
      <c r="L509" t="s">
        <v>2200</v>
      </c>
      <c r="M509" t="str">
        <f>_xlfn.XLOOKUP(Orders[[#This Row],[CustomerID]],Customers[CustomerID],Customers[City])</f>
        <v>Texas</v>
      </c>
      <c r="N509" t="str">
        <f>_xlfn.XLOOKUP(Orders[[#This Row],[CustomerID]],Customers[CustomerID],Customers[CustomerName])</f>
        <v>Jide Okonkwo</v>
      </c>
      <c r="O509" t="str">
        <f>_xlfn.XLOOKUP(Orders[[#This Row],[CustomerID]],Customers[CustomerID],Customers[Gender])</f>
        <v>Male</v>
      </c>
      <c r="P509">
        <f>_xlfn.XLOOKUP(Orders[[#This Row],[CustomerID]],Customers[CustomerID],Customers[CustomerAge])</f>
        <v>25</v>
      </c>
      <c r="Q509" t="str">
        <f>IF(Orders[[#This Row],[Age]]&gt;=35,"older","young")</f>
        <v>young</v>
      </c>
      <c r="R509" t="str">
        <f>_xlfn.XLOOKUP(Orders[[#This Row],[ProductID]],Products[ProductID],Products[ProductName])</f>
        <v>CHESS</v>
      </c>
      <c r="S509" t="str">
        <f>_xlfn.XLOOKUP(Orders[[#This Row],[ProductID]],Products!A:A,Products!C:C)</f>
        <v>Games</v>
      </c>
    </row>
    <row r="510" spans="1:19" x14ac:dyDescent="0.2">
      <c r="A510" s="4" t="s">
        <v>696</v>
      </c>
      <c r="B510" s="5">
        <v>45934</v>
      </c>
      <c r="C510" s="15">
        <f>WEEKNUM(Orders[[#This Row],[OrderDate]])</f>
        <v>40</v>
      </c>
      <c r="D510" s="4" t="s">
        <v>91</v>
      </c>
      <c r="E510" s="4" t="s">
        <v>168</v>
      </c>
      <c r="F510" s="4">
        <v>9</v>
      </c>
      <c r="G510" s="4">
        <v>3367.6</v>
      </c>
      <c r="H510">
        <v>2862.46</v>
      </c>
      <c r="I510">
        <f>Orders[[#This Row],[Quantity]]*Orders[[#This Row],[Selling Price]]</f>
        <v>30308.399999999998</v>
      </c>
      <c r="J510">
        <f>Orders[[#This Row],[Quantity]]*Orders[[#This Row],[Cost Price]]</f>
        <v>25762.14</v>
      </c>
      <c r="K510">
        <f>Orders[[#This Row],[Revenue]]-Orders[[#This Row],[Expenses]]</f>
        <v>4546.2599999999984</v>
      </c>
      <c r="L510" t="s">
        <v>2201</v>
      </c>
      <c r="M510" t="str">
        <f>_xlfn.XLOOKUP(Orders[[#This Row],[CustomerID]],Customers[CustomerID],Customers[City])</f>
        <v>Florida</v>
      </c>
      <c r="N510" t="str">
        <f>_xlfn.XLOOKUP(Orders[[#This Row],[CustomerID]],Customers[CustomerID],Customers[CustomerName])</f>
        <v>Uche Abubakar</v>
      </c>
      <c r="O510" t="str">
        <f>_xlfn.XLOOKUP(Orders[[#This Row],[CustomerID]],Customers[CustomerID],Customers[Gender])</f>
        <v>Male</v>
      </c>
      <c r="P510">
        <f>_xlfn.XLOOKUP(Orders[[#This Row],[CustomerID]],Customers[CustomerID],Customers[CustomerAge])</f>
        <v>28</v>
      </c>
      <c r="Q510" t="str">
        <f>IF(Orders[[#This Row],[Age]]&gt;=35,"older","young")</f>
        <v>young</v>
      </c>
      <c r="R510" t="str">
        <f>_xlfn.XLOOKUP(Orders[[#This Row],[ProductID]],Products[ProductID],Products[ProductName])</f>
        <v>DUMB BELLS</v>
      </c>
      <c r="S510" t="str">
        <f>_xlfn.XLOOKUP(Orders[[#This Row],[ProductID]],Products!A:A,Products!C:C)</f>
        <v>Gym</v>
      </c>
    </row>
    <row r="511" spans="1:19" x14ac:dyDescent="0.2">
      <c r="A511" s="4" t="s">
        <v>697</v>
      </c>
      <c r="B511" s="5">
        <v>46015</v>
      </c>
      <c r="C511" s="15">
        <f>WEEKNUM(Orders[[#This Row],[OrderDate]])</f>
        <v>52</v>
      </c>
      <c r="D511" s="4" t="s">
        <v>41</v>
      </c>
      <c r="E511" s="4" t="s">
        <v>157</v>
      </c>
      <c r="F511" s="4">
        <v>7</v>
      </c>
      <c r="G511" s="4">
        <v>8022.7999999999993</v>
      </c>
      <c r="H511">
        <v>6819.3799999999992</v>
      </c>
      <c r="I511">
        <f>Orders[[#This Row],[Quantity]]*Orders[[#This Row],[Selling Price]]</f>
        <v>56159.599999999991</v>
      </c>
      <c r="J511">
        <f>Orders[[#This Row],[Quantity]]*Orders[[#This Row],[Cost Price]]</f>
        <v>47735.659999999996</v>
      </c>
      <c r="K511">
        <f>Orders[[#This Row],[Revenue]]-Orders[[#This Row],[Expenses]]</f>
        <v>8423.9399999999951</v>
      </c>
      <c r="L511" t="s">
        <v>2220</v>
      </c>
      <c r="M511" t="str">
        <f>_xlfn.XLOOKUP(Orders[[#This Row],[CustomerID]],Customers[CustomerID],Customers[City])</f>
        <v>Texas</v>
      </c>
      <c r="N511" t="str">
        <f>_xlfn.XLOOKUP(Orders[[#This Row],[CustomerID]],Customers[CustomerID],Customers[CustomerName])</f>
        <v>Mustafa Balogun</v>
      </c>
      <c r="O511" t="str">
        <f>_xlfn.XLOOKUP(Orders[[#This Row],[CustomerID]],Customers[CustomerID],Customers[Gender])</f>
        <v>Male</v>
      </c>
      <c r="P511">
        <f>_xlfn.XLOOKUP(Orders[[#This Row],[CustomerID]],Customers[CustomerID],Customers[CustomerAge])</f>
        <v>40</v>
      </c>
      <c r="Q511" t="str">
        <f>IF(Orders[[#This Row],[Age]]&gt;=35,"older","young")</f>
        <v>older</v>
      </c>
      <c r="R511" t="str">
        <f>_xlfn.XLOOKUP(Orders[[#This Row],[ProductID]],Products[ProductID],Products[ProductName])</f>
        <v>FOOTBALL</v>
      </c>
      <c r="S511" t="str">
        <f>_xlfn.XLOOKUP(Orders[[#This Row],[ProductID]],Products!A:A,Products!C:C)</f>
        <v>Sports</v>
      </c>
    </row>
    <row r="512" spans="1:19" x14ac:dyDescent="0.2">
      <c r="A512" s="4" t="s">
        <v>698</v>
      </c>
      <c r="B512" s="5">
        <v>45993</v>
      </c>
      <c r="C512" s="15">
        <f>WEEKNUM(Orders[[#This Row],[OrderDate]])</f>
        <v>49</v>
      </c>
      <c r="D512" s="4" t="s">
        <v>118</v>
      </c>
      <c r="E512" s="4" t="s">
        <v>81</v>
      </c>
      <c r="F512" s="4">
        <v>2</v>
      </c>
      <c r="G512" s="4">
        <v>7693.5</v>
      </c>
      <c r="H512">
        <v>6539.4750000000004</v>
      </c>
      <c r="I512">
        <f>Orders[[#This Row],[Quantity]]*Orders[[#This Row],[Selling Price]]</f>
        <v>15387</v>
      </c>
      <c r="J512">
        <f>Orders[[#This Row],[Quantity]]*Orders[[#This Row],[Cost Price]]</f>
        <v>13078.95</v>
      </c>
      <c r="K512">
        <f>Orders[[#This Row],[Revenue]]-Orders[[#This Row],[Expenses]]</f>
        <v>2308.0499999999993</v>
      </c>
      <c r="L512" t="s">
        <v>2211</v>
      </c>
      <c r="M512" t="str">
        <f>_xlfn.XLOOKUP(Orders[[#This Row],[CustomerID]],Customers[CustomerID],Customers[City])</f>
        <v>Georgia</v>
      </c>
      <c r="N512" t="str">
        <f>_xlfn.XLOOKUP(Orders[[#This Row],[CustomerID]],Customers[CustomerID],Customers[CustomerName])</f>
        <v>Ibrahim Balogun</v>
      </c>
      <c r="O512" t="str">
        <f>_xlfn.XLOOKUP(Orders[[#This Row],[CustomerID]],Customers[CustomerID],Customers[Gender])</f>
        <v>Male</v>
      </c>
      <c r="P512">
        <f>_xlfn.XLOOKUP(Orders[[#This Row],[CustomerID]],Customers[CustomerID],Customers[CustomerAge])</f>
        <v>55</v>
      </c>
      <c r="Q512" t="str">
        <f>IF(Orders[[#This Row],[Age]]&gt;=35,"older","young")</f>
        <v>older</v>
      </c>
      <c r="R512" t="str">
        <f>_xlfn.XLOOKUP(Orders[[#This Row],[ProductID]],Products[ProductID],Products[ProductName])</f>
        <v>TROUSERS</v>
      </c>
      <c r="S512" t="str">
        <f>_xlfn.XLOOKUP(Orders[[#This Row],[ProductID]],Products!A:A,Products!C:C)</f>
        <v>Clothing</v>
      </c>
    </row>
    <row r="513" spans="1:19" x14ac:dyDescent="0.2">
      <c r="A513" s="4" t="s">
        <v>699</v>
      </c>
      <c r="B513" s="5">
        <v>46009</v>
      </c>
      <c r="C513" s="15">
        <f>WEEKNUM(Orders[[#This Row],[OrderDate]])</f>
        <v>51</v>
      </c>
      <c r="D513" s="4" t="s">
        <v>30</v>
      </c>
      <c r="E513" s="4" t="s">
        <v>76</v>
      </c>
      <c r="F513" s="4">
        <v>6</v>
      </c>
      <c r="G513" s="4">
        <v>2596.7000000000003</v>
      </c>
      <c r="H513">
        <v>2207.1950000000002</v>
      </c>
      <c r="I513">
        <f>Orders[[#This Row],[Quantity]]*Orders[[#This Row],[Selling Price]]</f>
        <v>15580.2</v>
      </c>
      <c r="J513">
        <f>Orders[[#This Row],[Quantity]]*Orders[[#This Row],[Cost Price]]</f>
        <v>13243.170000000002</v>
      </c>
      <c r="K513">
        <f>Orders[[#This Row],[Revenue]]-Orders[[#This Row],[Expenses]]</f>
        <v>2337.0299999999988</v>
      </c>
      <c r="L513" t="s">
        <v>2210</v>
      </c>
      <c r="M513" t="str">
        <f>_xlfn.XLOOKUP(Orders[[#This Row],[CustomerID]],Customers[CustomerID],Customers[City])</f>
        <v>Florida</v>
      </c>
      <c r="N513" t="str">
        <f>_xlfn.XLOOKUP(Orders[[#This Row],[CustomerID]],Customers[CustomerID],Customers[CustomerName])</f>
        <v>Amina Danladi</v>
      </c>
      <c r="O513" t="str">
        <f>_xlfn.XLOOKUP(Orders[[#This Row],[CustomerID]],Customers[CustomerID],Customers[Gender])</f>
        <v>Female</v>
      </c>
      <c r="P513">
        <f>_xlfn.XLOOKUP(Orders[[#This Row],[CustomerID]],Customers[CustomerID],Customers[CustomerAge])</f>
        <v>42</v>
      </c>
      <c r="Q513" t="str">
        <f>IF(Orders[[#This Row],[Age]]&gt;=35,"older","young")</f>
        <v>older</v>
      </c>
      <c r="R513" t="str">
        <f>_xlfn.XLOOKUP(Orders[[#This Row],[ProductID]],Products[ProductID],Products[ProductName])</f>
        <v>BLENDER</v>
      </c>
      <c r="S513" t="str">
        <f>_xlfn.XLOOKUP(Orders[[#This Row],[ProductID]],Products!A:A,Products!C:C)</f>
        <v>Electronics</v>
      </c>
    </row>
    <row r="514" spans="1:19" x14ac:dyDescent="0.2">
      <c r="A514" s="4" t="s">
        <v>700</v>
      </c>
      <c r="B514" s="5">
        <v>45944</v>
      </c>
      <c r="C514" s="15">
        <f>WEEKNUM(Orders[[#This Row],[OrderDate]])</f>
        <v>42</v>
      </c>
      <c r="D514" s="4" t="s">
        <v>435</v>
      </c>
      <c r="E514" s="4" t="s">
        <v>20</v>
      </c>
      <c r="F514" s="4">
        <v>1</v>
      </c>
      <c r="G514" s="4">
        <v>9428</v>
      </c>
      <c r="H514">
        <v>8013.8</v>
      </c>
      <c r="I514">
        <f>Orders[[#This Row],[Quantity]]*Orders[[#This Row],[Selling Price]]</f>
        <v>9428</v>
      </c>
      <c r="J514">
        <f>Orders[[#This Row],[Quantity]]*Orders[[#This Row],[Cost Price]]</f>
        <v>8013.8</v>
      </c>
      <c r="K514">
        <f>Orders[[#This Row],[Revenue]]-Orders[[#This Row],[Expenses]]</f>
        <v>1414.1999999999998</v>
      </c>
      <c r="L514" t="s">
        <v>2192</v>
      </c>
      <c r="M514" t="str">
        <f>_xlfn.XLOOKUP(Orders[[#This Row],[CustomerID]],Customers[CustomerID],Customers[City])</f>
        <v>Texas</v>
      </c>
      <c r="N514" t="str">
        <f>_xlfn.XLOOKUP(Orders[[#This Row],[CustomerID]],Customers[CustomerID],Customers[CustomerName])</f>
        <v>Amina Balogun</v>
      </c>
      <c r="O514" t="str">
        <f>_xlfn.XLOOKUP(Orders[[#This Row],[CustomerID]],Customers[CustomerID],Customers[Gender])</f>
        <v>Female</v>
      </c>
      <c r="P514">
        <f>_xlfn.XLOOKUP(Orders[[#This Row],[CustomerID]],Customers[CustomerID],Customers[CustomerAge])</f>
        <v>32</v>
      </c>
      <c r="Q514" t="str">
        <f>IF(Orders[[#This Row],[Age]]&gt;=35,"older","young")</f>
        <v>young</v>
      </c>
      <c r="R514" t="str">
        <f>_xlfn.XLOOKUP(Orders[[#This Row],[ProductID]],Products[ProductID],Products[ProductName])</f>
        <v>GYM BAG</v>
      </c>
      <c r="S514" t="str">
        <f>_xlfn.XLOOKUP(Orders[[#This Row],[ProductID]],Products!A:A,Products!C:C)</f>
        <v>Gym</v>
      </c>
    </row>
    <row r="515" spans="1:19" x14ac:dyDescent="0.2">
      <c r="A515" s="4" t="s">
        <v>701</v>
      </c>
      <c r="B515" s="5">
        <v>45955</v>
      </c>
      <c r="C515" s="15">
        <f>WEEKNUM(Orders[[#This Row],[OrderDate]])</f>
        <v>43</v>
      </c>
      <c r="D515" s="4" t="s">
        <v>45</v>
      </c>
      <c r="E515" s="4" t="s">
        <v>28</v>
      </c>
      <c r="F515" s="4">
        <v>3</v>
      </c>
      <c r="G515" s="4">
        <v>849.80000000000007</v>
      </c>
      <c r="H515">
        <v>722.33</v>
      </c>
      <c r="I515">
        <f>Orders[[#This Row],[Quantity]]*Orders[[#This Row],[Selling Price]]</f>
        <v>2549.4</v>
      </c>
      <c r="J515">
        <f>Orders[[#This Row],[Quantity]]*Orders[[#This Row],[Cost Price]]</f>
        <v>2166.9900000000002</v>
      </c>
      <c r="K515">
        <f>Orders[[#This Row],[Revenue]]-Orders[[#This Row],[Expenses]]</f>
        <v>382.40999999999985</v>
      </c>
      <c r="L515" t="s">
        <v>2201</v>
      </c>
      <c r="M515" t="str">
        <f>_xlfn.XLOOKUP(Orders[[#This Row],[CustomerID]],Customers[CustomerID],Customers[City])</f>
        <v>Florida</v>
      </c>
      <c r="N515" t="str">
        <f>_xlfn.XLOOKUP(Orders[[#This Row],[CustomerID]],Customers[CustomerID],Customers[CustomerName])</f>
        <v>Abiola Abubakar</v>
      </c>
      <c r="O515" t="str">
        <f>_xlfn.XLOOKUP(Orders[[#This Row],[CustomerID]],Customers[CustomerID],Customers[Gender])</f>
        <v>Male</v>
      </c>
      <c r="P515">
        <f>_xlfn.XLOOKUP(Orders[[#This Row],[CustomerID]],Customers[CustomerID],Customers[CustomerAge])</f>
        <v>26</v>
      </c>
      <c r="Q515" t="str">
        <f>IF(Orders[[#This Row],[Age]]&gt;=35,"older","young")</f>
        <v>young</v>
      </c>
      <c r="R515" t="str">
        <f>_xlfn.XLOOKUP(Orders[[#This Row],[ProductID]],Products[ProductID],Products[ProductName])</f>
        <v>SNEAKERS</v>
      </c>
      <c r="S515" t="str">
        <f>_xlfn.XLOOKUP(Orders[[#This Row],[ProductID]],Products!A:A,Products!C:C)</f>
        <v>Sports</v>
      </c>
    </row>
    <row r="516" spans="1:19" x14ac:dyDescent="0.2">
      <c r="A516" s="4" t="s">
        <v>702</v>
      </c>
      <c r="B516" s="5">
        <v>45955</v>
      </c>
      <c r="C516" s="15">
        <f>WEEKNUM(Orders[[#This Row],[OrderDate]])</f>
        <v>43</v>
      </c>
      <c r="D516" s="4" t="s">
        <v>256</v>
      </c>
      <c r="E516" s="4" t="s">
        <v>353</v>
      </c>
      <c r="F516" s="4">
        <v>8</v>
      </c>
      <c r="G516" s="4">
        <v>6910</v>
      </c>
      <c r="H516">
        <v>5873.5</v>
      </c>
      <c r="I516">
        <f>Orders[[#This Row],[Quantity]]*Orders[[#This Row],[Selling Price]]</f>
        <v>55280</v>
      </c>
      <c r="J516">
        <f>Orders[[#This Row],[Quantity]]*Orders[[#This Row],[Cost Price]]</f>
        <v>46988</v>
      </c>
      <c r="K516">
        <f>Orders[[#This Row],[Revenue]]-Orders[[#This Row],[Expenses]]</f>
        <v>8292</v>
      </c>
      <c r="L516" t="s">
        <v>2203</v>
      </c>
      <c r="M516" t="str">
        <f>_xlfn.XLOOKUP(Orders[[#This Row],[CustomerID]],Customers[CustomerID],Customers[City])</f>
        <v>Georgia</v>
      </c>
      <c r="N516" t="str">
        <f>_xlfn.XLOOKUP(Orders[[#This Row],[CustomerID]],Customers[CustomerID],Customers[CustomerName])</f>
        <v>Efe Ojo</v>
      </c>
      <c r="O516" t="str">
        <f>_xlfn.XLOOKUP(Orders[[#This Row],[CustomerID]],Customers[CustomerID],Customers[Gender])</f>
        <v>Female</v>
      </c>
      <c r="P516">
        <f>_xlfn.XLOOKUP(Orders[[#This Row],[CustomerID]],Customers[CustomerID],Customers[CustomerAge])</f>
        <v>23</v>
      </c>
      <c r="Q516" t="str">
        <f>IF(Orders[[#This Row],[Age]]&gt;=35,"older","young")</f>
        <v>young</v>
      </c>
      <c r="R516" t="str">
        <f>_xlfn.XLOOKUP(Orders[[#This Row],[ProductID]],Products[ProductID],Products[ProductName])</f>
        <v>SILVER EARRINGS AND NECKLACES</v>
      </c>
      <c r="S516" t="str">
        <f>_xlfn.XLOOKUP(Orders[[#This Row],[ProductID]],Products!A:A,Products!C:C)</f>
        <v>Accessories</v>
      </c>
    </row>
    <row r="517" spans="1:19" x14ac:dyDescent="0.2">
      <c r="A517" s="4" t="s">
        <v>703</v>
      </c>
      <c r="B517" s="5">
        <v>45935</v>
      </c>
      <c r="C517" s="15">
        <f>WEEKNUM(Orders[[#This Row],[OrderDate]])</f>
        <v>41</v>
      </c>
      <c r="D517" s="4" t="s">
        <v>305</v>
      </c>
      <c r="E517" s="4" t="s">
        <v>46</v>
      </c>
      <c r="F517" s="4">
        <v>6</v>
      </c>
      <c r="G517" s="4">
        <v>1243.0999999999999</v>
      </c>
      <c r="H517">
        <v>1056.635</v>
      </c>
      <c r="I517">
        <f>Orders[[#This Row],[Quantity]]*Orders[[#This Row],[Selling Price]]</f>
        <v>7458.5999999999995</v>
      </c>
      <c r="J517">
        <f>Orders[[#This Row],[Quantity]]*Orders[[#This Row],[Cost Price]]</f>
        <v>6339.8099999999995</v>
      </c>
      <c r="K517">
        <f>Orders[[#This Row],[Revenue]]-Orders[[#This Row],[Expenses]]</f>
        <v>1118.79</v>
      </c>
      <c r="L517" t="s">
        <v>2210</v>
      </c>
      <c r="M517" t="str">
        <f>_xlfn.XLOOKUP(Orders[[#This Row],[CustomerID]],Customers[CustomerID],Customers[City])</f>
        <v>California</v>
      </c>
      <c r="N517" t="str">
        <f>_xlfn.XLOOKUP(Orders[[#This Row],[CustomerID]],Customers[CustomerID],Customers[CustomerName])</f>
        <v>Tunde Danladi</v>
      </c>
      <c r="O517" t="str">
        <f>_xlfn.XLOOKUP(Orders[[#This Row],[CustomerID]],Customers[CustomerID],Customers[Gender])</f>
        <v>Male</v>
      </c>
      <c r="P517">
        <f>_xlfn.XLOOKUP(Orders[[#This Row],[CustomerID]],Customers[CustomerID],Customers[CustomerAge])</f>
        <v>40</v>
      </c>
      <c r="Q517" t="str">
        <f>IF(Orders[[#This Row],[Age]]&gt;=35,"older","young")</f>
        <v>older</v>
      </c>
      <c r="R517" t="str">
        <f>_xlfn.XLOOKUP(Orders[[#This Row],[ProductID]],Products[ProductID],Products[ProductName])</f>
        <v>TURTLE NECK</v>
      </c>
      <c r="S517" t="str">
        <f>_xlfn.XLOOKUP(Orders[[#This Row],[ProductID]],Products!A:A,Products!C:C)</f>
        <v>Clothing</v>
      </c>
    </row>
    <row r="518" spans="1:19" x14ac:dyDescent="0.2">
      <c r="A518" s="4" t="s">
        <v>704</v>
      </c>
      <c r="B518" s="5">
        <v>45933</v>
      </c>
      <c r="C518" s="15">
        <f>WEEKNUM(Orders[[#This Row],[OrderDate]])</f>
        <v>40</v>
      </c>
      <c r="D518" s="4" t="s">
        <v>36</v>
      </c>
      <c r="E518" s="4" t="s">
        <v>57</v>
      </c>
      <c r="F518" s="4">
        <v>3</v>
      </c>
      <c r="G518" s="4">
        <v>18448.2</v>
      </c>
      <c r="H518">
        <v>15680.970000000001</v>
      </c>
      <c r="I518">
        <f>Orders[[#This Row],[Quantity]]*Orders[[#This Row],[Selling Price]]</f>
        <v>55344.600000000006</v>
      </c>
      <c r="J518">
        <f>Orders[[#This Row],[Quantity]]*Orders[[#This Row],[Cost Price]]</f>
        <v>47042.91</v>
      </c>
      <c r="K518">
        <f>Orders[[#This Row],[Revenue]]-Orders[[#This Row],[Expenses]]</f>
        <v>8301.6900000000023</v>
      </c>
      <c r="L518" t="s">
        <v>2206</v>
      </c>
      <c r="M518" t="str">
        <f>_xlfn.XLOOKUP(Orders[[#This Row],[CustomerID]],Customers[CustomerID],Customers[City])</f>
        <v>California</v>
      </c>
      <c r="N518" t="str">
        <f>_xlfn.XLOOKUP(Orders[[#This Row],[CustomerID]],Customers[CustomerID],Customers[CustomerName])</f>
        <v>Jide Eze</v>
      </c>
      <c r="O518" t="str">
        <f>_xlfn.XLOOKUP(Orders[[#This Row],[CustomerID]],Customers[CustomerID],Customers[Gender])</f>
        <v>Male</v>
      </c>
      <c r="P518">
        <f>_xlfn.XLOOKUP(Orders[[#This Row],[CustomerID]],Customers[CustomerID],Customers[CustomerAge])</f>
        <v>21</v>
      </c>
      <c r="Q518" t="str">
        <f>IF(Orders[[#This Row],[Age]]&gt;=35,"older","young")</f>
        <v>young</v>
      </c>
      <c r="R518" t="str">
        <f>_xlfn.XLOOKUP(Orders[[#This Row],[ProductID]],Products[ProductID],Products[ProductName])</f>
        <v>BADMINTON RACKET</v>
      </c>
      <c r="S518" t="str">
        <f>_xlfn.XLOOKUP(Orders[[#This Row],[ProductID]],Products!A:A,Products!C:C)</f>
        <v>Sports</v>
      </c>
    </row>
    <row r="519" spans="1:19" x14ac:dyDescent="0.2">
      <c r="A519" s="4" t="s">
        <v>705</v>
      </c>
      <c r="B519" s="5">
        <v>46022</v>
      </c>
      <c r="C519" s="15">
        <f>WEEKNUM(Orders[[#This Row],[OrderDate]])</f>
        <v>53</v>
      </c>
      <c r="D519" s="4" t="s">
        <v>285</v>
      </c>
      <c r="E519" s="4" t="s">
        <v>111</v>
      </c>
      <c r="F519" s="4">
        <v>10</v>
      </c>
      <c r="G519" s="4">
        <v>5516.2</v>
      </c>
      <c r="H519">
        <v>4688.7699999999995</v>
      </c>
      <c r="I519">
        <f>Orders[[#This Row],[Quantity]]*Orders[[#This Row],[Selling Price]]</f>
        <v>55162</v>
      </c>
      <c r="J519">
        <f>Orders[[#This Row],[Quantity]]*Orders[[#This Row],[Cost Price]]</f>
        <v>46887.7</v>
      </c>
      <c r="K519">
        <f>Orders[[#This Row],[Revenue]]-Orders[[#This Row],[Expenses]]</f>
        <v>8274.3000000000029</v>
      </c>
      <c r="L519" t="s">
        <v>2209</v>
      </c>
      <c r="M519" t="str">
        <f>_xlfn.XLOOKUP(Orders[[#This Row],[CustomerID]],Customers[CustomerID],Customers[City])</f>
        <v>California</v>
      </c>
      <c r="N519" t="str">
        <f>_xlfn.XLOOKUP(Orders[[#This Row],[CustomerID]],Customers[CustomerID],Customers[CustomerName])</f>
        <v>Sani Balogun</v>
      </c>
      <c r="O519" t="str">
        <f>_xlfn.XLOOKUP(Orders[[#This Row],[CustomerID]],Customers[CustomerID],Customers[Gender])</f>
        <v>Male</v>
      </c>
      <c r="P519">
        <f>_xlfn.XLOOKUP(Orders[[#This Row],[CustomerID]],Customers[CustomerID],Customers[CustomerAge])</f>
        <v>27</v>
      </c>
      <c r="Q519" t="str">
        <f>IF(Orders[[#This Row],[Age]]&gt;=35,"older","young")</f>
        <v>young</v>
      </c>
      <c r="R519" t="str">
        <f>_xlfn.XLOOKUP(Orders[[#This Row],[ProductID]],Products[ProductID],Products[ProductName])</f>
        <v>REFRIGERATOR</v>
      </c>
      <c r="S519" t="str">
        <f>_xlfn.XLOOKUP(Orders[[#This Row],[ProductID]],Products!A:A,Products!C:C)</f>
        <v>Electronics</v>
      </c>
    </row>
    <row r="520" spans="1:19" x14ac:dyDescent="0.2">
      <c r="A520" s="4" t="s">
        <v>706</v>
      </c>
      <c r="B520" s="5">
        <v>46007</v>
      </c>
      <c r="C520" s="15">
        <f>WEEKNUM(Orders[[#This Row],[OrderDate]])</f>
        <v>51</v>
      </c>
      <c r="D520" s="4" t="s">
        <v>435</v>
      </c>
      <c r="E520" s="4" t="s">
        <v>111</v>
      </c>
      <c r="F520" s="4">
        <v>3</v>
      </c>
      <c r="G520" s="4">
        <v>3574.1000000000004</v>
      </c>
      <c r="H520">
        <v>3037.9850000000006</v>
      </c>
      <c r="I520">
        <f>Orders[[#This Row],[Quantity]]*Orders[[#This Row],[Selling Price]]</f>
        <v>10722.300000000001</v>
      </c>
      <c r="J520">
        <f>Orders[[#This Row],[Quantity]]*Orders[[#This Row],[Cost Price]]</f>
        <v>9113.9550000000017</v>
      </c>
      <c r="K520">
        <f>Orders[[#This Row],[Revenue]]-Orders[[#This Row],[Expenses]]</f>
        <v>1608.3449999999993</v>
      </c>
      <c r="L520" t="s">
        <v>2218</v>
      </c>
      <c r="M520" t="str">
        <f>_xlfn.XLOOKUP(Orders[[#This Row],[CustomerID]],Customers[CustomerID],Customers[City])</f>
        <v>Texas</v>
      </c>
      <c r="N520" t="str">
        <f>_xlfn.XLOOKUP(Orders[[#This Row],[CustomerID]],Customers[CustomerID],Customers[CustomerName])</f>
        <v>Amina Balogun</v>
      </c>
      <c r="O520" t="str">
        <f>_xlfn.XLOOKUP(Orders[[#This Row],[CustomerID]],Customers[CustomerID],Customers[Gender])</f>
        <v>Female</v>
      </c>
      <c r="P520">
        <f>_xlfn.XLOOKUP(Orders[[#This Row],[CustomerID]],Customers[CustomerID],Customers[CustomerAge])</f>
        <v>32</v>
      </c>
      <c r="Q520" t="str">
        <f>IF(Orders[[#This Row],[Age]]&gt;=35,"older","young")</f>
        <v>young</v>
      </c>
      <c r="R520" t="str">
        <f>_xlfn.XLOOKUP(Orders[[#This Row],[ProductID]],Products[ProductID],Products[ProductName])</f>
        <v>REFRIGERATOR</v>
      </c>
      <c r="S520" t="str">
        <f>_xlfn.XLOOKUP(Orders[[#This Row],[ProductID]],Products!A:A,Products!C:C)</f>
        <v>Electronics</v>
      </c>
    </row>
    <row r="521" spans="1:19" x14ac:dyDescent="0.2">
      <c r="A521" s="4" t="s">
        <v>707</v>
      </c>
      <c r="B521" s="5">
        <v>46016</v>
      </c>
      <c r="C521" s="15">
        <f>WEEKNUM(Orders[[#This Row],[OrderDate]])</f>
        <v>52</v>
      </c>
      <c r="D521" s="4" t="s">
        <v>129</v>
      </c>
      <c r="E521" s="4" t="s">
        <v>57</v>
      </c>
      <c r="F521" s="4">
        <v>6</v>
      </c>
      <c r="G521" s="4">
        <v>11472.7</v>
      </c>
      <c r="H521">
        <v>9751.7950000000001</v>
      </c>
      <c r="I521">
        <f>Orders[[#This Row],[Quantity]]*Orders[[#This Row],[Selling Price]]</f>
        <v>68836.200000000012</v>
      </c>
      <c r="J521">
        <f>Orders[[#This Row],[Quantity]]*Orders[[#This Row],[Cost Price]]</f>
        <v>58510.770000000004</v>
      </c>
      <c r="K521">
        <f>Orders[[#This Row],[Revenue]]-Orders[[#This Row],[Expenses]]</f>
        <v>10325.430000000008</v>
      </c>
      <c r="L521" t="s">
        <v>2204</v>
      </c>
      <c r="M521" t="str">
        <f>_xlfn.XLOOKUP(Orders[[#This Row],[CustomerID]],Customers[CustomerID],Customers[City])</f>
        <v>Washington</v>
      </c>
      <c r="N521" t="str">
        <f>_xlfn.XLOOKUP(Orders[[#This Row],[CustomerID]],Customers[CustomerID],Customers[CustomerName])</f>
        <v>Chioma Ojo</v>
      </c>
      <c r="O521" t="str">
        <f>_xlfn.XLOOKUP(Orders[[#This Row],[CustomerID]],Customers[CustomerID],Customers[Gender])</f>
        <v>Female</v>
      </c>
      <c r="P521">
        <f>_xlfn.XLOOKUP(Orders[[#This Row],[CustomerID]],Customers[CustomerID],Customers[CustomerAge])</f>
        <v>46</v>
      </c>
      <c r="Q521" t="str">
        <f>IF(Orders[[#This Row],[Age]]&gt;=35,"older","young")</f>
        <v>older</v>
      </c>
      <c r="R521" t="str">
        <f>_xlfn.XLOOKUP(Orders[[#This Row],[ProductID]],Products[ProductID],Products[ProductName])</f>
        <v>BADMINTON RACKET</v>
      </c>
      <c r="S521" t="str">
        <f>_xlfn.XLOOKUP(Orders[[#This Row],[ProductID]],Products!A:A,Products!C:C)</f>
        <v>Sports</v>
      </c>
    </row>
    <row r="522" spans="1:19" x14ac:dyDescent="0.2">
      <c r="A522" s="4" t="s">
        <v>708</v>
      </c>
      <c r="B522" s="5">
        <v>45988</v>
      </c>
      <c r="C522" s="15">
        <f>WEEKNUM(Orders[[#This Row],[OrderDate]])</f>
        <v>48</v>
      </c>
      <c r="D522" s="4" t="s">
        <v>73</v>
      </c>
      <c r="E522" s="4" t="s">
        <v>57</v>
      </c>
      <c r="F522" s="4">
        <v>5</v>
      </c>
      <c r="G522" s="4">
        <v>17506.300000000003</v>
      </c>
      <c r="H522">
        <v>14880.355000000003</v>
      </c>
      <c r="I522">
        <f>Orders[[#This Row],[Quantity]]*Orders[[#This Row],[Selling Price]]</f>
        <v>87531.500000000015</v>
      </c>
      <c r="J522">
        <f>Orders[[#This Row],[Quantity]]*Orders[[#This Row],[Cost Price]]</f>
        <v>74401.775000000023</v>
      </c>
      <c r="K522">
        <f>Orders[[#This Row],[Revenue]]-Orders[[#This Row],[Expenses]]</f>
        <v>13129.724999999991</v>
      </c>
      <c r="L522" t="s">
        <v>2202</v>
      </c>
      <c r="M522" t="str">
        <f>_xlfn.XLOOKUP(Orders[[#This Row],[CustomerID]],Customers[CustomerID],Customers[City])</f>
        <v>California</v>
      </c>
      <c r="N522" t="str">
        <f>_xlfn.XLOOKUP(Orders[[#This Row],[CustomerID]],Customers[CustomerID],Customers[CustomerName])</f>
        <v>Ronke Okonkwo</v>
      </c>
      <c r="O522" t="str">
        <f>_xlfn.XLOOKUP(Orders[[#This Row],[CustomerID]],Customers[CustomerID],Customers[Gender])</f>
        <v>Female</v>
      </c>
      <c r="P522">
        <f>_xlfn.XLOOKUP(Orders[[#This Row],[CustomerID]],Customers[CustomerID],Customers[CustomerAge])</f>
        <v>20</v>
      </c>
      <c r="Q522" t="str">
        <f>IF(Orders[[#This Row],[Age]]&gt;=35,"older","young")</f>
        <v>young</v>
      </c>
      <c r="R522" t="str">
        <f>_xlfn.XLOOKUP(Orders[[#This Row],[ProductID]],Products[ProductID],Products[ProductName])</f>
        <v>BADMINTON RACKET</v>
      </c>
      <c r="S522" t="str">
        <f>_xlfn.XLOOKUP(Orders[[#This Row],[ProductID]],Products!A:A,Products!C:C)</f>
        <v>Sports</v>
      </c>
    </row>
    <row r="523" spans="1:19" x14ac:dyDescent="0.2">
      <c r="A523" s="4" t="s">
        <v>709</v>
      </c>
      <c r="B523" s="5">
        <v>45999</v>
      </c>
      <c r="C523" s="15">
        <f>WEEKNUM(Orders[[#This Row],[OrderDate]])</f>
        <v>50</v>
      </c>
      <c r="D523" s="4" t="s">
        <v>14</v>
      </c>
      <c r="E523" s="4" t="s">
        <v>81</v>
      </c>
      <c r="F523" s="4">
        <v>8</v>
      </c>
      <c r="G523" s="4">
        <v>13688.099999999999</v>
      </c>
      <c r="H523">
        <v>11634.884999999998</v>
      </c>
      <c r="I523">
        <f>Orders[[#This Row],[Quantity]]*Orders[[#This Row],[Selling Price]]</f>
        <v>109504.79999999999</v>
      </c>
      <c r="J523">
        <f>Orders[[#This Row],[Quantity]]*Orders[[#This Row],[Cost Price]]</f>
        <v>93079.079999999987</v>
      </c>
      <c r="K523">
        <f>Orders[[#This Row],[Revenue]]-Orders[[#This Row],[Expenses]]</f>
        <v>16425.72</v>
      </c>
      <c r="L523" t="s">
        <v>2212</v>
      </c>
      <c r="M523" t="str">
        <f>_xlfn.XLOOKUP(Orders[[#This Row],[CustomerID]],Customers[CustomerID],Customers[City])</f>
        <v>Texas</v>
      </c>
      <c r="N523" t="str">
        <f>_xlfn.XLOOKUP(Orders[[#This Row],[CustomerID]],Customers[CustomerID],Customers[CustomerName])</f>
        <v>Abiola Igwe</v>
      </c>
      <c r="O523" t="str">
        <f>_xlfn.XLOOKUP(Orders[[#This Row],[CustomerID]],Customers[CustomerID],Customers[Gender])</f>
        <v>Male</v>
      </c>
      <c r="P523">
        <f>_xlfn.XLOOKUP(Orders[[#This Row],[CustomerID]],Customers[CustomerID],Customers[CustomerAge])</f>
        <v>39</v>
      </c>
      <c r="Q523" t="str">
        <f>IF(Orders[[#This Row],[Age]]&gt;=35,"older","young")</f>
        <v>older</v>
      </c>
      <c r="R523" t="str">
        <f>_xlfn.XLOOKUP(Orders[[#This Row],[ProductID]],Products[ProductID],Products[ProductName])</f>
        <v>TROUSERS</v>
      </c>
      <c r="S523" t="str">
        <f>_xlfn.XLOOKUP(Orders[[#This Row],[ProductID]],Products!A:A,Products!C:C)</f>
        <v>Clothing</v>
      </c>
    </row>
    <row r="524" spans="1:19" x14ac:dyDescent="0.2">
      <c r="A524" s="4" t="s">
        <v>710</v>
      </c>
      <c r="B524" s="5">
        <v>46010</v>
      </c>
      <c r="C524" s="15">
        <f>WEEKNUM(Orders[[#This Row],[OrderDate]])</f>
        <v>51</v>
      </c>
      <c r="D524" s="4" t="s">
        <v>96</v>
      </c>
      <c r="E524" s="4" t="s">
        <v>63</v>
      </c>
      <c r="F524" s="4">
        <v>8</v>
      </c>
      <c r="G524" s="4">
        <v>15270.3</v>
      </c>
      <c r="H524">
        <v>12979.754999999999</v>
      </c>
      <c r="I524">
        <f>Orders[[#This Row],[Quantity]]*Orders[[#This Row],[Selling Price]]</f>
        <v>122162.4</v>
      </c>
      <c r="J524">
        <f>Orders[[#This Row],[Quantity]]*Orders[[#This Row],[Cost Price]]</f>
        <v>103838.04</v>
      </c>
      <c r="K524">
        <f>Orders[[#This Row],[Revenue]]-Orders[[#This Row],[Expenses]]</f>
        <v>18324.36</v>
      </c>
      <c r="L524" t="s">
        <v>2199</v>
      </c>
      <c r="M524" t="str">
        <f>_xlfn.XLOOKUP(Orders[[#This Row],[CustomerID]],Customers[CustomerID],Customers[City])</f>
        <v>Texas</v>
      </c>
      <c r="N524" t="str">
        <f>_xlfn.XLOOKUP(Orders[[#This Row],[CustomerID]],Customers[CustomerID],Customers[CustomerName])</f>
        <v>Amina Abubakar</v>
      </c>
      <c r="O524" t="str">
        <f>_xlfn.XLOOKUP(Orders[[#This Row],[CustomerID]],Customers[CustomerID],Customers[Gender])</f>
        <v>Female</v>
      </c>
      <c r="P524">
        <f>_xlfn.XLOOKUP(Orders[[#This Row],[CustomerID]],Customers[CustomerID],Customers[CustomerAge])</f>
        <v>35</v>
      </c>
      <c r="Q524" t="str">
        <f>IF(Orders[[#This Row],[Age]]&gt;=35,"older","young")</f>
        <v>older</v>
      </c>
      <c r="R524" t="str">
        <f>_xlfn.XLOOKUP(Orders[[#This Row],[ProductID]],Products[ProductID],Products[ProductName])</f>
        <v>TENNIS BAT</v>
      </c>
      <c r="S524" t="str">
        <f>_xlfn.XLOOKUP(Orders[[#This Row],[ProductID]],Products!A:A,Products!C:C)</f>
        <v>Sports</v>
      </c>
    </row>
    <row r="525" spans="1:19" x14ac:dyDescent="0.2">
      <c r="A525" s="4" t="s">
        <v>711</v>
      </c>
      <c r="B525" s="5">
        <v>45950</v>
      </c>
      <c r="C525" s="15">
        <f>WEEKNUM(Orders[[#This Row],[OrderDate]])</f>
        <v>43</v>
      </c>
      <c r="D525" s="4" t="s">
        <v>210</v>
      </c>
      <c r="E525" s="4" t="s">
        <v>189</v>
      </c>
      <c r="F525" s="4">
        <v>2</v>
      </c>
      <c r="G525" s="4">
        <v>8930.2000000000007</v>
      </c>
      <c r="H525">
        <v>7590.670000000001</v>
      </c>
      <c r="I525">
        <f>Orders[[#This Row],[Quantity]]*Orders[[#This Row],[Selling Price]]</f>
        <v>17860.400000000001</v>
      </c>
      <c r="J525">
        <f>Orders[[#This Row],[Quantity]]*Orders[[#This Row],[Cost Price]]</f>
        <v>15181.340000000002</v>
      </c>
      <c r="K525">
        <f>Orders[[#This Row],[Revenue]]-Orders[[#This Row],[Expenses]]</f>
        <v>2679.0599999999995</v>
      </c>
      <c r="L525" t="s">
        <v>2205</v>
      </c>
      <c r="M525" t="str">
        <f>_xlfn.XLOOKUP(Orders[[#This Row],[CustomerID]],Customers[CustomerID],Customers[City])</f>
        <v>Illinois</v>
      </c>
      <c r="N525" t="str">
        <f>_xlfn.XLOOKUP(Orders[[#This Row],[CustomerID]],Customers[CustomerID],Customers[CustomerName])</f>
        <v>Zainab Bello</v>
      </c>
      <c r="O525" t="str">
        <f>_xlfn.XLOOKUP(Orders[[#This Row],[CustomerID]],Customers[CustomerID],Customers[Gender])</f>
        <v>Female</v>
      </c>
      <c r="P525">
        <f>_xlfn.XLOOKUP(Orders[[#This Row],[CustomerID]],Customers[CustomerID],Customers[CustomerAge])</f>
        <v>27</v>
      </c>
      <c r="Q525" t="str">
        <f>IF(Orders[[#This Row],[Age]]&gt;=35,"older","young")</f>
        <v>young</v>
      </c>
      <c r="R525" t="str">
        <f>_xlfn.XLOOKUP(Orders[[#This Row],[ProductID]],Products[ProductID],Products[ProductName])</f>
        <v>SCRABBLE</v>
      </c>
      <c r="S525" t="str">
        <f>_xlfn.XLOOKUP(Orders[[#This Row],[ProductID]],Products!A:A,Products!C:C)</f>
        <v>Games</v>
      </c>
    </row>
    <row r="526" spans="1:19" x14ac:dyDescent="0.2">
      <c r="A526" s="4" t="s">
        <v>712</v>
      </c>
      <c r="B526" s="5">
        <v>46019</v>
      </c>
      <c r="C526" s="15">
        <f>WEEKNUM(Orders[[#This Row],[OrderDate]])</f>
        <v>53</v>
      </c>
      <c r="D526" s="4" t="s">
        <v>552</v>
      </c>
      <c r="E526" s="4" t="s">
        <v>60</v>
      </c>
      <c r="F526" s="4">
        <v>9</v>
      </c>
      <c r="G526" s="4">
        <v>14968.5</v>
      </c>
      <c r="H526">
        <v>12723.225</v>
      </c>
      <c r="I526">
        <f>Orders[[#This Row],[Quantity]]*Orders[[#This Row],[Selling Price]]</f>
        <v>134716.5</v>
      </c>
      <c r="J526">
        <f>Orders[[#This Row],[Quantity]]*Orders[[#This Row],[Cost Price]]</f>
        <v>114509.02500000001</v>
      </c>
      <c r="K526">
        <f>Orders[[#This Row],[Revenue]]-Orders[[#This Row],[Expenses]]</f>
        <v>20207.474999999991</v>
      </c>
      <c r="L526" t="s">
        <v>2204</v>
      </c>
      <c r="M526" t="str">
        <f>_xlfn.XLOOKUP(Orders[[#This Row],[CustomerID]],Customers[CustomerID],Customers[City])</f>
        <v>Georgia</v>
      </c>
      <c r="N526" t="str">
        <f>_xlfn.XLOOKUP(Orders[[#This Row],[CustomerID]],Customers[CustomerID],Customers[CustomerName])</f>
        <v>Chioma Eze</v>
      </c>
      <c r="O526" t="str">
        <f>_xlfn.XLOOKUP(Orders[[#This Row],[CustomerID]],Customers[CustomerID],Customers[Gender])</f>
        <v>Female</v>
      </c>
      <c r="P526">
        <f>_xlfn.XLOOKUP(Orders[[#This Row],[CustomerID]],Customers[CustomerID],Customers[CustomerAge])</f>
        <v>40</v>
      </c>
      <c r="Q526" t="str">
        <f>IF(Orders[[#This Row],[Age]]&gt;=35,"older","young")</f>
        <v>older</v>
      </c>
      <c r="R526" t="str">
        <f>_xlfn.XLOOKUP(Orders[[#This Row],[ProductID]],Products[ProductID],Products[ProductName])</f>
        <v>SILVER RINGS</v>
      </c>
      <c r="S526" t="str">
        <f>_xlfn.XLOOKUP(Orders[[#This Row],[ProductID]],Products!A:A,Products!C:C)</f>
        <v>Accessories</v>
      </c>
    </row>
    <row r="527" spans="1:19" x14ac:dyDescent="0.2">
      <c r="A527" s="4" t="s">
        <v>713</v>
      </c>
      <c r="B527" s="5">
        <v>45958</v>
      </c>
      <c r="C527" s="15">
        <f>WEEKNUM(Orders[[#This Row],[OrderDate]])</f>
        <v>44</v>
      </c>
      <c r="D527" s="4" t="s">
        <v>140</v>
      </c>
      <c r="E527" s="4" t="s">
        <v>81</v>
      </c>
      <c r="F527" s="4">
        <v>5</v>
      </c>
      <c r="G527" s="4">
        <v>3043</v>
      </c>
      <c r="H527">
        <v>2586.5500000000002</v>
      </c>
      <c r="I527">
        <f>Orders[[#This Row],[Quantity]]*Orders[[#This Row],[Selling Price]]</f>
        <v>15215</v>
      </c>
      <c r="J527">
        <f>Orders[[#This Row],[Quantity]]*Orders[[#This Row],[Cost Price]]</f>
        <v>12932.75</v>
      </c>
      <c r="K527">
        <f>Orders[[#This Row],[Revenue]]-Orders[[#This Row],[Expenses]]</f>
        <v>2282.25</v>
      </c>
      <c r="L527" t="s">
        <v>2206</v>
      </c>
      <c r="M527" t="str">
        <f>_xlfn.XLOOKUP(Orders[[#This Row],[CustomerID]],Customers[CustomerID],Customers[City])</f>
        <v>Washington</v>
      </c>
      <c r="N527" t="str">
        <f>_xlfn.XLOOKUP(Orders[[#This Row],[CustomerID]],Customers[CustomerID],Customers[CustomerName])</f>
        <v>Tunde Igwe</v>
      </c>
      <c r="O527" t="str">
        <f>_xlfn.XLOOKUP(Orders[[#This Row],[CustomerID]],Customers[CustomerID],Customers[Gender])</f>
        <v>Male</v>
      </c>
      <c r="P527">
        <f>_xlfn.XLOOKUP(Orders[[#This Row],[CustomerID]],Customers[CustomerID],Customers[CustomerAge])</f>
        <v>20</v>
      </c>
      <c r="Q527" t="str">
        <f>IF(Orders[[#This Row],[Age]]&gt;=35,"older","young")</f>
        <v>young</v>
      </c>
      <c r="R527" t="str">
        <f>_xlfn.XLOOKUP(Orders[[#This Row],[ProductID]],Products[ProductID],Products[ProductName])</f>
        <v>TROUSERS</v>
      </c>
      <c r="S527" t="str">
        <f>_xlfn.XLOOKUP(Orders[[#This Row],[ProductID]],Products!A:A,Products!C:C)</f>
        <v>Clothing</v>
      </c>
    </row>
    <row r="528" spans="1:19" x14ac:dyDescent="0.2">
      <c r="A528" s="4" t="s">
        <v>714</v>
      </c>
      <c r="B528" s="5">
        <v>45989</v>
      </c>
      <c r="C528" s="15">
        <f>WEEKNUM(Orders[[#This Row],[OrderDate]])</f>
        <v>48</v>
      </c>
      <c r="D528" s="4" t="s">
        <v>43</v>
      </c>
      <c r="E528" s="4" t="s">
        <v>76</v>
      </c>
      <c r="F528" s="4">
        <v>2</v>
      </c>
      <c r="G528" s="4">
        <v>16924.100000000002</v>
      </c>
      <c r="H528">
        <v>14385.485000000002</v>
      </c>
      <c r="I528">
        <f>Orders[[#This Row],[Quantity]]*Orders[[#This Row],[Selling Price]]</f>
        <v>33848.200000000004</v>
      </c>
      <c r="J528">
        <f>Orders[[#This Row],[Quantity]]*Orders[[#This Row],[Cost Price]]</f>
        <v>28770.970000000005</v>
      </c>
      <c r="K528">
        <f>Orders[[#This Row],[Revenue]]-Orders[[#This Row],[Expenses]]</f>
        <v>5077.2299999999996</v>
      </c>
      <c r="L528" t="s">
        <v>2192</v>
      </c>
      <c r="M528" t="str">
        <f>_xlfn.XLOOKUP(Orders[[#This Row],[CustomerID]],Customers[CustomerID],Customers[City])</f>
        <v>Georgia</v>
      </c>
      <c r="N528" t="str">
        <f>_xlfn.XLOOKUP(Orders[[#This Row],[CustomerID]],Customers[CustomerID],Customers[CustomerName])</f>
        <v>Mustafa Danladi</v>
      </c>
      <c r="O528" t="str">
        <f>_xlfn.XLOOKUP(Orders[[#This Row],[CustomerID]],Customers[CustomerID],Customers[Gender])</f>
        <v>Male</v>
      </c>
      <c r="P528">
        <f>_xlfn.XLOOKUP(Orders[[#This Row],[CustomerID]],Customers[CustomerID],Customers[CustomerAge])</f>
        <v>49</v>
      </c>
      <c r="Q528" t="str">
        <f>IF(Orders[[#This Row],[Age]]&gt;=35,"older","young")</f>
        <v>older</v>
      </c>
      <c r="R528" t="str">
        <f>_xlfn.XLOOKUP(Orders[[#This Row],[ProductID]],Products[ProductID],Products[ProductName])</f>
        <v>BLENDER</v>
      </c>
      <c r="S528" t="str">
        <f>_xlfn.XLOOKUP(Orders[[#This Row],[ProductID]],Products!A:A,Products!C:C)</f>
        <v>Electronics</v>
      </c>
    </row>
    <row r="529" spans="1:19" x14ac:dyDescent="0.2">
      <c r="A529" s="4" t="s">
        <v>715</v>
      </c>
      <c r="B529" s="5">
        <v>45987</v>
      </c>
      <c r="C529" s="15">
        <f>WEEKNUM(Orders[[#This Row],[OrderDate]])</f>
        <v>48</v>
      </c>
      <c r="D529" s="4" t="s">
        <v>41</v>
      </c>
      <c r="E529" s="4" t="s">
        <v>15</v>
      </c>
      <c r="F529" s="4">
        <v>9</v>
      </c>
      <c r="G529" s="4">
        <v>13159.2</v>
      </c>
      <c r="H529">
        <v>11185.32</v>
      </c>
      <c r="I529">
        <f>Orders[[#This Row],[Quantity]]*Orders[[#This Row],[Selling Price]]</f>
        <v>118432.8</v>
      </c>
      <c r="J529">
        <f>Orders[[#This Row],[Quantity]]*Orders[[#This Row],[Cost Price]]</f>
        <v>100667.88</v>
      </c>
      <c r="K529">
        <f>Orders[[#This Row],[Revenue]]-Orders[[#This Row],[Expenses]]</f>
        <v>17764.919999999998</v>
      </c>
      <c r="L529" t="s">
        <v>2212</v>
      </c>
      <c r="M529" t="str">
        <f>_xlfn.XLOOKUP(Orders[[#This Row],[CustomerID]],Customers[CustomerID],Customers[City])</f>
        <v>Texas</v>
      </c>
      <c r="N529" t="str">
        <f>_xlfn.XLOOKUP(Orders[[#This Row],[CustomerID]],Customers[CustomerID],Customers[CustomerName])</f>
        <v>Mustafa Balogun</v>
      </c>
      <c r="O529" t="str">
        <f>_xlfn.XLOOKUP(Orders[[#This Row],[CustomerID]],Customers[CustomerID],Customers[Gender])</f>
        <v>Male</v>
      </c>
      <c r="P529">
        <f>_xlfn.XLOOKUP(Orders[[#This Row],[CustomerID]],Customers[CustomerID],Customers[CustomerAge])</f>
        <v>40</v>
      </c>
      <c r="Q529" t="str">
        <f>IF(Orders[[#This Row],[Age]]&gt;=35,"older","young")</f>
        <v>older</v>
      </c>
      <c r="R529" t="str">
        <f>_xlfn.XLOOKUP(Orders[[#This Row],[ProductID]],Products[ProductID],Products[ProductName])</f>
        <v>MONOPOLY</v>
      </c>
      <c r="S529" t="str">
        <f>_xlfn.XLOOKUP(Orders[[#This Row],[ProductID]],Products!A:A,Products!C:C)</f>
        <v>Games</v>
      </c>
    </row>
    <row r="530" spans="1:19" x14ac:dyDescent="0.2">
      <c r="A530" s="4" t="s">
        <v>716</v>
      </c>
      <c r="B530" s="5">
        <v>46014</v>
      </c>
      <c r="C530" s="15">
        <f>WEEKNUM(Orders[[#This Row],[OrderDate]])</f>
        <v>52</v>
      </c>
      <c r="D530" s="4" t="s">
        <v>75</v>
      </c>
      <c r="E530" s="4" t="s">
        <v>92</v>
      </c>
      <c r="F530" s="4">
        <v>10</v>
      </c>
      <c r="G530" s="4">
        <v>15050.599999999999</v>
      </c>
      <c r="H530">
        <v>12793.009999999998</v>
      </c>
      <c r="I530">
        <f>Orders[[#This Row],[Quantity]]*Orders[[#This Row],[Selling Price]]</f>
        <v>150506</v>
      </c>
      <c r="J530">
        <f>Orders[[#This Row],[Quantity]]*Orders[[#This Row],[Cost Price]]</f>
        <v>127930.09999999998</v>
      </c>
      <c r="K530">
        <f>Orders[[#This Row],[Revenue]]-Orders[[#This Row],[Expenses]]</f>
        <v>22575.900000000023</v>
      </c>
      <c r="L530" t="s">
        <v>2209</v>
      </c>
      <c r="M530" t="str">
        <f>_xlfn.XLOOKUP(Orders[[#This Row],[CustomerID]],Customers[CustomerID],Customers[City])</f>
        <v>Texas</v>
      </c>
      <c r="N530" t="str">
        <f>_xlfn.XLOOKUP(Orders[[#This Row],[CustomerID]],Customers[CustomerID],Customers[CustomerName])</f>
        <v>Tunde Danladi</v>
      </c>
      <c r="O530" t="str">
        <f>_xlfn.XLOOKUP(Orders[[#This Row],[CustomerID]],Customers[CustomerID],Customers[Gender])</f>
        <v>Male</v>
      </c>
      <c r="P530">
        <f>_xlfn.XLOOKUP(Orders[[#This Row],[CustomerID]],Customers[CustomerID],Customers[CustomerAge])</f>
        <v>47</v>
      </c>
      <c r="Q530" t="str">
        <f>IF(Orders[[#This Row],[Age]]&gt;=35,"older","young")</f>
        <v>older</v>
      </c>
      <c r="R530" t="str">
        <f>_xlfn.XLOOKUP(Orders[[#This Row],[ProductID]],Products[ProductID],Products[ProductName])</f>
        <v>CHEST EXPANDER</v>
      </c>
      <c r="S530" t="str">
        <f>_xlfn.XLOOKUP(Orders[[#This Row],[ProductID]],Products!A:A,Products!C:C)</f>
        <v>Gym</v>
      </c>
    </row>
    <row r="531" spans="1:19" x14ac:dyDescent="0.2">
      <c r="A531" s="4" t="s">
        <v>717</v>
      </c>
      <c r="B531" s="5">
        <v>45949</v>
      </c>
      <c r="C531" s="15">
        <f>WEEKNUM(Orders[[#This Row],[OrderDate]])</f>
        <v>43</v>
      </c>
      <c r="D531" s="4" t="s">
        <v>302</v>
      </c>
      <c r="E531" s="4" t="s">
        <v>34</v>
      </c>
      <c r="F531" s="4">
        <v>3</v>
      </c>
      <c r="G531" s="4">
        <v>16137</v>
      </c>
      <c r="H531">
        <v>13716.45</v>
      </c>
      <c r="I531">
        <f>Orders[[#This Row],[Quantity]]*Orders[[#This Row],[Selling Price]]</f>
        <v>48411</v>
      </c>
      <c r="J531">
        <f>Orders[[#This Row],[Quantity]]*Orders[[#This Row],[Cost Price]]</f>
        <v>41149.350000000006</v>
      </c>
      <c r="K531">
        <f>Orders[[#This Row],[Revenue]]-Orders[[#This Row],[Expenses]]</f>
        <v>7261.6499999999942</v>
      </c>
      <c r="L531" t="s">
        <v>2217</v>
      </c>
      <c r="M531" t="str">
        <f>_xlfn.XLOOKUP(Orders[[#This Row],[CustomerID]],Customers[CustomerID],Customers[City])</f>
        <v>Washington</v>
      </c>
      <c r="N531" t="str">
        <f>_xlfn.XLOOKUP(Orders[[#This Row],[CustomerID]],Customers[CustomerID],Customers[CustomerName])</f>
        <v>Sani Bello</v>
      </c>
      <c r="O531" t="str">
        <f>_xlfn.XLOOKUP(Orders[[#This Row],[CustomerID]],Customers[CustomerID],Customers[Gender])</f>
        <v>Male</v>
      </c>
      <c r="P531">
        <f>_xlfn.XLOOKUP(Orders[[#This Row],[CustomerID]],Customers[CustomerID],Customers[CustomerAge])</f>
        <v>23</v>
      </c>
      <c r="Q531" t="str">
        <f>IF(Orders[[#This Row],[Age]]&gt;=35,"older","young")</f>
        <v>young</v>
      </c>
      <c r="R531" t="str">
        <f>_xlfn.XLOOKUP(Orders[[#This Row],[ProductID]],Products[ProductID],Products[ProductName])</f>
        <v>GOLD BRACELETS</v>
      </c>
      <c r="S531" t="str">
        <f>_xlfn.XLOOKUP(Orders[[#This Row],[ProductID]],Products!A:A,Products!C:C)</f>
        <v>Accessories</v>
      </c>
    </row>
    <row r="532" spans="1:19" x14ac:dyDescent="0.2">
      <c r="A532" s="4" t="s">
        <v>718</v>
      </c>
      <c r="B532" s="5">
        <v>45976</v>
      </c>
      <c r="C532" s="15">
        <f>WEEKNUM(Orders[[#This Row],[OrderDate]])</f>
        <v>46</v>
      </c>
      <c r="D532" s="4" t="s">
        <v>258</v>
      </c>
      <c r="E532" s="4" t="s">
        <v>63</v>
      </c>
      <c r="F532" s="4">
        <v>9</v>
      </c>
      <c r="G532" s="4">
        <v>19794.900000000001</v>
      </c>
      <c r="H532">
        <v>16825.665000000001</v>
      </c>
      <c r="I532">
        <f>Orders[[#This Row],[Quantity]]*Orders[[#This Row],[Selling Price]]</f>
        <v>178154.1</v>
      </c>
      <c r="J532">
        <f>Orders[[#This Row],[Quantity]]*Orders[[#This Row],[Cost Price]]</f>
        <v>151430.98500000002</v>
      </c>
      <c r="K532">
        <f>Orders[[#This Row],[Revenue]]-Orders[[#This Row],[Expenses]]</f>
        <v>26723.114999999991</v>
      </c>
      <c r="L532" t="s">
        <v>2204</v>
      </c>
      <c r="M532" t="str">
        <f>_xlfn.XLOOKUP(Orders[[#This Row],[CustomerID]],Customers[CustomerID],Customers[City])</f>
        <v>Washington</v>
      </c>
      <c r="N532" t="str">
        <f>_xlfn.XLOOKUP(Orders[[#This Row],[CustomerID]],Customers[CustomerID],Customers[CustomerName])</f>
        <v>Sani Abubakar</v>
      </c>
      <c r="O532" t="str">
        <f>_xlfn.XLOOKUP(Orders[[#This Row],[CustomerID]],Customers[CustomerID],Customers[Gender])</f>
        <v>Male</v>
      </c>
      <c r="P532">
        <f>_xlfn.XLOOKUP(Orders[[#This Row],[CustomerID]],Customers[CustomerID],Customers[CustomerAge])</f>
        <v>37</v>
      </c>
      <c r="Q532" t="str">
        <f>IF(Orders[[#This Row],[Age]]&gt;=35,"older","young")</f>
        <v>older</v>
      </c>
      <c r="R532" t="str">
        <f>_xlfn.XLOOKUP(Orders[[#This Row],[ProductID]],Products[ProductID],Products[ProductName])</f>
        <v>TENNIS BAT</v>
      </c>
      <c r="S532" t="str">
        <f>_xlfn.XLOOKUP(Orders[[#This Row],[ProductID]],Products!A:A,Products!C:C)</f>
        <v>Sports</v>
      </c>
    </row>
    <row r="533" spans="1:19" x14ac:dyDescent="0.2">
      <c r="A533" s="4" t="s">
        <v>719</v>
      </c>
      <c r="B533" s="5">
        <v>45980</v>
      </c>
      <c r="C533" s="15">
        <f>WEEKNUM(Orders[[#This Row],[OrderDate]])</f>
        <v>47</v>
      </c>
      <c r="D533" s="4" t="s">
        <v>343</v>
      </c>
      <c r="E533" s="4" t="s">
        <v>31</v>
      </c>
      <c r="F533" s="4">
        <v>1</v>
      </c>
      <c r="G533" s="4">
        <v>9986.6</v>
      </c>
      <c r="H533">
        <v>8488.61</v>
      </c>
      <c r="I533">
        <f>Orders[[#This Row],[Quantity]]*Orders[[#This Row],[Selling Price]]</f>
        <v>9986.6</v>
      </c>
      <c r="J533">
        <f>Orders[[#This Row],[Quantity]]*Orders[[#This Row],[Cost Price]]</f>
        <v>8488.61</v>
      </c>
      <c r="K533">
        <f>Orders[[#This Row],[Revenue]]-Orders[[#This Row],[Expenses]]</f>
        <v>1497.9899999999998</v>
      </c>
      <c r="L533" t="s">
        <v>2213</v>
      </c>
      <c r="M533" t="str">
        <f>_xlfn.XLOOKUP(Orders[[#This Row],[CustomerID]],Customers[CustomerID],Customers[City])</f>
        <v>Washington</v>
      </c>
      <c r="N533" t="str">
        <f>_xlfn.XLOOKUP(Orders[[#This Row],[CustomerID]],Customers[CustomerID],Customers[CustomerName])</f>
        <v>Ronke Obi</v>
      </c>
      <c r="O533" t="str">
        <f>_xlfn.XLOOKUP(Orders[[#This Row],[CustomerID]],Customers[CustomerID],Customers[Gender])</f>
        <v>Female</v>
      </c>
      <c r="P533">
        <f>_xlfn.XLOOKUP(Orders[[#This Row],[CustomerID]],Customers[CustomerID],Customers[CustomerAge])</f>
        <v>31</v>
      </c>
      <c r="Q533" t="str">
        <f>IF(Orders[[#This Row],[Age]]&gt;=35,"older","young")</f>
        <v>young</v>
      </c>
      <c r="R533" t="str">
        <f>_xlfn.XLOOKUP(Orders[[#This Row],[ProductID]],Products[ProductID],Products[ProductName])</f>
        <v>KIDS GAMES</v>
      </c>
      <c r="S533" t="str">
        <f>_xlfn.XLOOKUP(Orders[[#This Row],[ProductID]],Products!A:A,Products!C:C)</f>
        <v>Games</v>
      </c>
    </row>
    <row r="534" spans="1:19" x14ac:dyDescent="0.2">
      <c r="A534" s="4" t="s">
        <v>720</v>
      </c>
      <c r="B534" s="5">
        <v>45994</v>
      </c>
      <c r="C534" s="15">
        <f>WEEKNUM(Orders[[#This Row],[OrderDate]])</f>
        <v>49</v>
      </c>
      <c r="D534" s="4" t="s">
        <v>252</v>
      </c>
      <c r="E534" s="4" t="s">
        <v>111</v>
      </c>
      <c r="F534" s="4">
        <v>5</v>
      </c>
      <c r="G534" s="4">
        <v>19649.5</v>
      </c>
      <c r="H534">
        <v>16702.075000000001</v>
      </c>
      <c r="I534">
        <f>Orders[[#This Row],[Quantity]]*Orders[[#This Row],[Selling Price]]</f>
        <v>98247.5</v>
      </c>
      <c r="J534">
        <f>Orders[[#This Row],[Quantity]]*Orders[[#This Row],[Cost Price]]</f>
        <v>83510.375</v>
      </c>
      <c r="K534">
        <f>Orders[[#This Row],[Revenue]]-Orders[[#This Row],[Expenses]]</f>
        <v>14737.125</v>
      </c>
      <c r="L534" t="s">
        <v>2199</v>
      </c>
      <c r="M534" t="str">
        <f>_xlfn.XLOOKUP(Orders[[#This Row],[CustomerID]],Customers[CustomerID],Customers[City])</f>
        <v>Texas</v>
      </c>
      <c r="N534" t="str">
        <f>_xlfn.XLOOKUP(Orders[[#This Row],[CustomerID]],Customers[CustomerID],Customers[CustomerName])</f>
        <v>Chioma Adeyemi</v>
      </c>
      <c r="O534" t="str">
        <f>_xlfn.XLOOKUP(Orders[[#This Row],[CustomerID]],Customers[CustomerID],Customers[Gender])</f>
        <v>Female</v>
      </c>
      <c r="P534">
        <f>_xlfn.XLOOKUP(Orders[[#This Row],[CustomerID]],Customers[CustomerID],Customers[CustomerAge])</f>
        <v>20</v>
      </c>
      <c r="Q534" t="str">
        <f>IF(Orders[[#This Row],[Age]]&gt;=35,"older","young")</f>
        <v>young</v>
      </c>
      <c r="R534" t="str">
        <f>_xlfn.XLOOKUP(Orders[[#This Row],[ProductID]],Products[ProductID],Products[ProductName])</f>
        <v>REFRIGERATOR</v>
      </c>
      <c r="S534" t="str">
        <f>_xlfn.XLOOKUP(Orders[[#This Row],[ProductID]],Products!A:A,Products!C:C)</f>
        <v>Electronics</v>
      </c>
    </row>
    <row r="535" spans="1:19" x14ac:dyDescent="0.2">
      <c r="A535" s="4" t="s">
        <v>721</v>
      </c>
      <c r="B535" s="5">
        <v>45980</v>
      </c>
      <c r="C535" s="15">
        <f>WEEKNUM(Orders[[#This Row],[OrderDate]])</f>
        <v>47</v>
      </c>
      <c r="D535" s="4" t="s">
        <v>140</v>
      </c>
      <c r="E535" s="4" t="s">
        <v>15</v>
      </c>
      <c r="F535" s="4">
        <v>7</v>
      </c>
      <c r="G535" s="4">
        <v>1621.1000000000001</v>
      </c>
      <c r="H535">
        <v>1377.9350000000002</v>
      </c>
      <c r="I535">
        <f>Orders[[#This Row],[Quantity]]*Orders[[#This Row],[Selling Price]]</f>
        <v>11347.7</v>
      </c>
      <c r="J535">
        <f>Orders[[#This Row],[Quantity]]*Orders[[#This Row],[Cost Price]]</f>
        <v>9645.5450000000019</v>
      </c>
      <c r="K535">
        <f>Orders[[#This Row],[Revenue]]-Orders[[#This Row],[Expenses]]</f>
        <v>1702.1549999999988</v>
      </c>
      <c r="L535" t="s">
        <v>2198</v>
      </c>
      <c r="M535" t="str">
        <f>_xlfn.XLOOKUP(Orders[[#This Row],[CustomerID]],Customers[CustomerID],Customers[City])</f>
        <v>Washington</v>
      </c>
      <c r="N535" t="str">
        <f>_xlfn.XLOOKUP(Orders[[#This Row],[CustomerID]],Customers[CustomerID],Customers[CustomerName])</f>
        <v>Tunde Igwe</v>
      </c>
      <c r="O535" t="str">
        <f>_xlfn.XLOOKUP(Orders[[#This Row],[CustomerID]],Customers[CustomerID],Customers[Gender])</f>
        <v>Male</v>
      </c>
      <c r="P535">
        <f>_xlfn.XLOOKUP(Orders[[#This Row],[CustomerID]],Customers[CustomerID],Customers[CustomerAge])</f>
        <v>20</v>
      </c>
      <c r="Q535" t="str">
        <f>IF(Orders[[#This Row],[Age]]&gt;=35,"older","young")</f>
        <v>young</v>
      </c>
      <c r="R535" t="str">
        <f>_xlfn.XLOOKUP(Orders[[#This Row],[ProductID]],Products[ProductID],Products[ProductName])</f>
        <v>MONOPOLY</v>
      </c>
      <c r="S535" t="str">
        <f>_xlfn.XLOOKUP(Orders[[#This Row],[ProductID]],Products!A:A,Products!C:C)</f>
        <v>Games</v>
      </c>
    </row>
    <row r="536" spans="1:19" x14ac:dyDescent="0.2">
      <c r="A536" s="4" t="s">
        <v>722</v>
      </c>
      <c r="B536" s="5">
        <v>45974</v>
      </c>
      <c r="C536" s="15">
        <f>WEEKNUM(Orders[[#This Row],[OrderDate]])</f>
        <v>46</v>
      </c>
      <c r="D536" s="4" t="s">
        <v>207</v>
      </c>
      <c r="E536" s="4" t="s">
        <v>111</v>
      </c>
      <c r="F536" s="4">
        <v>10</v>
      </c>
      <c r="G536" s="4">
        <v>590.29999999999995</v>
      </c>
      <c r="H536">
        <v>501.755</v>
      </c>
      <c r="I536">
        <f>Orders[[#This Row],[Quantity]]*Orders[[#This Row],[Selling Price]]</f>
        <v>5903</v>
      </c>
      <c r="J536">
        <f>Orders[[#This Row],[Quantity]]*Orders[[#This Row],[Cost Price]]</f>
        <v>5017.55</v>
      </c>
      <c r="K536">
        <f>Orders[[#This Row],[Revenue]]-Orders[[#This Row],[Expenses]]</f>
        <v>885.44999999999982</v>
      </c>
      <c r="L536" t="s">
        <v>2220</v>
      </c>
      <c r="M536" t="str">
        <f>_xlfn.XLOOKUP(Orders[[#This Row],[CustomerID]],Customers[CustomerID],Customers[City])</f>
        <v>Florida</v>
      </c>
      <c r="N536" t="str">
        <f>_xlfn.XLOOKUP(Orders[[#This Row],[CustomerID]],Customers[CustomerID],Customers[CustomerName])</f>
        <v>Bisi Eze</v>
      </c>
      <c r="O536" t="str">
        <f>_xlfn.XLOOKUP(Orders[[#This Row],[CustomerID]],Customers[CustomerID],Customers[Gender])</f>
        <v>Female</v>
      </c>
      <c r="P536">
        <f>_xlfn.XLOOKUP(Orders[[#This Row],[CustomerID]],Customers[CustomerID],Customers[CustomerAge])</f>
        <v>37</v>
      </c>
      <c r="Q536" t="str">
        <f>IF(Orders[[#This Row],[Age]]&gt;=35,"older","young")</f>
        <v>older</v>
      </c>
      <c r="R536" t="str">
        <f>_xlfn.XLOOKUP(Orders[[#This Row],[ProductID]],Products[ProductID],Products[ProductName])</f>
        <v>REFRIGERATOR</v>
      </c>
      <c r="S536" t="str">
        <f>_xlfn.XLOOKUP(Orders[[#This Row],[ProductID]],Products!A:A,Products!C:C)</f>
        <v>Electronics</v>
      </c>
    </row>
    <row r="537" spans="1:19" x14ac:dyDescent="0.2">
      <c r="A537" s="4" t="s">
        <v>723</v>
      </c>
      <c r="B537" s="5">
        <v>45952</v>
      </c>
      <c r="C537" s="15">
        <f>WEEKNUM(Orders[[#This Row],[OrderDate]])</f>
        <v>43</v>
      </c>
      <c r="D537" s="4" t="s">
        <v>124</v>
      </c>
      <c r="E537" s="4" t="s">
        <v>20</v>
      </c>
      <c r="F537" s="4">
        <v>4</v>
      </c>
      <c r="G537" s="4">
        <v>12479.6</v>
      </c>
      <c r="H537">
        <v>10607.66</v>
      </c>
      <c r="I537">
        <f>Orders[[#This Row],[Quantity]]*Orders[[#This Row],[Selling Price]]</f>
        <v>49918.400000000001</v>
      </c>
      <c r="J537">
        <f>Orders[[#This Row],[Quantity]]*Orders[[#This Row],[Cost Price]]</f>
        <v>42430.64</v>
      </c>
      <c r="K537">
        <f>Orders[[#This Row],[Revenue]]-Orders[[#This Row],[Expenses]]</f>
        <v>7487.760000000002</v>
      </c>
      <c r="L537" t="s">
        <v>2210</v>
      </c>
      <c r="M537" t="str">
        <f>_xlfn.XLOOKUP(Orders[[#This Row],[CustomerID]],Customers[CustomerID],Customers[City])</f>
        <v>Texas</v>
      </c>
      <c r="N537" t="str">
        <f>_xlfn.XLOOKUP(Orders[[#This Row],[CustomerID]],Customers[CustomerID],Customers[CustomerName])</f>
        <v>Ngozi Ojo</v>
      </c>
      <c r="O537" t="str">
        <f>_xlfn.XLOOKUP(Orders[[#This Row],[CustomerID]],Customers[CustomerID],Customers[Gender])</f>
        <v>Female</v>
      </c>
      <c r="P537">
        <f>_xlfn.XLOOKUP(Orders[[#This Row],[CustomerID]],Customers[CustomerID],Customers[CustomerAge])</f>
        <v>22</v>
      </c>
      <c r="Q537" t="str">
        <f>IF(Orders[[#This Row],[Age]]&gt;=35,"older","young")</f>
        <v>young</v>
      </c>
      <c r="R537" t="str">
        <f>_xlfn.XLOOKUP(Orders[[#This Row],[ProductID]],Products[ProductID],Products[ProductName])</f>
        <v>GYM BAG</v>
      </c>
      <c r="S537" t="str">
        <f>_xlfn.XLOOKUP(Orders[[#This Row],[ProductID]],Products!A:A,Products!C:C)</f>
        <v>Gym</v>
      </c>
    </row>
    <row r="538" spans="1:19" x14ac:dyDescent="0.2">
      <c r="A538" s="4" t="s">
        <v>724</v>
      </c>
      <c r="B538" s="5">
        <v>45963</v>
      </c>
      <c r="C538" s="15">
        <f>WEEKNUM(Orders[[#This Row],[OrderDate]])</f>
        <v>45</v>
      </c>
      <c r="D538" s="4" t="s">
        <v>148</v>
      </c>
      <c r="E538" s="4" t="s">
        <v>76</v>
      </c>
      <c r="F538" s="4">
        <v>6</v>
      </c>
      <c r="G538" s="4">
        <v>2837.3</v>
      </c>
      <c r="H538">
        <v>2411.7049999999999</v>
      </c>
      <c r="I538">
        <f>Orders[[#This Row],[Quantity]]*Orders[[#This Row],[Selling Price]]</f>
        <v>17023.800000000003</v>
      </c>
      <c r="J538">
        <f>Orders[[#This Row],[Quantity]]*Orders[[#This Row],[Cost Price]]</f>
        <v>14470.23</v>
      </c>
      <c r="K538">
        <f>Orders[[#This Row],[Revenue]]-Orders[[#This Row],[Expenses]]</f>
        <v>2553.5700000000033</v>
      </c>
      <c r="L538" t="s">
        <v>2213</v>
      </c>
      <c r="M538" t="str">
        <f>_xlfn.XLOOKUP(Orders[[#This Row],[CustomerID]],Customers[CustomerID],Customers[City])</f>
        <v>Florida</v>
      </c>
      <c r="N538" t="str">
        <f>_xlfn.XLOOKUP(Orders[[#This Row],[CustomerID]],Customers[CustomerID],Customers[CustomerName])</f>
        <v>Zainab Abubakar</v>
      </c>
      <c r="O538" t="str">
        <f>_xlfn.XLOOKUP(Orders[[#This Row],[CustomerID]],Customers[CustomerID],Customers[Gender])</f>
        <v>Female</v>
      </c>
      <c r="P538">
        <f>_xlfn.XLOOKUP(Orders[[#This Row],[CustomerID]],Customers[CustomerID],Customers[CustomerAge])</f>
        <v>29</v>
      </c>
      <c r="Q538" t="str">
        <f>IF(Orders[[#This Row],[Age]]&gt;=35,"older","young")</f>
        <v>young</v>
      </c>
      <c r="R538" t="str">
        <f>_xlfn.XLOOKUP(Orders[[#This Row],[ProductID]],Products[ProductID],Products[ProductName])</f>
        <v>BLENDER</v>
      </c>
      <c r="S538" t="str">
        <f>_xlfn.XLOOKUP(Orders[[#This Row],[ProductID]],Products!A:A,Products!C:C)</f>
        <v>Electronics</v>
      </c>
    </row>
    <row r="539" spans="1:19" x14ac:dyDescent="0.2">
      <c r="A539" s="4" t="s">
        <v>725</v>
      </c>
      <c r="B539" s="5">
        <v>45934</v>
      </c>
      <c r="C539" s="15">
        <f>WEEKNUM(Orders[[#This Row],[OrderDate]])</f>
        <v>40</v>
      </c>
      <c r="D539" s="4" t="s">
        <v>94</v>
      </c>
      <c r="E539" s="4" t="s">
        <v>31</v>
      </c>
      <c r="F539" s="4">
        <v>10</v>
      </c>
      <c r="G539" s="4">
        <v>10203.4</v>
      </c>
      <c r="H539">
        <v>8672.89</v>
      </c>
      <c r="I539">
        <f>Orders[[#This Row],[Quantity]]*Orders[[#This Row],[Selling Price]]</f>
        <v>102034</v>
      </c>
      <c r="J539">
        <f>Orders[[#This Row],[Quantity]]*Orders[[#This Row],[Cost Price]]</f>
        <v>86728.9</v>
      </c>
      <c r="K539">
        <f>Orders[[#This Row],[Revenue]]-Orders[[#This Row],[Expenses]]</f>
        <v>15305.100000000006</v>
      </c>
      <c r="L539" t="s">
        <v>2209</v>
      </c>
      <c r="M539" t="str">
        <f>_xlfn.XLOOKUP(Orders[[#This Row],[CustomerID]],Customers[CustomerID],Customers[City])</f>
        <v>Texas</v>
      </c>
      <c r="N539" t="str">
        <f>_xlfn.XLOOKUP(Orders[[#This Row],[CustomerID]],Customers[CustomerID],Customers[CustomerName])</f>
        <v>Uche Abubakar</v>
      </c>
      <c r="O539" t="str">
        <f>_xlfn.XLOOKUP(Orders[[#This Row],[CustomerID]],Customers[CustomerID],Customers[Gender])</f>
        <v>Male</v>
      </c>
      <c r="P539">
        <f>_xlfn.XLOOKUP(Orders[[#This Row],[CustomerID]],Customers[CustomerID],Customers[CustomerAge])</f>
        <v>26</v>
      </c>
      <c r="Q539" t="str">
        <f>IF(Orders[[#This Row],[Age]]&gt;=35,"older","young")</f>
        <v>young</v>
      </c>
      <c r="R539" t="str">
        <f>_xlfn.XLOOKUP(Orders[[#This Row],[ProductID]],Products[ProductID],Products[ProductName])</f>
        <v>KIDS GAMES</v>
      </c>
      <c r="S539" t="str">
        <f>_xlfn.XLOOKUP(Orders[[#This Row],[ProductID]],Products!A:A,Products!C:C)</f>
        <v>Games</v>
      </c>
    </row>
    <row r="540" spans="1:19" x14ac:dyDescent="0.2">
      <c r="A540" s="4" t="s">
        <v>726</v>
      </c>
      <c r="B540" s="5">
        <v>46001</v>
      </c>
      <c r="C540" s="15">
        <f>WEEKNUM(Orders[[#This Row],[OrderDate]])</f>
        <v>50</v>
      </c>
      <c r="D540" s="4" t="s">
        <v>227</v>
      </c>
      <c r="E540" s="4" t="s">
        <v>157</v>
      </c>
      <c r="F540" s="4">
        <v>9</v>
      </c>
      <c r="G540" s="4">
        <v>8851.5</v>
      </c>
      <c r="H540">
        <v>7523.7749999999996</v>
      </c>
      <c r="I540">
        <f>Orders[[#This Row],[Quantity]]*Orders[[#This Row],[Selling Price]]</f>
        <v>79663.5</v>
      </c>
      <c r="J540">
        <f>Orders[[#This Row],[Quantity]]*Orders[[#This Row],[Cost Price]]</f>
        <v>67713.974999999991</v>
      </c>
      <c r="K540">
        <f>Orders[[#This Row],[Revenue]]-Orders[[#This Row],[Expenses]]</f>
        <v>11949.525000000009</v>
      </c>
      <c r="L540" t="s">
        <v>2199</v>
      </c>
      <c r="M540" t="str">
        <f>_xlfn.XLOOKUP(Orders[[#This Row],[CustomerID]],Customers[CustomerID],Customers[City])</f>
        <v>Washington</v>
      </c>
      <c r="N540" t="str">
        <f>_xlfn.XLOOKUP(Orders[[#This Row],[CustomerID]],Customers[CustomerID],Customers[CustomerName])</f>
        <v>Emmanuel Victor</v>
      </c>
      <c r="O540" t="str">
        <f>_xlfn.XLOOKUP(Orders[[#This Row],[CustomerID]],Customers[CustomerID],Customers[Gender])</f>
        <v>Male</v>
      </c>
      <c r="P540">
        <f>_xlfn.XLOOKUP(Orders[[#This Row],[CustomerID]],Customers[CustomerID],Customers[CustomerAge])</f>
        <v>35</v>
      </c>
      <c r="Q540" t="str">
        <f>IF(Orders[[#This Row],[Age]]&gt;=35,"older","young")</f>
        <v>older</v>
      </c>
      <c r="R540" t="str">
        <f>_xlfn.XLOOKUP(Orders[[#This Row],[ProductID]],Products[ProductID],Products[ProductName])</f>
        <v>FOOTBALL</v>
      </c>
      <c r="S540" t="str">
        <f>_xlfn.XLOOKUP(Orders[[#This Row],[ProductID]],Products!A:A,Products!C:C)</f>
        <v>Sports</v>
      </c>
    </row>
    <row r="541" spans="1:19" x14ac:dyDescent="0.2">
      <c r="A541" s="4" t="s">
        <v>727</v>
      </c>
      <c r="B541" s="5">
        <v>45954</v>
      </c>
      <c r="C541" s="15">
        <f>WEEKNUM(Orders[[#This Row],[OrderDate]])</f>
        <v>43</v>
      </c>
      <c r="D541" s="4" t="s">
        <v>298</v>
      </c>
      <c r="E541" s="4" t="s">
        <v>12</v>
      </c>
      <c r="F541" s="4">
        <v>9</v>
      </c>
      <c r="G541" s="4">
        <v>7183.8</v>
      </c>
      <c r="H541">
        <v>6106.2300000000005</v>
      </c>
      <c r="I541">
        <f>Orders[[#This Row],[Quantity]]*Orders[[#This Row],[Selling Price]]</f>
        <v>64654.200000000004</v>
      </c>
      <c r="J541">
        <f>Orders[[#This Row],[Quantity]]*Orders[[#This Row],[Cost Price]]</f>
        <v>54956.070000000007</v>
      </c>
      <c r="K541">
        <f>Orders[[#This Row],[Revenue]]-Orders[[#This Row],[Expenses]]</f>
        <v>9698.1299999999974</v>
      </c>
      <c r="L541" t="s">
        <v>2216</v>
      </c>
      <c r="M541" t="str">
        <f>_xlfn.XLOOKUP(Orders[[#This Row],[CustomerID]],Customers[CustomerID],Customers[City])</f>
        <v>Florida</v>
      </c>
      <c r="N541" t="str">
        <f>_xlfn.XLOOKUP(Orders[[#This Row],[CustomerID]],Customers[CustomerID],Customers[CustomerName])</f>
        <v>Amina Obi</v>
      </c>
      <c r="O541" t="str">
        <f>_xlfn.XLOOKUP(Orders[[#This Row],[CustomerID]],Customers[CustomerID],Customers[Gender])</f>
        <v>Female</v>
      </c>
      <c r="P541">
        <f>_xlfn.XLOOKUP(Orders[[#This Row],[CustomerID]],Customers[CustomerID],Customers[CustomerAge])</f>
        <v>19</v>
      </c>
      <c r="Q541" t="str">
        <f>IF(Orders[[#This Row],[Age]]&gt;=35,"older","young")</f>
        <v>young</v>
      </c>
      <c r="R541" t="str">
        <f>_xlfn.XLOOKUP(Orders[[#This Row],[ProductID]],Products[ProductID],Products[ProductName])</f>
        <v>BOUBOU</v>
      </c>
      <c r="S541" t="str">
        <f>_xlfn.XLOOKUP(Orders[[#This Row],[ProductID]],Products!A:A,Products!C:C)</f>
        <v>Clothing</v>
      </c>
    </row>
    <row r="542" spans="1:19" x14ac:dyDescent="0.2">
      <c r="A542" s="4" t="s">
        <v>728</v>
      </c>
      <c r="B542" s="5">
        <v>45995</v>
      </c>
      <c r="C542" s="15">
        <f>WEEKNUM(Orders[[#This Row],[OrderDate]])</f>
        <v>49</v>
      </c>
      <c r="D542" s="4" t="s">
        <v>374</v>
      </c>
      <c r="E542" s="4" t="s">
        <v>151</v>
      </c>
      <c r="F542" s="4">
        <v>7</v>
      </c>
      <c r="G542" s="4">
        <v>1240.4000000000001</v>
      </c>
      <c r="H542">
        <v>1054.3400000000001</v>
      </c>
      <c r="I542">
        <f>Orders[[#This Row],[Quantity]]*Orders[[#This Row],[Selling Price]]</f>
        <v>8682.8000000000011</v>
      </c>
      <c r="J542">
        <f>Orders[[#This Row],[Quantity]]*Orders[[#This Row],[Cost Price]]</f>
        <v>7380.380000000001</v>
      </c>
      <c r="K542">
        <f>Orders[[#This Row],[Revenue]]-Orders[[#This Row],[Expenses]]</f>
        <v>1302.42</v>
      </c>
      <c r="L542" t="s">
        <v>2193</v>
      </c>
      <c r="M542" t="str">
        <f>_xlfn.XLOOKUP(Orders[[#This Row],[CustomerID]],Customers[CustomerID],Customers[City])</f>
        <v>Texas</v>
      </c>
      <c r="N542" t="str">
        <f>_xlfn.XLOOKUP(Orders[[#This Row],[CustomerID]],Customers[CustomerID],Customers[CustomerName])</f>
        <v>Uche Okonkwo</v>
      </c>
      <c r="O542" t="str">
        <f>_xlfn.XLOOKUP(Orders[[#This Row],[CustomerID]],Customers[CustomerID],Customers[Gender])</f>
        <v>Male</v>
      </c>
      <c r="P542">
        <f>_xlfn.XLOOKUP(Orders[[#This Row],[CustomerID]],Customers[CustomerID],Customers[CustomerAge])</f>
        <v>27</v>
      </c>
      <c r="Q542" t="str">
        <f>IF(Orders[[#This Row],[Age]]&gt;=35,"older","young")</f>
        <v>young</v>
      </c>
      <c r="R542" t="str">
        <f>_xlfn.XLOOKUP(Orders[[#This Row],[ProductID]],Products[ProductID],Products[ProductName])</f>
        <v>CHECKERS</v>
      </c>
      <c r="S542" t="str">
        <f>_xlfn.XLOOKUP(Orders[[#This Row],[ProductID]],Products!A:A,Products!C:C)</f>
        <v>Games</v>
      </c>
    </row>
    <row r="543" spans="1:19" x14ac:dyDescent="0.2">
      <c r="A543" s="4" t="s">
        <v>729</v>
      </c>
      <c r="B543" s="5">
        <v>46010</v>
      </c>
      <c r="C543" s="15">
        <f>WEEKNUM(Orders[[#This Row],[OrderDate]])</f>
        <v>51</v>
      </c>
      <c r="D543" s="4" t="s">
        <v>671</v>
      </c>
      <c r="E543" s="4" t="s">
        <v>70</v>
      </c>
      <c r="F543" s="4">
        <v>2</v>
      </c>
      <c r="G543" s="4">
        <v>13330.599999999999</v>
      </c>
      <c r="H543">
        <v>11331.009999999998</v>
      </c>
      <c r="I543">
        <f>Orders[[#This Row],[Quantity]]*Orders[[#This Row],[Selling Price]]</f>
        <v>26661.199999999997</v>
      </c>
      <c r="J543">
        <f>Orders[[#This Row],[Quantity]]*Orders[[#This Row],[Cost Price]]</f>
        <v>22662.019999999997</v>
      </c>
      <c r="K543">
        <f>Orders[[#This Row],[Revenue]]-Orders[[#This Row],[Expenses]]</f>
        <v>3999.1800000000003</v>
      </c>
      <c r="L543" t="s">
        <v>2198</v>
      </c>
      <c r="M543" t="str">
        <f>_xlfn.XLOOKUP(Orders[[#This Row],[CustomerID]],Customers[CustomerID],Customers[City])</f>
        <v>Texas</v>
      </c>
      <c r="N543" t="str">
        <f>_xlfn.XLOOKUP(Orders[[#This Row],[CustomerID]],Customers[CustomerID],Customers[CustomerName])</f>
        <v>Tunde Abubakar</v>
      </c>
      <c r="O543" t="str">
        <f>_xlfn.XLOOKUP(Orders[[#This Row],[CustomerID]],Customers[CustomerID],Customers[Gender])</f>
        <v>Male</v>
      </c>
      <c r="P543">
        <f>_xlfn.XLOOKUP(Orders[[#This Row],[CustomerID]],Customers[CustomerID],Customers[CustomerAge])</f>
        <v>26</v>
      </c>
      <c r="Q543" t="str">
        <f>IF(Orders[[#This Row],[Age]]&gt;=35,"older","young")</f>
        <v>young</v>
      </c>
      <c r="R543" t="str">
        <f>_xlfn.XLOOKUP(Orders[[#This Row],[ProductID]],Products[ProductID],Products[ProductName])</f>
        <v>YOGA MAT</v>
      </c>
      <c r="S543" t="str">
        <f>_xlfn.XLOOKUP(Orders[[#This Row],[ProductID]],Products!A:A,Products!C:C)</f>
        <v>Gym</v>
      </c>
    </row>
    <row r="544" spans="1:19" x14ac:dyDescent="0.2">
      <c r="A544" s="4" t="s">
        <v>730</v>
      </c>
      <c r="B544" s="5">
        <v>46013</v>
      </c>
      <c r="C544" s="15">
        <f>WEEKNUM(Orders[[#This Row],[OrderDate]])</f>
        <v>52</v>
      </c>
      <c r="D544" s="4" t="s">
        <v>435</v>
      </c>
      <c r="E544" s="4" t="s">
        <v>70</v>
      </c>
      <c r="F544" s="4">
        <v>10</v>
      </c>
      <c r="G544" s="4">
        <v>9566.2999999999993</v>
      </c>
      <c r="H544">
        <v>8131.3549999999996</v>
      </c>
      <c r="I544">
        <f>Orders[[#This Row],[Quantity]]*Orders[[#This Row],[Selling Price]]</f>
        <v>95663</v>
      </c>
      <c r="J544">
        <f>Orders[[#This Row],[Quantity]]*Orders[[#This Row],[Cost Price]]</f>
        <v>81313.549999999988</v>
      </c>
      <c r="K544">
        <f>Orders[[#This Row],[Revenue]]-Orders[[#This Row],[Expenses]]</f>
        <v>14349.450000000012</v>
      </c>
      <c r="L544" t="s">
        <v>2206</v>
      </c>
      <c r="M544" t="str">
        <f>_xlfn.XLOOKUP(Orders[[#This Row],[CustomerID]],Customers[CustomerID],Customers[City])</f>
        <v>Texas</v>
      </c>
      <c r="N544" t="str">
        <f>_xlfn.XLOOKUP(Orders[[#This Row],[CustomerID]],Customers[CustomerID],Customers[CustomerName])</f>
        <v>Amina Balogun</v>
      </c>
      <c r="O544" t="str">
        <f>_xlfn.XLOOKUP(Orders[[#This Row],[CustomerID]],Customers[CustomerID],Customers[Gender])</f>
        <v>Female</v>
      </c>
      <c r="P544">
        <f>_xlfn.XLOOKUP(Orders[[#This Row],[CustomerID]],Customers[CustomerID],Customers[CustomerAge])</f>
        <v>32</v>
      </c>
      <c r="Q544" t="str">
        <f>IF(Orders[[#This Row],[Age]]&gt;=35,"older","young")</f>
        <v>young</v>
      </c>
      <c r="R544" t="str">
        <f>_xlfn.XLOOKUP(Orders[[#This Row],[ProductID]],Products[ProductID],Products[ProductName])</f>
        <v>YOGA MAT</v>
      </c>
      <c r="S544" t="str">
        <f>_xlfn.XLOOKUP(Orders[[#This Row],[ProductID]],Products!A:A,Products!C:C)</f>
        <v>Gym</v>
      </c>
    </row>
    <row r="545" spans="1:19" x14ac:dyDescent="0.2">
      <c r="A545" s="4" t="s">
        <v>731</v>
      </c>
      <c r="B545" s="5">
        <v>45981</v>
      </c>
      <c r="C545" s="15">
        <f>WEEKNUM(Orders[[#This Row],[OrderDate]])</f>
        <v>47</v>
      </c>
      <c r="D545" s="4" t="s">
        <v>48</v>
      </c>
      <c r="E545" s="4" t="s">
        <v>28</v>
      </c>
      <c r="F545" s="4">
        <v>6</v>
      </c>
      <c r="G545" s="4">
        <v>11084.2</v>
      </c>
      <c r="H545">
        <v>9421.57</v>
      </c>
      <c r="I545">
        <f>Orders[[#This Row],[Quantity]]*Orders[[#This Row],[Selling Price]]</f>
        <v>66505.200000000012</v>
      </c>
      <c r="J545">
        <f>Orders[[#This Row],[Quantity]]*Orders[[#This Row],[Cost Price]]</f>
        <v>56529.42</v>
      </c>
      <c r="K545">
        <f>Orders[[#This Row],[Revenue]]-Orders[[#This Row],[Expenses]]</f>
        <v>9975.7800000000134</v>
      </c>
      <c r="L545" t="s">
        <v>2194</v>
      </c>
      <c r="M545" t="str">
        <f>_xlfn.XLOOKUP(Orders[[#This Row],[CustomerID]],Customers[CustomerID],Customers[City])</f>
        <v>California</v>
      </c>
      <c r="N545" t="str">
        <f>_xlfn.XLOOKUP(Orders[[#This Row],[CustomerID]],Customers[CustomerID],Customers[CustomerName])</f>
        <v>Mustafa Obi</v>
      </c>
      <c r="O545" t="str">
        <f>_xlfn.XLOOKUP(Orders[[#This Row],[CustomerID]],Customers[CustomerID],Customers[Gender])</f>
        <v>Male</v>
      </c>
      <c r="P545">
        <f>_xlfn.XLOOKUP(Orders[[#This Row],[CustomerID]],Customers[CustomerID],Customers[CustomerAge])</f>
        <v>23</v>
      </c>
      <c r="Q545" t="str">
        <f>IF(Orders[[#This Row],[Age]]&gt;=35,"older","young")</f>
        <v>young</v>
      </c>
      <c r="R545" t="str">
        <f>_xlfn.XLOOKUP(Orders[[#This Row],[ProductID]],Products[ProductID],Products[ProductName])</f>
        <v>SNEAKERS</v>
      </c>
      <c r="S545" t="str">
        <f>_xlfn.XLOOKUP(Orders[[#This Row],[ProductID]],Products!A:A,Products!C:C)</f>
        <v>Sports</v>
      </c>
    </row>
    <row r="546" spans="1:19" x14ac:dyDescent="0.2">
      <c r="A546" s="4" t="s">
        <v>732</v>
      </c>
      <c r="B546" s="5">
        <v>45958</v>
      </c>
      <c r="C546" s="15">
        <f>WEEKNUM(Orders[[#This Row],[OrderDate]])</f>
        <v>44</v>
      </c>
      <c r="D546" s="4" t="s">
        <v>502</v>
      </c>
      <c r="E546" s="4" t="s">
        <v>60</v>
      </c>
      <c r="F546" s="4">
        <v>8</v>
      </c>
      <c r="G546" s="4">
        <v>14128.599999999999</v>
      </c>
      <c r="H546">
        <v>12009.31</v>
      </c>
      <c r="I546">
        <f>Orders[[#This Row],[Quantity]]*Orders[[#This Row],[Selling Price]]</f>
        <v>113028.79999999999</v>
      </c>
      <c r="J546">
        <f>Orders[[#This Row],[Quantity]]*Orders[[#This Row],[Cost Price]]</f>
        <v>96074.48</v>
      </c>
      <c r="K546">
        <f>Orders[[#This Row],[Revenue]]-Orders[[#This Row],[Expenses]]</f>
        <v>16954.319999999992</v>
      </c>
      <c r="L546" t="s">
        <v>2201</v>
      </c>
      <c r="M546" t="str">
        <f>_xlfn.XLOOKUP(Orders[[#This Row],[CustomerID]],Customers[CustomerID],Customers[City])</f>
        <v>Texas</v>
      </c>
      <c r="N546" t="str">
        <f>_xlfn.XLOOKUP(Orders[[#This Row],[CustomerID]],Customers[CustomerID],Customers[CustomerName])</f>
        <v>Obi Eze</v>
      </c>
      <c r="O546" t="str">
        <f>_xlfn.XLOOKUP(Orders[[#This Row],[CustomerID]],Customers[CustomerID],Customers[Gender])</f>
        <v>Male</v>
      </c>
      <c r="P546">
        <f>_xlfn.XLOOKUP(Orders[[#This Row],[CustomerID]],Customers[CustomerID],Customers[CustomerAge])</f>
        <v>24</v>
      </c>
      <c r="Q546" t="str">
        <f>IF(Orders[[#This Row],[Age]]&gt;=35,"older","young")</f>
        <v>young</v>
      </c>
      <c r="R546" t="str">
        <f>_xlfn.XLOOKUP(Orders[[#This Row],[ProductID]],Products[ProductID],Products[ProductName])</f>
        <v>SILVER RINGS</v>
      </c>
      <c r="S546" t="str">
        <f>_xlfn.XLOOKUP(Orders[[#This Row],[ProductID]],Products!A:A,Products!C:C)</f>
        <v>Accessories</v>
      </c>
    </row>
    <row r="547" spans="1:19" x14ac:dyDescent="0.2">
      <c r="A547" s="4" t="s">
        <v>733</v>
      </c>
      <c r="B547" s="5">
        <v>45989</v>
      </c>
      <c r="C547" s="15">
        <f>WEEKNUM(Orders[[#This Row],[OrderDate]])</f>
        <v>48</v>
      </c>
      <c r="D547" s="4" t="s">
        <v>293</v>
      </c>
      <c r="E547" s="4" t="s">
        <v>57</v>
      </c>
      <c r="F547" s="4">
        <v>5</v>
      </c>
      <c r="G547" s="4">
        <v>2571.1999999999998</v>
      </c>
      <c r="H547">
        <v>2185.52</v>
      </c>
      <c r="I547">
        <f>Orders[[#This Row],[Quantity]]*Orders[[#This Row],[Selling Price]]</f>
        <v>12856</v>
      </c>
      <c r="J547">
        <f>Orders[[#This Row],[Quantity]]*Orders[[#This Row],[Cost Price]]</f>
        <v>10927.6</v>
      </c>
      <c r="K547">
        <f>Orders[[#This Row],[Revenue]]-Orders[[#This Row],[Expenses]]</f>
        <v>1928.3999999999996</v>
      </c>
      <c r="L547" t="s">
        <v>2195</v>
      </c>
      <c r="M547" t="str">
        <f>_xlfn.XLOOKUP(Orders[[#This Row],[CustomerID]],Customers[CustomerID],Customers[City])</f>
        <v>Florida</v>
      </c>
      <c r="N547" t="str">
        <f>_xlfn.XLOOKUP(Orders[[#This Row],[CustomerID]],Customers[CustomerID],Customers[CustomerName])</f>
        <v>Tunde Eze</v>
      </c>
      <c r="O547" t="str">
        <f>_xlfn.XLOOKUP(Orders[[#This Row],[CustomerID]],Customers[CustomerID],Customers[Gender])</f>
        <v>Male</v>
      </c>
      <c r="P547">
        <f>_xlfn.XLOOKUP(Orders[[#This Row],[CustomerID]],Customers[CustomerID],Customers[CustomerAge])</f>
        <v>46</v>
      </c>
      <c r="Q547" t="str">
        <f>IF(Orders[[#This Row],[Age]]&gt;=35,"older","young")</f>
        <v>older</v>
      </c>
      <c r="R547" t="str">
        <f>_xlfn.XLOOKUP(Orders[[#This Row],[ProductID]],Products[ProductID],Products[ProductName])</f>
        <v>BADMINTON RACKET</v>
      </c>
      <c r="S547" t="str">
        <f>_xlfn.XLOOKUP(Orders[[#This Row],[ProductID]],Products!A:A,Products!C:C)</f>
        <v>Sports</v>
      </c>
    </row>
    <row r="548" spans="1:19" x14ac:dyDescent="0.2">
      <c r="A548" s="4" t="s">
        <v>734</v>
      </c>
      <c r="B548" s="5">
        <v>45937</v>
      </c>
      <c r="C548" s="15">
        <f>WEEKNUM(Orders[[#This Row],[OrderDate]])</f>
        <v>41</v>
      </c>
      <c r="D548" s="4" t="s">
        <v>457</v>
      </c>
      <c r="E548" s="4" t="s">
        <v>157</v>
      </c>
      <c r="F548" s="4">
        <v>9</v>
      </c>
      <c r="G548" s="4">
        <v>16363.900000000001</v>
      </c>
      <c r="H548">
        <v>13909.315000000002</v>
      </c>
      <c r="I548">
        <f>Orders[[#This Row],[Quantity]]*Orders[[#This Row],[Selling Price]]</f>
        <v>147275.1</v>
      </c>
      <c r="J548">
        <f>Orders[[#This Row],[Quantity]]*Orders[[#This Row],[Cost Price]]</f>
        <v>125183.83500000002</v>
      </c>
      <c r="K548">
        <f>Orders[[#This Row],[Revenue]]-Orders[[#This Row],[Expenses]]</f>
        <v>22091.264999999985</v>
      </c>
      <c r="L548" t="s">
        <v>2210</v>
      </c>
      <c r="M548" t="str">
        <f>_xlfn.XLOOKUP(Orders[[#This Row],[CustomerID]],Customers[CustomerID],Customers[City])</f>
        <v>Illinois</v>
      </c>
      <c r="N548" t="str">
        <f>_xlfn.XLOOKUP(Orders[[#This Row],[CustomerID]],Customers[CustomerID],Customers[CustomerName])</f>
        <v>Tunde Okonkwo</v>
      </c>
      <c r="O548" t="str">
        <f>_xlfn.XLOOKUP(Orders[[#This Row],[CustomerID]],Customers[CustomerID],Customers[Gender])</f>
        <v>Male</v>
      </c>
      <c r="P548">
        <f>_xlfn.XLOOKUP(Orders[[#This Row],[CustomerID]],Customers[CustomerID],Customers[CustomerAge])</f>
        <v>23</v>
      </c>
      <c r="Q548" t="str">
        <f>IF(Orders[[#This Row],[Age]]&gt;=35,"older","young")</f>
        <v>young</v>
      </c>
      <c r="R548" t="str">
        <f>_xlfn.XLOOKUP(Orders[[#This Row],[ProductID]],Products[ProductID],Products[ProductName])</f>
        <v>FOOTBALL</v>
      </c>
      <c r="S548" t="str">
        <f>_xlfn.XLOOKUP(Orders[[#This Row],[ProductID]],Products!A:A,Products!C:C)</f>
        <v>Sports</v>
      </c>
    </row>
    <row r="549" spans="1:19" x14ac:dyDescent="0.2">
      <c r="A549" s="4" t="s">
        <v>735</v>
      </c>
      <c r="B549" s="5">
        <v>46019</v>
      </c>
      <c r="C549" s="15">
        <f>WEEKNUM(Orders[[#This Row],[OrderDate]])</f>
        <v>53</v>
      </c>
      <c r="D549" s="4" t="s">
        <v>305</v>
      </c>
      <c r="E549" s="4" t="s">
        <v>66</v>
      </c>
      <c r="F549" s="4">
        <v>9</v>
      </c>
      <c r="G549" s="4">
        <v>19359.5</v>
      </c>
      <c r="H549">
        <v>16455.575000000001</v>
      </c>
      <c r="I549">
        <f>Orders[[#This Row],[Quantity]]*Orders[[#This Row],[Selling Price]]</f>
        <v>174235.5</v>
      </c>
      <c r="J549">
        <f>Orders[[#This Row],[Quantity]]*Orders[[#This Row],[Cost Price]]</f>
        <v>148100.17500000002</v>
      </c>
      <c r="K549">
        <f>Orders[[#This Row],[Revenue]]-Orders[[#This Row],[Expenses]]</f>
        <v>26135.324999999983</v>
      </c>
      <c r="L549" t="s">
        <v>2210</v>
      </c>
      <c r="M549" t="str">
        <f>_xlfn.XLOOKUP(Orders[[#This Row],[CustomerID]],Customers[CustomerID],Customers[City])</f>
        <v>California</v>
      </c>
      <c r="N549" t="str">
        <f>_xlfn.XLOOKUP(Orders[[#This Row],[CustomerID]],Customers[CustomerID],Customers[CustomerName])</f>
        <v>Tunde Danladi</v>
      </c>
      <c r="O549" t="str">
        <f>_xlfn.XLOOKUP(Orders[[#This Row],[CustomerID]],Customers[CustomerID],Customers[Gender])</f>
        <v>Male</v>
      </c>
      <c r="P549">
        <f>_xlfn.XLOOKUP(Orders[[#This Row],[CustomerID]],Customers[CustomerID],Customers[CustomerAge])</f>
        <v>40</v>
      </c>
      <c r="Q549" t="str">
        <f>IF(Orders[[#This Row],[Age]]&gt;=35,"older","young")</f>
        <v>older</v>
      </c>
      <c r="R549" t="str">
        <f>_xlfn.XLOOKUP(Orders[[#This Row],[ProductID]],Products[ProductID],Products[ProductName])</f>
        <v>MICROWAVE</v>
      </c>
      <c r="S549" t="str">
        <f>_xlfn.XLOOKUP(Orders[[#This Row],[ProductID]],Products!A:A,Products!C:C)</f>
        <v>Electronics</v>
      </c>
    </row>
    <row r="550" spans="1:19" x14ac:dyDescent="0.2">
      <c r="A550" s="4" t="s">
        <v>736</v>
      </c>
      <c r="B550" s="5">
        <v>45947</v>
      </c>
      <c r="C550" s="15">
        <f>WEEKNUM(Orders[[#This Row],[OrderDate]])</f>
        <v>42</v>
      </c>
      <c r="D550" s="4" t="s">
        <v>110</v>
      </c>
      <c r="E550" s="4" t="s">
        <v>208</v>
      </c>
      <c r="F550" s="4">
        <v>10</v>
      </c>
      <c r="G550" s="4">
        <v>3644.9</v>
      </c>
      <c r="H550">
        <v>3098.165</v>
      </c>
      <c r="I550">
        <f>Orders[[#This Row],[Quantity]]*Orders[[#This Row],[Selling Price]]</f>
        <v>36449</v>
      </c>
      <c r="J550">
        <f>Orders[[#This Row],[Quantity]]*Orders[[#This Row],[Cost Price]]</f>
        <v>30981.65</v>
      </c>
      <c r="K550">
        <f>Orders[[#This Row],[Revenue]]-Orders[[#This Row],[Expenses]]</f>
        <v>5467.3499999999985</v>
      </c>
      <c r="L550" t="s">
        <v>2197</v>
      </c>
      <c r="M550" t="str">
        <f>_xlfn.XLOOKUP(Orders[[#This Row],[CustomerID]],Customers[CustomerID],Customers[City])</f>
        <v>Washington</v>
      </c>
      <c r="N550" t="str">
        <f>_xlfn.XLOOKUP(Orders[[#This Row],[CustomerID]],Customers[CustomerID],Customers[CustomerName])</f>
        <v>Ngozi Danladi</v>
      </c>
      <c r="O550" t="str">
        <f>_xlfn.XLOOKUP(Orders[[#This Row],[CustomerID]],Customers[CustomerID],Customers[Gender])</f>
        <v>Female</v>
      </c>
      <c r="P550">
        <f>_xlfn.XLOOKUP(Orders[[#This Row],[CustomerID]],Customers[CustomerID],Customers[CustomerAge])</f>
        <v>28</v>
      </c>
      <c r="Q550" t="str">
        <f>IF(Orders[[#This Row],[Age]]&gt;=35,"older","young")</f>
        <v>young</v>
      </c>
      <c r="R550" t="str">
        <f>_xlfn.XLOOKUP(Orders[[#This Row],[ProductID]],Products[ProductID],Products[ProductName])</f>
        <v>SKIPPING ROPE</v>
      </c>
      <c r="S550" t="str">
        <f>_xlfn.XLOOKUP(Orders[[#This Row],[ProductID]],Products!A:A,Products!C:C)</f>
        <v>Sports</v>
      </c>
    </row>
    <row r="551" spans="1:19" x14ac:dyDescent="0.2">
      <c r="A551" s="4" t="s">
        <v>737</v>
      </c>
      <c r="B551" s="5">
        <v>45974</v>
      </c>
      <c r="C551" s="15">
        <f>WEEKNUM(Orders[[#This Row],[OrderDate]])</f>
        <v>46</v>
      </c>
      <c r="D551" s="4" t="s">
        <v>244</v>
      </c>
      <c r="E551" s="4" t="s">
        <v>120</v>
      </c>
      <c r="F551" s="4">
        <v>5</v>
      </c>
      <c r="G551" s="4">
        <v>15784</v>
      </c>
      <c r="H551">
        <v>13416.4</v>
      </c>
      <c r="I551">
        <f>Orders[[#This Row],[Quantity]]*Orders[[#This Row],[Selling Price]]</f>
        <v>78920</v>
      </c>
      <c r="J551">
        <f>Orders[[#This Row],[Quantity]]*Orders[[#This Row],[Cost Price]]</f>
        <v>67082</v>
      </c>
      <c r="K551">
        <f>Orders[[#This Row],[Revenue]]-Orders[[#This Row],[Expenses]]</f>
        <v>11838</v>
      </c>
      <c r="L551" t="s">
        <v>2211</v>
      </c>
      <c r="M551" t="str">
        <f>_xlfn.XLOOKUP(Orders[[#This Row],[CustomerID]],Customers[CustomerID],Customers[City])</f>
        <v>Texas</v>
      </c>
      <c r="N551" t="str">
        <f>_xlfn.XLOOKUP(Orders[[#This Row],[CustomerID]],Customers[CustomerID],Customers[CustomerName])</f>
        <v>Zainab Abubakar</v>
      </c>
      <c r="O551" t="str">
        <f>_xlfn.XLOOKUP(Orders[[#This Row],[CustomerID]],Customers[CustomerID],Customers[Gender])</f>
        <v>Female</v>
      </c>
      <c r="P551">
        <f>_xlfn.XLOOKUP(Orders[[#This Row],[CustomerID]],Customers[CustomerID],Customers[CustomerAge])</f>
        <v>33</v>
      </c>
      <c r="Q551" t="str">
        <f>IF(Orders[[#This Row],[Age]]&gt;=35,"older","young")</f>
        <v>young</v>
      </c>
      <c r="R551" t="str">
        <f>_xlfn.XLOOKUP(Orders[[#This Row],[ProductID]],Products[ProductID],Products[ProductName])</f>
        <v>CHESS</v>
      </c>
      <c r="S551" t="str">
        <f>_xlfn.XLOOKUP(Orders[[#This Row],[ProductID]],Products!A:A,Products!C:C)</f>
        <v>Games</v>
      </c>
    </row>
    <row r="552" spans="1:19" x14ac:dyDescent="0.2">
      <c r="A552" s="4" t="s">
        <v>738</v>
      </c>
      <c r="B552" s="5">
        <v>45939</v>
      </c>
      <c r="C552" s="15">
        <f>WEEKNUM(Orders[[#This Row],[OrderDate]])</f>
        <v>41</v>
      </c>
      <c r="D552" s="4" t="s">
        <v>19</v>
      </c>
      <c r="E552" s="4" t="s">
        <v>151</v>
      </c>
      <c r="F552" s="4">
        <v>7</v>
      </c>
      <c r="G552" s="4">
        <v>18399.3</v>
      </c>
      <c r="H552">
        <v>15639.404999999999</v>
      </c>
      <c r="I552">
        <f>Orders[[#This Row],[Quantity]]*Orders[[#This Row],[Selling Price]]</f>
        <v>128795.09999999999</v>
      </c>
      <c r="J552">
        <f>Orders[[#This Row],[Quantity]]*Orders[[#This Row],[Cost Price]]</f>
        <v>109475.83499999999</v>
      </c>
      <c r="K552">
        <f>Orders[[#This Row],[Revenue]]-Orders[[#This Row],[Expenses]]</f>
        <v>19319.264999999999</v>
      </c>
      <c r="L552" t="s">
        <v>2209</v>
      </c>
      <c r="M552" t="str">
        <f>_xlfn.XLOOKUP(Orders[[#This Row],[CustomerID]],Customers[CustomerID],Customers[City])</f>
        <v>California</v>
      </c>
      <c r="N552" t="str">
        <f>_xlfn.XLOOKUP(Orders[[#This Row],[CustomerID]],Customers[CustomerID],Customers[CustomerName])</f>
        <v>Obi Adeyemi</v>
      </c>
      <c r="O552" t="str">
        <f>_xlfn.XLOOKUP(Orders[[#This Row],[CustomerID]],Customers[CustomerID],Customers[Gender])</f>
        <v>Male</v>
      </c>
      <c r="P552">
        <f>_xlfn.XLOOKUP(Orders[[#This Row],[CustomerID]],Customers[CustomerID],Customers[CustomerAge])</f>
        <v>24</v>
      </c>
      <c r="Q552" t="str">
        <f>IF(Orders[[#This Row],[Age]]&gt;=35,"older","young")</f>
        <v>young</v>
      </c>
      <c r="R552" t="str">
        <f>_xlfn.XLOOKUP(Orders[[#This Row],[ProductID]],Products[ProductID],Products[ProductName])</f>
        <v>CHECKERS</v>
      </c>
      <c r="S552" t="str">
        <f>_xlfn.XLOOKUP(Orders[[#This Row],[ProductID]],Products!A:A,Products!C:C)</f>
        <v>Games</v>
      </c>
    </row>
    <row r="553" spans="1:19" x14ac:dyDescent="0.2">
      <c r="A553" s="4" t="s">
        <v>739</v>
      </c>
      <c r="B553" s="5">
        <v>45979</v>
      </c>
      <c r="C553" s="15">
        <f>WEEKNUM(Orders[[#This Row],[OrderDate]])</f>
        <v>47</v>
      </c>
      <c r="D553" s="4" t="s">
        <v>311</v>
      </c>
      <c r="E553" s="4" t="s">
        <v>25</v>
      </c>
      <c r="F553" s="4">
        <v>6</v>
      </c>
      <c r="G553" s="4">
        <v>16332.3</v>
      </c>
      <c r="H553">
        <v>13882.455</v>
      </c>
      <c r="I553">
        <f>Orders[[#This Row],[Quantity]]*Orders[[#This Row],[Selling Price]]</f>
        <v>97993.799999999988</v>
      </c>
      <c r="J553">
        <f>Orders[[#This Row],[Quantity]]*Orders[[#This Row],[Cost Price]]</f>
        <v>83294.73</v>
      </c>
      <c r="K553">
        <f>Orders[[#This Row],[Revenue]]-Orders[[#This Row],[Expenses]]</f>
        <v>14699.069999999992</v>
      </c>
      <c r="L553" t="s">
        <v>2214</v>
      </c>
      <c r="M553" t="str">
        <f>_xlfn.XLOOKUP(Orders[[#This Row],[CustomerID]],Customers[CustomerID],Customers[City])</f>
        <v>Georgia</v>
      </c>
      <c r="N553" t="str">
        <f>_xlfn.XLOOKUP(Orders[[#This Row],[CustomerID]],Customers[CustomerID],Customers[CustomerName])</f>
        <v>Bisi Bello</v>
      </c>
      <c r="O553" t="str">
        <f>_xlfn.XLOOKUP(Orders[[#This Row],[CustomerID]],Customers[CustomerID],Customers[Gender])</f>
        <v>Female</v>
      </c>
      <c r="P553">
        <f>_xlfn.XLOOKUP(Orders[[#This Row],[CustomerID]],Customers[CustomerID],Customers[CustomerAge])</f>
        <v>31</v>
      </c>
      <c r="Q553" t="str">
        <f>IF(Orders[[#This Row],[Age]]&gt;=35,"older","young")</f>
        <v>young</v>
      </c>
      <c r="R553" t="str">
        <f>_xlfn.XLOOKUP(Orders[[#This Row],[ProductID]],Products[ProductID],Products[ProductName])</f>
        <v>GOLD RINGS</v>
      </c>
      <c r="S553" t="str">
        <f>_xlfn.XLOOKUP(Orders[[#This Row],[ProductID]],Products!A:A,Products!C:C)</f>
        <v>Accessories</v>
      </c>
    </row>
    <row r="554" spans="1:19" x14ac:dyDescent="0.2">
      <c r="A554" s="4" t="s">
        <v>740</v>
      </c>
      <c r="B554" s="5">
        <v>46011</v>
      </c>
      <c r="C554" s="15">
        <f>WEEKNUM(Orders[[#This Row],[OrderDate]])</f>
        <v>51</v>
      </c>
      <c r="D554" s="4" t="s">
        <v>180</v>
      </c>
      <c r="E554" s="4" t="s">
        <v>151</v>
      </c>
      <c r="F554" s="4">
        <v>6</v>
      </c>
      <c r="G554" s="4">
        <v>17278.399999999998</v>
      </c>
      <c r="H554">
        <v>14686.639999999998</v>
      </c>
      <c r="I554">
        <f>Orders[[#This Row],[Quantity]]*Orders[[#This Row],[Selling Price]]</f>
        <v>103670.39999999999</v>
      </c>
      <c r="J554">
        <f>Orders[[#This Row],[Quantity]]*Orders[[#This Row],[Cost Price]]</f>
        <v>88119.839999999982</v>
      </c>
      <c r="K554">
        <f>Orders[[#This Row],[Revenue]]-Orders[[#This Row],[Expenses]]</f>
        <v>15550.560000000012</v>
      </c>
      <c r="L554" t="s">
        <v>2202</v>
      </c>
      <c r="M554" t="str">
        <f>_xlfn.XLOOKUP(Orders[[#This Row],[CustomerID]],Customers[CustomerID],Customers[City])</f>
        <v>Texas</v>
      </c>
      <c r="N554" t="str">
        <f>_xlfn.XLOOKUP(Orders[[#This Row],[CustomerID]],Customers[CustomerID],Customers[CustomerName])</f>
        <v>Jide Okonkwo</v>
      </c>
      <c r="O554" t="str">
        <f>_xlfn.XLOOKUP(Orders[[#This Row],[CustomerID]],Customers[CustomerID],Customers[Gender])</f>
        <v>Male</v>
      </c>
      <c r="P554">
        <f>_xlfn.XLOOKUP(Orders[[#This Row],[CustomerID]],Customers[CustomerID],Customers[CustomerAge])</f>
        <v>25</v>
      </c>
      <c r="Q554" t="str">
        <f>IF(Orders[[#This Row],[Age]]&gt;=35,"older","young")</f>
        <v>young</v>
      </c>
      <c r="R554" t="str">
        <f>_xlfn.XLOOKUP(Orders[[#This Row],[ProductID]],Products[ProductID],Products[ProductName])</f>
        <v>CHECKERS</v>
      </c>
      <c r="S554" t="str">
        <f>_xlfn.XLOOKUP(Orders[[#This Row],[ProductID]],Products!A:A,Products!C:C)</f>
        <v>Games</v>
      </c>
    </row>
    <row r="555" spans="1:19" x14ac:dyDescent="0.2">
      <c r="A555" s="4" t="s">
        <v>741</v>
      </c>
      <c r="B555" s="5">
        <v>45935</v>
      </c>
      <c r="C555" s="15">
        <f>WEEKNUM(Orders[[#This Row],[OrderDate]])</f>
        <v>41</v>
      </c>
      <c r="D555" s="4" t="s">
        <v>94</v>
      </c>
      <c r="E555" s="4" t="s">
        <v>60</v>
      </c>
      <c r="F555" s="4">
        <v>4</v>
      </c>
      <c r="G555" s="4">
        <v>19196.199999999997</v>
      </c>
      <c r="H555">
        <v>16316.769999999997</v>
      </c>
      <c r="I555">
        <f>Orders[[#This Row],[Quantity]]*Orders[[#This Row],[Selling Price]]</f>
        <v>76784.799999999988</v>
      </c>
      <c r="J555">
        <f>Orders[[#This Row],[Quantity]]*Orders[[#This Row],[Cost Price]]</f>
        <v>65267.079999999987</v>
      </c>
      <c r="K555">
        <f>Orders[[#This Row],[Revenue]]-Orders[[#This Row],[Expenses]]</f>
        <v>11517.720000000001</v>
      </c>
      <c r="L555" t="s">
        <v>2214</v>
      </c>
      <c r="M555" t="str">
        <f>_xlfn.XLOOKUP(Orders[[#This Row],[CustomerID]],Customers[CustomerID],Customers[City])</f>
        <v>Texas</v>
      </c>
      <c r="N555" t="str">
        <f>_xlfn.XLOOKUP(Orders[[#This Row],[CustomerID]],Customers[CustomerID],Customers[CustomerName])</f>
        <v>Uche Abubakar</v>
      </c>
      <c r="O555" t="str">
        <f>_xlfn.XLOOKUP(Orders[[#This Row],[CustomerID]],Customers[CustomerID],Customers[Gender])</f>
        <v>Male</v>
      </c>
      <c r="P555">
        <f>_xlfn.XLOOKUP(Orders[[#This Row],[CustomerID]],Customers[CustomerID],Customers[CustomerAge])</f>
        <v>26</v>
      </c>
      <c r="Q555" t="str">
        <f>IF(Orders[[#This Row],[Age]]&gt;=35,"older","young")</f>
        <v>young</v>
      </c>
      <c r="R555" t="str">
        <f>_xlfn.XLOOKUP(Orders[[#This Row],[ProductID]],Products[ProductID],Products[ProductName])</f>
        <v>SILVER RINGS</v>
      </c>
      <c r="S555" t="str">
        <f>_xlfn.XLOOKUP(Orders[[#This Row],[ProductID]],Products!A:A,Products!C:C)</f>
        <v>Accessories</v>
      </c>
    </row>
    <row r="556" spans="1:19" x14ac:dyDescent="0.2">
      <c r="A556" s="4" t="s">
        <v>742</v>
      </c>
      <c r="B556" s="5">
        <v>45989</v>
      </c>
      <c r="C556" s="15">
        <f>WEEKNUM(Orders[[#This Row],[OrderDate]])</f>
        <v>48</v>
      </c>
      <c r="D556" s="4" t="s">
        <v>502</v>
      </c>
      <c r="E556" s="4" t="s">
        <v>28</v>
      </c>
      <c r="F556" s="4">
        <v>1</v>
      </c>
      <c r="G556" s="4">
        <v>15156.199999999999</v>
      </c>
      <c r="H556">
        <v>12882.769999999999</v>
      </c>
      <c r="I556">
        <f>Orders[[#This Row],[Quantity]]*Orders[[#This Row],[Selling Price]]</f>
        <v>15156.199999999999</v>
      </c>
      <c r="J556">
        <f>Orders[[#This Row],[Quantity]]*Orders[[#This Row],[Cost Price]]</f>
        <v>12882.769999999999</v>
      </c>
      <c r="K556">
        <f>Orders[[#This Row],[Revenue]]-Orders[[#This Row],[Expenses]]</f>
        <v>2273.4300000000003</v>
      </c>
      <c r="L556" t="s">
        <v>2198</v>
      </c>
      <c r="M556" t="str">
        <f>_xlfn.XLOOKUP(Orders[[#This Row],[CustomerID]],Customers[CustomerID],Customers[City])</f>
        <v>Texas</v>
      </c>
      <c r="N556" t="str">
        <f>_xlfn.XLOOKUP(Orders[[#This Row],[CustomerID]],Customers[CustomerID],Customers[CustomerName])</f>
        <v>Obi Eze</v>
      </c>
      <c r="O556" t="str">
        <f>_xlfn.XLOOKUP(Orders[[#This Row],[CustomerID]],Customers[CustomerID],Customers[Gender])</f>
        <v>Male</v>
      </c>
      <c r="P556">
        <f>_xlfn.XLOOKUP(Orders[[#This Row],[CustomerID]],Customers[CustomerID],Customers[CustomerAge])</f>
        <v>24</v>
      </c>
      <c r="Q556" t="str">
        <f>IF(Orders[[#This Row],[Age]]&gt;=35,"older","young")</f>
        <v>young</v>
      </c>
      <c r="R556" t="str">
        <f>_xlfn.XLOOKUP(Orders[[#This Row],[ProductID]],Products[ProductID],Products[ProductName])</f>
        <v>SNEAKERS</v>
      </c>
      <c r="S556" t="str">
        <f>_xlfn.XLOOKUP(Orders[[#This Row],[ProductID]],Products!A:A,Products!C:C)</f>
        <v>Sports</v>
      </c>
    </row>
    <row r="557" spans="1:19" x14ac:dyDescent="0.2">
      <c r="A557" s="4" t="s">
        <v>743</v>
      </c>
      <c r="B557" s="5">
        <v>45949</v>
      </c>
      <c r="C557" s="15">
        <f>WEEKNUM(Orders[[#This Row],[OrderDate]])</f>
        <v>43</v>
      </c>
      <c r="D557" s="4" t="s">
        <v>142</v>
      </c>
      <c r="E557" s="4" t="s">
        <v>111</v>
      </c>
      <c r="F557" s="4">
        <v>6</v>
      </c>
      <c r="G557" s="4">
        <v>11232.4</v>
      </c>
      <c r="H557">
        <v>9547.5399999999991</v>
      </c>
      <c r="I557">
        <f>Orders[[#This Row],[Quantity]]*Orders[[#This Row],[Selling Price]]</f>
        <v>67394.399999999994</v>
      </c>
      <c r="J557">
        <f>Orders[[#This Row],[Quantity]]*Orders[[#This Row],[Cost Price]]</f>
        <v>57285.239999999991</v>
      </c>
      <c r="K557">
        <f>Orders[[#This Row],[Revenue]]-Orders[[#This Row],[Expenses]]</f>
        <v>10109.160000000003</v>
      </c>
      <c r="L557" t="s">
        <v>2210</v>
      </c>
      <c r="M557" t="str">
        <f>_xlfn.XLOOKUP(Orders[[#This Row],[CustomerID]],Customers[CustomerID],Customers[City])</f>
        <v>Florida</v>
      </c>
      <c r="N557" t="str">
        <f>_xlfn.XLOOKUP(Orders[[#This Row],[CustomerID]],Customers[CustomerID],Customers[CustomerName])</f>
        <v>Obi Adeyemi</v>
      </c>
      <c r="O557" t="str">
        <f>_xlfn.XLOOKUP(Orders[[#This Row],[CustomerID]],Customers[CustomerID],Customers[Gender])</f>
        <v>Male</v>
      </c>
      <c r="P557">
        <f>_xlfn.XLOOKUP(Orders[[#This Row],[CustomerID]],Customers[CustomerID],Customers[CustomerAge])</f>
        <v>31</v>
      </c>
      <c r="Q557" t="str">
        <f>IF(Orders[[#This Row],[Age]]&gt;=35,"older","young")</f>
        <v>young</v>
      </c>
      <c r="R557" t="str">
        <f>_xlfn.XLOOKUP(Orders[[#This Row],[ProductID]],Products[ProductID],Products[ProductName])</f>
        <v>REFRIGERATOR</v>
      </c>
      <c r="S557" t="str">
        <f>_xlfn.XLOOKUP(Orders[[#This Row],[ProductID]],Products!A:A,Products!C:C)</f>
        <v>Electronics</v>
      </c>
    </row>
    <row r="558" spans="1:19" x14ac:dyDescent="0.2">
      <c r="A558" s="4" t="s">
        <v>744</v>
      </c>
      <c r="B558" s="5">
        <v>45997</v>
      </c>
      <c r="C558" s="15">
        <f>WEEKNUM(Orders[[#This Row],[OrderDate]])</f>
        <v>49</v>
      </c>
      <c r="D558" s="4" t="s">
        <v>333</v>
      </c>
      <c r="E558" s="4" t="s">
        <v>63</v>
      </c>
      <c r="F558" s="4">
        <v>2</v>
      </c>
      <c r="G558" s="4">
        <v>3267.5</v>
      </c>
      <c r="H558">
        <v>2777.375</v>
      </c>
      <c r="I558">
        <f>Orders[[#This Row],[Quantity]]*Orders[[#This Row],[Selling Price]]</f>
        <v>6535</v>
      </c>
      <c r="J558">
        <f>Orders[[#This Row],[Quantity]]*Orders[[#This Row],[Cost Price]]</f>
        <v>5554.75</v>
      </c>
      <c r="K558">
        <f>Orders[[#This Row],[Revenue]]-Orders[[#This Row],[Expenses]]</f>
        <v>980.25</v>
      </c>
      <c r="L558" t="s">
        <v>2202</v>
      </c>
      <c r="M558" t="str">
        <f>_xlfn.XLOOKUP(Orders[[#This Row],[CustomerID]],Customers[CustomerID],Customers[City])</f>
        <v>Washington</v>
      </c>
      <c r="N558" t="str">
        <f>_xlfn.XLOOKUP(Orders[[#This Row],[CustomerID]],Customers[CustomerID],Customers[CustomerName])</f>
        <v>Emeka Obi</v>
      </c>
      <c r="O558" t="str">
        <f>_xlfn.XLOOKUP(Orders[[#This Row],[CustomerID]],Customers[CustomerID],Customers[Gender])</f>
        <v>Male</v>
      </c>
      <c r="P558">
        <f>_xlfn.XLOOKUP(Orders[[#This Row],[CustomerID]],Customers[CustomerID],Customers[CustomerAge])</f>
        <v>44</v>
      </c>
      <c r="Q558" t="str">
        <f>IF(Orders[[#This Row],[Age]]&gt;=35,"older","young")</f>
        <v>older</v>
      </c>
      <c r="R558" t="str">
        <f>_xlfn.XLOOKUP(Orders[[#This Row],[ProductID]],Products[ProductID],Products[ProductName])</f>
        <v>TENNIS BAT</v>
      </c>
      <c r="S558" t="str">
        <f>_xlfn.XLOOKUP(Orders[[#This Row],[ProductID]],Products!A:A,Products!C:C)</f>
        <v>Sports</v>
      </c>
    </row>
    <row r="559" spans="1:19" x14ac:dyDescent="0.2">
      <c r="A559" s="4" t="s">
        <v>745</v>
      </c>
      <c r="B559" s="5">
        <v>46008</v>
      </c>
      <c r="C559" s="15">
        <f>WEEKNUM(Orders[[#This Row],[OrderDate]])</f>
        <v>51</v>
      </c>
      <c r="D559" s="4" t="s">
        <v>244</v>
      </c>
      <c r="E559" s="4" t="s">
        <v>37</v>
      </c>
      <c r="F559" s="4">
        <v>9</v>
      </c>
      <c r="G559" s="4">
        <v>704.7</v>
      </c>
      <c r="H559">
        <v>598.995</v>
      </c>
      <c r="I559">
        <f>Orders[[#This Row],[Quantity]]*Orders[[#This Row],[Selling Price]]</f>
        <v>6342.3</v>
      </c>
      <c r="J559">
        <f>Orders[[#This Row],[Quantity]]*Orders[[#This Row],[Cost Price]]</f>
        <v>5390.9549999999999</v>
      </c>
      <c r="K559">
        <f>Orders[[#This Row],[Revenue]]-Orders[[#This Row],[Expenses]]</f>
        <v>951.34500000000025</v>
      </c>
      <c r="L559" t="s">
        <v>2213</v>
      </c>
      <c r="M559" t="str">
        <f>_xlfn.XLOOKUP(Orders[[#This Row],[CustomerID]],Customers[CustomerID],Customers[City])</f>
        <v>Texas</v>
      </c>
      <c r="N559" t="str">
        <f>_xlfn.XLOOKUP(Orders[[#This Row],[CustomerID]],Customers[CustomerID],Customers[CustomerName])</f>
        <v>Zainab Abubakar</v>
      </c>
      <c r="O559" t="str">
        <f>_xlfn.XLOOKUP(Orders[[#This Row],[CustomerID]],Customers[CustomerID],Customers[Gender])</f>
        <v>Female</v>
      </c>
      <c r="P559">
        <f>_xlfn.XLOOKUP(Orders[[#This Row],[CustomerID]],Customers[CustomerID],Customers[CustomerAge])</f>
        <v>33</v>
      </c>
      <c r="Q559" t="str">
        <f>IF(Orders[[#This Row],[Age]]&gt;=35,"older","young")</f>
        <v>young</v>
      </c>
      <c r="R559" t="str">
        <f>_xlfn.XLOOKUP(Orders[[#This Row],[ProductID]],Products[ProductID],Products[ProductName])</f>
        <v>IRON</v>
      </c>
      <c r="S559" t="str">
        <f>_xlfn.XLOOKUP(Orders[[#This Row],[ProductID]],Products!A:A,Products!C:C)</f>
        <v>Electronics</v>
      </c>
    </row>
    <row r="560" spans="1:19" x14ac:dyDescent="0.2">
      <c r="A560" s="4" t="s">
        <v>746</v>
      </c>
      <c r="B560" s="5">
        <v>46009</v>
      </c>
      <c r="C560" s="15">
        <f>WEEKNUM(Orders[[#This Row],[OrderDate]])</f>
        <v>51</v>
      </c>
      <c r="D560" s="4" t="s">
        <v>439</v>
      </c>
      <c r="E560" s="4" t="s">
        <v>232</v>
      </c>
      <c r="F560" s="4">
        <v>3</v>
      </c>
      <c r="G560" s="4">
        <v>9155.2999999999993</v>
      </c>
      <c r="H560">
        <v>7782.0049999999992</v>
      </c>
      <c r="I560">
        <f>Orders[[#This Row],[Quantity]]*Orders[[#This Row],[Selling Price]]</f>
        <v>27465.899999999998</v>
      </c>
      <c r="J560">
        <f>Orders[[#This Row],[Quantity]]*Orders[[#This Row],[Cost Price]]</f>
        <v>23346.014999999999</v>
      </c>
      <c r="K560">
        <f>Orders[[#This Row],[Revenue]]-Orders[[#This Row],[Expenses]]</f>
        <v>4119.8849999999984</v>
      </c>
      <c r="L560" t="s">
        <v>2214</v>
      </c>
      <c r="M560" t="str">
        <f>_xlfn.XLOOKUP(Orders[[#This Row],[CustomerID]],Customers[CustomerID],Customers[City])</f>
        <v>Texas</v>
      </c>
      <c r="N560" t="str">
        <f>_xlfn.XLOOKUP(Orders[[#This Row],[CustomerID]],Customers[CustomerID],Customers[CustomerName])</f>
        <v>Efe Abubakar</v>
      </c>
      <c r="O560" t="str">
        <f>_xlfn.XLOOKUP(Orders[[#This Row],[CustomerID]],Customers[CustomerID],Customers[Gender])</f>
        <v>Female</v>
      </c>
      <c r="P560">
        <f>_xlfn.XLOOKUP(Orders[[#This Row],[CustomerID]],Customers[CustomerID],Customers[CustomerAge])</f>
        <v>50</v>
      </c>
      <c r="Q560" t="str">
        <f>IF(Orders[[#This Row],[Age]]&gt;=35,"older","young")</f>
        <v>older</v>
      </c>
      <c r="R560" t="str">
        <f>_xlfn.XLOOKUP(Orders[[#This Row],[ProductID]],Products[ProductID],Products[ProductName])</f>
        <v>ANKARA</v>
      </c>
      <c r="S560" t="str">
        <f>_xlfn.XLOOKUP(Orders[[#This Row],[ProductID]],Products!A:A,Products!C:C)</f>
        <v>Clothing</v>
      </c>
    </row>
    <row r="561" spans="1:19" x14ac:dyDescent="0.2">
      <c r="A561" s="4" t="s">
        <v>747</v>
      </c>
      <c r="B561" s="5">
        <v>45984</v>
      </c>
      <c r="C561" s="15">
        <f>WEEKNUM(Orders[[#This Row],[OrderDate]])</f>
        <v>48</v>
      </c>
      <c r="D561" s="4" t="s">
        <v>194</v>
      </c>
      <c r="E561" s="4" t="s">
        <v>189</v>
      </c>
      <c r="F561" s="4">
        <v>4</v>
      </c>
      <c r="G561" s="4">
        <v>4458</v>
      </c>
      <c r="H561">
        <v>3789.3</v>
      </c>
      <c r="I561">
        <f>Orders[[#This Row],[Quantity]]*Orders[[#This Row],[Selling Price]]</f>
        <v>17832</v>
      </c>
      <c r="J561">
        <f>Orders[[#This Row],[Quantity]]*Orders[[#This Row],[Cost Price]]</f>
        <v>15157.2</v>
      </c>
      <c r="K561">
        <f>Orders[[#This Row],[Revenue]]-Orders[[#This Row],[Expenses]]</f>
        <v>2674.7999999999993</v>
      </c>
      <c r="L561" t="s">
        <v>2196</v>
      </c>
      <c r="M561" t="str">
        <f>_xlfn.XLOOKUP(Orders[[#This Row],[CustomerID]],Customers[CustomerID],Customers[City])</f>
        <v>Washington</v>
      </c>
      <c r="N561" t="str">
        <f>_xlfn.XLOOKUP(Orders[[#This Row],[CustomerID]],Customers[CustomerID],Customers[CustomerName])</f>
        <v>Adanma Adeyemi</v>
      </c>
      <c r="O561" t="str">
        <f>_xlfn.XLOOKUP(Orders[[#This Row],[CustomerID]],Customers[CustomerID],Customers[Gender])</f>
        <v>Female</v>
      </c>
      <c r="P561">
        <f>_xlfn.XLOOKUP(Orders[[#This Row],[CustomerID]],Customers[CustomerID],Customers[CustomerAge])</f>
        <v>45</v>
      </c>
      <c r="Q561" t="str">
        <f>IF(Orders[[#This Row],[Age]]&gt;=35,"older","young")</f>
        <v>older</v>
      </c>
      <c r="R561" t="str">
        <f>_xlfn.XLOOKUP(Orders[[#This Row],[ProductID]],Products[ProductID],Products[ProductName])</f>
        <v>SCRABBLE</v>
      </c>
      <c r="S561" t="str">
        <f>_xlfn.XLOOKUP(Orders[[#This Row],[ProductID]],Products!A:A,Products!C:C)</f>
        <v>Games</v>
      </c>
    </row>
    <row r="562" spans="1:19" x14ac:dyDescent="0.2">
      <c r="A562" s="4" t="s">
        <v>748</v>
      </c>
      <c r="B562" s="5">
        <v>45937</v>
      </c>
      <c r="C562" s="15">
        <f>WEEKNUM(Orders[[#This Row],[OrderDate]])</f>
        <v>41</v>
      </c>
      <c r="D562" s="4" t="s">
        <v>33</v>
      </c>
      <c r="E562" s="4" t="s">
        <v>60</v>
      </c>
      <c r="F562" s="4">
        <v>9</v>
      </c>
      <c r="G562" s="4">
        <v>10029.6</v>
      </c>
      <c r="H562">
        <v>8525.16</v>
      </c>
      <c r="I562">
        <f>Orders[[#This Row],[Quantity]]*Orders[[#This Row],[Selling Price]]</f>
        <v>90266.400000000009</v>
      </c>
      <c r="J562">
        <f>Orders[[#This Row],[Quantity]]*Orders[[#This Row],[Cost Price]]</f>
        <v>76726.44</v>
      </c>
      <c r="K562">
        <f>Orders[[#This Row],[Revenue]]-Orders[[#This Row],[Expenses]]</f>
        <v>13539.960000000006</v>
      </c>
      <c r="L562" t="s">
        <v>2218</v>
      </c>
      <c r="M562" t="str">
        <f>_xlfn.XLOOKUP(Orders[[#This Row],[CustomerID]],Customers[CustomerID],Customers[City])</f>
        <v>Texas</v>
      </c>
      <c r="N562" t="str">
        <f>_xlfn.XLOOKUP(Orders[[#This Row],[CustomerID]],Customers[CustomerID],Customers[CustomerName])</f>
        <v>Okon Balogun</v>
      </c>
      <c r="O562" t="str">
        <f>_xlfn.XLOOKUP(Orders[[#This Row],[CustomerID]],Customers[CustomerID],Customers[Gender])</f>
        <v>Male</v>
      </c>
      <c r="P562">
        <f>_xlfn.XLOOKUP(Orders[[#This Row],[CustomerID]],Customers[CustomerID],Customers[CustomerAge])</f>
        <v>28</v>
      </c>
      <c r="Q562" t="str">
        <f>IF(Orders[[#This Row],[Age]]&gt;=35,"older","young")</f>
        <v>young</v>
      </c>
      <c r="R562" t="str">
        <f>_xlfn.XLOOKUP(Orders[[#This Row],[ProductID]],Products[ProductID],Products[ProductName])</f>
        <v>SILVER RINGS</v>
      </c>
      <c r="S562" t="str">
        <f>_xlfn.XLOOKUP(Orders[[#This Row],[ProductID]],Products!A:A,Products!C:C)</f>
        <v>Accessories</v>
      </c>
    </row>
    <row r="563" spans="1:19" x14ac:dyDescent="0.2">
      <c r="A563" s="4" t="s">
        <v>749</v>
      </c>
      <c r="B563" s="5">
        <v>45998</v>
      </c>
      <c r="C563" s="15">
        <f>WEEKNUM(Orders[[#This Row],[OrderDate]])</f>
        <v>50</v>
      </c>
      <c r="D563" s="4" t="s">
        <v>314</v>
      </c>
      <c r="E563" s="4" t="s">
        <v>57</v>
      </c>
      <c r="F563" s="4">
        <v>7</v>
      </c>
      <c r="G563" s="4">
        <v>5517.7999999999993</v>
      </c>
      <c r="H563">
        <v>4690.1299999999992</v>
      </c>
      <c r="I563">
        <f>Orders[[#This Row],[Quantity]]*Orders[[#This Row],[Selling Price]]</f>
        <v>38624.599999999991</v>
      </c>
      <c r="J563">
        <f>Orders[[#This Row],[Quantity]]*Orders[[#This Row],[Cost Price]]</f>
        <v>32830.909999999996</v>
      </c>
      <c r="K563">
        <f>Orders[[#This Row],[Revenue]]-Orders[[#This Row],[Expenses]]</f>
        <v>5793.6899999999951</v>
      </c>
      <c r="L563" t="s">
        <v>2214</v>
      </c>
      <c r="M563" t="str">
        <f>_xlfn.XLOOKUP(Orders[[#This Row],[CustomerID]],Customers[CustomerID],Customers[City])</f>
        <v>Washington</v>
      </c>
      <c r="N563" t="str">
        <f>_xlfn.XLOOKUP(Orders[[#This Row],[CustomerID]],Customers[CustomerID],Customers[CustomerName])</f>
        <v>Bisi Ojo</v>
      </c>
      <c r="O563" t="str">
        <f>_xlfn.XLOOKUP(Orders[[#This Row],[CustomerID]],Customers[CustomerID],Customers[Gender])</f>
        <v>Female</v>
      </c>
      <c r="P563">
        <f>_xlfn.XLOOKUP(Orders[[#This Row],[CustomerID]],Customers[CustomerID],Customers[CustomerAge])</f>
        <v>18</v>
      </c>
      <c r="Q563" t="str">
        <f>IF(Orders[[#This Row],[Age]]&gt;=35,"older","young")</f>
        <v>young</v>
      </c>
      <c r="R563" t="str">
        <f>_xlfn.XLOOKUP(Orders[[#This Row],[ProductID]],Products[ProductID],Products[ProductName])</f>
        <v>BADMINTON RACKET</v>
      </c>
      <c r="S563" t="str">
        <f>_xlfn.XLOOKUP(Orders[[#This Row],[ProductID]],Products!A:A,Products!C:C)</f>
        <v>Sports</v>
      </c>
    </row>
    <row r="564" spans="1:19" x14ac:dyDescent="0.2">
      <c r="A564" s="4" t="s">
        <v>750</v>
      </c>
      <c r="B564" s="5">
        <v>45945</v>
      </c>
      <c r="C564" s="15">
        <f>WEEKNUM(Orders[[#This Row],[OrderDate]])</f>
        <v>42</v>
      </c>
      <c r="D564" s="4" t="s">
        <v>39</v>
      </c>
      <c r="E564" s="4" t="s">
        <v>60</v>
      </c>
      <c r="F564" s="4">
        <v>9</v>
      </c>
      <c r="G564" s="4">
        <v>16934.7</v>
      </c>
      <c r="H564">
        <v>14394.495000000001</v>
      </c>
      <c r="I564">
        <f>Orders[[#This Row],[Quantity]]*Orders[[#This Row],[Selling Price]]</f>
        <v>152412.30000000002</v>
      </c>
      <c r="J564">
        <f>Orders[[#This Row],[Quantity]]*Orders[[#This Row],[Cost Price]]</f>
        <v>129550.455</v>
      </c>
      <c r="K564">
        <f>Orders[[#This Row],[Revenue]]-Orders[[#This Row],[Expenses]]</f>
        <v>22861.845000000016</v>
      </c>
      <c r="L564" t="s">
        <v>2218</v>
      </c>
      <c r="M564" t="str">
        <f>_xlfn.XLOOKUP(Orders[[#This Row],[CustomerID]],Customers[CustomerID],Customers[City])</f>
        <v>Florida</v>
      </c>
      <c r="N564" t="str">
        <f>_xlfn.XLOOKUP(Orders[[#This Row],[CustomerID]],Customers[CustomerID],Customers[CustomerName])</f>
        <v>Efe Adeyemi</v>
      </c>
      <c r="O564" t="str">
        <f>_xlfn.XLOOKUP(Orders[[#This Row],[CustomerID]],Customers[CustomerID],Customers[Gender])</f>
        <v>Female</v>
      </c>
      <c r="P564">
        <f>_xlfn.XLOOKUP(Orders[[#This Row],[CustomerID]],Customers[CustomerID],Customers[CustomerAge])</f>
        <v>20</v>
      </c>
      <c r="Q564" t="str">
        <f>IF(Orders[[#This Row],[Age]]&gt;=35,"older","young")</f>
        <v>young</v>
      </c>
      <c r="R564" t="str">
        <f>_xlfn.XLOOKUP(Orders[[#This Row],[ProductID]],Products[ProductID],Products[ProductName])</f>
        <v>SILVER RINGS</v>
      </c>
      <c r="S564" t="str">
        <f>_xlfn.XLOOKUP(Orders[[#This Row],[ProductID]],Products!A:A,Products!C:C)</f>
        <v>Accessories</v>
      </c>
    </row>
    <row r="565" spans="1:19" x14ac:dyDescent="0.2">
      <c r="A565" s="4" t="s">
        <v>751</v>
      </c>
      <c r="B565" s="5">
        <v>45956</v>
      </c>
      <c r="C565" s="15">
        <f>WEEKNUM(Orders[[#This Row],[OrderDate]])</f>
        <v>44</v>
      </c>
      <c r="D565" s="4" t="s">
        <v>426</v>
      </c>
      <c r="E565" s="4" t="s">
        <v>189</v>
      </c>
      <c r="F565" s="4">
        <v>7</v>
      </c>
      <c r="G565" s="4">
        <v>925.1</v>
      </c>
      <c r="H565">
        <v>786.33500000000004</v>
      </c>
      <c r="I565">
        <f>Orders[[#This Row],[Quantity]]*Orders[[#This Row],[Selling Price]]</f>
        <v>6475.7</v>
      </c>
      <c r="J565">
        <f>Orders[[#This Row],[Quantity]]*Orders[[#This Row],[Cost Price]]</f>
        <v>5504.3450000000003</v>
      </c>
      <c r="K565">
        <f>Orders[[#This Row],[Revenue]]-Orders[[#This Row],[Expenses]]</f>
        <v>971.35499999999956</v>
      </c>
      <c r="L565" t="s">
        <v>2194</v>
      </c>
      <c r="M565" t="str">
        <f>_xlfn.XLOOKUP(Orders[[#This Row],[CustomerID]],Customers[CustomerID],Customers[City])</f>
        <v>Washington</v>
      </c>
      <c r="N565" t="str">
        <f>_xlfn.XLOOKUP(Orders[[#This Row],[CustomerID]],Customers[CustomerID],Customers[CustomerName])</f>
        <v>Chinedu Ojo</v>
      </c>
      <c r="O565" t="str">
        <f>_xlfn.XLOOKUP(Orders[[#This Row],[CustomerID]],Customers[CustomerID],Customers[Gender])</f>
        <v>Male</v>
      </c>
      <c r="P565">
        <f>_xlfn.XLOOKUP(Orders[[#This Row],[CustomerID]],Customers[CustomerID],Customers[CustomerAge])</f>
        <v>18</v>
      </c>
      <c r="Q565" t="str">
        <f>IF(Orders[[#This Row],[Age]]&gt;=35,"older","young")</f>
        <v>young</v>
      </c>
      <c r="R565" t="str">
        <f>_xlfn.XLOOKUP(Orders[[#This Row],[ProductID]],Products[ProductID],Products[ProductName])</f>
        <v>SCRABBLE</v>
      </c>
      <c r="S565" t="str">
        <f>_xlfn.XLOOKUP(Orders[[#This Row],[ProductID]],Products!A:A,Products!C:C)</f>
        <v>Games</v>
      </c>
    </row>
    <row r="566" spans="1:19" x14ac:dyDescent="0.2">
      <c r="A566" s="4" t="s">
        <v>752</v>
      </c>
      <c r="B566" s="5">
        <v>45966</v>
      </c>
      <c r="C566" s="15">
        <f>WEEKNUM(Orders[[#This Row],[OrderDate]])</f>
        <v>45</v>
      </c>
      <c r="D566" s="4" t="s">
        <v>50</v>
      </c>
      <c r="E566" s="4" t="s">
        <v>46</v>
      </c>
      <c r="F566" s="4">
        <v>9</v>
      </c>
      <c r="G566" s="4">
        <v>5214.5</v>
      </c>
      <c r="H566">
        <v>4432.3249999999998</v>
      </c>
      <c r="I566">
        <f>Orders[[#This Row],[Quantity]]*Orders[[#This Row],[Selling Price]]</f>
        <v>46930.5</v>
      </c>
      <c r="J566">
        <f>Orders[[#This Row],[Quantity]]*Orders[[#This Row],[Cost Price]]</f>
        <v>39890.924999999996</v>
      </c>
      <c r="K566">
        <f>Orders[[#This Row],[Revenue]]-Orders[[#This Row],[Expenses]]</f>
        <v>7039.5750000000044</v>
      </c>
      <c r="L566" t="s">
        <v>2219</v>
      </c>
      <c r="M566" t="str">
        <f>_xlfn.XLOOKUP(Orders[[#This Row],[CustomerID]],Customers[CustomerID],Customers[City])</f>
        <v>California</v>
      </c>
      <c r="N566" t="str">
        <f>_xlfn.XLOOKUP(Orders[[#This Row],[CustomerID]],Customers[CustomerID],Customers[CustomerName])</f>
        <v>Funke Danladi</v>
      </c>
      <c r="O566" t="str">
        <f>_xlfn.XLOOKUP(Orders[[#This Row],[CustomerID]],Customers[CustomerID],Customers[Gender])</f>
        <v>Female</v>
      </c>
      <c r="P566">
        <f>_xlfn.XLOOKUP(Orders[[#This Row],[CustomerID]],Customers[CustomerID],Customers[CustomerAge])</f>
        <v>31</v>
      </c>
      <c r="Q566" t="str">
        <f>IF(Orders[[#This Row],[Age]]&gt;=35,"older","young")</f>
        <v>young</v>
      </c>
      <c r="R566" t="str">
        <f>_xlfn.XLOOKUP(Orders[[#This Row],[ProductID]],Products[ProductID],Products[ProductName])</f>
        <v>TURTLE NECK</v>
      </c>
      <c r="S566" t="str">
        <f>_xlfn.XLOOKUP(Orders[[#This Row],[ProductID]],Products!A:A,Products!C:C)</f>
        <v>Clothing</v>
      </c>
    </row>
    <row r="567" spans="1:19" x14ac:dyDescent="0.2">
      <c r="A567" s="4" t="s">
        <v>753</v>
      </c>
      <c r="B567" s="5">
        <v>46022</v>
      </c>
      <c r="C567" s="15">
        <f>WEEKNUM(Orders[[#This Row],[OrderDate]])</f>
        <v>53</v>
      </c>
      <c r="D567" s="4" t="s">
        <v>369</v>
      </c>
      <c r="E567" s="4" t="s">
        <v>31</v>
      </c>
      <c r="F567" s="4">
        <v>5</v>
      </c>
      <c r="G567" s="4">
        <v>13229.400000000001</v>
      </c>
      <c r="H567">
        <v>11244.990000000002</v>
      </c>
      <c r="I567">
        <f>Orders[[#This Row],[Quantity]]*Orders[[#This Row],[Selling Price]]</f>
        <v>66147</v>
      </c>
      <c r="J567">
        <f>Orders[[#This Row],[Quantity]]*Orders[[#This Row],[Cost Price]]</f>
        <v>56224.950000000012</v>
      </c>
      <c r="K567">
        <f>Orders[[#This Row],[Revenue]]-Orders[[#This Row],[Expenses]]</f>
        <v>9922.0499999999884</v>
      </c>
      <c r="L567" t="s">
        <v>2208</v>
      </c>
      <c r="M567" t="str">
        <f>_xlfn.XLOOKUP(Orders[[#This Row],[CustomerID]],Customers[CustomerID],Customers[City])</f>
        <v>Washington</v>
      </c>
      <c r="N567" t="str">
        <f>_xlfn.XLOOKUP(Orders[[#This Row],[CustomerID]],Customers[CustomerID],Customers[CustomerName])</f>
        <v>Ibrahim Bello</v>
      </c>
      <c r="O567" t="str">
        <f>_xlfn.XLOOKUP(Orders[[#This Row],[CustomerID]],Customers[CustomerID],Customers[Gender])</f>
        <v>Male</v>
      </c>
      <c r="P567">
        <f>_xlfn.XLOOKUP(Orders[[#This Row],[CustomerID]],Customers[CustomerID],Customers[CustomerAge])</f>
        <v>40</v>
      </c>
      <c r="Q567" t="str">
        <f>IF(Orders[[#This Row],[Age]]&gt;=35,"older","young")</f>
        <v>older</v>
      </c>
      <c r="R567" t="str">
        <f>_xlfn.XLOOKUP(Orders[[#This Row],[ProductID]],Products[ProductID],Products[ProductName])</f>
        <v>KIDS GAMES</v>
      </c>
      <c r="S567" t="str">
        <f>_xlfn.XLOOKUP(Orders[[#This Row],[ProductID]],Products!A:A,Products!C:C)</f>
        <v>Games</v>
      </c>
    </row>
    <row r="568" spans="1:19" x14ac:dyDescent="0.2">
      <c r="A568" s="4" t="s">
        <v>754</v>
      </c>
      <c r="B568" s="5">
        <v>45980</v>
      </c>
      <c r="C568" s="15">
        <f>WEEKNUM(Orders[[#This Row],[OrderDate]])</f>
        <v>47</v>
      </c>
      <c r="D568" s="4" t="s">
        <v>517</v>
      </c>
      <c r="E568" s="4" t="s">
        <v>130</v>
      </c>
      <c r="F568" s="4">
        <v>5</v>
      </c>
      <c r="G568" s="4">
        <v>12467.4</v>
      </c>
      <c r="H568">
        <v>10597.289999999999</v>
      </c>
      <c r="I568">
        <f>Orders[[#This Row],[Quantity]]*Orders[[#This Row],[Selling Price]]</f>
        <v>62337</v>
      </c>
      <c r="J568">
        <f>Orders[[#This Row],[Quantity]]*Orders[[#This Row],[Cost Price]]</f>
        <v>52986.45</v>
      </c>
      <c r="K568">
        <f>Orders[[#This Row],[Revenue]]-Orders[[#This Row],[Expenses]]</f>
        <v>9350.5500000000029</v>
      </c>
      <c r="L568" t="s">
        <v>2193</v>
      </c>
      <c r="M568" t="str">
        <f>_xlfn.XLOOKUP(Orders[[#This Row],[CustomerID]],Customers[CustomerID],Customers[City])</f>
        <v>Florida</v>
      </c>
      <c r="N568" t="str">
        <f>_xlfn.XLOOKUP(Orders[[#This Row],[CustomerID]],Customers[CustomerID],Customers[CustomerName])</f>
        <v>Efe Adeyemi</v>
      </c>
      <c r="O568" t="str">
        <f>_xlfn.XLOOKUP(Orders[[#This Row],[CustomerID]],Customers[CustomerID],Customers[Gender])</f>
        <v>Female</v>
      </c>
      <c r="P568">
        <f>_xlfn.XLOOKUP(Orders[[#This Row],[CustomerID]],Customers[CustomerID],Customers[CustomerAge])</f>
        <v>25</v>
      </c>
      <c r="Q568" t="str">
        <f>IF(Orders[[#This Row],[Age]]&gt;=35,"older","young")</f>
        <v>young</v>
      </c>
      <c r="R568" t="str">
        <f>_xlfn.XLOOKUP(Orders[[#This Row],[ProductID]],Products[ProductID],Products[ProductName])</f>
        <v>GOLD EARRINGS AND NECKLACES</v>
      </c>
      <c r="S568" t="str">
        <f>_xlfn.XLOOKUP(Orders[[#This Row],[ProductID]],Products!A:A,Products!C:C)</f>
        <v>Accessories</v>
      </c>
    </row>
    <row r="569" spans="1:19" x14ac:dyDescent="0.2">
      <c r="A569" s="4" t="s">
        <v>755</v>
      </c>
      <c r="B569" s="5">
        <v>45941</v>
      </c>
      <c r="C569" s="15">
        <f>WEEKNUM(Orders[[#This Row],[OrderDate]])</f>
        <v>41</v>
      </c>
      <c r="D569" s="4" t="s">
        <v>27</v>
      </c>
      <c r="E569" s="4" t="s">
        <v>63</v>
      </c>
      <c r="F569" s="4">
        <v>4</v>
      </c>
      <c r="G569" s="4">
        <v>546.30000000000007</v>
      </c>
      <c r="H569">
        <v>464.35500000000008</v>
      </c>
      <c r="I569">
        <f>Orders[[#This Row],[Quantity]]*Orders[[#This Row],[Selling Price]]</f>
        <v>2185.2000000000003</v>
      </c>
      <c r="J569">
        <f>Orders[[#This Row],[Quantity]]*Orders[[#This Row],[Cost Price]]</f>
        <v>1857.4200000000003</v>
      </c>
      <c r="K569">
        <f>Orders[[#This Row],[Revenue]]-Orders[[#This Row],[Expenses]]</f>
        <v>327.78</v>
      </c>
      <c r="L569" t="s">
        <v>2204</v>
      </c>
      <c r="M569" t="str">
        <f>_xlfn.XLOOKUP(Orders[[#This Row],[CustomerID]],Customers[CustomerID],Customers[City])</f>
        <v>Illinois</v>
      </c>
      <c r="N569" t="str">
        <f>_xlfn.XLOOKUP(Orders[[#This Row],[CustomerID]],Customers[CustomerID],Customers[CustomerName])</f>
        <v>Okon Ojo</v>
      </c>
      <c r="O569" t="str">
        <f>_xlfn.XLOOKUP(Orders[[#This Row],[CustomerID]],Customers[CustomerID],Customers[Gender])</f>
        <v>Male</v>
      </c>
      <c r="P569">
        <f>_xlfn.XLOOKUP(Orders[[#This Row],[CustomerID]],Customers[CustomerID],Customers[CustomerAge])</f>
        <v>32</v>
      </c>
      <c r="Q569" t="str">
        <f>IF(Orders[[#This Row],[Age]]&gt;=35,"older","young")</f>
        <v>young</v>
      </c>
      <c r="R569" t="str">
        <f>_xlfn.XLOOKUP(Orders[[#This Row],[ProductID]],Products[ProductID],Products[ProductName])</f>
        <v>TENNIS BAT</v>
      </c>
      <c r="S569" t="str">
        <f>_xlfn.XLOOKUP(Orders[[#This Row],[ProductID]],Products!A:A,Products!C:C)</f>
        <v>Sports</v>
      </c>
    </row>
    <row r="570" spans="1:19" x14ac:dyDescent="0.2">
      <c r="A570" s="4" t="s">
        <v>756</v>
      </c>
      <c r="B570" s="5">
        <v>45985</v>
      </c>
      <c r="C570" s="15">
        <f>WEEKNUM(Orders[[#This Row],[OrderDate]])</f>
        <v>48</v>
      </c>
      <c r="D570" s="4" t="s">
        <v>757</v>
      </c>
      <c r="E570" s="4" t="s">
        <v>28</v>
      </c>
      <c r="F570" s="4">
        <v>4</v>
      </c>
      <c r="G570" s="4">
        <v>13397.9</v>
      </c>
      <c r="H570">
        <v>11388.215</v>
      </c>
      <c r="I570">
        <f>Orders[[#This Row],[Quantity]]*Orders[[#This Row],[Selling Price]]</f>
        <v>53591.6</v>
      </c>
      <c r="J570">
        <f>Orders[[#This Row],[Quantity]]*Orders[[#This Row],[Cost Price]]</f>
        <v>45552.86</v>
      </c>
      <c r="K570">
        <f>Orders[[#This Row],[Revenue]]-Orders[[#This Row],[Expenses]]</f>
        <v>8038.739999999998</v>
      </c>
      <c r="L570" t="s">
        <v>2212</v>
      </c>
      <c r="M570" t="str">
        <f>_xlfn.XLOOKUP(Orders[[#This Row],[CustomerID]],Customers[CustomerID],Customers[City])</f>
        <v>Texas</v>
      </c>
      <c r="N570" t="str">
        <f>_xlfn.XLOOKUP(Orders[[#This Row],[CustomerID]],Customers[CustomerID],Customers[CustomerName])</f>
        <v>Okon Balogun</v>
      </c>
      <c r="O570" t="str">
        <f>_xlfn.XLOOKUP(Orders[[#This Row],[CustomerID]],Customers[CustomerID],Customers[Gender])</f>
        <v>Male</v>
      </c>
      <c r="P570">
        <f>_xlfn.XLOOKUP(Orders[[#This Row],[CustomerID]],Customers[CustomerID],Customers[CustomerAge])</f>
        <v>20</v>
      </c>
      <c r="Q570" t="str">
        <f>IF(Orders[[#This Row],[Age]]&gt;=35,"older","young")</f>
        <v>young</v>
      </c>
      <c r="R570" t="str">
        <f>_xlfn.XLOOKUP(Orders[[#This Row],[ProductID]],Products[ProductID],Products[ProductName])</f>
        <v>SNEAKERS</v>
      </c>
      <c r="S570" t="str">
        <f>_xlfn.XLOOKUP(Orders[[#This Row],[ProductID]],Products!A:A,Products!C:C)</f>
        <v>Sports</v>
      </c>
    </row>
    <row r="571" spans="1:19" x14ac:dyDescent="0.2">
      <c r="A571" s="4" t="s">
        <v>758</v>
      </c>
      <c r="B571" s="5">
        <v>45997</v>
      </c>
      <c r="C571" s="15">
        <f>WEEKNUM(Orders[[#This Row],[OrderDate]])</f>
        <v>49</v>
      </c>
      <c r="D571" s="4" t="s">
        <v>107</v>
      </c>
      <c r="E571" s="4" t="s">
        <v>151</v>
      </c>
      <c r="F571" s="4">
        <v>1</v>
      </c>
      <c r="G571" s="4">
        <v>17052.5</v>
      </c>
      <c r="H571">
        <v>14494.625</v>
      </c>
      <c r="I571">
        <f>Orders[[#This Row],[Quantity]]*Orders[[#This Row],[Selling Price]]</f>
        <v>17052.5</v>
      </c>
      <c r="J571">
        <f>Orders[[#This Row],[Quantity]]*Orders[[#This Row],[Cost Price]]</f>
        <v>14494.625</v>
      </c>
      <c r="K571">
        <f>Orders[[#This Row],[Revenue]]-Orders[[#This Row],[Expenses]]</f>
        <v>2557.875</v>
      </c>
      <c r="L571" t="s">
        <v>2195</v>
      </c>
      <c r="M571" t="str">
        <f>_xlfn.XLOOKUP(Orders[[#This Row],[CustomerID]],Customers[CustomerID],Customers[City])</f>
        <v>Texas</v>
      </c>
      <c r="N571" t="str">
        <f>_xlfn.XLOOKUP(Orders[[#This Row],[CustomerID]],Customers[CustomerID],Customers[CustomerName])</f>
        <v>Blessing Eze</v>
      </c>
      <c r="O571" t="str">
        <f>_xlfn.XLOOKUP(Orders[[#This Row],[CustomerID]],Customers[CustomerID],Customers[Gender])</f>
        <v>Female</v>
      </c>
      <c r="P571">
        <f>_xlfn.XLOOKUP(Orders[[#This Row],[CustomerID]],Customers[CustomerID],Customers[CustomerAge])</f>
        <v>44</v>
      </c>
      <c r="Q571" t="str">
        <f>IF(Orders[[#This Row],[Age]]&gt;=35,"older","young")</f>
        <v>older</v>
      </c>
      <c r="R571" t="str">
        <f>_xlfn.XLOOKUP(Orders[[#This Row],[ProductID]],Products[ProductID],Products[ProductName])</f>
        <v>CHECKERS</v>
      </c>
      <c r="S571" t="str">
        <f>_xlfn.XLOOKUP(Orders[[#This Row],[ProductID]],Products!A:A,Products!C:C)</f>
        <v>Games</v>
      </c>
    </row>
    <row r="572" spans="1:19" x14ac:dyDescent="0.2">
      <c r="A572" s="4" t="s">
        <v>759</v>
      </c>
      <c r="B572" s="5">
        <v>45934</v>
      </c>
      <c r="C572" s="15">
        <f>WEEKNUM(Orders[[#This Row],[OrderDate]])</f>
        <v>40</v>
      </c>
      <c r="D572" s="4" t="s">
        <v>546</v>
      </c>
      <c r="E572" s="4" t="s">
        <v>151</v>
      </c>
      <c r="F572" s="4">
        <v>5</v>
      </c>
      <c r="G572" s="4">
        <v>9161.6999999999989</v>
      </c>
      <c r="H572">
        <v>7787.4449999999988</v>
      </c>
      <c r="I572">
        <f>Orders[[#This Row],[Quantity]]*Orders[[#This Row],[Selling Price]]</f>
        <v>45808.499999999993</v>
      </c>
      <c r="J572">
        <f>Orders[[#This Row],[Quantity]]*Orders[[#This Row],[Cost Price]]</f>
        <v>38937.224999999991</v>
      </c>
      <c r="K572">
        <f>Orders[[#This Row],[Revenue]]-Orders[[#This Row],[Expenses]]</f>
        <v>6871.2750000000015</v>
      </c>
      <c r="L572" t="s">
        <v>2197</v>
      </c>
      <c r="M572" t="str">
        <f>_xlfn.XLOOKUP(Orders[[#This Row],[CustomerID]],Customers[CustomerID],Customers[City])</f>
        <v>Texas</v>
      </c>
      <c r="N572" t="str">
        <f>_xlfn.XLOOKUP(Orders[[#This Row],[CustomerID]],Customers[CustomerID],Customers[CustomerName])</f>
        <v>Bisi Eze</v>
      </c>
      <c r="O572" t="str">
        <f>_xlfn.XLOOKUP(Orders[[#This Row],[CustomerID]],Customers[CustomerID],Customers[Gender])</f>
        <v>Female</v>
      </c>
      <c r="P572">
        <f>_xlfn.XLOOKUP(Orders[[#This Row],[CustomerID]],Customers[CustomerID],Customers[CustomerAge])</f>
        <v>32</v>
      </c>
      <c r="Q572" t="str">
        <f>IF(Orders[[#This Row],[Age]]&gt;=35,"older","young")</f>
        <v>young</v>
      </c>
      <c r="R572" t="str">
        <f>_xlfn.XLOOKUP(Orders[[#This Row],[ProductID]],Products[ProductID],Products[ProductName])</f>
        <v>CHECKERS</v>
      </c>
      <c r="S572" t="str">
        <f>_xlfn.XLOOKUP(Orders[[#This Row],[ProductID]],Products!A:A,Products!C:C)</f>
        <v>Games</v>
      </c>
    </row>
    <row r="573" spans="1:19" x14ac:dyDescent="0.2">
      <c r="A573" s="4" t="s">
        <v>760</v>
      </c>
      <c r="B573" s="5">
        <v>45948</v>
      </c>
      <c r="C573" s="15">
        <f>WEEKNUM(Orders[[#This Row],[OrderDate]])</f>
        <v>42</v>
      </c>
      <c r="D573" s="4" t="s">
        <v>182</v>
      </c>
      <c r="E573" s="4" t="s">
        <v>70</v>
      </c>
      <c r="F573" s="4">
        <v>1</v>
      </c>
      <c r="G573" s="4">
        <v>11126.900000000001</v>
      </c>
      <c r="H573">
        <v>9457.8650000000016</v>
      </c>
      <c r="I573">
        <f>Orders[[#This Row],[Quantity]]*Orders[[#This Row],[Selling Price]]</f>
        <v>11126.900000000001</v>
      </c>
      <c r="J573">
        <f>Orders[[#This Row],[Quantity]]*Orders[[#This Row],[Cost Price]]</f>
        <v>9457.8650000000016</v>
      </c>
      <c r="K573">
        <f>Orders[[#This Row],[Revenue]]-Orders[[#This Row],[Expenses]]</f>
        <v>1669.0349999999999</v>
      </c>
      <c r="L573" t="s">
        <v>2208</v>
      </c>
      <c r="M573" t="str">
        <f>_xlfn.XLOOKUP(Orders[[#This Row],[CustomerID]],Customers[CustomerID],Customers[City])</f>
        <v>Georgia</v>
      </c>
      <c r="N573" t="str">
        <f>_xlfn.XLOOKUP(Orders[[#This Row],[CustomerID]],Customers[CustomerID],Customers[CustomerName])</f>
        <v>Abiola Okonkwo</v>
      </c>
      <c r="O573" t="str">
        <f>_xlfn.XLOOKUP(Orders[[#This Row],[CustomerID]],Customers[CustomerID],Customers[Gender])</f>
        <v>Male</v>
      </c>
      <c r="P573">
        <f>_xlfn.XLOOKUP(Orders[[#This Row],[CustomerID]],Customers[CustomerID],Customers[CustomerAge])</f>
        <v>39</v>
      </c>
      <c r="Q573" t="str">
        <f>IF(Orders[[#This Row],[Age]]&gt;=35,"older","young")</f>
        <v>older</v>
      </c>
      <c r="R573" t="str">
        <f>_xlfn.XLOOKUP(Orders[[#This Row],[ProductID]],Products[ProductID],Products[ProductName])</f>
        <v>YOGA MAT</v>
      </c>
      <c r="S573" t="str">
        <f>_xlfn.XLOOKUP(Orders[[#This Row],[ProductID]],Products!A:A,Products!C:C)</f>
        <v>Gym</v>
      </c>
    </row>
    <row r="574" spans="1:19" x14ac:dyDescent="0.2">
      <c r="A574" s="4" t="s">
        <v>761</v>
      </c>
      <c r="B574" s="5">
        <v>45975</v>
      </c>
      <c r="C574" s="15">
        <f>WEEKNUM(Orders[[#This Row],[OrderDate]])</f>
        <v>46</v>
      </c>
      <c r="D574" s="4" t="s">
        <v>317</v>
      </c>
      <c r="E574" s="4" t="s">
        <v>232</v>
      </c>
      <c r="F574" s="4">
        <v>5</v>
      </c>
      <c r="G574" s="4">
        <v>7036.7</v>
      </c>
      <c r="H574">
        <v>5981.1949999999997</v>
      </c>
      <c r="I574">
        <f>Orders[[#This Row],[Quantity]]*Orders[[#This Row],[Selling Price]]</f>
        <v>35183.5</v>
      </c>
      <c r="J574">
        <f>Orders[[#This Row],[Quantity]]*Orders[[#This Row],[Cost Price]]</f>
        <v>29905.974999999999</v>
      </c>
      <c r="K574">
        <f>Orders[[#This Row],[Revenue]]-Orders[[#This Row],[Expenses]]</f>
        <v>5277.5250000000015</v>
      </c>
      <c r="L574" t="s">
        <v>2200</v>
      </c>
      <c r="M574" t="str">
        <f>_xlfn.XLOOKUP(Orders[[#This Row],[CustomerID]],Customers[CustomerID],Customers[City])</f>
        <v>Texas</v>
      </c>
      <c r="N574" t="str">
        <f>_xlfn.XLOOKUP(Orders[[#This Row],[CustomerID]],Customers[CustomerID],Customers[CustomerName])</f>
        <v>Folasade Danladi</v>
      </c>
      <c r="O574" t="str">
        <f>_xlfn.XLOOKUP(Orders[[#This Row],[CustomerID]],Customers[CustomerID],Customers[Gender])</f>
        <v>Female</v>
      </c>
      <c r="P574">
        <f>_xlfn.XLOOKUP(Orders[[#This Row],[CustomerID]],Customers[CustomerID],Customers[CustomerAge])</f>
        <v>28</v>
      </c>
      <c r="Q574" t="str">
        <f>IF(Orders[[#This Row],[Age]]&gt;=35,"older","young")</f>
        <v>young</v>
      </c>
      <c r="R574" t="str">
        <f>_xlfn.XLOOKUP(Orders[[#This Row],[ProductID]],Products[ProductID],Products[ProductName])</f>
        <v>ANKARA</v>
      </c>
      <c r="S574" t="str">
        <f>_xlfn.XLOOKUP(Orders[[#This Row],[ProductID]],Products!A:A,Products!C:C)</f>
        <v>Clothing</v>
      </c>
    </row>
    <row r="575" spans="1:19" x14ac:dyDescent="0.2">
      <c r="A575" s="4" t="s">
        <v>762</v>
      </c>
      <c r="B575" s="5">
        <v>45980</v>
      </c>
      <c r="C575" s="15">
        <f>WEEKNUM(Orders[[#This Row],[OrderDate]])</f>
        <v>47</v>
      </c>
      <c r="D575" s="4" t="s">
        <v>142</v>
      </c>
      <c r="E575" s="4" t="s">
        <v>168</v>
      </c>
      <c r="F575" s="4">
        <v>1</v>
      </c>
      <c r="G575" s="4">
        <v>15609.8</v>
      </c>
      <c r="H575">
        <v>13268.33</v>
      </c>
      <c r="I575">
        <f>Orders[[#This Row],[Quantity]]*Orders[[#This Row],[Selling Price]]</f>
        <v>15609.8</v>
      </c>
      <c r="J575">
        <f>Orders[[#This Row],[Quantity]]*Orders[[#This Row],[Cost Price]]</f>
        <v>13268.33</v>
      </c>
      <c r="K575">
        <f>Orders[[#This Row],[Revenue]]-Orders[[#This Row],[Expenses]]</f>
        <v>2341.4699999999993</v>
      </c>
      <c r="L575" t="s">
        <v>2199</v>
      </c>
      <c r="M575" t="str">
        <f>_xlfn.XLOOKUP(Orders[[#This Row],[CustomerID]],Customers[CustomerID],Customers[City])</f>
        <v>Florida</v>
      </c>
      <c r="N575" t="str">
        <f>_xlfn.XLOOKUP(Orders[[#This Row],[CustomerID]],Customers[CustomerID],Customers[CustomerName])</f>
        <v>Obi Adeyemi</v>
      </c>
      <c r="O575" t="str">
        <f>_xlfn.XLOOKUP(Orders[[#This Row],[CustomerID]],Customers[CustomerID],Customers[Gender])</f>
        <v>Male</v>
      </c>
      <c r="P575">
        <f>_xlfn.XLOOKUP(Orders[[#This Row],[CustomerID]],Customers[CustomerID],Customers[CustomerAge])</f>
        <v>31</v>
      </c>
      <c r="Q575" t="str">
        <f>IF(Orders[[#This Row],[Age]]&gt;=35,"older","young")</f>
        <v>young</v>
      </c>
      <c r="R575" t="str">
        <f>_xlfn.XLOOKUP(Orders[[#This Row],[ProductID]],Products[ProductID],Products[ProductName])</f>
        <v>DUMB BELLS</v>
      </c>
      <c r="S575" t="str">
        <f>_xlfn.XLOOKUP(Orders[[#This Row],[ProductID]],Products!A:A,Products!C:C)</f>
        <v>Gym</v>
      </c>
    </row>
    <row r="576" spans="1:19" x14ac:dyDescent="0.2">
      <c r="A576" s="4" t="s">
        <v>763</v>
      </c>
      <c r="B576" s="5">
        <v>45992</v>
      </c>
      <c r="C576" s="15">
        <f>WEEKNUM(Orders[[#This Row],[OrderDate]])</f>
        <v>49</v>
      </c>
      <c r="D576" s="4" t="s">
        <v>22</v>
      </c>
      <c r="E576" s="4" t="s">
        <v>232</v>
      </c>
      <c r="F576" s="4">
        <v>4</v>
      </c>
      <c r="G576" s="4">
        <v>14832.1</v>
      </c>
      <c r="H576">
        <v>12607.285</v>
      </c>
      <c r="I576">
        <f>Orders[[#This Row],[Quantity]]*Orders[[#This Row],[Selling Price]]</f>
        <v>59328.4</v>
      </c>
      <c r="J576">
        <f>Orders[[#This Row],[Quantity]]*Orders[[#This Row],[Cost Price]]</f>
        <v>50429.14</v>
      </c>
      <c r="K576">
        <f>Orders[[#This Row],[Revenue]]-Orders[[#This Row],[Expenses]]</f>
        <v>8899.260000000002</v>
      </c>
      <c r="L576" t="s">
        <v>2198</v>
      </c>
      <c r="M576" t="str">
        <f>_xlfn.XLOOKUP(Orders[[#This Row],[CustomerID]],Customers[CustomerID],Customers[City])</f>
        <v>Texas</v>
      </c>
      <c r="N576" t="str">
        <f>_xlfn.XLOOKUP(Orders[[#This Row],[CustomerID]],Customers[CustomerID],Customers[CustomerName])</f>
        <v>Temi Bello</v>
      </c>
      <c r="O576" t="str">
        <f>_xlfn.XLOOKUP(Orders[[#This Row],[CustomerID]],Customers[CustomerID],Customers[Gender])</f>
        <v>Female</v>
      </c>
      <c r="P576">
        <f>_xlfn.XLOOKUP(Orders[[#This Row],[CustomerID]],Customers[CustomerID],Customers[CustomerAge])</f>
        <v>52</v>
      </c>
      <c r="Q576" t="str">
        <f>IF(Orders[[#This Row],[Age]]&gt;=35,"older","young")</f>
        <v>older</v>
      </c>
      <c r="R576" t="str">
        <f>_xlfn.XLOOKUP(Orders[[#This Row],[ProductID]],Products[ProductID],Products[ProductName])</f>
        <v>ANKARA</v>
      </c>
      <c r="S576" t="str">
        <f>_xlfn.XLOOKUP(Orders[[#This Row],[ProductID]],Products!A:A,Products!C:C)</f>
        <v>Clothing</v>
      </c>
    </row>
    <row r="577" spans="1:19" x14ac:dyDescent="0.2">
      <c r="A577" s="4" t="s">
        <v>764</v>
      </c>
      <c r="B577" s="5">
        <v>45941</v>
      </c>
      <c r="C577" s="15">
        <f>WEEKNUM(Orders[[#This Row],[OrderDate]])</f>
        <v>41</v>
      </c>
      <c r="D577" s="4" t="s">
        <v>275</v>
      </c>
      <c r="E577" s="4" t="s">
        <v>253</v>
      </c>
      <c r="F577" s="4">
        <v>8</v>
      </c>
      <c r="G577" s="4">
        <v>9023.2000000000007</v>
      </c>
      <c r="H577">
        <v>7669.7200000000012</v>
      </c>
      <c r="I577">
        <f>Orders[[#This Row],[Quantity]]*Orders[[#This Row],[Selling Price]]</f>
        <v>72185.600000000006</v>
      </c>
      <c r="J577">
        <f>Orders[[#This Row],[Quantity]]*Orders[[#This Row],[Cost Price]]</f>
        <v>61357.760000000009</v>
      </c>
      <c r="K577">
        <f>Orders[[#This Row],[Revenue]]-Orders[[#This Row],[Expenses]]</f>
        <v>10827.839999999997</v>
      </c>
      <c r="L577" t="s">
        <v>2201</v>
      </c>
      <c r="M577" t="str">
        <f>_xlfn.XLOOKUP(Orders[[#This Row],[CustomerID]],Customers[CustomerID],Customers[City])</f>
        <v>Texas</v>
      </c>
      <c r="N577" t="str">
        <f>_xlfn.XLOOKUP(Orders[[#This Row],[CustomerID]],Customers[CustomerID],Customers[CustomerName])</f>
        <v>Ngozi Danladi</v>
      </c>
      <c r="O577" t="str">
        <f>_xlfn.XLOOKUP(Orders[[#This Row],[CustomerID]],Customers[CustomerID],Customers[Gender])</f>
        <v>Female</v>
      </c>
      <c r="P577">
        <f>_xlfn.XLOOKUP(Orders[[#This Row],[CustomerID]],Customers[CustomerID],Customers[CustomerAge])</f>
        <v>25</v>
      </c>
      <c r="Q577" t="str">
        <f>IF(Orders[[#This Row],[Age]]&gt;=35,"older","young")</f>
        <v>young</v>
      </c>
      <c r="R577" t="str">
        <f>_xlfn.XLOOKUP(Orders[[#This Row],[ProductID]],Products[ProductID],Products[ProductName])</f>
        <v>NOSE RINGS</v>
      </c>
      <c r="S577" t="str">
        <f>_xlfn.XLOOKUP(Orders[[#This Row],[ProductID]],Products!A:A,Products!C:C)</f>
        <v>Accessories</v>
      </c>
    </row>
    <row r="578" spans="1:19" x14ac:dyDescent="0.2">
      <c r="A578" s="4" t="s">
        <v>765</v>
      </c>
      <c r="B578" s="5">
        <v>46002</v>
      </c>
      <c r="C578" s="15">
        <f>WEEKNUM(Orders[[#This Row],[OrderDate]])</f>
        <v>50</v>
      </c>
      <c r="D578" s="4" t="s">
        <v>207</v>
      </c>
      <c r="E578" s="4" t="s">
        <v>37</v>
      </c>
      <c r="F578" s="4">
        <v>2</v>
      </c>
      <c r="G578" s="4">
        <v>8362.2999999999993</v>
      </c>
      <c r="H578">
        <v>7107.9549999999999</v>
      </c>
      <c r="I578">
        <f>Orders[[#This Row],[Quantity]]*Orders[[#This Row],[Selling Price]]</f>
        <v>16724.599999999999</v>
      </c>
      <c r="J578">
        <f>Orders[[#This Row],[Quantity]]*Orders[[#This Row],[Cost Price]]</f>
        <v>14215.91</v>
      </c>
      <c r="K578">
        <f>Orders[[#This Row],[Revenue]]-Orders[[#This Row],[Expenses]]</f>
        <v>2508.6899999999987</v>
      </c>
      <c r="L578" t="s">
        <v>2203</v>
      </c>
      <c r="M578" t="str">
        <f>_xlfn.XLOOKUP(Orders[[#This Row],[CustomerID]],Customers[CustomerID],Customers[City])</f>
        <v>Florida</v>
      </c>
      <c r="N578" t="str">
        <f>_xlfn.XLOOKUP(Orders[[#This Row],[CustomerID]],Customers[CustomerID],Customers[CustomerName])</f>
        <v>Bisi Eze</v>
      </c>
      <c r="O578" t="str">
        <f>_xlfn.XLOOKUP(Orders[[#This Row],[CustomerID]],Customers[CustomerID],Customers[Gender])</f>
        <v>Female</v>
      </c>
      <c r="P578">
        <f>_xlfn.XLOOKUP(Orders[[#This Row],[CustomerID]],Customers[CustomerID],Customers[CustomerAge])</f>
        <v>37</v>
      </c>
      <c r="Q578" t="str">
        <f>IF(Orders[[#This Row],[Age]]&gt;=35,"older","young")</f>
        <v>older</v>
      </c>
      <c r="R578" t="str">
        <f>_xlfn.XLOOKUP(Orders[[#This Row],[ProductID]],Products[ProductID],Products[ProductName])</f>
        <v>IRON</v>
      </c>
      <c r="S578" t="str">
        <f>_xlfn.XLOOKUP(Orders[[#This Row],[ProductID]],Products!A:A,Products!C:C)</f>
        <v>Electronics</v>
      </c>
    </row>
    <row r="579" spans="1:19" x14ac:dyDescent="0.2">
      <c r="A579" s="4" t="s">
        <v>766</v>
      </c>
      <c r="B579" s="5">
        <v>46009</v>
      </c>
      <c r="C579" s="15">
        <f>WEEKNUM(Orders[[#This Row],[OrderDate]])</f>
        <v>51</v>
      </c>
      <c r="D579" s="4" t="s">
        <v>218</v>
      </c>
      <c r="E579" s="4" t="s">
        <v>253</v>
      </c>
      <c r="F579" s="4">
        <v>4</v>
      </c>
      <c r="G579" s="4">
        <v>5310.7000000000007</v>
      </c>
      <c r="H579">
        <v>4514.0950000000003</v>
      </c>
      <c r="I579">
        <f>Orders[[#This Row],[Quantity]]*Orders[[#This Row],[Selling Price]]</f>
        <v>21242.800000000003</v>
      </c>
      <c r="J579">
        <f>Orders[[#This Row],[Quantity]]*Orders[[#This Row],[Cost Price]]</f>
        <v>18056.38</v>
      </c>
      <c r="K579">
        <f>Orders[[#This Row],[Revenue]]-Orders[[#This Row],[Expenses]]</f>
        <v>3186.4200000000019</v>
      </c>
      <c r="L579" t="s">
        <v>2216</v>
      </c>
      <c r="M579" t="str">
        <f>_xlfn.XLOOKUP(Orders[[#This Row],[CustomerID]],Customers[CustomerID],Customers[City])</f>
        <v>Florida</v>
      </c>
      <c r="N579" t="str">
        <f>_xlfn.XLOOKUP(Orders[[#This Row],[CustomerID]],Customers[CustomerID],Customers[CustomerName])</f>
        <v>Temi Danladi</v>
      </c>
      <c r="O579" t="str">
        <f>_xlfn.XLOOKUP(Orders[[#This Row],[CustomerID]],Customers[CustomerID],Customers[Gender])</f>
        <v>Female</v>
      </c>
      <c r="P579">
        <f>_xlfn.XLOOKUP(Orders[[#This Row],[CustomerID]],Customers[CustomerID],Customers[CustomerAge])</f>
        <v>48</v>
      </c>
      <c r="Q579" t="str">
        <f>IF(Orders[[#This Row],[Age]]&gt;=35,"older","young")</f>
        <v>older</v>
      </c>
      <c r="R579" t="str">
        <f>_xlfn.XLOOKUP(Orders[[#This Row],[ProductID]],Products[ProductID],Products[ProductName])</f>
        <v>NOSE RINGS</v>
      </c>
      <c r="S579" t="str">
        <f>_xlfn.XLOOKUP(Orders[[#This Row],[ProductID]],Products!A:A,Products!C:C)</f>
        <v>Accessories</v>
      </c>
    </row>
    <row r="580" spans="1:19" x14ac:dyDescent="0.2">
      <c r="A580" s="4" t="s">
        <v>767</v>
      </c>
      <c r="B580" s="5">
        <v>45991</v>
      </c>
      <c r="C580" s="15">
        <f>WEEKNUM(Orders[[#This Row],[OrderDate]])</f>
        <v>49</v>
      </c>
      <c r="D580" s="4" t="s">
        <v>178</v>
      </c>
      <c r="E580" s="4" t="s">
        <v>57</v>
      </c>
      <c r="F580" s="4">
        <v>6</v>
      </c>
      <c r="G580" s="4">
        <v>9995.5999999999985</v>
      </c>
      <c r="H580">
        <v>8496.2599999999984</v>
      </c>
      <c r="I580">
        <f>Orders[[#This Row],[Quantity]]*Orders[[#This Row],[Selling Price]]</f>
        <v>59973.599999999991</v>
      </c>
      <c r="J580">
        <f>Orders[[#This Row],[Quantity]]*Orders[[#This Row],[Cost Price]]</f>
        <v>50977.55999999999</v>
      </c>
      <c r="K580">
        <f>Orders[[#This Row],[Revenue]]-Orders[[#This Row],[Expenses]]</f>
        <v>8996.0400000000009</v>
      </c>
      <c r="L580" t="s">
        <v>2215</v>
      </c>
      <c r="M580" t="str">
        <f>_xlfn.XLOOKUP(Orders[[#This Row],[CustomerID]],Customers[CustomerID],Customers[City])</f>
        <v>Florida</v>
      </c>
      <c r="N580" t="str">
        <f>_xlfn.XLOOKUP(Orders[[#This Row],[CustomerID]],Customers[CustomerID],Customers[CustomerName])</f>
        <v>Ibrahim Igwe</v>
      </c>
      <c r="O580" t="str">
        <f>_xlfn.XLOOKUP(Orders[[#This Row],[CustomerID]],Customers[CustomerID],Customers[Gender])</f>
        <v>Male</v>
      </c>
      <c r="P580">
        <f>_xlfn.XLOOKUP(Orders[[#This Row],[CustomerID]],Customers[CustomerID],Customers[CustomerAge])</f>
        <v>19</v>
      </c>
      <c r="Q580" t="str">
        <f>IF(Orders[[#This Row],[Age]]&gt;=35,"older","young")</f>
        <v>young</v>
      </c>
      <c r="R580" t="str">
        <f>_xlfn.XLOOKUP(Orders[[#This Row],[ProductID]],Products[ProductID],Products[ProductName])</f>
        <v>BADMINTON RACKET</v>
      </c>
      <c r="S580" t="str">
        <f>_xlfn.XLOOKUP(Orders[[#This Row],[ProductID]],Products!A:A,Products!C:C)</f>
        <v>Sports</v>
      </c>
    </row>
    <row r="581" spans="1:19" x14ac:dyDescent="0.2">
      <c r="A581" s="4" t="s">
        <v>768</v>
      </c>
      <c r="B581" s="5">
        <v>46010</v>
      </c>
      <c r="C581" s="15">
        <f>WEEKNUM(Orders[[#This Row],[OrderDate]])</f>
        <v>51</v>
      </c>
      <c r="D581" s="4" t="s">
        <v>156</v>
      </c>
      <c r="E581" s="4" t="s">
        <v>25</v>
      </c>
      <c r="F581" s="4">
        <v>6</v>
      </c>
      <c r="G581" s="4">
        <v>12762</v>
      </c>
      <c r="H581">
        <v>10847.7</v>
      </c>
      <c r="I581">
        <f>Orders[[#This Row],[Quantity]]*Orders[[#This Row],[Selling Price]]</f>
        <v>76572</v>
      </c>
      <c r="J581">
        <f>Orders[[#This Row],[Quantity]]*Orders[[#This Row],[Cost Price]]</f>
        <v>65086.200000000004</v>
      </c>
      <c r="K581">
        <f>Orders[[#This Row],[Revenue]]-Orders[[#This Row],[Expenses]]</f>
        <v>11485.799999999996</v>
      </c>
      <c r="L581" t="s">
        <v>2212</v>
      </c>
      <c r="M581" t="str">
        <f>_xlfn.XLOOKUP(Orders[[#This Row],[CustomerID]],Customers[CustomerID],Customers[City])</f>
        <v>Florida</v>
      </c>
      <c r="N581" t="str">
        <f>_xlfn.XLOOKUP(Orders[[#This Row],[CustomerID]],Customers[CustomerID],Customers[CustomerName])</f>
        <v>Obi Okonkwo</v>
      </c>
      <c r="O581" t="str">
        <f>_xlfn.XLOOKUP(Orders[[#This Row],[CustomerID]],Customers[CustomerID],Customers[Gender])</f>
        <v>Male</v>
      </c>
      <c r="P581">
        <f>_xlfn.XLOOKUP(Orders[[#This Row],[CustomerID]],Customers[CustomerID],Customers[CustomerAge])</f>
        <v>52</v>
      </c>
      <c r="Q581" t="str">
        <f>IF(Orders[[#This Row],[Age]]&gt;=35,"older","young")</f>
        <v>older</v>
      </c>
      <c r="R581" t="str">
        <f>_xlfn.XLOOKUP(Orders[[#This Row],[ProductID]],Products[ProductID],Products[ProductName])</f>
        <v>GOLD RINGS</v>
      </c>
      <c r="S581" t="str">
        <f>_xlfn.XLOOKUP(Orders[[#This Row],[ProductID]],Products!A:A,Products!C:C)</f>
        <v>Accessories</v>
      </c>
    </row>
    <row r="582" spans="1:19" x14ac:dyDescent="0.2">
      <c r="A582" s="4" t="s">
        <v>769</v>
      </c>
      <c r="B582" s="5">
        <v>45944</v>
      </c>
      <c r="C582" s="15">
        <f>WEEKNUM(Orders[[#This Row],[OrderDate]])</f>
        <v>42</v>
      </c>
      <c r="D582" s="4" t="s">
        <v>94</v>
      </c>
      <c r="E582" s="4" t="s">
        <v>46</v>
      </c>
      <c r="F582" s="4">
        <v>10</v>
      </c>
      <c r="G582" s="4">
        <v>19285.8</v>
      </c>
      <c r="H582">
        <v>16392.93</v>
      </c>
      <c r="I582">
        <f>Orders[[#This Row],[Quantity]]*Orders[[#This Row],[Selling Price]]</f>
        <v>192858</v>
      </c>
      <c r="J582">
        <f>Orders[[#This Row],[Quantity]]*Orders[[#This Row],[Cost Price]]</f>
        <v>163929.29999999999</v>
      </c>
      <c r="K582">
        <f>Orders[[#This Row],[Revenue]]-Orders[[#This Row],[Expenses]]</f>
        <v>28928.700000000012</v>
      </c>
      <c r="L582" t="s">
        <v>2216</v>
      </c>
      <c r="M582" t="str">
        <f>_xlfn.XLOOKUP(Orders[[#This Row],[CustomerID]],Customers[CustomerID],Customers[City])</f>
        <v>Texas</v>
      </c>
      <c r="N582" t="str">
        <f>_xlfn.XLOOKUP(Orders[[#This Row],[CustomerID]],Customers[CustomerID],Customers[CustomerName])</f>
        <v>Uche Abubakar</v>
      </c>
      <c r="O582" t="str">
        <f>_xlfn.XLOOKUP(Orders[[#This Row],[CustomerID]],Customers[CustomerID],Customers[Gender])</f>
        <v>Male</v>
      </c>
      <c r="P582">
        <f>_xlfn.XLOOKUP(Orders[[#This Row],[CustomerID]],Customers[CustomerID],Customers[CustomerAge])</f>
        <v>26</v>
      </c>
      <c r="Q582" t="str">
        <f>IF(Orders[[#This Row],[Age]]&gt;=35,"older","young")</f>
        <v>young</v>
      </c>
      <c r="R582" t="str">
        <f>_xlfn.XLOOKUP(Orders[[#This Row],[ProductID]],Products[ProductID],Products[ProductName])</f>
        <v>TURTLE NECK</v>
      </c>
      <c r="S582" t="str">
        <f>_xlfn.XLOOKUP(Orders[[#This Row],[ProductID]],Products!A:A,Products!C:C)</f>
        <v>Clothing</v>
      </c>
    </row>
    <row r="583" spans="1:19" x14ac:dyDescent="0.2">
      <c r="A583" s="4" t="s">
        <v>770</v>
      </c>
      <c r="B583" s="5">
        <v>45932</v>
      </c>
      <c r="C583" s="15">
        <f>WEEKNUM(Orders[[#This Row],[OrderDate]])</f>
        <v>40</v>
      </c>
      <c r="D583" s="4" t="s">
        <v>291</v>
      </c>
      <c r="E583" s="4" t="s">
        <v>31</v>
      </c>
      <c r="F583" s="4">
        <v>1</v>
      </c>
      <c r="G583" s="4">
        <v>6294</v>
      </c>
      <c r="H583">
        <v>5349.9</v>
      </c>
      <c r="I583">
        <f>Orders[[#This Row],[Quantity]]*Orders[[#This Row],[Selling Price]]</f>
        <v>6294</v>
      </c>
      <c r="J583">
        <f>Orders[[#This Row],[Quantity]]*Orders[[#This Row],[Cost Price]]</f>
        <v>5349.9</v>
      </c>
      <c r="K583">
        <f>Orders[[#This Row],[Revenue]]-Orders[[#This Row],[Expenses]]</f>
        <v>944.10000000000036</v>
      </c>
      <c r="L583" t="s">
        <v>2200</v>
      </c>
      <c r="M583" t="str">
        <f>_xlfn.XLOOKUP(Orders[[#This Row],[CustomerID]],Customers[CustomerID],Customers[City])</f>
        <v>Texas</v>
      </c>
      <c r="N583" t="str">
        <f>_xlfn.XLOOKUP(Orders[[#This Row],[CustomerID]],Customers[CustomerID],Customers[CustomerName])</f>
        <v>Okon Igwe</v>
      </c>
      <c r="O583" t="str">
        <f>_xlfn.XLOOKUP(Orders[[#This Row],[CustomerID]],Customers[CustomerID],Customers[Gender])</f>
        <v>Male</v>
      </c>
      <c r="P583">
        <f>_xlfn.XLOOKUP(Orders[[#This Row],[CustomerID]],Customers[CustomerID],Customers[CustomerAge])</f>
        <v>33</v>
      </c>
      <c r="Q583" t="str">
        <f>IF(Orders[[#This Row],[Age]]&gt;=35,"older","young")</f>
        <v>young</v>
      </c>
      <c r="R583" t="str">
        <f>_xlfn.XLOOKUP(Orders[[#This Row],[ProductID]],Products[ProductID],Products[ProductName])</f>
        <v>KIDS GAMES</v>
      </c>
      <c r="S583" t="str">
        <f>_xlfn.XLOOKUP(Orders[[#This Row],[ProductID]],Products!A:A,Products!C:C)</f>
        <v>Games</v>
      </c>
    </row>
    <row r="584" spans="1:19" x14ac:dyDescent="0.2">
      <c r="A584" s="4" t="s">
        <v>771</v>
      </c>
      <c r="B584" s="5">
        <v>46008</v>
      </c>
      <c r="C584" s="15">
        <f>WEEKNUM(Orders[[#This Row],[OrderDate]])</f>
        <v>51</v>
      </c>
      <c r="D584" s="4" t="s">
        <v>8</v>
      </c>
      <c r="E584" s="4" t="s">
        <v>84</v>
      </c>
      <c r="F584" s="4">
        <v>8</v>
      </c>
      <c r="G584" s="4">
        <v>18705.400000000001</v>
      </c>
      <c r="H584">
        <v>15899.590000000002</v>
      </c>
      <c r="I584">
        <f>Orders[[#This Row],[Quantity]]*Orders[[#This Row],[Selling Price]]</f>
        <v>149643.20000000001</v>
      </c>
      <c r="J584">
        <f>Orders[[#This Row],[Quantity]]*Orders[[#This Row],[Cost Price]]</f>
        <v>127196.72000000002</v>
      </c>
      <c r="K584">
        <f>Orders[[#This Row],[Revenue]]-Orders[[#This Row],[Expenses]]</f>
        <v>22446.479999999996</v>
      </c>
      <c r="L584" t="s">
        <v>2209</v>
      </c>
      <c r="M584" t="str">
        <f>_xlfn.XLOOKUP(Orders[[#This Row],[CustomerID]],Customers[CustomerID],Customers[City])</f>
        <v>Washington</v>
      </c>
      <c r="N584" t="str">
        <f>_xlfn.XLOOKUP(Orders[[#This Row],[CustomerID]],Customers[CustomerID],Customers[CustomerName])</f>
        <v>Bi si Bello</v>
      </c>
      <c r="O584" t="str">
        <f>_xlfn.XLOOKUP(Orders[[#This Row],[CustomerID]],Customers[CustomerID],Customers[Gender])</f>
        <v>Female</v>
      </c>
      <c r="P584">
        <f>_xlfn.XLOOKUP(Orders[[#This Row],[CustomerID]],Customers[CustomerID],Customers[CustomerAge])</f>
        <v>38</v>
      </c>
      <c r="Q584" t="str">
        <f>IF(Orders[[#This Row],[Age]]&gt;=35,"older","young")</f>
        <v>older</v>
      </c>
      <c r="R584" t="str">
        <f>_xlfn.XLOOKUP(Orders[[#This Row],[ProductID]],Products[ProductID],Products[ProductName])</f>
        <v>GYM WEARS</v>
      </c>
      <c r="S584" t="str">
        <f>_xlfn.XLOOKUP(Orders[[#This Row],[ProductID]],Products!A:A,Products!C:C)</f>
        <v>Clothing</v>
      </c>
    </row>
    <row r="585" spans="1:19" x14ac:dyDescent="0.2">
      <c r="A585" s="4" t="s">
        <v>772</v>
      </c>
      <c r="B585" s="5">
        <v>45931</v>
      </c>
      <c r="C585" s="15">
        <f>WEEKNUM(Orders[[#This Row],[OrderDate]])</f>
        <v>40</v>
      </c>
      <c r="D585" s="4" t="s">
        <v>91</v>
      </c>
      <c r="E585" s="4" t="s">
        <v>111</v>
      </c>
      <c r="F585" s="4">
        <v>2</v>
      </c>
      <c r="G585" s="4">
        <v>10549.5</v>
      </c>
      <c r="H585">
        <v>8967.0750000000007</v>
      </c>
      <c r="I585">
        <f>Orders[[#This Row],[Quantity]]*Orders[[#This Row],[Selling Price]]</f>
        <v>21099</v>
      </c>
      <c r="J585">
        <f>Orders[[#This Row],[Quantity]]*Orders[[#This Row],[Cost Price]]</f>
        <v>17934.150000000001</v>
      </c>
      <c r="K585">
        <f>Orders[[#This Row],[Revenue]]-Orders[[#This Row],[Expenses]]</f>
        <v>3164.8499999999985</v>
      </c>
      <c r="L585" t="s">
        <v>2193</v>
      </c>
      <c r="M585" t="str">
        <f>_xlfn.XLOOKUP(Orders[[#This Row],[CustomerID]],Customers[CustomerID],Customers[City])</f>
        <v>Florida</v>
      </c>
      <c r="N585" t="str">
        <f>_xlfn.XLOOKUP(Orders[[#This Row],[CustomerID]],Customers[CustomerID],Customers[CustomerName])</f>
        <v>Uche Abubakar</v>
      </c>
      <c r="O585" t="str">
        <f>_xlfn.XLOOKUP(Orders[[#This Row],[CustomerID]],Customers[CustomerID],Customers[Gender])</f>
        <v>Male</v>
      </c>
      <c r="P585">
        <f>_xlfn.XLOOKUP(Orders[[#This Row],[CustomerID]],Customers[CustomerID],Customers[CustomerAge])</f>
        <v>28</v>
      </c>
      <c r="Q585" t="str">
        <f>IF(Orders[[#This Row],[Age]]&gt;=35,"older","young")</f>
        <v>young</v>
      </c>
      <c r="R585" t="str">
        <f>_xlfn.XLOOKUP(Orders[[#This Row],[ProductID]],Products[ProductID],Products[ProductName])</f>
        <v>REFRIGERATOR</v>
      </c>
      <c r="S585" t="str">
        <f>_xlfn.XLOOKUP(Orders[[#This Row],[ProductID]],Products!A:A,Products!C:C)</f>
        <v>Electronics</v>
      </c>
    </row>
    <row r="586" spans="1:19" x14ac:dyDescent="0.2">
      <c r="A586" s="4" t="s">
        <v>773</v>
      </c>
      <c r="B586" s="5">
        <v>45945</v>
      </c>
      <c r="C586" s="15">
        <f>WEEKNUM(Orders[[#This Row],[OrderDate]])</f>
        <v>42</v>
      </c>
      <c r="D586" s="4" t="s">
        <v>39</v>
      </c>
      <c r="E586" s="4" t="s">
        <v>353</v>
      </c>
      <c r="F586" s="4">
        <v>8</v>
      </c>
      <c r="G586" s="4">
        <v>6656.7999999999993</v>
      </c>
      <c r="H586">
        <v>5658.28</v>
      </c>
      <c r="I586">
        <f>Orders[[#This Row],[Quantity]]*Orders[[#This Row],[Selling Price]]</f>
        <v>53254.399999999994</v>
      </c>
      <c r="J586">
        <f>Orders[[#This Row],[Quantity]]*Orders[[#This Row],[Cost Price]]</f>
        <v>45266.239999999998</v>
      </c>
      <c r="K586">
        <f>Orders[[#This Row],[Revenue]]-Orders[[#This Row],[Expenses]]</f>
        <v>7988.1599999999962</v>
      </c>
      <c r="L586" t="s">
        <v>2211</v>
      </c>
      <c r="M586" t="str">
        <f>_xlfn.XLOOKUP(Orders[[#This Row],[CustomerID]],Customers[CustomerID],Customers[City])</f>
        <v>Florida</v>
      </c>
      <c r="N586" t="str">
        <f>_xlfn.XLOOKUP(Orders[[#This Row],[CustomerID]],Customers[CustomerID],Customers[CustomerName])</f>
        <v>Efe Adeyemi</v>
      </c>
      <c r="O586" t="str">
        <f>_xlfn.XLOOKUP(Orders[[#This Row],[CustomerID]],Customers[CustomerID],Customers[Gender])</f>
        <v>Female</v>
      </c>
      <c r="P586">
        <f>_xlfn.XLOOKUP(Orders[[#This Row],[CustomerID]],Customers[CustomerID],Customers[CustomerAge])</f>
        <v>20</v>
      </c>
      <c r="Q586" t="str">
        <f>IF(Orders[[#This Row],[Age]]&gt;=35,"older","young")</f>
        <v>young</v>
      </c>
      <c r="R586" t="str">
        <f>_xlfn.XLOOKUP(Orders[[#This Row],[ProductID]],Products[ProductID],Products[ProductName])</f>
        <v>SILVER EARRINGS AND NECKLACES</v>
      </c>
      <c r="S586" t="str">
        <f>_xlfn.XLOOKUP(Orders[[#This Row],[ProductID]],Products!A:A,Products!C:C)</f>
        <v>Accessories</v>
      </c>
    </row>
    <row r="587" spans="1:19" x14ac:dyDescent="0.2">
      <c r="A587" s="4" t="s">
        <v>774</v>
      </c>
      <c r="B587" s="5">
        <v>46016</v>
      </c>
      <c r="C587" s="15">
        <f>WEEKNUM(Orders[[#This Row],[OrderDate]])</f>
        <v>52</v>
      </c>
      <c r="D587" s="4" t="s">
        <v>89</v>
      </c>
      <c r="E587" s="4" t="s">
        <v>37</v>
      </c>
      <c r="F587" s="4">
        <v>9</v>
      </c>
      <c r="G587" s="4">
        <v>835.6</v>
      </c>
      <c r="H587">
        <v>710.26</v>
      </c>
      <c r="I587">
        <f>Orders[[#This Row],[Quantity]]*Orders[[#This Row],[Selling Price]]</f>
        <v>7520.4000000000005</v>
      </c>
      <c r="J587">
        <f>Orders[[#This Row],[Quantity]]*Orders[[#This Row],[Cost Price]]</f>
        <v>6392.34</v>
      </c>
      <c r="K587">
        <f>Orders[[#This Row],[Revenue]]-Orders[[#This Row],[Expenses]]</f>
        <v>1128.0600000000004</v>
      </c>
      <c r="L587" t="s">
        <v>2207</v>
      </c>
      <c r="M587" t="str">
        <f>_xlfn.XLOOKUP(Orders[[#This Row],[CustomerID]],Customers[CustomerID],Customers[City])</f>
        <v>Washington</v>
      </c>
      <c r="N587" t="str">
        <f>_xlfn.XLOOKUP(Orders[[#This Row],[CustomerID]],Customers[CustomerID],Customers[CustomerName])</f>
        <v>Blessing Balogun</v>
      </c>
      <c r="O587" t="str">
        <f>_xlfn.XLOOKUP(Orders[[#This Row],[CustomerID]],Customers[CustomerID],Customers[Gender])</f>
        <v>Female</v>
      </c>
      <c r="P587">
        <f>_xlfn.XLOOKUP(Orders[[#This Row],[CustomerID]],Customers[CustomerID],Customers[CustomerAge])</f>
        <v>19</v>
      </c>
      <c r="Q587" t="str">
        <f>IF(Orders[[#This Row],[Age]]&gt;=35,"older","young")</f>
        <v>young</v>
      </c>
      <c r="R587" t="str">
        <f>_xlfn.XLOOKUP(Orders[[#This Row],[ProductID]],Products[ProductID],Products[ProductName])</f>
        <v>IRON</v>
      </c>
      <c r="S587" t="str">
        <f>_xlfn.XLOOKUP(Orders[[#This Row],[ProductID]],Products!A:A,Products!C:C)</f>
        <v>Electronics</v>
      </c>
    </row>
    <row r="588" spans="1:19" x14ac:dyDescent="0.2">
      <c r="A588" s="4" t="s">
        <v>775</v>
      </c>
      <c r="B588" s="5">
        <v>45979</v>
      </c>
      <c r="C588" s="15">
        <f>WEEKNUM(Orders[[#This Row],[OrderDate]])</f>
        <v>47</v>
      </c>
      <c r="D588" s="4" t="s">
        <v>246</v>
      </c>
      <c r="E588" s="4" t="s">
        <v>168</v>
      </c>
      <c r="F588" s="4">
        <v>5</v>
      </c>
      <c r="G588" s="4">
        <v>11366.6</v>
      </c>
      <c r="H588">
        <v>9661.61</v>
      </c>
      <c r="I588">
        <f>Orders[[#This Row],[Quantity]]*Orders[[#This Row],[Selling Price]]</f>
        <v>56833</v>
      </c>
      <c r="J588">
        <f>Orders[[#This Row],[Quantity]]*Orders[[#This Row],[Cost Price]]</f>
        <v>48308.05</v>
      </c>
      <c r="K588">
        <f>Orders[[#This Row],[Revenue]]-Orders[[#This Row],[Expenses]]</f>
        <v>8524.9499999999971</v>
      </c>
      <c r="L588" t="s">
        <v>2201</v>
      </c>
      <c r="M588" t="str">
        <f>_xlfn.XLOOKUP(Orders[[#This Row],[CustomerID]],Customers[CustomerID],Customers[City])</f>
        <v>Florida</v>
      </c>
      <c r="N588" t="str">
        <f>_xlfn.XLOOKUP(Orders[[#This Row],[CustomerID]],Customers[CustomerID],Customers[CustomerName])</f>
        <v>Emeka Abubakar</v>
      </c>
      <c r="O588" t="str">
        <f>_xlfn.XLOOKUP(Orders[[#This Row],[CustomerID]],Customers[CustomerID],Customers[Gender])</f>
        <v>Male</v>
      </c>
      <c r="P588">
        <f>_xlfn.XLOOKUP(Orders[[#This Row],[CustomerID]],Customers[CustomerID],Customers[CustomerAge])</f>
        <v>28</v>
      </c>
      <c r="Q588" t="str">
        <f>IF(Orders[[#This Row],[Age]]&gt;=35,"older","young")</f>
        <v>young</v>
      </c>
      <c r="R588" t="str">
        <f>_xlfn.XLOOKUP(Orders[[#This Row],[ProductID]],Products[ProductID],Products[ProductName])</f>
        <v>DUMB BELLS</v>
      </c>
      <c r="S588" t="str">
        <f>_xlfn.XLOOKUP(Orders[[#This Row],[ProductID]],Products!A:A,Products!C:C)</f>
        <v>Gym</v>
      </c>
    </row>
    <row r="589" spans="1:19" x14ac:dyDescent="0.2">
      <c r="A589" s="4" t="s">
        <v>776</v>
      </c>
      <c r="B589" s="5">
        <v>45992</v>
      </c>
      <c r="C589" s="15">
        <f>WEEKNUM(Orders[[#This Row],[OrderDate]])</f>
        <v>49</v>
      </c>
      <c r="D589" s="4" t="s">
        <v>96</v>
      </c>
      <c r="E589" s="4" t="s">
        <v>70</v>
      </c>
      <c r="F589" s="4">
        <v>7</v>
      </c>
      <c r="G589" s="4">
        <v>9482.1</v>
      </c>
      <c r="H589">
        <v>8059.7849999999999</v>
      </c>
      <c r="I589">
        <f>Orders[[#This Row],[Quantity]]*Orders[[#This Row],[Selling Price]]</f>
        <v>66374.7</v>
      </c>
      <c r="J589">
        <f>Orders[[#This Row],[Quantity]]*Orders[[#This Row],[Cost Price]]</f>
        <v>56418.494999999995</v>
      </c>
      <c r="K589">
        <f>Orders[[#This Row],[Revenue]]-Orders[[#This Row],[Expenses]]</f>
        <v>9956.2050000000017</v>
      </c>
      <c r="L589" t="s">
        <v>2195</v>
      </c>
      <c r="M589" t="str">
        <f>_xlfn.XLOOKUP(Orders[[#This Row],[CustomerID]],Customers[CustomerID],Customers[City])</f>
        <v>Texas</v>
      </c>
      <c r="N589" t="str">
        <f>_xlfn.XLOOKUP(Orders[[#This Row],[CustomerID]],Customers[CustomerID],Customers[CustomerName])</f>
        <v>Amina Abubakar</v>
      </c>
      <c r="O589" t="str">
        <f>_xlfn.XLOOKUP(Orders[[#This Row],[CustomerID]],Customers[CustomerID],Customers[Gender])</f>
        <v>Female</v>
      </c>
      <c r="P589">
        <f>_xlfn.XLOOKUP(Orders[[#This Row],[CustomerID]],Customers[CustomerID],Customers[CustomerAge])</f>
        <v>35</v>
      </c>
      <c r="Q589" t="str">
        <f>IF(Orders[[#This Row],[Age]]&gt;=35,"older","young")</f>
        <v>older</v>
      </c>
      <c r="R589" t="str">
        <f>_xlfn.XLOOKUP(Orders[[#This Row],[ProductID]],Products[ProductID],Products[ProductName])</f>
        <v>YOGA MAT</v>
      </c>
      <c r="S589" t="str">
        <f>_xlfn.XLOOKUP(Orders[[#This Row],[ProductID]],Products!A:A,Products!C:C)</f>
        <v>Gym</v>
      </c>
    </row>
    <row r="590" spans="1:19" x14ac:dyDescent="0.2">
      <c r="A590" s="4" t="s">
        <v>777</v>
      </c>
      <c r="B590" s="5">
        <v>46021</v>
      </c>
      <c r="C590" s="15">
        <f>WEEKNUM(Orders[[#This Row],[OrderDate]])</f>
        <v>53</v>
      </c>
      <c r="D590" s="4" t="s">
        <v>116</v>
      </c>
      <c r="E590" s="4" t="s">
        <v>28</v>
      </c>
      <c r="F590" s="4">
        <v>2</v>
      </c>
      <c r="G590" s="4">
        <v>10819.400000000001</v>
      </c>
      <c r="H590">
        <v>9196.4900000000016</v>
      </c>
      <c r="I590">
        <f>Orders[[#This Row],[Quantity]]*Orders[[#This Row],[Selling Price]]</f>
        <v>21638.800000000003</v>
      </c>
      <c r="J590">
        <f>Orders[[#This Row],[Quantity]]*Orders[[#This Row],[Cost Price]]</f>
        <v>18392.980000000003</v>
      </c>
      <c r="K590">
        <f>Orders[[#This Row],[Revenue]]-Orders[[#This Row],[Expenses]]</f>
        <v>3245.8199999999997</v>
      </c>
      <c r="L590" t="s">
        <v>2199</v>
      </c>
      <c r="M590" t="str">
        <f>_xlfn.XLOOKUP(Orders[[#This Row],[CustomerID]],Customers[CustomerID],Customers[City])</f>
        <v>Texas</v>
      </c>
      <c r="N590" t="str">
        <f>_xlfn.XLOOKUP(Orders[[#This Row],[CustomerID]],Customers[CustomerID],Customers[CustomerName])</f>
        <v>Uche Bello</v>
      </c>
      <c r="O590" t="str">
        <f>_xlfn.XLOOKUP(Orders[[#This Row],[CustomerID]],Customers[CustomerID],Customers[Gender])</f>
        <v>Male</v>
      </c>
      <c r="P590">
        <f>_xlfn.XLOOKUP(Orders[[#This Row],[CustomerID]],Customers[CustomerID],Customers[CustomerAge])</f>
        <v>21</v>
      </c>
      <c r="Q590" t="str">
        <f>IF(Orders[[#This Row],[Age]]&gt;=35,"older","young")</f>
        <v>young</v>
      </c>
      <c r="R590" t="str">
        <f>_xlfn.XLOOKUP(Orders[[#This Row],[ProductID]],Products[ProductID],Products[ProductName])</f>
        <v>SNEAKERS</v>
      </c>
      <c r="S590" t="str">
        <f>_xlfn.XLOOKUP(Orders[[#This Row],[ProductID]],Products!A:A,Products!C:C)</f>
        <v>Sports</v>
      </c>
    </row>
    <row r="591" spans="1:19" x14ac:dyDescent="0.2">
      <c r="A591" s="4" t="s">
        <v>778</v>
      </c>
      <c r="B591" s="5">
        <v>45955</v>
      </c>
      <c r="C591" s="15">
        <f>WEEKNUM(Orders[[#This Row],[OrderDate]])</f>
        <v>43</v>
      </c>
      <c r="D591" s="4" t="s">
        <v>246</v>
      </c>
      <c r="E591" s="4" t="s">
        <v>15</v>
      </c>
      <c r="F591" s="4">
        <v>2</v>
      </c>
      <c r="G591" s="4">
        <v>15467</v>
      </c>
      <c r="H591">
        <v>13146.95</v>
      </c>
      <c r="I591">
        <f>Orders[[#This Row],[Quantity]]*Orders[[#This Row],[Selling Price]]</f>
        <v>30934</v>
      </c>
      <c r="J591">
        <f>Orders[[#This Row],[Quantity]]*Orders[[#This Row],[Cost Price]]</f>
        <v>26293.9</v>
      </c>
      <c r="K591">
        <f>Orders[[#This Row],[Revenue]]-Orders[[#This Row],[Expenses]]</f>
        <v>4640.0999999999985</v>
      </c>
      <c r="L591" t="s">
        <v>2205</v>
      </c>
      <c r="M591" t="str">
        <f>_xlfn.XLOOKUP(Orders[[#This Row],[CustomerID]],Customers[CustomerID],Customers[City])</f>
        <v>Florida</v>
      </c>
      <c r="N591" t="str">
        <f>_xlfn.XLOOKUP(Orders[[#This Row],[CustomerID]],Customers[CustomerID],Customers[CustomerName])</f>
        <v>Emeka Abubakar</v>
      </c>
      <c r="O591" t="str">
        <f>_xlfn.XLOOKUP(Orders[[#This Row],[CustomerID]],Customers[CustomerID],Customers[Gender])</f>
        <v>Male</v>
      </c>
      <c r="P591">
        <f>_xlfn.XLOOKUP(Orders[[#This Row],[CustomerID]],Customers[CustomerID],Customers[CustomerAge])</f>
        <v>28</v>
      </c>
      <c r="Q591" t="str">
        <f>IF(Orders[[#This Row],[Age]]&gt;=35,"older","young")</f>
        <v>young</v>
      </c>
      <c r="R591" t="str">
        <f>_xlfn.XLOOKUP(Orders[[#This Row],[ProductID]],Products[ProductID],Products[ProductName])</f>
        <v>MONOPOLY</v>
      </c>
      <c r="S591" t="str">
        <f>_xlfn.XLOOKUP(Orders[[#This Row],[ProductID]],Products!A:A,Products!C:C)</f>
        <v>Games</v>
      </c>
    </row>
    <row r="592" spans="1:19" x14ac:dyDescent="0.2">
      <c r="A592" s="4" t="s">
        <v>779</v>
      </c>
      <c r="B592" s="5">
        <v>45978</v>
      </c>
      <c r="C592" s="15">
        <f>WEEKNUM(Orders[[#This Row],[OrderDate]])</f>
        <v>47</v>
      </c>
      <c r="D592" s="4" t="s">
        <v>91</v>
      </c>
      <c r="E592" s="4" t="s">
        <v>76</v>
      </c>
      <c r="F592" s="4">
        <v>3</v>
      </c>
      <c r="G592" s="4">
        <v>19986.400000000001</v>
      </c>
      <c r="H592">
        <v>16988.440000000002</v>
      </c>
      <c r="I592">
        <f>Orders[[#This Row],[Quantity]]*Orders[[#This Row],[Selling Price]]</f>
        <v>59959.200000000004</v>
      </c>
      <c r="J592">
        <f>Orders[[#This Row],[Quantity]]*Orders[[#This Row],[Cost Price]]</f>
        <v>50965.320000000007</v>
      </c>
      <c r="K592">
        <f>Orders[[#This Row],[Revenue]]-Orders[[#This Row],[Expenses]]</f>
        <v>8993.8799999999974</v>
      </c>
      <c r="L592" t="s">
        <v>2208</v>
      </c>
      <c r="M592" t="str">
        <f>_xlfn.XLOOKUP(Orders[[#This Row],[CustomerID]],Customers[CustomerID],Customers[City])</f>
        <v>Florida</v>
      </c>
      <c r="N592" t="str">
        <f>_xlfn.XLOOKUP(Orders[[#This Row],[CustomerID]],Customers[CustomerID],Customers[CustomerName])</f>
        <v>Uche Abubakar</v>
      </c>
      <c r="O592" t="str">
        <f>_xlfn.XLOOKUP(Orders[[#This Row],[CustomerID]],Customers[CustomerID],Customers[Gender])</f>
        <v>Male</v>
      </c>
      <c r="P592">
        <f>_xlfn.XLOOKUP(Orders[[#This Row],[CustomerID]],Customers[CustomerID],Customers[CustomerAge])</f>
        <v>28</v>
      </c>
      <c r="Q592" t="str">
        <f>IF(Orders[[#This Row],[Age]]&gt;=35,"older","young")</f>
        <v>young</v>
      </c>
      <c r="R592" t="str">
        <f>_xlfn.XLOOKUP(Orders[[#This Row],[ProductID]],Products[ProductID],Products[ProductName])</f>
        <v>BLENDER</v>
      </c>
      <c r="S592" t="str">
        <f>_xlfn.XLOOKUP(Orders[[#This Row],[ProductID]],Products!A:A,Products!C:C)</f>
        <v>Electronics</v>
      </c>
    </row>
    <row r="593" spans="1:19" x14ac:dyDescent="0.2">
      <c r="A593" s="4" t="s">
        <v>780</v>
      </c>
      <c r="B593" s="5">
        <v>45932</v>
      </c>
      <c r="C593" s="15">
        <f>WEEKNUM(Orders[[#This Row],[OrderDate]])</f>
        <v>40</v>
      </c>
      <c r="D593" s="4" t="s">
        <v>146</v>
      </c>
      <c r="E593" s="4" t="s">
        <v>57</v>
      </c>
      <c r="F593" s="4">
        <v>3</v>
      </c>
      <c r="G593" s="4">
        <v>12295.599999999999</v>
      </c>
      <c r="H593">
        <v>10451.259999999998</v>
      </c>
      <c r="I593">
        <f>Orders[[#This Row],[Quantity]]*Orders[[#This Row],[Selling Price]]</f>
        <v>36886.799999999996</v>
      </c>
      <c r="J593">
        <f>Orders[[#This Row],[Quantity]]*Orders[[#This Row],[Cost Price]]</f>
        <v>31353.779999999995</v>
      </c>
      <c r="K593">
        <f>Orders[[#This Row],[Revenue]]-Orders[[#This Row],[Expenses]]</f>
        <v>5533.02</v>
      </c>
      <c r="L593" t="s">
        <v>2213</v>
      </c>
      <c r="M593" t="str">
        <f>_xlfn.XLOOKUP(Orders[[#This Row],[CustomerID]],Customers[CustomerID],Customers[City])</f>
        <v>Texas</v>
      </c>
      <c r="N593" t="str">
        <f>_xlfn.XLOOKUP(Orders[[#This Row],[CustomerID]],Customers[CustomerID],Customers[CustomerName])</f>
        <v>Mustafa Igwe</v>
      </c>
      <c r="O593" t="str">
        <f>_xlfn.XLOOKUP(Orders[[#This Row],[CustomerID]],Customers[CustomerID],Customers[Gender])</f>
        <v>Male</v>
      </c>
      <c r="P593">
        <f>_xlfn.XLOOKUP(Orders[[#This Row],[CustomerID]],Customers[CustomerID],Customers[CustomerAge])</f>
        <v>27</v>
      </c>
      <c r="Q593" t="str">
        <f>IF(Orders[[#This Row],[Age]]&gt;=35,"older","young")</f>
        <v>young</v>
      </c>
      <c r="R593" t="str">
        <f>_xlfn.XLOOKUP(Orders[[#This Row],[ProductID]],Products[ProductID],Products[ProductName])</f>
        <v>BADMINTON RACKET</v>
      </c>
      <c r="S593" t="str">
        <f>_xlfn.XLOOKUP(Orders[[#This Row],[ProductID]],Products!A:A,Products!C:C)</f>
        <v>Sports</v>
      </c>
    </row>
    <row r="594" spans="1:19" x14ac:dyDescent="0.2">
      <c r="A594" s="4" t="s">
        <v>781</v>
      </c>
      <c r="B594" s="5">
        <v>45942</v>
      </c>
      <c r="C594" s="15">
        <f>WEEKNUM(Orders[[#This Row],[OrderDate]])</f>
        <v>42</v>
      </c>
      <c r="D594" s="4" t="s">
        <v>256</v>
      </c>
      <c r="E594" s="4" t="s">
        <v>151</v>
      </c>
      <c r="F594" s="4">
        <v>8</v>
      </c>
      <c r="G594" s="4">
        <v>9629.4000000000015</v>
      </c>
      <c r="H594">
        <v>8184.9900000000016</v>
      </c>
      <c r="I594">
        <f>Orders[[#This Row],[Quantity]]*Orders[[#This Row],[Selling Price]]</f>
        <v>77035.200000000012</v>
      </c>
      <c r="J594">
        <f>Orders[[#This Row],[Quantity]]*Orders[[#This Row],[Cost Price]]</f>
        <v>65479.920000000013</v>
      </c>
      <c r="K594">
        <f>Orders[[#This Row],[Revenue]]-Orders[[#This Row],[Expenses]]</f>
        <v>11555.279999999999</v>
      </c>
      <c r="L594" t="s">
        <v>2218</v>
      </c>
      <c r="M594" t="str">
        <f>_xlfn.XLOOKUP(Orders[[#This Row],[CustomerID]],Customers[CustomerID],Customers[City])</f>
        <v>Georgia</v>
      </c>
      <c r="N594" t="str">
        <f>_xlfn.XLOOKUP(Orders[[#This Row],[CustomerID]],Customers[CustomerID],Customers[CustomerName])</f>
        <v>Efe Ojo</v>
      </c>
      <c r="O594" t="str">
        <f>_xlfn.XLOOKUP(Orders[[#This Row],[CustomerID]],Customers[CustomerID],Customers[Gender])</f>
        <v>Female</v>
      </c>
      <c r="P594">
        <f>_xlfn.XLOOKUP(Orders[[#This Row],[CustomerID]],Customers[CustomerID],Customers[CustomerAge])</f>
        <v>23</v>
      </c>
      <c r="Q594" t="str">
        <f>IF(Orders[[#This Row],[Age]]&gt;=35,"older","young")</f>
        <v>young</v>
      </c>
      <c r="R594" t="str">
        <f>_xlfn.XLOOKUP(Orders[[#This Row],[ProductID]],Products[ProductID],Products[ProductName])</f>
        <v>CHECKERS</v>
      </c>
      <c r="S594" t="str">
        <f>_xlfn.XLOOKUP(Orders[[#This Row],[ProductID]],Products!A:A,Products!C:C)</f>
        <v>Games</v>
      </c>
    </row>
    <row r="595" spans="1:19" x14ac:dyDescent="0.2">
      <c r="A595" s="4" t="s">
        <v>782</v>
      </c>
      <c r="B595" s="5">
        <v>45983</v>
      </c>
      <c r="C595" s="15">
        <f>WEEKNUM(Orders[[#This Row],[OrderDate]])</f>
        <v>47</v>
      </c>
      <c r="D595" s="4" t="s">
        <v>564</v>
      </c>
      <c r="E595" s="4" t="s">
        <v>20</v>
      </c>
      <c r="F595" s="4">
        <v>9</v>
      </c>
      <c r="G595" s="4">
        <v>9776.4</v>
      </c>
      <c r="H595">
        <v>8309.94</v>
      </c>
      <c r="I595">
        <f>Orders[[#This Row],[Quantity]]*Orders[[#This Row],[Selling Price]]</f>
        <v>87987.599999999991</v>
      </c>
      <c r="J595">
        <f>Orders[[#This Row],[Quantity]]*Orders[[#This Row],[Cost Price]]</f>
        <v>74789.460000000006</v>
      </c>
      <c r="K595">
        <f>Orders[[#This Row],[Revenue]]-Orders[[#This Row],[Expenses]]</f>
        <v>13198.139999999985</v>
      </c>
      <c r="L595" t="s">
        <v>2206</v>
      </c>
      <c r="M595" t="str">
        <f>_xlfn.XLOOKUP(Orders[[#This Row],[CustomerID]],Customers[CustomerID],Customers[City])</f>
        <v>Georgia</v>
      </c>
      <c r="N595" t="str">
        <f>_xlfn.XLOOKUP(Orders[[#This Row],[CustomerID]],Customers[CustomerID],Customers[CustomerName])</f>
        <v>Blessing Eze</v>
      </c>
      <c r="O595" t="str">
        <f>_xlfn.XLOOKUP(Orders[[#This Row],[CustomerID]],Customers[CustomerID],Customers[Gender])</f>
        <v>Female</v>
      </c>
      <c r="P595">
        <f>_xlfn.XLOOKUP(Orders[[#This Row],[CustomerID]],Customers[CustomerID],Customers[CustomerAge])</f>
        <v>19</v>
      </c>
      <c r="Q595" t="str">
        <f>IF(Orders[[#This Row],[Age]]&gt;=35,"older","young")</f>
        <v>young</v>
      </c>
      <c r="R595" t="str">
        <f>_xlfn.XLOOKUP(Orders[[#This Row],[ProductID]],Products[ProductID],Products[ProductName])</f>
        <v>GYM BAG</v>
      </c>
      <c r="S595" t="str">
        <f>_xlfn.XLOOKUP(Orders[[#This Row],[ProductID]],Products!A:A,Products!C:C)</f>
        <v>Gym</v>
      </c>
    </row>
    <row r="596" spans="1:19" x14ac:dyDescent="0.2">
      <c r="A596" s="4" t="s">
        <v>783</v>
      </c>
      <c r="B596" s="5">
        <v>45942</v>
      </c>
      <c r="C596" s="15">
        <f>WEEKNUM(Orders[[#This Row],[OrderDate]])</f>
        <v>42</v>
      </c>
      <c r="D596" s="4" t="s">
        <v>163</v>
      </c>
      <c r="E596" s="4" t="s">
        <v>120</v>
      </c>
      <c r="F596" s="4">
        <v>7</v>
      </c>
      <c r="G596" s="4">
        <v>8863.5</v>
      </c>
      <c r="H596">
        <v>7533.9750000000004</v>
      </c>
      <c r="I596">
        <f>Orders[[#This Row],[Quantity]]*Orders[[#This Row],[Selling Price]]</f>
        <v>62044.5</v>
      </c>
      <c r="J596">
        <f>Orders[[#This Row],[Quantity]]*Orders[[#This Row],[Cost Price]]</f>
        <v>52737.825000000004</v>
      </c>
      <c r="K596">
        <f>Orders[[#This Row],[Revenue]]-Orders[[#This Row],[Expenses]]</f>
        <v>9306.6749999999956</v>
      </c>
      <c r="L596" t="s">
        <v>2197</v>
      </c>
      <c r="M596" t="str">
        <f>_xlfn.XLOOKUP(Orders[[#This Row],[CustomerID]],Customers[CustomerID],Customers[City])</f>
        <v>Texas</v>
      </c>
      <c r="N596" t="str">
        <f>_xlfn.XLOOKUP(Orders[[#This Row],[CustomerID]],Customers[CustomerID],Customers[CustomerName])</f>
        <v>Folasade Danladi</v>
      </c>
      <c r="O596" t="str">
        <f>_xlfn.XLOOKUP(Orders[[#This Row],[CustomerID]],Customers[CustomerID],Customers[Gender])</f>
        <v>Female</v>
      </c>
      <c r="P596">
        <f>_xlfn.XLOOKUP(Orders[[#This Row],[CustomerID]],Customers[CustomerID],Customers[CustomerAge])</f>
        <v>32</v>
      </c>
      <c r="Q596" t="str">
        <f>IF(Orders[[#This Row],[Age]]&gt;=35,"older","young")</f>
        <v>young</v>
      </c>
      <c r="R596" t="str">
        <f>_xlfn.XLOOKUP(Orders[[#This Row],[ProductID]],Products[ProductID],Products[ProductName])</f>
        <v>CHESS</v>
      </c>
      <c r="S596" t="str">
        <f>_xlfn.XLOOKUP(Orders[[#This Row],[ProductID]],Products!A:A,Products!C:C)</f>
        <v>Games</v>
      </c>
    </row>
    <row r="597" spans="1:19" x14ac:dyDescent="0.2">
      <c r="A597" s="4" t="s">
        <v>784</v>
      </c>
      <c r="B597" s="5">
        <v>45977</v>
      </c>
      <c r="C597" s="15">
        <f>WEEKNUM(Orders[[#This Row],[OrderDate]])</f>
        <v>47</v>
      </c>
      <c r="D597" s="4" t="s">
        <v>216</v>
      </c>
      <c r="E597" s="4" t="s">
        <v>127</v>
      </c>
      <c r="F597" s="4">
        <v>3</v>
      </c>
      <c r="G597" s="4">
        <v>7753.8</v>
      </c>
      <c r="H597">
        <v>6590.7300000000005</v>
      </c>
      <c r="I597">
        <f>Orders[[#This Row],[Quantity]]*Orders[[#This Row],[Selling Price]]</f>
        <v>23261.4</v>
      </c>
      <c r="J597">
        <f>Orders[[#This Row],[Quantity]]*Orders[[#This Row],[Cost Price]]</f>
        <v>19772.190000000002</v>
      </c>
      <c r="K597">
        <f>Orders[[#This Row],[Revenue]]-Orders[[#This Row],[Expenses]]</f>
        <v>3489.2099999999991</v>
      </c>
      <c r="L597" t="s">
        <v>2209</v>
      </c>
      <c r="M597" t="str">
        <f>_xlfn.XLOOKUP(Orders[[#This Row],[CustomerID]],Customers[CustomerID],Customers[City])</f>
        <v>California</v>
      </c>
      <c r="N597" t="str">
        <f>_xlfn.XLOOKUP(Orders[[#This Row],[CustomerID]],Customers[CustomerID],Customers[CustomerName])</f>
        <v>Ngozi Obi</v>
      </c>
      <c r="O597" t="str">
        <f>_xlfn.XLOOKUP(Orders[[#This Row],[CustomerID]],Customers[CustomerID],Customers[Gender])</f>
        <v>Female</v>
      </c>
      <c r="P597">
        <f>_xlfn.XLOOKUP(Orders[[#This Row],[CustomerID]],Customers[CustomerID],Customers[CustomerAge])</f>
        <v>54</v>
      </c>
      <c r="Q597" t="str">
        <f>IF(Orders[[#This Row],[Age]]&gt;=35,"older","young")</f>
        <v>older</v>
      </c>
      <c r="R597" t="str">
        <f>_xlfn.XLOOKUP(Orders[[#This Row],[ProductID]],Products[ProductID],Products[ProductName])</f>
        <v>TOPS</v>
      </c>
      <c r="S597" t="str">
        <f>_xlfn.XLOOKUP(Orders[[#This Row],[ProductID]],Products!A:A,Products!C:C)</f>
        <v>Clothing</v>
      </c>
    </row>
    <row r="598" spans="1:19" x14ac:dyDescent="0.2">
      <c r="A598" s="4" t="s">
        <v>785</v>
      </c>
      <c r="B598" s="5">
        <v>45991</v>
      </c>
      <c r="C598" s="15">
        <f>WEEKNUM(Orders[[#This Row],[OrderDate]])</f>
        <v>49</v>
      </c>
      <c r="D598" s="4" t="s">
        <v>596</v>
      </c>
      <c r="E598" s="4" t="s">
        <v>151</v>
      </c>
      <c r="F598" s="4">
        <v>7</v>
      </c>
      <c r="G598" s="4">
        <v>3151.3999999999996</v>
      </c>
      <c r="H598">
        <v>2678.6899999999996</v>
      </c>
      <c r="I598">
        <f>Orders[[#This Row],[Quantity]]*Orders[[#This Row],[Selling Price]]</f>
        <v>22059.799999999996</v>
      </c>
      <c r="J598">
        <f>Orders[[#This Row],[Quantity]]*Orders[[#This Row],[Cost Price]]</f>
        <v>18750.829999999998</v>
      </c>
      <c r="K598">
        <f>Orders[[#This Row],[Revenue]]-Orders[[#This Row],[Expenses]]</f>
        <v>3308.9699999999975</v>
      </c>
      <c r="L598" t="s">
        <v>2194</v>
      </c>
      <c r="M598" t="str">
        <f>_xlfn.XLOOKUP(Orders[[#This Row],[CustomerID]],Customers[CustomerID],Customers[City])</f>
        <v>Texas</v>
      </c>
      <c r="N598" t="str">
        <f>_xlfn.XLOOKUP(Orders[[#This Row],[CustomerID]],Customers[CustomerID],Customers[CustomerName])</f>
        <v>Blessing Balogun</v>
      </c>
      <c r="O598" t="str">
        <f>_xlfn.XLOOKUP(Orders[[#This Row],[CustomerID]],Customers[CustomerID],Customers[Gender])</f>
        <v>Female</v>
      </c>
      <c r="P598">
        <f>_xlfn.XLOOKUP(Orders[[#This Row],[CustomerID]],Customers[CustomerID],Customers[CustomerAge])</f>
        <v>26</v>
      </c>
      <c r="Q598" t="str">
        <f>IF(Orders[[#This Row],[Age]]&gt;=35,"older","young")</f>
        <v>young</v>
      </c>
      <c r="R598" t="str">
        <f>_xlfn.XLOOKUP(Orders[[#This Row],[ProductID]],Products[ProductID],Products[ProductName])</f>
        <v>CHECKERS</v>
      </c>
      <c r="S598" t="str">
        <f>_xlfn.XLOOKUP(Orders[[#This Row],[ProductID]],Products!A:A,Products!C:C)</f>
        <v>Games</v>
      </c>
    </row>
    <row r="599" spans="1:19" x14ac:dyDescent="0.2">
      <c r="A599" s="4" t="s">
        <v>786</v>
      </c>
      <c r="B599" s="5">
        <v>45944</v>
      </c>
      <c r="C599" s="15">
        <f>WEEKNUM(Orders[[#This Row],[OrderDate]])</f>
        <v>42</v>
      </c>
      <c r="D599" s="4" t="s">
        <v>410</v>
      </c>
      <c r="E599" s="4" t="s">
        <v>46</v>
      </c>
      <c r="F599" s="4">
        <v>3</v>
      </c>
      <c r="G599" s="4">
        <v>19811</v>
      </c>
      <c r="H599">
        <v>16839.349999999999</v>
      </c>
      <c r="I599">
        <f>Orders[[#This Row],[Quantity]]*Orders[[#This Row],[Selling Price]]</f>
        <v>59433</v>
      </c>
      <c r="J599">
        <f>Orders[[#This Row],[Quantity]]*Orders[[#This Row],[Cost Price]]</f>
        <v>50518.049999999996</v>
      </c>
      <c r="K599">
        <f>Orders[[#This Row],[Revenue]]-Orders[[#This Row],[Expenses]]</f>
        <v>8914.9500000000044</v>
      </c>
      <c r="L599" t="s">
        <v>2201</v>
      </c>
      <c r="M599" t="str">
        <f>_xlfn.XLOOKUP(Orders[[#This Row],[CustomerID]],Customers[CustomerID],Customers[City])</f>
        <v>Texas</v>
      </c>
      <c r="N599" t="str">
        <f>_xlfn.XLOOKUP(Orders[[#This Row],[CustomerID]],Customers[CustomerID],Customers[CustomerName])</f>
        <v>Jane Thomas</v>
      </c>
      <c r="O599" t="str">
        <f>_xlfn.XLOOKUP(Orders[[#This Row],[CustomerID]],Customers[CustomerID],Customers[Gender])</f>
        <v>Male</v>
      </c>
      <c r="P599">
        <f>_xlfn.XLOOKUP(Orders[[#This Row],[CustomerID]],Customers[CustomerID],Customers[CustomerAge])</f>
        <v>21</v>
      </c>
      <c r="Q599" t="str">
        <f>IF(Orders[[#This Row],[Age]]&gt;=35,"older","young")</f>
        <v>young</v>
      </c>
      <c r="R599" t="str">
        <f>_xlfn.XLOOKUP(Orders[[#This Row],[ProductID]],Products[ProductID],Products[ProductName])</f>
        <v>TURTLE NECK</v>
      </c>
      <c r="S599" t="str">
        <f>_xlfn.XLOOKUP(Orders[[#This Row],[ProductID]],Products!A:A,Products!C:C)</f>
        <v>Clothing</v>
      </c>
    </row>
    <row r="600" spans="1:19" x14ac:dyDescent="0.2">
      <c r="A600" s="4" t="s">
        <v>787</v>
      </c>
      <c r="B600" s="5">
        <v>45939</v>
      </c>
      <c r="C600" s="15">
        <f>WEEKNUM(Orders[[#This Row],[OrderDate]])</f>
        <v>41</v>
      </c>
      <c r="D600" s="4" t="s">
        <v>439</v>
      </c>
      <c r="E600" s="4" t="s">
        <v>130</v>
      </c>
      <c r="F600" s="4">
        <v>3</v>
      </c>
      <c r="G600" s="4">
        <v>2222.6</v>
      </c>
      <c r="H600">
        <v>1889.21</v>
      </c>
      <c r="I600">
        <f>Orders[[#This Row],[Quantity]]*Orders[[#This Row],[Selling Price]]</f>
        <v>6667.7999999999993</v>
      </c>
      <c r="J600">
        <f>Orders[[#This Row],[Quantity]]*Orders[[#This Row],[Cost Price]]</f>
        <v>5667.63</v>
      </c>
      <c r="K600">
        <f>Orders[[#This Row],[Revenue]]-Orders[[#This Row],[Expenses]]</f>
        <v>1000.1699999999992</v>
      </c>
      <c r="L600" t="s">
        <v>2197</v>
      </c>
      <c r="M600" t="str">
        <f>_xlfn.XLOOKUP(Orders[[#This Row],[CustomerID]],Customers[CustomerID],Customers[City])</f>
        <v>Texas</v>
      </c>
      <c r="N600" t="str">
        <f>_xlfn.XLOOKUP(Orders[[#This Row],[CustomerID]],Customers[CustomerID],Customers[CustomerName])</f>
        <v>Efe Abubakar</v>
      </c>
      <c r="O600" t="str">
        <f>_xlfn.XLOOKUP(Orders[[#This Row],[CustomerID]],Customers[CustomerID],Customers[Gender])</f>
        <v>Female</v>
      </c>
      <c r="P600">
        <f>_xlfn.XLOOKUP(Orders[[#This Row],[CustomerID]],Customers[CustomerID],Customers[CustomerAge])</f>
        <v>50</v>
      </c>
      <c r="Q600" t="str">
        <f>IF(Orders[[#This Row],[Age]]&gt;=35,"older","young")</f>
        <v>older</v>
      </c>
      <c r="R600" t="str">
        <f>_xlfn.XLOOKUP(Orders[[#This Row],[ProductID]],Products[ProductID],Products[ProductName])</f>
        <v>GOLD EARRINGS AND NECKLACES</v>
      </c>
      <c r="S600" t="str">
        <f>_xlfn.XLOOKUP(Orders[[#This Row],[ProductID]],Products!A:A,Products!C:C)</f>
        <v>Accessories</v>
      </c>
    </row>
    <row r="601" spans="1:19" x14ac:dyDescent="0.2">
      <c r="A601" s="4" t="s">
        <v>788</v>
      </c>
      <c r="B601" s="5">
        <v>46013</v>
      </c>
      <c r="C601" s="15">
        <f>WEEKNUM(Orders[[#This Row],[OrderDate]])</f>
        <v>52</v>
      </c>
      <c r="D601" s="4" t="s">
        <v>59</v>
      </c>
      <c r="E601" s="4" t="s">
        <v>84</v>
      </c>
      <c r="F601" s="4">
        <v>10</v>
      </c>
      <c r="G601" s="4">
        <v>5465.8</v>
      </c>
      <c r="H601">
        <v>4645.93</v>
      </c>
      <c r="I601">
        <f>Orders[[#This Row],[Quantity]]*Orders[[#This Row],[Selling Price]]</f>
        <v>54658</v>
      </c>
      <c r="J601">
        <f>Orders[[#This Row],[Quantity]]*Orders[[#This Row],[Cost Price]]</f>
        <v>46459.3</v>
      </c>
      <c r="K601">
        <f>Orders[[#This Row],[Revenue]]-Orders[[#This Row],[Expenses]]</f>
        <v>8198.6999999999971</v>
      </c>
      <c r="L601" t="s">
        <v>2199</v>
      </c>
      <c r="M601" t="str">
        <f>_xlfn.XLOOKUP(Orders[[#This Row],[CustomerID]],Customers[CustomerID],Customers[City])</f>
        <v>Texas</v>
      </c>
      <c r="N601" t="str">
        <f>_xlfn.XLOOKUP(Orders[[#This Row],[CustomerID]],Customers[CustomerID],Customers[CustomerName])</f>
        <v>Adanma Danladi</v>
      </c>
      <c r="O601" t="str">
        <f>_xlfn.XLOOKUP(Orders[[#This Row],[CustomerID]],Customers[CustomerID],Customers[Gender])</f>
        <v>Female</v>
      </c>
      <c r="P601">
        <f>_xlfn.XLOOKUP(Orders[[#This Row],[CustomerID]],Customers[CustomerID],Customers[CustomerAge])</f>
        <v>24</v>
      </c>
      <c r="Q601" t="str">
        <f>IF(Orders[[#This Row],[Age]]&gt;=35,"older","young")</f>
        <v>young</v>
      </c>
      <c r="R601" t="str">
        <f>_xlfn.XLOOKUP(Orders[[#This Row],[ProductID]],Products[ProductID],Products[ProductName])</f>
        <v>GYM WEARS</v>
      </c>
      <c r="S601" t="str">
        <f>_xlfn.XLOOKUP(Orders[[#This Row],[ProductID]],Products!A:A,Products!C:C)</f>
        <v>Clothing</v>
      </c>
    </row>
    <row r="602" spans="1:19" x14ac:dyDescent="0.2">
      <c r="A602" s="4" t="s">
        <v>789</v>
      </c>
      <c r="B602" s="5">
        <v>45939</v>
      </c>
      <c r="C602" s="15">
        <f>WEEKNUM(Orders[[#This Row],[OrderDate]])</f>
        <v>41</v>
      </c>
      <c r="D602" s="4" t="s">
        <v>574</v>
      </c>
      <c r="E602" s="4" t="s">
        <v>20</v>
      </c>
      <c r="F602" s="4">
        <v>10</v>
      </c>
      <c r="G602" s="4">
        <v>17210.5</v>
      </c>
      <c r="H602">
        <v>14628.924999999999</v>
      </c>
      <c r="I602">
        <f>Orders[[#This Row],[Quantity]]*Orders[[#This Row],[Selling Price]]</f>
        <v>172105</v>
      </c>
      <c r="J602">
        <f>Orders[[#This Row],[Quantity]]*Orders[[#This Row],[Cost Price]]</f>
        <v>146289.25</v>
      </c>
      <c r="K602">
        <f>Orders[[#This Row],[Revenue]]-Orders[[#This Row],[Expenses]]</f>
        <v>25815.75</v>
      </c>
      <c r="L602" t="s">
        <v>2212</v>
      </c>
      <c r="M602" t="str">
        <f>_xlfn.XLOOKUP(Orders[[#This Row],[CustomerID]],Customers[CustomerID],Customers[City])</f>
        <v>Texas</v>
      </c>
      <c r="N602" t="str">
        <f>_xlfn.XLOOKUP(Orders[[#This Row],[CustomerID]],Customers[CustomerID],Customers[CustomerName])</f>
        <v>Adanma Obi</v>
      </c>
      <c r="O602" t="str">
        <f>_xlfn.XLOOKUP(Orders[[#This Row],[CustomerID]],Customers[CustomerID],Customers[Gender])</f>
        <v>Female</v>
      </c>
      <c r="P602">
        <f>_xlfn.XLOOKUP(Orders[[#This Row],[CustomerID]],Customers[CustomerID],Customers[CustomerAge])</f>
        <v>23</v>
      </c>
      <c r="Q602" t="str">
        <f>IF(Orders[[#This Row],[Age]]&gt;=35,"older","young")</f>
        <v>young</v>
      </c>
      <c r="R602" t="str">
        <f>_xlfn.XLOOKUP(Orders[[#This Row],[ProductID]],Products[ProductID],Products[ProductName])</f>
        <v>GYM BAG</v>
      </c>
      <c r="S602" t="str">
        <f>_xlfn.XLOOKUP(Orders[[#This Row],[ProductID]],Products!A:A,Products!C:C)</f>
        <v>Gym</v>
      </c>
    </row>
    <row r="603" spans="1:19" x14ac:dyDescent="0.2">
      <c r="A603" s="4" t="s">
        <v>790</v>
      </c>
      <c r="B603" s="5">
        <v>45979</v>
      </c>
      <c r="C603" s="15">
        <f>WEEKNUM(Orders[[#This Row],[OrderDate]])</f>
        <v>47</v>
      </c>
      <c r="D603" s="4" t="s">
        <v>311</v>
      </c>
      <c r="E603" s="4" t="s">
        <v>130</v>
      </c>
      <c r="F603" s="4">
        <v>10</v>
      </c>
      <c r="G603" s="4">
        <v>10934.9</v>
      </c>
      <c r="H603">
        <v>9294.6649999999991</v>
      </c>
      <c r="I603">
        <f>Orders[[#This Row],[Quantity]]*Orders[[#This Row],[Selling Price]]</f>
        <v>109349</v>
      </c>
      <c r="J603">
        <f>Orders[[#This Row],[Quantity]]*Orders[[#This Row],[Cost Price]]</f>
        <v>92946.65</v>
      </c>
      <c r="K603">
        <f>Orders[[#This Row],[Revenue]]-Orders[[#This Row],[Expenses]]</f>
        <v>16402.350000000006</v>
      </c>
      <c r="L603" t="s">
        <v>2193</v>
      </c>
      <c r="M603" t="str">
        <f>_xlfn.XLOOKUP(Orders[[#This Row],[CustomerID]],Customers[CustomerID],Customers[City])</f>
        <v>Georgia</v>
      </c>
      <c r="N603" t="str">
        <f>_xlfn.XLOOKUP(Orders[[#This Row],[CustomerID]],Customers[CustomerID],Customers[CustomerName])</f>
        <v>Bisi Bello</v>
      </c>
      <c r="O603" t="str">
        <f>_xlfn.XLOOKUP(Orders[[#This Row],[CustomerID]],Customers[CustomerID],Customers[Gender])</f>
        <v>Female</v>
      </c>
      <c r="P603">
        <f>_xlfn.XLOOKUP(Orders[[#This Row],[CustomerID]],Customers[CustomerID],Customers[CustomerAge])</f>
        <v>31</v>
      </c>
      <c r="Q603" t="str">
        <f>IF(Orders[[#This Row],[Age]]&gt;=35,"older","young")</f>
        <v>young</v>
      </c>
      <c r="R603" t="str">
        <f>_xlfn.XLOOKUP(Orders[[#This Row],[ProductID]],Products[ProductID],Products[ProductName])</f>
        <v>GOLD EARRINGS AND NECKLACES</v>
      </c>
      <c r="S603" t="str">
        <f>_xlfn.XLOOKUP(Orders[[#This Row],[ProductID]],Products!A:A,Products!C:C)</f>
        <v>Accessories</v>
      </c>
    </row>
    <row r="604" spans="1:19" x14ac:dyDescent="0.2">
      <c r="A604" s="4" t="s">
        <v>791</v>
      </c>
      <c r="B604" s="5">
        <v>45990</v>
      </c>
      <c r="C604" s="15">
        <f>WEEKNUM(Orders[[#This Row],[OrderDate]])</f>
        <v>48</v>
      </c>
      <c r="D604" s="4" t="s">
        <v>174</v>
      </c>
      <c r="E604" s="4" t="s">
        <v>84</v>
      </c>
      <c r="F604" s="4">
        <v>1</v>
      </c>
      <c r="G604" s="4">
        <v>6576.5999999999995</v>
      </c>
      <c r="H604">
        <v>5590.11</v>
      </c>
      <c r="I604">
        <f>Orders[[#This Row],[Quantity]]*Orders[[#This Row],[Selling Price]]</f>
        <v>6576.5999999999995</v>
      </c>
      <c r="J604">
        <f>Orders[[#This Row],[Quantity]]*Orders[[#This Row],[Cost Price]]</f>
        <v>5590.11</v>
      </c>
      <c r="K604">
        <f>Orders[[#This Row],[Revenue]]-Orders[[#This Row],[Expenses]]</f>
        <v>986.48999999999978</v>
      </c>
      <c r="L604" t="s">
        <v>2214</v>
      </c>
      <c r="M604" t="str">
        <f>_xlfn.XLOOKUP(Orders[[#This Row],[CustomerID]],Customers[CustomerID],Customers[City])</f>
        <v>California</v>
      </c>
      <c r="N604" t="str">
        <f>_xlfn.XLOOKUP(Orders[[#This Row],[CustomerID]],Customers[CustomerID],Customers[CustomerName])</f>
        <v>Zainab Obi</v>
      </c>
      <c r="O604" t="str">
        <f>_xlfn.XLOOKUP(Orders[[#This Row],[CustomerID]],Customers[CustomerID],Customers[Gender])</f>
        <v>Female</v>
      </c>
      <c r="P604">
        <f>_xlfn.XLOOKUP(Orders[[#This Row],[CustomerID]],Customers[CustomerID],Customers[CustomerAge])</f>
        <v>18</v>
      </c>
      <c r="Q604" t="str">
        <f>IF(Orders[[#This Row],[Age]]&gt;=35,"older","young")</f>
        <v>young</v>
      </c>
      <c r="R604" t="str">
        <f>_xlfn.XLOOKUP(Orders[[#This Row],[ProductID]],Products[ProductID],Products[ProductName])</f>
        <v>GYM WEARS</v>
      </c>
      <c r="S604" t="str">
        <f>_xlfn.XLOOKUP(Orders[[#This Row],[ProductID]],Products!A:A,Products!C:C)</f>
        <v>Clothing</v>
      </c>
    </row>
    <row r="605" spans="1:19" x14ac:dyDescent="0.2">
      <c r="A605" s="4" t="s">
        <v>792</v>
      </c>
      <c r="B605" s="5">
        <v>45940</v>
      </c>
      <c r="C605" s="15">
        <f>WEEKNUM(Orders[[#This Row],[OrderDate]])</f>
        <v>41</v>
      </c>
      <c r="D605" s="4" t="s">
        <v>596</v>
      </c>
      <c r="E605" s="4" t="s">
        <v>37</v>
      </c>
      <c r="F605" s="4">
        <v>2</v>
      </c>
      <c r="G605" s="4">
        <v>6004.8</v>
      </c>
      <c r="H605">
        <v>5104.08</v>
      </c>
      <c r="I605">
        <f>Orders[[#This Row],[Quantity]]*Orders[[#This Row],[Selling Price]]</f>
        <v>12009.6</v>
      </c>
      <c r="J605">
        <f>Orders[[#This Row],[Quantity]]*Orders[[#This Row],[Cost Price]]</f>
        <v>10208.16</v>
      </c>
      <c r="K605">
        <f>Orders[[#This Row],[Revenue]]-Orders[[#This Row],[Expenses]]</f>
        <v>1801.4400000000005</v>
      </c>
      <c r="L605" t="s">
        <v>2196</v>
      </c>
      <c r="M605" t="str">
        <f>_xlfn.XLOOKUP(Orders[[#This Row],[CustomerID]],Customers[CustomerID],Customers[City])</f>
        <v>Texas</v>
      </c>
      <c r="N605" t="str">
        <f>_xlfn.XLOOKUP(Orders[[#This Row],[CustomerID]],Customers[CustomerID],Customers[CustomerName])</f>
        <v>Blessing Balogun</v>
      </c>
      <c r="O605" t="str">
        <f>_xlfn.XLOOKUP(Orders[[#This Row],[CustomerID]],Customers[CustomerID],Customers[Gender])</f>
        <v>Female</v>
      </c>
      <c r="P605">
        <f>_xlfn.XLOOKUP(Orders[[#This Row],[CustomerID]],Customers[CustomerID],Customers[CustomerAge])</f>
        <v>26</v>
      </c>
      <c r="Q605" t="str">
        <f>IF(Orders[[#This Row],[Age]]&gt;=35,"older","young")</f>
        <v>young</v>
      </c>
      <c r="R605" t="str">
        <f>_xlfn.XLOOKUP(Orders[[#This Row],[ProductID]],Products[ProductID],Products[ProductName])</f>
        <v>IRON</v>
      </c>
      <c r="S605" t="str">
        <f>_xlfn.XLOOKUP(Orders[[#This Row],[ProductID]],Products!A:A,Products!C:C)</f>
        <v>Electronics</v>
      </c>
    </row>
    <row r="606" spans="1:19" x14ac:dyDescent="0.2">
      <c r="A606" s="4" t="s">
        <v>793</v>
      </c>
      <c r="B606" s="5">
        <v>45943</v>
      </c>
      <c r="C606" s="15">
        <f>WEEKNUM(Orders[[#This Row],[OrderDate]])</f>
        <v>42</v>
      </c>
      <c r="D606" s="4" t="s">
        <v>514</v>
      </c>
      <c r="E606" s="4" t="s">
        <v>15</v>
      </c>
      <c r="F606" s="4">
        <v>1</v>
      </c>
      <c r="G606" s="4">
        <v>17349.100000000002</v>
      </c>
      <c r="H606">
        <v>14746.735000000002</v>
      </c>
      <c r="I606">
        <f>Orders[[#This Row],[Quantity]]*Orders[[#This Row],[Selling Price]]</f>
        <v>17349.100000000002</v>
      </c>
      <c r="J606">
        <f>Orders[[#This Row],[Quantity]]*Orders[[#This Row],[Cost Price]]</f>
        <v>14746.735000000002</v>
      </c>
      <c r="K606">
        <f>Orders[[#This Row],[Revenue]]-Orders[[#This Row],[Expenses]]</f>
        <v>2602.3649999999998</v>
      </c>
      <c r="L606" t="s">
        <v>2199</v>
      </c>
      <c r="M606" t="str">
        <f>_xlfn.XLOOKUP(Orders[[#This Row],[CustomerID]],Customers[CustomerID],Customers[City])</f>
        <v>Florida</v>
      </c>
      <c r="N606" t="str">
        <f>_xlfn.XLOOKUP(Orders[[#This Row],[CustomerID]],Customers[CustomerID],Customers[CustomerName])</f>
        <v>Ibrahim Okonkwo</v>
      </c>
      <c r="O606" t="str">
        <f>_xlfn.XLOOKUP(Orders[[#This Row],[CustomerID]],Customers[CustomerID],Customers[Gender])</f>
        <v>Male</v>
      </c>
      <c r="P606">
        <f>_xlfn.XLOOKUP(Orders[[#This Row],[CustomerID]],Customers[CustomerID],Customers[CustomerAge])</f>
        <v>28</v>
      </c>
      <c r="Q606" t="str">
        <f>IF(Orders[[#This Row],[Age]]&gt;=35,"older","young")</f>
        <v>young</v>
      </c>
      <c r="R606" t="str">
        <f>_xlfn.XLOOKUP(Orders[[#This Row],[ProductID]],Products[ProductID],Products[ProductName])</f>
        <v>MONOPOLY</v>
      </c>
      <c r="S606" t="str">
        <f>_xlfn.XLOOKUP(Orders[[#This Row],[ProductID]],Products!A:A,Products!C:C)</f>
        <v>Games</v>
      </c>
    </row>
    <row r="607" spans="1:19" x14ac:dyDescent="0.2">
      <c r="A607" s="4" t="s">
        <v>794</v>
      </c>
      <c r="B607" s="5">
        <v>45946</v>
      </c>
      <c r="C607" s="15">
        <f>WEEKNUM(Orders[[#This Row],[OrderDate]])</f>
        <v>42</v>
      </c>
      <c r="D607" s="4" t="s">
        <v>227</v>
      </c>
      <c r="E607" s="4" t="s">
        <v>81</v>
      </c>
      <c r="F607" s="4">
        <v>6</v>
      </c>
      <c r="G607" s="4">
        <v>3999.5</v>
      </c>
      <c r="H607">
        <v>3399.5749999999998</v>
      </c>
      <c r="I607">
        <f>Orders[[#This Row],[Quantity]]*Orders[[#This Row],[Selling Price]]</f>
        <v>23997</v>
      </c>
      <c r="J607">
        <f>Orders[[#This Row],[Quantity]]*Orders[[#This Row],[Cost Price]]</f>
        <v>20397.449999999997</v>
      </c>
      <c r="K607">
        <f>Orders[[#This Row],[Revenue]]-Orders[[#This Row],[Expenses]]</f>
        <v>3599.5500000000029</v>
      </c>
      <c r="L607" t="s">
        <v>2214</v>
      </c>
      <c r="M607" t="str">
        <f>_xlfn.XLOOKUP(Orders[[#This Row],[CustomerID]],Customers[CustomerID],Customers[City])</f>
        <v>Washington</v>
      </c>
      <c r="N607" t="str">
        <f>_xlfn.XLOOKUP(Orders[[#This Row],[CustomerID]],Customers[CustomerID],Customers[CustomerName])</f>
        <v>Emmanuel Victor</v>
      </c>
      <c r="O607" t="str">
        <f>_xlfn.XLOOKUP(Orders[[#This Row],[CustomerID]],Customers[CustomerID],Customers[Gender])</f>
        <v>Male</v>
      </c>
      <c r="P607">
        <f>_xlfn.XLOOKUP(Orders[[#This Row],[CustomerID]],Customers[CustomerID],Customers[CustomerAge])</f>
        <v>35</v>
      </c>
      <c r="Q607" t="str">
        <f>IF(Orders[[#This Row],[Age]]&gt;=35,"older","young")</f>
        <v>older</v>
      </c>
      <c r="R607" t="str">
        <f>_xlfn.XLOOKUP(Orders[[#This Row],[ProductID]],Products[ProductID],Products[ProductName])</f>
        <v>TROUSERS</v>
      </c>
      <c r="S607" t="str">
        <f>_xlfn.XLOOKUP(Orders[[#This Row],[ProductID]],Products!A:A,Products!C:C)</f>
        <v>Clothing</v>
      </c>
    </row>
    <row r="608" spans="1:19" x14ac:dyDescent="0.2">
      <c r="A608" s="4" t="s">
        <v>795</v>
      </c>
      <c r="B608" s="5">
        <v>45983</v>
      </c>
      <c r="C608" s="15">
        <f>WEEKNUM(Orders[[#This Row],[OrderDate]])</f>
        <v>47</v>
      </c>
      <c r="D608" s="4" t="s">
        <v>176</v>
      </c>
      <c r="E608" s="4" t="s">
        <v>37</v>
      </c>
      <c r="F608" s="4">
        <v>2</v>
      </c>
      <c r="G608" s="4">
        <v>19837.5</v>
      </c>
      <c r="H608">
        <v>16861.875</v>
      </c>
      <c r="I608">
        <f>Orders[[#This Row],[Quantity]]*Orders[[#This Row],[Selling Price]]</f>
        <v>39675</v>
      </c>
      <c r="J608">
        <f>Orders[[#This Row],[Quantity]]*Orders[[#This Row],[Cost Price]]</f>
        <v>33723.75</v>
      </c>
      <c r="K608">
        <f>Orders[[#This Row],[Revenue]]-Orders[[#This Row],[Expenses]]</f>
        <v>5951.25</v>
      </c>
      <c r="L608" t="s">
        <v>2198</v>
      </c>
      <c r="M608" t="str">
        <f>_xlfn.XLOOKUP(Orders[[#This Row],[CustomerID]],Customers[CustomerID],Customers[City])</f>
        <v>Florida</v>
      </c>
      <c r="N608" t="str">
        <f>_xlfn.XLOOKUP(Orders[[#This Row],[CustomerID]],Customers[CustomerID],Customers[CustomerName])</f>
        <v>Okon Eze</v>
      </c>
      <c r="O608" t="str">
        <f>_xlfn.XLOOKUP(Orders[[#This Row],[CustomerID]],Customers[CustomerID],Customers[Gender])</f>
        <v>Male</v>
      </c>
      <c r="P608">
        <f>_xlfn.XLOOKUP(Orders[[#This Row],[CustomerID]],Customers[CustomerID],Customers[CustomerAge])</f>
        <v>26</v>
      </c>
      <c r="Q608" t="str">
        <f>IF(Orders[[#This Row],[Age]]&gt;=35,"older","young")</f>
        <v>young</v>
      </c>
      <c r="R608" t="str">
        <f>_xlfn.XLOOKUP(Orders[[#This Row],[ProductID]],Products[ProductID],Products[ProductName])</f>
        <v>IRON</v>
      </c>
      <c r="S608" t="str">
        <f>_xlfn.XLOOKUP(Orders[[#This Row],[ProductID]],Products!A:A,Products!C:C)</f>
        <v>Electronics</v>
      </c>
    </row>
    <row r="609" spans="1:19" x14ac:dyDescent="0.2">
      <c r="A609" s="4" t="s">
        <v>796</v>
      </c>
      <c r="B609" s="5">
        <v>45962</v>
      </c>
      <c r="C609" s="15">
        <f>WEEKNUM(Orders[[#This Row],[OrderDate]])</f>
        <v>44</v>
      </c>
      <c r="D609" s="4" t="s">
        <v>134</v>
      </c>
      <c r="E609" s="4" t="s">
        <v>70</v>
      </c>
      <c r="F609" s="4">
        <v>2</v>
      </c>
      <c r="G609" s="4">
        <v>17204.5</v>
      </c>
      <c r="H609">
        <v>14623.825000000001</v>
      </c>
      <c r="I609">
        <f>Orders[[#This Row],[Quantity]]*Orders[[#This Row],[Selling Price]]</f>
        <v>34409</v>
      </c>
      <c r="J609">
        <f>Orders[[#This Row],[Quantity]]*Orders[[#This Row],[Cost Price]]</f>
        <v>29247.65</v>
      </c>
      <c r="K609">
        <f>Orders[[#This Row],[Revenue]]-Orders[[#This Row],[Expenses]]</f>
        <v>5161.3499999999985</v>
      </c>
      <c r="L609" t="s">
        <v>2208</v>
      </c>
      <c r="M609" t="str">
        <f>_xlfn.XLOOKUP(Orders[[#This Row],[CustomerID]],Customers[CustomerID],Customers[City])</f>
        <v>Florida</v>
      </c>
      <c r="N609" t="str">
        <f>_xlfn.XLOOKUP(Orders[[#This Row],[CustomerID]],Customers[CustomerID],Customers[CustomerName])</f>
        <v>Ngozi Ojo</v>
      </c>
      <c r="O609" t="str">
        <f>_xlfn.XLOOKUP(Orders[[#This Row],[CustomerID]],Customers[CustomerID],Customers[Gender])</f>
        <v>Female</v>
      </c>
      <c r="P609">
        <f>_xlfn.XLOOKUP(Orders[[#This Row],[CustomerID]],Customers[CustomerID],Customers[CustomerAge])</f>
        <v>18</v>
      </c>
      <c r="Q609" t="str">
        <f>IF(Orders[[#This Row],[Age]]&gt;=35,"older","young")</f>
        <v>young</v>
      </c>
      <c r="R609" t="str">
        <f>_xlfn.XLOOKUP(Orders[[#This Row],[ProductID]],Products[ProductID],Products[ProductName])</f>
        <v>YOGA MAT</v>
      </c>
      <c r="S609" t="str">
        <f>_xlfn.XLOOKUP(Orders[[#This Row],[ProductID]],Products!A:A,Products!C:C)</f>
        <v>Gym</v>
      </c>
    </row>
    <row r="610" spans="1:19" x14ac:dyDescent="0.2">
      <c r="A610" s="4" t="s">
        <v>797</v>
      </c>
      <c r="B610" s="5">
        <v>45937</v>
      </c>
      <c r="C610" s="15">
        <f>WEEKNUM(Orders[[#This Row],[OrderDate]])</f>
        <v>41</v>
      </c>
      <c r="D610" s="4" t="s">
        <v>27</v>
      </c>
      <c r="E610" s="4" t="s">
        <v>151</v>
      </c>
      <c r="F610" s="4">
        <v>10</v>
      </c>
      <c r="G610" s="4">
        <v>2893.6000000000004</v>
      </c>
      <c r="H610">
        <v>2459.5600000000004</v>
      </c>
      <c r="I610">
        <f>Orders[[#This Row],[Quantity]]*Orders[[#This Row],[Selling Price]]</f>
        <v>28936.000000000004</v>
      </c>
      <c r="J610">
        <f>Orders[[#This Row],[Quantity]]*Orders[[#This Row],[Cost Price]]</f>
        <v>24595.600000000006</v>
      </c>
      <c r="K610">
        <f>Orders[[#This Row],[Revenue]]-Orders[[#This Row],[Expenses]]</f>
        <v>4340.3999999999978</v>
      </c>
      <c r="L610" t="s">
        <v>2200</v>
      </c>
      <c r="M610" t="str">
        <f>_xlfn.XLOOKUP(Orders[[#This Row],[CustomerID]],Customers[CustomerID],Customers[City])</f>
        <v>Illinois</v>
      </c>
      <c r="N610" t="str">
        <f>_xlfn.XLOOKUP(Orders[[#This Row],[CustomerID]],Customers[CustomerID],Customers[CustomerName])</f>
        <v>Okon Ojo</v>
      </c>
      <c r="O610" t="str">
        <f>_xlfn.XLOOKUP(Orders[[#This Row],[CustomerID]],Customers[CustomerID],Customers[Gender])</f>
        <v>Male</v>
      </c>
      <c r="P610">
        <f>_xlfn.XLOOKUP(Orders[[#This Row],[CustomerID]],Customers[CustomerID],Customers[CustomerAge])</f>
        <v>32</v>
      </c>
      <c r="Q610" t="str">
        <f>IF(Orders[[#This Row],[Age]]&gt;=35,"older","young")</f>
        <v>young</v>
      </c>
      <c r="R610" t="str">
        <f>_xlfn.XLOOKUP(Orders[[#This Row],[ProductID]],Products[ProductID],Products[ProductName])</f>
        <v>CHECKERS</v>
      </c>
      <c r="S610" t="str">
        <f>_xlfn.XLOOKUP(Orders[[#This Row],[ProductID]],Products!A:A,Products!C:C)</f>
        <v>Games</v>
      </c>
    </row>
    <row r="611" spans="1:19" x14ac:dyDescent="0.2">
      <c r="A611" s="4" t="s">
        <v>798</v>
      </c>
      <c r="B611" s="5">
        <v>45941</v>
      </c>
      <c r="C611" s="15">
        <f>WEEKNUM(Orders[[#This Row],[OrderDate]])</f>
        <v>41</v>
      </c>
      <c r="D611" s="4" t="s">
        <v>309</v>
      </c>
      <c r="E611" s="4" t="s">
        <v>76</v>
      </c>
      <c r="F611" s="4">
        <v>7</v>
      </c>
      <c r="G611" s="4">
        <v>19530.099999999999</v>
      </c>
      <c r="H611">
        <v>16600.584999999999</v>
      </c>
      <c r="I611">
        <f>Orders[[#This Row],[Quantity]]*Orders[[#This Row],[Selling Price]]</f>
        <v>136710.69999999998</v>
      </c>
      <c r="J611">
        <f>Orders[[#This Row],[Quantity]]*Orders[[#This Row],[Cost Price]]</f>
        <v>116204.095</v>
      </c>
      <c r="K611">
        <f>Orders[[#This Row],[Revenue]]-Orders[[#This Row],[Expenses]]</f>
        <v>20506.604999999981</v>
      </c>
      <c r="L611" t="s">
        <v>2217</v>
      </c>
      <c r="M611" t="str">
        <f>_xlfn.XLOOKUP(Orders[[#This Row],[CustomerID]],Customers[CustomerID],Customers[City])</f>
        <v>Washington</v>
      </c>
      <c r="N611" t="str">
        <f>_xlfn.XLOOKUP(Orders[[#This Row],[CustomerID]],Customers[CustomerID],Customers[CustomerName])</f>
        <v>Temi Ojo</v>
      </c>
      <c r="O611" t="str">
        <f>_xlfn.XLOOKUP(Orders[[#This Row],[CustomerID]],Customers[CustomerID],Customers[Gender])</f>
        <v>Female</v>
      </c>
      <c r="P611">
        <f>_xlfn.XLOOKUP(Orders[[#This Row],[CustomerID]],Customers[CustomerID],Customers[CustomerAge])</f>
        <v>36</v>
      </c>
      <c r="Q611" t="str">
        <f>IF(Orders[[#This Row],[Age]]&gt;=35,"older","young")</f>
        <v>older</v>
      </c>
      <c r="R611" t="str">
        <f>_xlfn.XLOOKUP(Orders[[#This Row],[ProductID]],Products[ProductID],Products[ProductName])</f>
        <v>BLENDER</v>
      </c>
      <c r="S611" t="str">
        <f>_xlfn.XLOOKUP(Orders[[#This Row],[ProductID]],Products!A:A,Products!C:C)</f>
        <v>Electronics</v>
      </c>
    </row>
    <row r="612" spans="1:19" x14ac:dyDescent="0.2">
      <c r="A612" s="4" t="s">
        <v>799</v>
      </c>
      <c r="B612" s="5">
        <v>46012</v>
      </c>
      <c r="C612" s="15">
        <f>WEEKNUM(Orders[[#This Row],[OrderDate]])</f>
        <v>52</v>
      </c>
      <c r="D612" s="4" t="s">
        <v>234</v>
      </c>
      <c r="E612" s="4" t="s">
        <v>25</v>
      </c>
      <c r="F612" s="4">
        <v>5</v>
      </c>
      <c r="G612" s="4">
        <v>18498.3</v>
      </c>
      <c r="H612">
        <v>15723.555</v>
      </c>
      <c r="I612">
        <f>Orders[[#This Row],[Quantity]]*Orders[[#This Row],[Selling Price]]</f>
        <v>92491.5</v>
      </c>
      <c r="J612">
        <f>Orders[[#This Row],[Quantity]]*Orders[[#This Row],[Cost Price]]</f>
        <v>78617.774999999994</v>
      </c>
      <c r="K612">
        <f>Orders[[#This Row],[Revenue]]-Orders[[#This Row],[Expenses]]</f>
        <v>13873.725000000006</v>
      </c>
      <c r="L612" t="s">
        <v>2212</v>
      </c>
      <c r="M612" t="str">
        <f>_xlfn.XLOOKUP(Orders[[#This Row],[CustomerID]],Customers[CustomerID],Customers[City])</f>
        <v>Texas</v>
      </c>
      <c r="N612" t="str">
        <f>_xlfn.XLOOKUP(Orders[[#This Row],[CustomerID]],Customers[CustomerID],Customers[CustomerName])</f>
        <v>Adanma Ojo</v>
      </c>
      <c r="O612" t="str">
        <f>_xlfn.XLOOKUP(Orders[[#This Row],[CustomerID]],Customers[CustomerID],Customers[Gender])</f>
        <v>Female</v>
      </c>
      <c r="P612">
        <f>_xlfn.XLOOKUP(Orders[[#This Row],[CustomerID]],Customers[CustomerID],Customers[CustomerAge])</f>
        <v>18</v>
      </c>
      <c r="Q612" t="str">
        <f>IF(Orders[[#This Row],[Age]]&gt;=35,"older","young")</f>
        <v>young</v>
      </c>
      <c r="R612" t="str">
        <f>_xlfn.XLOOKUP(Orders[[#This Row],[ProductID]],Products[ProductID],Products[ProductName])</f>
        <v>GOLD RINGS</v>
      </c>
      <c r="S612" t="str">
        <f>_xlfn.XLOOKUP(Orders[[#This Row],[ProductID]],Products!A:A,Products!C:C)</f>
        <v>Accessories</v>
      </c>
    </row>
    <row r="613" spans="1:19" x14ac:dyDescent="0.2">
      <c r="A613" s="4" t="s">
        <v>800</v>
      </c>
      <c r="B613" s="5">
        <v>45934</v>
      </c>
      <c r="C613" s="15">
        <f>WEEKNUM(Orders[[#This Row],[OrderDate]])</f>
        <v>40</v>
      </c>
      <c r="D613" s="4" t="s">
        <v>340</v>
      </c>
      <c r="E613" s="4" t="s">
        <v>63</v>
      </c>
      <c r="F613" s="4">
        <v>6</v>
      </c>
      <c r="G613" s="4">
        <v>12794.9</v>
      </c>
      <c r="H613">
        <v>10875.664999999999</v>
      </c>
      <c r="I613">
        <f>Orders[[#This Row],[Quantity]]*Orders[[#This Row],[Selling Price]]</f>
        <v>76769.399999999994</v>
      </c>
      <c r="J613">
        <f>Orders[[#This Row],[Quantity]]*Orders[[#This Row],[Cost Price]]</f>
        <v>65253.989999999991</v>
      </c>
      <c r="K613">
        <f>Orders[[#This Row],[Revenue]]-Orders[[#This Row],[Expenses]]</f>
        <v>11515.410000000003</v>
      </c>
      <c r="L613" t="s">
        <v>2204</v>
      </c>
      <c r="M613" t="str">
        <f>_xlfn.XLOOKUP(Orders[[#This Row],[CustomerID]],Customers[CustomerID],Customers[City])</f>
        <v>Illinois</v>
      </c>
      <c r="N613" t="str">
        <f>_xlfn.XLOOKUP(Orders[[#This Row],[CustomerID]],Customers[CustomerID],Customers[CustomerName])</f>
        <v>Uche Abubakar</v>
      </c>
      <c r="O613" t="str">
        <f>_xlfn.XLOOKUP(Orders[[#This Row],[CustomerID]],Customers[CustomerID],Customers[Gender])</f>
        <v>Male</v>
      </c>
      <c r="P613">
        <f>_xlfn.XLOOKUP(Orders[[#This Row],[CustomerID]],Customers[CustomerID],Customers[CustomerAge])</f>
        <v>18</v>
      </c>
      <c r="Q613" t="str">
        <f>IF(Orders[[#This Row],[Age]]&gt;=35,"older","young")</f>
        <v>young</v>
      </c>
      <c r="R613" t="str">
        <f>_xlfn.XLOOKUP(Orders[[#This Row],[ProductID]],Products[ProductID],Products[ProductName])</f>
        <v>TENNIS BAT</v>
      </c>
      <c r="S613" t="str">
        <f>_xlfn.XLOOKUP(Orders[[#This Row],[ProductID]],Products!A:A,Products!C:C)</f>
        <v>Sports</v>
      </c>
    </row>
    <row r="614" spans="1:19" x14ac:dyDescent="0.2">
      <c r="A614" s="4" t="s">
        <v>801</v>
      </c>
      <c r="B614" s="5">
        <v>46018</v>
      </c>
      <c r="C614" s="15">
        <f>WEEKNUM(Orders[[#This Row],[OrderDate]])</f>
        <v>52</v>
      </c>
      <c r="D614" s="4" t="s">
        <v>129</v>
      </c>
      <c r="E614" s="4" t="s">
        <v>353</v>
      </c>
      <c r="F614" s="4">
        <v>1</v>
      </c>
      <c r="G614" s="4">
        <v>17791.7</v>
      </c>
      <c r="H614">
        <v>15122.945</v>
      </c>
      <c r="I614">
        <f>Orders[[#This Row],[Quantity]]*Orders[[#This Row],[Selling Price]]</f>
        <v>17791.7</v>
      </c>
      <c r="J614">
        <f>Orders[[#This Row],[Quantity]]*Orders[[#This Row],[Cost Price]]</f>
        <v>15122.945</v>
      </c>
      <c r="K614">
        <f>Orders[[#This Row],[Revenue]]-Orders[[#This Row],[Expenses]]</f>
        <v>2668.755000000001</v>
      </c>
      <c r="L614" t="s">
        <v>2195</v>
      </c>
      <c r="M614" t="str">
        <f>_xlfn.XLOOKUP(Orders[[#This Row],[CustomerID]],Customers[CustomerID],Customers[City])</f>
        <v>Washington</v>
      </c>
      <c r="N614" t="str">
        <f>_xlfn.XLOOKUP(Orders[[#This Row],[CustomerID]],Customers[CustomerID],Customers[CustomerName])</f>
        <v>Chioma Ojo</v>
      </c>
      <c r="O614" t="str">
        <f>_xlfn.XLOOKUP(Orders[[#This Row],[CustomerID]],Customers[CustomerID],Customers[Gender])</f>
        <v>Female</v>
      </c>
      <c r="P614">
        <f>_xlfn.XLOOKUP(Orders[[#This Row],[CustomerID]],Customers[CustomerID],Customers[CustomerAge])</f>
        <v>46</v>
      </c>
      <c r="Q614" t="str">
        <f>IF(Orders[[#This Row],[Age]]&gt;=35,"older","young")</f>
        <v>older</v>
      </c>
      <c r="R614" t="str">
        <f>_xlfn.XLOOKUP(Orders[[#This Row],[ProductID]],Products[ProductID],Products[ProductName])</f>
        <v>SILVER EARRINGS AND NECKLACES</v>
      </c>
      <c r="S614" t="str">
        <f>_xlfn.XLOOKUP(Orders[[#This Row],[ProductID]],Products!A:A,Products!C:C)</f>
        <v>Accessories</v>
      </c>
    </row>
    <row r="615" spans="1:19" x14ac:dyDescent="0.2">
      <c r="A615" s="4" t="s">
        <v>802</v>
      </c>
      <c r="B615" s="5">
        <v>46013</v>
      </c>
      <c r="C615" s="15">
        <f>WEEKNUM(Orders[[#This Row],[OrderDate]])</f>
        <v>52</v>
      </c>
      <c r="D615" s="4" t="s">
        <v>264</v>
      </c>
      <c r="E615" s="4" t="s">
        <v>46</v>
      </c>
      <c r="F615" s="4">
        <v>6</v>
      </c>
      <c r="G615" s="4">
        <v>16419.2</v>
      </c>
      <c r="H615">
        <v>13956.32</v>
      </c>
      <c r="I615">
        <f>Orders[[#This Row],[Quantity]]*Orders[[#This Row],[Selling Price]]</f>
        <v>98515.200000000012</v>
      </c>
      <c r="J615">
        <f>Orders[[#This Row],[Quantity]]*Orders[[#This Row],[Cost Price]]</f>
        <v>83737.919999999998</v>
      </c>
      <c r="K615">
        <f>Orders[[#This Row],[Revenue]]-Orders[[#This Row],[Expenses]]</f>
        <v>14777.280000000013</v>
      </c>
      <c r="L615" t="s">
        <v>2211</v>
      </c>
      <c r="M615" t="str">
        <f>_xlfn.XLOOKUP(Orders[[#This Row],[CustomerID]],Customers[CustomerID],Customers[City])</f>
        <v>Georgia</v>
      </c>
      <c r="N615" t="str">
        <f>_xlfn.XLOOKUP(Orders[[#This Row],[CustomerID]],Customers[CustomerID],Customers[CustomerName])</f>
        <v>Ronke Adeyemi</v>
      </c>
      <c r="O615" t="str">
        <f>_xlfn.XLOOKUP(Orders[[#This Row],[CustomerID]],Customers[CustomerID],Customers[Gender])</f>
        <v>Female</v>
      </c>
      <c r="P615">
        <f>_xlfn.XLOOKUP(Orders[[#This Row],[CustomerID]],Customers[CustomerID],Customers[CustomerAge])</f>
        <v>19</v>
      </c>
      <c r="Q615" t="str">
        <f>IF(Orders[[#This Row],[Age]]&gt;=35,"older","young")</f>
        <v>young</v>
      </c>
      <c r="R615" t="str">
        <f>_xlfn.XLOOKUP(Orders[[#This Row],[ProductID]],Products[ProductID],Products[ProductName])</f>
        <v>TURTLE NECK</v>
      </c>
      <c r="S615" t="str">
        <f>_xlfn.XLOOKUP(Orders[[#This Row],[ProductID]],Products!A:A,Products!C:C)</f>
        <v>Clothing</v>
      </c>
    </row>
    <row r="616" spans="1:19" x14ac:dyDescent="0.2">
      <c r="A616" s="4" t="s">
        <v>803</v>
      </c>
      <c r="B616" s="5">
        <v>46010</v>
      </c>
      <c r="C616" s="15">
        <f>WEEKNUM(Orders[[#This Row],[OrderDate]])</f>
        <v>51</v>
      </c>
      <c r="D616" s="4" t="s">
        <v>481</v>
      </c>
      <c r="E616" s="4" t="s">
        <v>92</v>
      </c>
      <c r="F616" s="4">
        <v>10</v>
      </c>
      <c r="G616" s="4">
        <v>2424.1999999999998</v>
      </c>
      <c r="H616">
        <v>2060.5699999999997</v>
      </c>
      <c r="I616">
        <f>Orders[[#This Row],[Quantity]]*Orders[[#This Row],[Selling Price]]</f>
        <v>24242</v>
      </c>
      <c r="J616">
        <f>Orders[[#This Row],[Quantity]]*Orders[[#This Row],[Cost Price]]</f>
        <v>20605.699999999997</v>
      </c>
      <c r="K616">
        <f>Orders[[#This Row],[Revenue]]-Orders[[#This Row],[Expenses]]</f>
        <v>3636.3000000000029</v>
      </c>
      <c r="L616" t="s">
        <v>2202</v>
      </c>
      <c r="M616" t="str">
        <f>_xlfn.XLOOKUP(Orders[[#This Row],[CustomerID]],Customers[CustomerID],Customers[City])</f>
        <v>Illinois</v>
      </c>
      <c r="N616" t="str">
        <f>_xlfn.XLOOKUP(Orders[[#This Row],[CustomerID]],Customers[CustomerID],Customers[CustomerName])</f>
        <v>Abiola Bello</v>
      </c>
      <c r="O616" t="str">
        <f>_xlfn.XLOOKUP(Orders[[#This Row],[CustomerID]],Customers[CustomerID],Customers[Gender])</f>
        <v>Male</v>
      </c>
      <c r="P616">
        <f>_xlfn.XLOOKUP(Orders[[#This Row],[CustomerID]],Customers[CustomerID],Customers[CustomerAge])</f>
        <v>33</v>
      </c>
      <c r="Q616" t="str">
        <f>IF(Orders[[#This Row],[Age]]&gt;=35,"older","young")</f>
        <v>young</v>
      </c>
      <c r="R616" t="str">
        <f>_xlfn.XLOOKUP(Orders[[#This Row],[ProductID]],Products[ProductID],Products[ProductName])</f>
        <v>CHEST EXPANDER</v>
      </c>
      <c r="S616" t="str">
        <f>_xlfn.XLOOKUP(Orders[[#This Row],[ProductID]],Products!A:A,Products!C:C)</f>
        <v>Gym</v>
      </c>
    </row>
    <row r="617" spans="1:19" x14ac:dyDescent="0.2">
      <c r="A617" s="4" t="s">
        <v>804</v>
      </c>
      <c r="B617" s="5">
        <v>45938</v>
      </c>
      <c r="C617" s="15">
        <f>WEEKNUM(Orders[[#This Row],[OrderDate]])</f>
        <v>41</v>
      </c>
      <c r="D617" s="4" t="s">
        <v>45</v>
      </c>
      <c r="E617" s="4" t="s">
        <v>28</v>
      </c>
      <c r="F617" s="4">
        <v>8</v>
      </c>
      <c r="G617" s="4">
        <v>15707.1</v>
      </c>
      <c r="H617">
        <v>13351.035</v>
      </c>
      <c r="I617">
        <f>Orders[[#This Row],[Quantity]]*Orders[[#This Row],[Selling Price]]</f>
        <v>125656.8</v>
      </c>
      <c r="J617">
        <f>Orders[[#This Row],[Quantity]]*Orders[[#This Row],[Cost Price]]</f>
        <v>106808.28</v>
      </c>
      <c r="K617">
        <f>Orders[[#This Row],[Revenue]]-Orders[[#This Row],[Expenses]]</f>
        <v>18848.520000000004</v>
      </c>
      <c r="L617" t="s">
        <v>2202</v>
      </c>
      <c r="M617" t="str">
        <f>_xlfn.XLOOKUP(Orders[[#This Row],[CustomerID]],Customers[CustomerID],Customers[City])</f>
        <v>Florida</v>
      </c>
      <c r="N617" t="str">
        <f>_xlfn.XLOOKUP(Orders[[#This Row],[CustomerID]],Customers[CustomerID],Customers[CustomerName])</f>
        <v>Abiola Abubakar</v>
      </c>
      <c r="O617" t="str">
        <f>_xlfn.XLOOKUP(Orders[[#This Row],[CustomerID]],Customers[CustomerID],Customers[Gender])</f>
        <v>Male</v>
      </c>
      <c r="P617">
        <f>_xlfn.XLOOKUP(Orders[[#This Row],[CustomerID]],Customers[CustomerID],Customers[CustomerAge])</f>
        <v>26</v>
      </c>
      <c r="Q617" t="str">
        <f>IF(Orders[[#This Row],[Age]]&gt;=35,"older","young")</f>
        <v>young</v>
      </c>
      <c r="R617" t="str">
        <f>_xlfn.XLOOKUP(Orders[[#This Row],[ProductID]],Products[ProductID],Products[ProductName])</f>
        <v>SNEAKERS</v>
      </c>
      <c r="S617" t="str">
        <f>_xlfn.XLOOKUP(Orders[[#This Row],[ProductID]],Products!A:A,Products!C:C)</f>
        <v>Sports</v>
      </c>
    </row>
    <row r="618" spans="1:19" x14ac:dyDescent="0.2">
      <c r="A618" s="4" t="s">
        <v>805</v>
      </c>
      <c r="B618" s="5">
        <v>45970</v>
      </c>
      <c r="C618" s="15">
        <f>WEEKNUM(Orders[[#This Row],[OrderDate]])</f>
        <v>46</v>
      </c>
      <c r="D618" s="4" t="s">
        <v>214</v>
      </c>
      <c r="E618" s="4" t="s">
        <v>60</v>
      </c>
      <c r="F618" s="4">
        <v>2</v>
      </c>
      <c r="G618" s="4">
        <v>6209</v>
      </c>
      <c r="H618">
        <v>5277.65</v>
      </c>
      <c r="I618">
        <f>Orders[[#This Row],[Quantity]]*Orders[[#This Row],[Selling Price]]</f>
        <v>12418</v>
      </c>
      <c r="J618">
        <f>Orders[[#This Row],[Quantity]]*Orders[[#This Row],[Cost Price]]</f>
        <v>10555.3</v>
      </c>
      <c r="K618">
        <f>Orders[[#This Row],[Revenue]]-Orders[[#This Row],[Expenses]]</f>
        <v>1862.7000000000007</v>
      </c>
      <c r="L618" t="s">
        <v>2203</v>
      </c>
      <c r="M618" t="str">
        <f>_xlfn.XLOOKUP(Orders[[#This Row],[CustomerID]],Customers[CustomerID],Customers[City])</f>
        <v>California</v>
      </c>
      <c r="N618" t="str">
        <f>_xlfn.XLOOKUP(Orders[[#This Row],[CustomerID]],Customers[CustomerID],Customers[CustomerName])</f>
        <v>Adanma Okonkwo</v>
      </c>
      <c r="O618" t="str">
        <f>_xlfn.XLOOKUP(Orders[[#This Row],[CustomerID]],Customers[CustomerID],Customers[Gender])</f>
        <v>Female</v>
      </c>
      <c r="P618">
        <f>_xlfn.XLOOKUP(Orders[[#This Row],[CustomerID]],Customers[CustomerID],Customers[CustomerAge])</f>
        <v>20</v>
      </c>
      <c r="Q618" t="str">
        <f>IF(Orders[[#This Row],[Age]]&gt;=35,"older","young")</f>
        <v>young</v>
      </c>
      <c r="R618" t="str">
        <f>_xlfn.XLOOKUP(Orders[[#This Row],[ProductID]],Products[ProductID],Products[ProductName])</f>
        <v>SILVER RINGS</v>
      </c>
      <c r="S618" t="str">
        <f>_xlfn.XLOOKUP(Orders[[#This Row],[ProductID]],Products!A:A,Products!C:C)</f>
        <v>Accessories</v>
      </c>
    </row>
    <row r="619" spans="1:19" x14ac:dyDescent="0.2">
      <c r="A619" s="4" t="s">
        <v>806</v>
      </c>
      <c r="B619" s="5">
        <v>45950</v>
      </c>
      <c r="C619" s="15">
        <f>WEEKNUM(Orders[[#This Row],[OrderDate]])</f>
        <v>43</v>
      </c>
      <c r="D619" s="4" t="s">
        <v>41</v>
      </c>
      <c r="E619" s="4" t="s">
        <v>81</v>
      </c>
      <c r="F619" s="4">
        <v>5</v>
      </c>
      <c r="G619" s="4">
        <v>4664.8</v>
      </c>
      <c r="H619">
        <v>3965.08</v>
      </c>
      <c r="I619">
        <f>Orders[[#This Row],[Quantity]]*Orders[[#This Row],[Selling Price]]</f>
        <v>23324</v>
      </c>
      <c r="J619">
        <f>Orders[[#This Row],[Quantity]]*Orders[[#This Row],[Cost Price]]</f>
        <v>19825.400000000001</v>
      </c>
      <c r="K619">
        <f>Orders[[#This Row],[Revenue]]-Orders[[#This Row],[Expenses]]</f>
        <v>3498.5999999999985</v>
      </c>
      <c r="L619" t="s">
        <v>2214</v>
      </c>
      <c r="M619" t="str">
        <f>_xlfn.XLOOKUP(Orders[[#This Row],[CustomerID]],Customers[CustomerID],Customers[City])</f>
        <v>Texas</v>
      </c>
      <c r="N619" t="str">
        <f>_xlfn.XLOOKUP(Orders[[#This Row],[CustomerID]],Customers[CustomerID],Customers[CustomerName])</f>
        <v>Mustafa Balogun</v>
      </c>
      <c r="O619" t="str">
        <f>_xlfn.XLOOKUP(Orders[[#This Row],[CustomerID]],Customers[CustomerID],Customers[Gender])</f>
        <v>Male</v>
      </c>
      <c r="P619">
        <f>_xlfn.XLOOKUP(Orders[[#This Row],[CustomerID]],Customers[CustomerID],Customers[CustomerAge])</f>
        <v>40</v>
      </c>
      <c r="Q619" t="str">
        <f>IF(Orders[[#This Row],[Age]]&gt;=35,"older","young")</f>
        <v>older</v>
      </c>
      <c r="R619" t="str">
        <f>_xlfn.XLOOKUP(Orders[[#This Row],[ProductID]],Products[ProductID],Products[ProductName])</f>
        <v>TROUSERS</v>
      </c>
      <c r="S619" t="str">
        <f>_xlfn.XLOOKUP(Orders[[#This Row],[ProductID]],Products!A:A,Products!C:C)</f>
        <v>Clothing</v>
      </c>
    </row>
    <row r="620" spans="1:19" x14ac:dyDescent="0.2">
      <c r="A620" s="4" t="s">
        <v>807</v>
      </c>
      <c r="B620" s="5">
        <v>46005</v>
      </c>
      <c r="C620" s="15">
        <f>WEEKNUM(Orders[[#This Row],[OrderDate]])</f>
        <v>51</v>
      </c>
      <c r="D620" s="4" t="s">
        <v>156</v>
      </c>
      <c r="E620" s="4" t="s">
        <v>120</v>
      </c>
      <c r="F620" s="4">
        <v>3</v>
      </c>
      <c r="G620" s="4">
        <v>4923.6000000000004</v>
      </c>
      <c r="H620">
        <v>4185.0600000000004</v>
      </c>
      <c r="I620">
        <f>Orders[[#This Row],[Quantity]]*Orders[[#This Row],[Selling Price]]</f>
        <v>14770.800000000001</v>
      </c>
      <c r="J620">
        <f>Orders[[#This Row],[Quantity]]*Orders[[#This Row],[Cost Price]]</f>
        <v>12555.18</v>
      </c>
      <c r="K620">
        <f>Orders[[#This Row],[Revenue]]-Orders[[#This Row],[Expenses]]</f>
        <v>2215.6200000000008</v>
      </c>
      <c r="L620" t="s">
        <v>2209</v>
      </c>
      <c r="M620" t="str">
        <f>_xlfn.XLOOKUP(Orders[[#This Row],[CustomerID]],Customers[CustomerID],Customers[City])</f>
        <v>Florida</v>
      </c>
      <c r="N620" t="str">
        <f>_xlfn.XLOOKUP(Orders[[#This Row],[CustomerID]],Customers[CustomerID],Customers[CustomerName])</f>
        <v>Obi Okonkwo</v>
      </c>
      <c r="O620" t="str">
        <f>_xlfn.XLOOKUP(Orders[[#This Row],[CustomerID]],Customers[CustomerID],Customers[Gender])</f>
        <v>Male</v>
      </c>
      <c r="P620">
        <f>_xlfn.XLOOKUP(Orders[[#This Row],[CustomerID]],Customers[CustomerID],Customers[CustomerAge])</f>
        <v>52</v>
      </c>
      <c r="Q620" t="str">
        <f>IF(Orders[[#This Row],[Age]]&gt;=35,"older","young")</f>
        <v>older</v>
      </c>
      <c r="R620" t="str">
        <f>_xlfn.XLOOKUP(Orders[[#This Row],[ProductID]],Products[ProductID],Products[ProductName])</f>
        <v>CHESS</v>
      </c>
      <c r="S620" t="str">
        <f>_xlfn.XLOOKUP(Orders[[#This Row],[ProductID]],Products!A:A,Products!C:C)</f>
        <v>Games</v>
      </c>
    </row>
    <row r="621" spans="1:19" x14ac:dyDescent="0.2">
      <c r="A621" s="4" t="s">
        <v>808</v>
      </c>
      <c r="B621" s="5">
        <v>45949</v>
      </c>
      <c r="C621" s="15">
        <f>WEEKNUM(Orders[[#This Row],[OrderDate]])</f>
        <v>43</v>
      </c>
      <c r="D621" s="4" t="s">
        <v>282</v>
      </c>
      <c r="E621" s="4" t="s">
        <v>232</v>
      </c>
      <c r="F621" s="4">
        <v>10</v>
      </c>
      <c r="G621" s="4">
        <v>15542.7</v>
      </c>
      <c r="H621">
        <v>13211.295</v>
      </c>
      <c r="I621">
        <f>Orders[[#This Row],[Quantity]]*Orders[[#This Row],[Selling Price]]</f>
        <v>155427</v>
      </c>
      <c r="J621">
        <f>Orders[[#This Row],[Quantity]]*Orders[[#This Row],[Cost Price]]</f>
        <v>132112.95000000001</v>
      </c>
      <c r="K621">
        <f>Orders[[#This Row],[Revenue]]-Orders[[#This Row],[Expenses]]</f>
        <v>23314.049999999988</v>
      </c>
      <c r="L621" t="s">
        <v>2195</v>
      </c>
      <c r="M621" t="str">
        <f>_xlfn.XLOOKUP(Orders[[#This Row],[CustomerID]],Customers[CustomerID],Customers[City])</f>
        <v>Texas</v>
      </c>
      <c r="N621" t="str">
        <f>_xlfn.XLOOKUP(Orders[[#This Row],[CustomerID]],Customers[CustomerID],Customers[CustomerName])</f>
        <v>Bisi Ojo</v>
      </c>
      <c r="O621" t="str">
        <f>_xlfn.XLOOKUP(Orders[[#This Row],[CustomerID]],Customers[CustomerID],Customers[Gender])</f>
        <v>Female</v>
      </c>
      <c r="P621">
        <f>_xlfn.XLOOKUP(Orders[[#This Row],[CustomerID]],Customers[CustomerID],Customers[CustomerAge])</f>
        <v>26</v>
      </c>
      <c r="Q621" t="str">
        <f>IF(Orders[[#This Row],[Age]]&gt;=35,"older","young")</f>
        <v>young</v>
      </c>
      <c r="R621" t="str">
        <f>_xlfn.XLOOKUP(Orders[[#This Row],[ProductID]],Products[ProductID],Products[ProductName])</f>
        <v>ANKARA</v>
      </c>
      <c r="S621" t="str">
        <f>_xlfn.XLOOKUP(Orders[[#This Row],[ProductID]],Products!A:A,Products!C:C)</f>
        <v>Clothing</v>
      </c>
    </row>
    <row r="622" spans="1:19" x14ac:dyDescent="0.2">
      <c r="A622" s="4" t="s">
        <v>809</v>
      </c>
      <c r="B622" s="5">
        <v>45983</v>
      </c>
      <c r="C622" s="15">
        <f>WEEKNUM(Orders[[#This Row],[OrderDate]])</f>
        <v>47</v>
      </c>
      <c r="D622" s="4" t="s">
        <v>216</v>
      </c>
      <c r="E622" s="4" t="s">
        <v>37</v>
      </c>
      <c r="F622" s="4">
        <v>8</v>
      </c>
      <c r="G622" s="4">
        <v>5259.5</v>
      </c>
      <c r="H622">
        <v>4470.5749999999998</v>
      </c>
      <c r="I622">
        <f>Orders[[#This Row],[Quantity]]*Orders[[#This Row],[Selling Price]]</f>
        <v>42076</v>
      </c>
      <c r="J622">
        <f>Orders[[#This Row],[Quantity]]*Orders[[#This Row],[Cost Price]]</f>
        <v>35764.6</v>
      </c>
      <c r="K622">
        <f>Orders[[#This Row],[Revenue]]-Orders[[#This Row],[Expenses]]</f>
        <v>6311.4000000000015</v>
      </c>
      <c r="L622" t="s">
        <v>2193</v>
      </c>
      <c r="M622" t="str">
        <f>_xlfn.XLOOKUP(Orders[[#This Row],[CustomerID]],Customers[CustomerID],Customers[City])</f>
        <v>California</v>
      </c>
      <c r="N622" t="str">
        <f>_xlfn.XLOOKUP(Orders[[#This Row],[CustomerID]],Customers[CustomerID],Customers[CustomerName])</f>
        <v>Ngozi Obi</v>
      </c>
      <c r="O622" t="str">
        <f>_xlfn.XLOOKUP(Orders[[#This Row],[CustomerID]],Customers[CustomerID],Customers[Gender])</f>
        <v>Female</v>
      </c>
      <c r="P622">
        <f>_xlfn.XLOOKUP(Orders[[#This Row],[CustomerID]],Customers[CustomerID],Customers[CustomerAge])</f>
        <v>54</v>
      </c>
      <c r="Q622" t="str">
        <f>IF(Orders[[#This Row],[Age]]&gt;=35,"older","young")</f>
        <v>older</v>
      </c>
      <c r="R622" t="str">
        <f>_xlfn.XLOOKUP(Orders[[#This Row],[ProductID]],Products[ProductID],Products[ProductName])</f>
        <v>IRON</v>
      </c>
      <c r="S622" t="str">
        <f>_xlfn.XLOOKUP(Orders[[#This Row],[ProductID]],Products!A:A,Products!C:C)</f>
        <v>Electronics</v>
      </c>
    </row>
    <row r="623" spans="1:19" x14ac:dyDescent="0.2">
      <c r="A623" s="4" t="s">
        <v>810</v>
      </c>
      <c r="B623" s="5">
        <v>46022</v>
      </c>
      <c r="C623" s="15">
        <f>WEEKNUM(Orders[[#This Row],[OrderDate]])</f>
        <v>53</v>
      </c>
      <c r="D623" s="4" t="s">
        <v>260</v>
      </c>
      <c r="E623" s="4" t="s">
        <v>31</v>
      </c>
      <c r="F623" s="4">
        <v>5</v>
      </c>
      <c r="G623" s="4">
        <v>15321.800000000001</v>
      </c>
      <c r="H623">
        <v>13023.53</v>
      </c>
      <c r="I623">
        <f>Orders[[#This Row],[Quantity]]*Orders[[#This Row],[Selling Price]]</f>
        <v>76609</v>
      </c>
      <c r="J623">
        <f>Orders[[#This Row],[Quantity]]*Orders[[#This Row],[Cost Price]]</f>
        <v>65117.65</v>
      </c>
      <c r="K623">
        <f>Orders[[#This Row],[Revenue]]-Orders[[#This Row],[Expenses]]</f>
        <v>11491.349999999999</v>
      </c>
      <c r="L623" t="s">
        <v>2205</v>
      </c>
      <c r="M623" t="str">
        <f>_xlfn.XLOOKUP(Orders[[#This Row],[CustomerID]],Customers[CustomerID],Customers[City])</f>
        <v>Florida</v>
      </c>
      <c r="N623" t="str">
        <f>_xlfn.XLOOKUP(Orders[[#This Row],[CustomerID]],Customers[CustomerID],Customers[CustomerName])</f>
        <v>Amina Obi</v>
      </c>
      <c r="O623" t="str">
        <f>_xlfn.XLOOKUP(Orders[[#This Row],[CustomerID]],Customers[CustomerID],Customers[Gender])</f>
        <v>Female</v>
      </c>
      <c r="P623">
        <f>_xlfn.XLOOKUP(Orders[[#This Row],[CustomerID]],Customers[CustomerID],Customers[CustomerAge])</f>
        <v>29</v>
      </c>
      <c r="Q623" t="str">
        <f>IF(Orders[[#This Row],[Age]]&gt;=35,"older","young")</f>
        <v>young</v>
      </c>
      <c r="R623" t="str">
        <f>_xlfn.XLOOKUP(Orders[[#This Row],[ProductID]],Products[ProductID],Products[ProductName])</f>
        <v>KIDS GAMES</v>
      </c>
      <c r="S623" t="str">
        <f>_xlfn.XLOOKUP(Orders[[#This Row],[ProductID]],Products!A:A,Products!C:C)</f>
        <v>Games</v>
      </c>
    </row>
    <row r="624" spans="1:19" x14ac:dyDescent="0.2">
      <c r="A624" s="4" t="s">
        <v>811</v>
      </c>
      <c r="B624" s="5">
        <v>45982</v>
      </c>
      <c r="C624" s="15">
        <f>WEEKNUM(Orders[[#This Row],[OrderDate]])</f>
        <v>47</v>
      </c>
      <c r="D624" s="4" t="s">
        <v>87</v>
      </c>
      <c r="E624" s="4" t="s">
        <v>20</v>
      </c>
      <c r="F624" s="4">
        <v>3</v>
      </c>
      <c r="G624" s="4">
        <v>14415</v>
      </c>
      <c r="H624">
        <v>12252.75</v>
      </c>
      <c r="I624">
        <f>Orders[[#This Row],[Quantity]]*Orders[[#This Row],[Selling Price]]</f>
        <v>43245</v>
      </c>
      <c r="J624">
        <f>Orders[[#This Row],[Quantity]]*Orders[[#This Row],[Cost Price]]</f>
        <v>36758.25</v>
      </c>
      <c r="K624">
        <f>Orders[[#This Row],[Revenue]]-Orders[[#This Row],[Expenses]]</f>
        <v>6486.75</v>
      </c>
      <c r="L624" t="s">
        <v>2207</v>
      </c>
      <c r="M624" t="str">
        <f>_xlfn.XLOOKUP(Orders[[#This Row],[CustomerID]],Customers[CustomerID],Customers[City])</f>
        <v>Illinois</v>
      </c>
      <c r="N624" t="str">
        <f>_xlfn.XLOOKUP(Orders[[#This Row],[CustomerID]],Customers[CustomerID],Customers[CustomerName])</f>
        <v>Efe Igwe</v>
      </c>
      <c r="O624" t="str">
        <f>_xlfn.XLOOKUP(Orders[[#This Row],[CustomerID]],Customers[CustomerID],Customers[Gender])</f>
        <v>Female</v>
      </c>
      <c r="P624">
        <f>_xlfn.XLOOKUP(Orders[[#This Row],[CustomerID]],Customers[CustomerID],Customers[CustomerAge])</f>
        <v>34</v>
      </c>
      <c r="Q624" t="str">
        <f>IF(Orders[[#This Row],[Age]]&gt;=35,"older","young")</f>
        <v>young</v>
      </c>
      <c r="R624" t="str">
        <f>_xlfn.XLOOKUP(Orders[[#This Row],[ProductID]],Products[ProductID],Products[ProductName])</f>
        <v>GYM BAG</v>
      </c>
      <c r="S624" t="str">
        <f>_xlfn.XLOOKUP(Orders[[#This Row],[ProductID]],Products!A:A,Products!C:C)</f>
        <v>Gym</v>
      </c>
    </row>
    <row r="625" spans="1:19" x14ac:dyDescent="0.2">
      <c r="A625" s="4" t="s">
        <v>812</v>
      </c>
      <c r="B625" s="5">
        <v>45941</v>
      </c>
      <c r="C625" s="15">
        <f>WEEKNUM(Orders[[#This Row],[OrderDate]])</f>
        <v>41</v>
      </c>
      <c r="D625" s="4" t="s">
        <v>435</v>
      </c>
      <c r="E625" s="4" t="s">
        <v>127</v>
      </c>
      <c r="F625" s="4">
        <v>2</v>
      </c>
      <c r="G625" s="4">
        <v>14226.900000000001</v>
      </c>
      <c r="H625">
        <v>12092.865000000002</v>
      </c>
      <c r="I625">
        <f>Orders[[#This Row],[Quantity]]*Orders[[#This Row],[Selling Price]]</f>
        <v>28453.800000000003</v>
      </c>
      <c r="J625">
        <f>Orders[[#This Row],[Quantity]]*Orders[[#This Row],[Cost Price]]</f>
        <v>24185.730000000003</v>
      </c>
      <c r="K625">
        <f>Orders[[#This Row],[Revenue]]-Orders[[#This Row],[Expenses]]</f>
        <v>4268.07</v>
      </c>
      <c r="L625" t="s">
        <v>2192</v>
      </c>
      <c r="M625" t="str">
        <f>_xlfn.XLOOKUP(Orders[[#This Row],[CustomerID]],Customers[CustomerID],Customers[City])</f>
        <v>Texas</v>
      </c>
      <c r="N625" t="str">
        <f>_xlfn.XLOOKUP(Orders[[#This Row],[CustomerID]],Customers[CustomerID],Customers[CustomerName])</f>
        <v>Amina Balogun</v>
      </c>
      <c r="O625" t="str">
        <f>_xlfn.XLOOKUP(Orders[[#This Row],[CustomerID]],Customers[CustomerID],Customers[Gender])</f>
        <v>Female</v>
      </c>
      <c r="P625">
        <f>_xlfn.XLOOKUP(Orders[[#This Row],[CustomerID]],Customers[CustomerID],Customers[CustomerAge])</f>
        <v>32</v>
      </c>
      <c r="Q625" t="str">
        <f>IF(Orders[[#This Row],[Age]]&gt;=35,"older","young")</f>
        <v>young</v>
      </c>
      <c r="R625" t="str">
        <f>_xlfn.XLOOKUP(Orders[[#This Row],[ProductID]],Products[ProductID],Products[ProductName])</f>
        <v>TOPS</v>
      </c>
      <c r="S625" t="str">
        <f>_xlfn.XLOOKUP(Orders[[#This Row],[ProductID]],Products!A:A,Products!C:C)</f>
        <v>Clothing</v>
      </c>
    </row>
    <row r="626" spans="1:19" x14ac:dyDescent="0.2">
      <c r="A626" s="4" t="s">
        <v>813</v>
      </c>
      <c r="B626" s="5">
        <v>45973</v>
      </c>
      <c r="C626" s="15">
        <f>WEEKNUM(Orders[[#This Row],[OrderDate]])</f>
        <v>46</v>
      </c>
      <c r="D626" s="4" t="s">
        <v>30</v>
      </c>
      <c r="E626" s="4" t="s">
        <v>232</v>
      </c>
      <c r="F626" s="4">
        <v>9</v>
      </c>
      <c r="G626" s="4">
        <v>19548</v>
      </c>
      <c r="H626">
        <v>16615.8</v>
      </c>
      <c r="I626">
        <f>Orders[[#This Row],[Quantity]]*Orders[[#This Row],[Selling Price]]</f>
        <v>175932</v>
      </c>
      <c r="J626">
        <f>Orders[[#This Row],[Quantity]]*Orders[[#This Row],[Cost Price]]</f>
        <v>149542.19999999998</v>
      </c>
      <c r="K626">
        <f>Orders[[#This Row],[Revenue]]-Orders[[#This Row],[Expenses]]</f>
        <v>26389.800000000017</v>
      </c>
      <c r="L626" t="s">
        <v>2220</v>
      </c>
      <c r="M626" t="str">
        <f>_xlfn.XLOOKUP(Orders[[#This Row],[CustomerID]],Customers[CustomerID],Customers[City])</f>
        <v>Florida</v>
      </c>
      <c r="N626" t="str">
        <f>_xlfn.XLOOKUP(Orders[[#This Row],[CustomerID]],Customers[CustomerID],Customers[CustomerName])</f>
        <v>Amina Danladi</v>
      </c>
      <c r="O626" t="str">
        <f>_xlfn.XLOOKUP(Orders[[#This Row],[CustomerID]],Customers[CustomerID],Customers[Gender])</f>
        <v>Female</v>
      </c>
      <c r="P626">
        <f>_xlfn.XLOOKUP(Orders[[#This Row],[CustomerID]],Customers[CustomerID],Customers[CustomerAge])</f>
        <v>42</v>
      </c>
      <c r="Q626" t="str">
        <f>IF(Orders[[#This Row],[Age]]&gt;=35,"older","young")</f>
        <v>older</v>
      </c>
      <c r="R626" t="str">
        <f>_xlfn.XLOOKUP(Orders[[#This Row],[ProductID]],Products[ProductID],Products[ProductName])</f>
        <v>ANKARA</v>
      </c>
      <c r="S626" t="str">
        <f>_xlfn.XLOOKUP(Orders[[#This Row],[ProductID]],Products!A:A,Products!C:C)</f>
        <v>Clothing</v>
      </c>
    </row>
    <row r="627" spans="1:19" x14ac:dyDescent="0.2">
      <c r="A627" s="4" t="s">
        <v>814</v>
      </c>
      <c r="B627" s="5">
        <v>45936</v>
      </c>
      <c r="C627" s="15">
        <f>WEEKNUM(Orders[[#This Row],[OrderDate]])</f>
        <v>41</v>
      </c>
      <c r="D627" s="4" t="s">
        <v>103</v>
      </c>
      <c r="E627" s="4" t="s">
        <v>15</v>
      </c>
      <c r="F627" s="4">
        <v>4</v>
      </c>
      <c r="G627" s="4">
        <v>7370</v>
      </c>
      <c r="H627">
        <v>6264.5</v>
      </c>
      <c r="I627">
        <f>Orders[[#This Row],[Quantity]]*Orders[[#This Row],[Selling Price]]</f>
        <v>29480</v>
      </c>
      <c r="J627">
        <f>Orders[[#This Row],[Quantity]]*Orders[[#This Row],[Cost Price]]</f>
        <v>25058</v>
      </c>
      <c r="K627">
        <f>Orders[[#This Row],[Revenue]]-Orders[[#This Row],[Expenses]]</f>
        <v>4422</v>
      </c>
      <c r="L627" t="s">
        <v>2214</v>
      </c>
      <c r="M627" t="str">
        <f>_xlfn.XLOOKUP(Orders[[#This Row],[CustomerID]],Customers[CustomerID],Customers[City])</f>
        <v>Georgia</v>
      </c>
      <c r="N627" t="str">
        <f>_xlfn.XLOOKUP(Orders[[#This Row],[CustomerID]],Customers[CustomerID],Customers[CustomerName])</f>
        <v>Chioma Adeyemi</v>
      </c>
      <c r="O627" t="str">
        <f>_xlfn.XLOOKUP(Orders[[#This Row],[CustomerID]],Customers[CustomerID],Customers[Gender])</f>
        <v>Female</v>
      </c>
      <c r="P627">
        <f>_xlfn.XLOOKUP(Orders[[#This Row],[CustomerID]],Customers[CustomerID],Customers[CustomerAge])</f>
        <v>31</v>
      </c>
      <c r="Q627" t="str">
        <f>IF(Orders[[#This Row],[Age]]&gt;=35,"older","young")</f>
        <v>young</v>
      </c>
      <c r="R627" t="str">
        <f>_xlfn.XLOOKUP(Orders[[#This Row],[ProductID]],Products[ProductID],Products[ProductName])</f>
        <v>MONOPOLY</v>
      </c>
      <c r="S627" t="str">
        <f>_xlfn.XLOOKUP(Orders[[#This Row],[ProductID]],Products!A:A,Products!C:C)</f>
        <v>Games</v>
      </c>
    </row>
    <row r="628" spans="1:19" x14ac:dyDescent="0.2">
      <c r="A628" s="4" t="s">
        <v>815</v>
      </c>
      <c r="B628" s="5">
        <v>45958</v>
      </c>
      <c r="C628" s="15">
        <f>WEEKNUM(Orders[[#This Row],[OrderDate]])</f>
        <v>44</v>
      </c>
      <c r="D628" s="4" t="s">
        <v>45</v>
      </c>
      <c r="E628" s="4" t="s">
        <v>31</v>
      </c>
      <c r="F628" s="4">
        <v>4</v>
      </c>
      <c r="G628" s="4">
        <v>14159.6</v>
      </c>
      <c r="H628">
        <v>12035.66</v>
      </c>
      <c r="I628">
        <f>Orders[[#This Row],[Quantity]]*Orders[[#This Row],[Selling Price]]</f>
        <v>56638.400000000001</v>
      </c>
      <c r="J628">
        <f>Orders[[#This Row],[Quantity]]*Orders[[#This Row],[Cost Price]]</f>
        <v>48142.64</v>
      </c>
      <c r="K628">
        <f>Orders[[#This Row],[Revenue]]-Orders[[#This Row],[Expenses]]</f>
        <v>8495.760000000002</v>
      </c>
      <c r="L628" t="s">
        <v>2206</v>
      </c>
      <c r="M628" t="str">
        <f>_xlfn.XLOOKUP(Orders[[#This Row],[CustomerID]],Customers[CustomerID],Customers[City])</f>
        <v>Florida</v>
      </c>
      <c r="N628" t="str">
        <f>_xlfn.XLOOKUP(Orders[[#This Row],[CustomerID]],Customers[CustomerID],Customers[CustomerName])</f>
        <v>Abiola Abubakar</v>
      </c>
      <c r="O628" t="str">
        <f>_xlfn.XLOOKUP(Orders[[#This Row],[CustomerID]],Customers[CustomerID],Customers[Gender])</f>
        <v>Male</v>
      </c>
      <c r="P628">
        <f>_xlfn.XLOOKUP(Orders[[#This Row],[CustomerID]],Customers[CustomerID],Customers[CustomerAge])</f>
        <v>26</v>
      </c>
      <c r="Q628" t="str">
        <f>IF(Orders[[#This Row],[Age]]&gt;=35,"older","young")</f>
        <v>young</v>
      </c>
      <c r="R628" t="str">
        <f>_xlfn.XLOOKUP(Orders[[#This Row],[ProductID]],Products[ProductID],Products[ProductName])</f>
        <v>KIDS GAMES</v>
      </c>
      <c r="S628" t="str">
        <f>_xlfn.XLOOKUP(Orders[[#This Row],[ProductID]],Products!A:A,Products!C:C)</f>
        <v>Games</v>
      </c>
    </row>
    <row r="629" spans="1:19" x14ac:dyDescent="0.2">
      <c r="A629" s="4" t="s">
        <v>816</v>
      </c>
      <c r="B629" s="5">
        <v>46012</v>
      </c>
      <c r="C629" s="15">
        <f>WEEKNUM(Orders[[#This Row],[OrderDate]])</f>
        <v>52</v>
      </c>
      <c r="D629" s="4" t="s">
        <v>305</v>
      </c>
      <c r="E629" s="4" t="s">
        <v>120</v>
      </c>
      <c r="F629" s="4">
        <v>4</v>
      </c>
      <c r="G629" s="4">
        <v>15436.6</v>
      </c>
      <c r="H629">
        <v>13121.11</v>
      </c>
      <c r="I629">
        <f>Orders[[#This Row],[Quantity]]*Orders[[#This Row],[Selling Price]]</f>
        <v>61746.400000000001</v>
      </c>
      <c r="J629">
        <f>Orders[[#This Row],[Quantity]]*Orders[[#This Row],[Cost Price]]</f>
        <v>52484.44</v>
      </c>
      <c r="K629">
        <f>Orders[[#This Row],[Revenue]]-Orders[[#This Row],[Expenses]]</f>
        <v>9261.9599999999991</v>
      </c>
      <c r="L629" t="s">
        <v>2216</v>
      </c>
      <c r="M629" t="str">
        <f>_xlfn.XLOOKUP(Orders[[#This Row],[CustomerID]],Customers[CustomerID],Customers[City])</f>
        <v>California</v>
      </c>
      <c r="N629" t="str">
        <f>_xlfn.XLOOKUP(Orders[[#This Row],[CustomerID]],Customers[CustomerID],Customers[CustomerName])</f>
        <v>Tunde Danladi</v>
      </c>
      <c r="O629" t="str">
        <f>_xlfn.XLOOKUP(Orders[[#This Row],[CustomerID]],Customers[CustomerID],Customers[Gender])</f>
        <v>Male</v>
      </c>
      <c r="P629">
        <f>_xlfn.XLOOKUP(Orders[[#This Row],[CustomerID]],Customers[CustomerID],Customers[CustomerAge])</f>
        <v>40</v>
      </c>
      <c r="Q629" t="str">
        <f>IF(Orders[[#This Row],[Age]]&gt;=35,"older","young")</f>
        <v>older</v>
      </c>
      <c r="R629" t="str">
        <f>_xlfn.XLOOKUP(Orders[[#This Row],[ProductID]],Products[ProductID],Products[ProductName])</f>
        <v>CHESS</v>
      </c>
      <c r="S629" t="str">
        <f>_xlfn.XLOOKUP(Orders[[#This Row],[ProductID]],Products!A:A,Products!C:C)</f>
        <v>Games</v>
      </c>
    </row>
    <row r="630" spans="1:19" x14ac:dyDescent="0.2">
      <c r="A630" s="4" t="s">
        <v>817</v>
      </c>
      <c r="B630" s="5">
        <v>46007</v>
      </c>
      <c r="C630" s="15">
        <f>WEEKNUM(Orders[[#This Row],[OrderDate]])</f>
        <v>51</v>
      </c>
      <c r="D630" s="4" t="s">
        <v>101</v>
      </c>
      <c r="E630" s="4" t="s">
        <v>84</v>
      </c>
      <c r="F630" s="4">
        <v>3</v>
      </c>
      <c r="G630" s="4">
        <v>7198</v>
      </c>
      <c r="H630">
        <v>6118.3</v>
      </c>
      <c r="I630">
        <f>Orders[[#This Row],[Quantity]]*Orders[[#This Row],[Selling Price]]</f>
        <v>21594</v>
      </c>
      <c r="J630">
        <f>Orders[[#This Row],[Quantity]]*Orders[[#This Row],[Cost Price]]</f>
        <v>18354.900000000001</v>
      </c>
      <c r="K630">
        <f>Orders[[#This Row],[Revenue]]-Orders[[#This Row],[Expenses]]</f>
        <v>3239.0999999999985</v>
      </c>
      <c r="L630" t="s">
        <v>2213</v>
      </c>
      <c r="M630" t="str">
        <f>_xlfn.XLOOKUP(Orders[[#This Row],[CustomerID]],Customers[CustomerID],Customers[City])</f>
        <v>Texas</v>
      </c>
      <c r="N630" t="str">
        <f>_xlfn.XLOOKUP(Orders[[#This Row],[CustomerID]],Customers[CustomerID],Customers[CustomerName])</f>
        <v>Blessing Eze</v>
      </c>
      <c r="O630" t="str">
        <f>_xlfn.XLOOKUP(Orders[[#This Row],[CustomerID]],Customers[CustomerID],Customers[Gender])</f>
        <v>Female</v>
      </c>
      <c r="P630">
        <f>_xlfn.XLOOKUP(Orders[[#This Row],[CustomerID]],Customers[CustomerID],Customers[CustomerAge])</f>
        <v>55</v>
      </c>
      <c r="Q630" t="str">
        <f>IF(Orders[[#This Row],[Age]]&gt;=35,"older","young")</f>
        <v>older</v>
      </c>
      <c r="R630" t="str">
        <f>_xlfn.XLOOKUP(Orders[[#This Row],[ProductID]],Products[ProductID],Products[ProductName])</f>
        <v>GYM WEARS</v>
      </c>
      <c r="S630" t="str">
        <f>_xlfn.XLOOKUP(Orders[[#This Row],[ProductID]],Products!A:A,Products!C:C)</f>
        <v>Clothing</v>
      </c>
    </row>
    <row r="631" spans="1:19" x14ac:dyDescent="0.2">
      <c r="A631" s="4" t="s">
        <v>818</v>
      </c>
      <c r="B631" s="5">
        <v>45950</v>
      </c>
      <c r="C631" s="15">
        <f>WEEKNUM(Orders[[#This Row],[OrderDate]])</f>
        <v>43</v>
      </c>
      <c r="D631" s="4" t="s">
        <v>184</v>
      </c>
      <c r="E631" s="4" t="s">
        <v>28</v>
      </c>
      <c r="F631" s="4">
        <v>8</v>
      </c>
      <c r="G631" s="4">
        <v>2430.6</v>
      </c>
      <c r="H631">
        <v>2066.0099999999998</v>
      </c>
      <c r="I631">
        <f>Orders[[#This Row],[Quantity]]*Orders[[#This Row],[Selling Price]]</f>
        <v>19444.8</v>
      </c>
      <c r="J631">
        <f>Orders[[#This Row],[Quantity]]*Orders[[#This Row],[Cost Price]]</f>
        <v>16528.079999999998</v>
      </c>
      <c r="K631">
        <f>Orders[[#This Row],[Revenue]]-Orders[[#This Row],[Expenses]]</f>
        <v>2916.7200000000012</v>
      </c>
      <c r="L631" t="s">
        <v>2202</v>
      </c>
      <c r="M631" t="str">
        <f>_xlfn.XLOOKUP(Orders[[#This Row],[CustomerID]],Customers[CustomerID],Customers[City])</f>
        <v>Washington</v>
      </c>
      <c r="N631" t="str">
        <f>_xlfn.XLOOKUP(Orders[[#This Row],[CustomerID]],Customers[CustomerID],Customers[CustomerName])</f>
        <v>Ngozi Obi</v>
      </c>
      <c r="O631" t="str">
        <f>_xlfn.XLOOKUP(Orders[[#This Row],[CustomerID]],Customers[CustomerID],Customers[Gender])</f>
        <v>Female</v>
      </c>
      <c r="P631">
        <f>_xlfn.XLOOKUP(Orders[[#This Row],[CustomerID]],Customers[CustomerID],Customers[CustomerAge])</f>
        <v>32</v>
      </c>
      <c r="Q631" t="str">
        <f>IF(Orders[[#This Row],[Age]]&gt;=35,"older","young")</f>
        <v>young</v>
      </c>
      <c r="R631" t="str">
        <f>_xlfn.XLOOKUP(Orders[[#This Row],[ProductID]],Products[ProductID],Products[ProductName])</f>
        <v>SNEAKERS</v>
      </c>
      <c r="S631" t="str">
        <f>_xlfn.XLOOKUP(Orders[[#This Row],[ProductID]],Products!A:A,Products!C:C)</f>
        <v>Sports</v>
      </c>
    </row>
    <row r="632" spans="1:19" x14ac:dyDescent="0.2">
      <c r="A632" s="4" t="s">
        <v>819</v>
      </c>
      <c r="B632" s="5">
        <v>46013</v>
      </c>
      <c r="C632" s="15">
        <f>WEEKNUM(Orders[[#This Row],[OrderDate]])</f>
        <v>52</v>
      </c>
      <c r="D632" s="4" t="s">
        <v>320</v>
      </c>
      <c r="E632" s="4" t="s">
        <v>28</v>
      </c>
      <c r="F632" s="4">
        <v>3</v>
      </c>
      <c r="G632" s="4">
        <v>10751</v>
      </c>
      <c r="H632">
        <v>9138.35</v>
      </c>
      <c r="I632">
        <f>Orders[[#This Row],[Quantity]]*Orders[[#This Row],[Selling Price]]</f>
        <v>32253</v>
      </c>
      <c r="J632">
        <f>Orders[[#This Row],[Quantity]]*Orders[[#This Row],[Cost Price]]</f>
        <v>27415.050000000003</v>
      </c>
      <c r="K632">
        <f>Orders[[#This Row],[Revenue]]-Orders[[#This Row],[Expenses]]</f>
        <v>4837.9499999999971</v>
      </c>
      <c r="L632" t="s">
        <v>2195</v>
      </c>
      <c r="M632" t="str">
        <f>_xlfn.XLOOKUP(Orders[[#This Row],[CustomerID]],Customers[CustomerID],Customers[City])</f>
        <v>Texas</v>
      </c>
      <c r="N632" t="str">
        <f>_xlfn.XLOOKUP(Orders[[#This Row],[CustomerID]],Customers[CustomerID],Customers[CustomerName])</f>
        <v>Temi Okonkwo</v>
      </c>
      <c r="O632" t="str">
        <f>_xlfn.XLOOKUP(Orders[[#This Row],[CustomerID]],Customers[CustomerID],Customers[Gender])</f>
        <v>Female</v>
      </c>
      <c r="P632">
        <f>_xlfn.XLOOKUP(Orders[[#This Row],[CustomerID]],Customers[CustomerID],Customers[CustomerAge])</f>
        <v>31</v>
      </c>
      <c r="Q632" t="str">
        <f>IF(Orders[[#This Row],[Age]]&gt;=35,"older","young")</f>
        <v>young</v>
      </c>
      <c r="R632" t="str">
        <f>_xlfn.XLOOKUP(Orders[[#This Row],[ProductID]],Products[ProductID],Products[ProductName])</f>
        <v>SNEAKERS</v>
      </c>
      <c r="S632" t="str">
        <f>_xlfn.XLOOKUP(Orders[[#This Row],[ProductID]],Products!A:A,Products!C:C)</f>
        <v>Sports</v>
      </c>
    </row>
    <row r="633" spans="1:19" x14ac:dyDescent="0.2">
      <c r="A633" s="4" t="s">
        <v>820</v>
      </c>
      <c r="B633" s="5">
        <v>45989</v>
      </c>
      <c r="C633" s="15">
        <f>WEEKNUM(Orders[[#This Row],[OrderDate]])</f>
        <v>48</v>
      </c>
      <c r="D633" s="4" t="s">
        <v>113</v>
      </c>
      <c r="E633" s="4" t="s">
        <v>63</v>
      </c>
      <c r="F633" s="4">
        <v>2</v>
      </c>
      <c r="G633" s="4">
        <v>17552.599999999999</v>
      </c>
      <c r="H633">
        <v>14919.71</v>
      </c>
      <c r="I633">
        <f>Orders[[#This Row],[Quantity]]*Orders[[#This Row],[Selling Price]]</f>
        <v>35105.199999999997</v>
      </c>
      <c r="J633">
        <f>Orders[[#This Row],[Quantity]]*Orders[[#This Row],[Cost Price]]</f>
        <v>29839.42</v>
      </c>
      <c r="K633">
        <f>Orders[[#This Row],[Revenue]]-Orders[[#This Row],[Expenses]]</f>
        <v>5265.7799999999988</v>
      </c>
      <c r="L633" t="s">
        <v>2214</v>
      </c>
      <c r="M633" t="str">
        <f>_xlfn.XLOOKUP(Orders[[#This Row],[CustomerID]],Customers[CustomerID],Customers[City])</f>
        <v>Texas</v>
      </c>
      <c r="N633" t="str">
        <f>_xlfn.XLOOKUP(Orders[[#This Row],[CustomerID]],Customers[CustomerID],Customers[CustomerName])</f>
        <v>Uche Igwe</v>
      </c>
      <c r="O633" t="str">
        <f>_xlfn.XLOOKUP(Orders[[#This Row],[CustomerID]],Customers[CustomerID],Customers[Gender])</f>
        <v>Male</v>
      </c>
      <c r="P633">
        <f>_xlfn.XLOOKUP(Orders[[#This Row],[CustomerID]],Customers[CustomerID],Customers[CustomerAge])</f>
        <v>35</v>
      </c>
      <c r="Q633" t="str">
        <f>IF(Orders[[#This Row],[Age]]&gt;=35,"older","young")</f>
        <v>older</v>
      </c>
      <c r="R633" t="str">
        <f>_xlfn.XLOOKUP(Orders[[#This Row],[ProductID]],Products[ProductID],Products[ProductName])</f>
        <v>TENNIS BAT</v>
      </c>
      <c r="S633" t="str">
        <f>_xlfn.XLOOKUP(Orders[[#This Row],[ProductID]],Products!A:A,Products!C:C)</f>
        <v>Sports</v>
      </c>
    </row>
    <row r="634" spans="1:19" x14ac:dyDescent="0.2">
      <c r="A634" s="4" t="s">
        <v>821</v>
      </c>
      <c r="B634" s="5">
        <v>46008</v>
      </c>
      <c r="C634" s="15">
        <f>WEEKNUM(Orders[[#This Row],[OrderDate]])</f>
        <v>51</v>
      </c>
      <c r="D634" s="4" t="s">
        <v>146</v>
      </c>
      <c r="E634" s="4" t="s">
        <v>20</v>
      </c>
      <c r="F634" s="4">
        <v>6</v>
      </c>
      <c r="G634" s="4">
        <v>5239.4000000000005</v>
      </c>
      <c r="H634">
        <v>4453.4900000000007</v>
      </c>
      <c r="I634">
        <f>Orders[[#This Row],[Quantity]]*Orders[[#This Row],[Selling Price]]</f>
        <v>31436.400000000001</v>
      </c>
      <c r="J634">
        <f>Orders[[#This Row],[Quantity]]*Orders[[#This Row],[Cost Price]]</f>
        <v>26720.940000000002</v>
      </c>
      <c r="K634">
        <f>Orders[[#This Row],[Revenue]]-Orders[[#This Row],[Expenses]]</f>
        <v>4715.4599999999991</v>
      </c>
      <c r="L634" t="s">
        <v>2209</v>
      </c>
      <c r="M634" t="str">
        <f>_xlfn.XLOOKUP(Orders[[#This Row],[CustomerID]],Customers[CustomerID],Customers[City])</f>
        <v>Texas</v>
      </c>
      <c r="N634" t="str">
        <f>_xlfn.XLOOKUP(Orders[[#This Row],[CustomerID]],Customers[CustomerID],Customers[CustomerName])</f>
        <v>Mustafa Igwe</v>
      </c>
      <c r="O634" t="str">
        <f>_xlfn.XLOOKUP(Orders[[#This Row],[CustomerID]],Customers[CustomerID],Customers[Gender])</f>
        <v>Male</v>
      </c>
      <c r="P634">
        <f>_xlfn.XLOOKUP(Orders[[#This Row],[CustomerID]],Customers[CustomerID],Customers[CustomerAge])</f>
        <v>27</v>
      </c>
      <c r="Q634" t="str">
        <f>IF(Orders[[#This Row],[Age]]&gt;=35,"older","young")</f>
        <v>young</v>
      </c>
      <c r="R634" t="str">
        <f>_xlfn.XLOOKUP(Orders[[#This Row],[ProductID]],Products[ProductID],Products[ProductName])</f>
        <v>GYM BAG</v>
      </c>
      <c r="S634" t="str">
        <f>_xlfn.XLOOKUP(Orders[[#This Row],[ProductID]],Products!A:A,Products!C:C)</f>
        <v>Gym</v>
      </c>
    </row>
    <row r="635" spans="1:19" x14ac:dyDescent="0.2">
      <c r="A635" s="4" t="s">
        <v>822</v>
      </c>
      <c r="B635" s="5">
        <v>45978</v>
      </c>
      <c r="C635" s="15">
        <f>WEEKNUM(Orders[[#This Row],[OrderDate]])</f>
        <v>47</v>
      </c>
      <c r="D635" s="4" t="s">
        <v>521</v>
      </c>
      <c r="E635" s="4" t="s">
        <v>28</v>
      </c>
      <c r="F635" s="4">
        <v>6</v>
      </c>
      <c r="G635" s="4">
        <v>19322</v>
      </c>
      <c r="H635">
        <v>16423.7</v>
      </c>
      <c r="I635">
        <f>Orders[[#This Row],[Quantity]]*Orders[[#This Row],[Selling Price]]</f>
        <v>115932</v>
      </c>
      <c r="J635">
        <f>Orders[[#This Row],[Quantity]]*Orders[[#This Row],[Cost Price]]</f>
        <v>98542.200000000012</v>
      </c>
      <c r="K635">
        <f>Orders[[#This Row],[Revenue]]-Orders[[#This Row],[Expenses]]</f>
        <v>17389.799999999988</v>
      </c>
      <c r="L635" t="s">
        <v>2201</v>
      </c>
      <c r="M635" t="str">
        <f>_xlfn.XLOOKUP(Orders[[#This Row],[CustomerID]],Customers[CustomerID],Customers[City])</f>
        <v>Illinois</v>
      </c>
      <c r="N635" t="str">
        <f>_xlfn.XLOOKUP(Orders[[#This Row],[CustomerID]],Customers[CustomerID],Customers[CustomerName])</f>
        <v>Ronke Eze</v>
      </c>
      <c r="O635" t="str">
        <f>_xlfn.XLOOKUP(Orders[[#This Row],[CustomerID]],Customers[CustomerID],Customers[Gender])</f>
        <v>Female</v>
      </c>
      <c r="P635">
        <f>_xlfn.XLOOKUP(Orders[[#This Row],[CustomerID]],Customers[CustomerID],Customers[CustomerAge])</f>
        <v>25</v>
      </c>
      <c r="Q635" t="str">
        <f>IF(Orders[[#This Row],[Age]]&gt;=35,"older","young")</f>
        <v>young</v>
      </c>
      <c r="R635" t="str">
        <f>_xlfn.XLOOKUP(Orders[[#This Row],[ProductID]],Products[ProductID],Products[ProductName])</f>
        <v>SNEAKERS</v>
      </c>
      <c r="S635" t="str">
        <f>_xlfn.XLOOKUP(Orders[[#This Row],[ProductID]],Products!A:A,Products!C:C)</f>
        <v>Sports</v>
      </c>
    </row>
    <row r="636" spans="1:19" x14ac:dyDescent="0.2">
      <c r="A636" s="4" t="s">
        <v>823</v>
      </c>
      <c r="B636" s="5">
        <v>45997</v>
      </c>
      <c r="C636" s="15">
        <f>WEEKNUM(Orders[[#This Row],[OrderDate]])</f>
        <v>49</v>
      </c>
      <c r="D636" s="4" t="s">
        <v>17</v>
      </c>
      <c r="E636" s="4" t="s">
        <v>34</v>
      </c>
      <c r="F636" s="4">
        <v>6</v>
      </c>
      <c r="G636" s="4">
        <v>17910.400000000001</v>
      </c>
      <c r="H636">
        <v>15223.840000000002</v>
      </c>
      <c r="I636">
        <f>Orders[[#This Row],[Quantity]]*Orders[[#This Row],[Selling Price]]</f>
        <v>107462.40000000001</v>
      </c>
      <c r="J636">
        <f>Orders[[#This Row],[Quantity]]*Orders[[#This Row],[Cost Price]]</f>
        <v>91343.040000000008</v>
      </c>
      <c r="K636">
        <f>Orders[[#This Row],[Revenue]]-Orders[[#This Row],[Expenses]]</f>
        <v>16119.36</v>
      </c>
      <c r="L636" t="s">
        <v>2213</v>
      </c>
      <c r="M636" t="str">
        <f>_xlfn.XLOOKUP(Orders[[#This Row],[CustomerID]],Customers[CustomerID],Customers[City])</f>
        <v>Illinois</v>
      </c>
      <c r="N636" t="str">
        <f>_xlfn.XLOOKUP(Orders[[#This Row],[CustomerID]],Customers[CustomerID],Customers[CustomerName])</f>
        <v>Bisi Adeyemi</v>
      </c>
      <c r="O636" t="str">
        <f>_xlfn.XLOOKUP(Orders[[#This Row],[CustomerID]],Customers[CustomerID],Customers[Gender])</f>
        <v>Female</v>
      </c>
      <c r="P636">
        <f>_xlfn.XLOOKUP(Orders[[#This Row],[CustomerID]],Customers[CustomerID],Customers[CustomerAge])</f>
        <v>48</v>
      </c>
      <c r="Q636" t="str">
        <f>IF(Orders[[#This Row],[Age]]&gt;=35,"older","young")</f>
        <v>older</v>
      </c>
      <c r="R636" t="str">
        <f>_xlfn.XLOOKUP(Orders[[#This Row],[ProductID]],Products[ProductID],Products[ProductName])</f>
        <v>GOLD BRACELETS</v>
      </c>
      <c r="S636" t="str">
        <f>_xlfn.XLOOKUP(Orders[[#This Row],[ProductID]],Products!A:A,Products!C:C)</f>
        <v>Accessories</v>
      </c>
    </row>
    <row r="637" spans="1:19" x14ac:dyDescent="0.2">
      <c r="A637" s="4" t="s">
        <v>824</v>
      </c>
      <c r="B637" s="5">
        <v>46001</v>
      </c>
      <c r="C637" s="15">
        <f>WEEKNUM(Orders[[#This Row],[OrderDate]])</f>
        <v>50</v>
      </c>
      <c r="D637" s="4" t="s">
        <v>210</v>
      </c>
      <c r="E637" s="4" t="s">
        <v>127</v>
      </c>
      <c r="F637" s="4">
        <v>5</v>
      </c>
      <c r="G637" s="4">
        <v>18209.100000000002</v>
      </c>
      <c r="H637">
        <v>15477.735000000002</v>
      </c>
      <c r="I637">
        <f>Orders[[#This Row],[Quantity]]*Orders[[#This Row],[Selling Price]]</f>
        <v>91045.500000000015</v>
      </c>
      <c r="J637">
        <f>Orders[[#This Row],[Quantity]]*Orders[[#This Row],[Cost Price]]</f>
        <v>77388.675000000017</v>
      </c>
      <c r="K637">
        <f>Orders[[#This Row],[Revenue]]-Orders[[#This Row],[Expenses]]</f>
        <v>13656.824999999997</v>
      </c>
      <c r="L637" t="s">
        <v>2204</v>
      </c>
      <c r="M637" t="str">
        <f>_xlfn.XLOOKUP(Orders[[#This Row],[CustomerID]],Customers[CustomerID],Customers[City])</f>
        <v>Illinois</v>
      </c>
      <c r="N637" t="str">
        <f>_xlfn.XLOOKUP(Orders[[#This Row],[CustomerID]],Customers[CustomerID],Customers[CustomerName])</f>
        <v>Zainab Bello</v>
      </c>
      <c r="O637" t="str">
        <f>_xlfn.XLOOKUP(Orders[[#This Row],[CustomerID]],Customers[CustomerID],Customers[Gender])</f>
        <v>Female</v>
      </c>
      <c r="P637">
        <f>_xlfn.XLOOKUP(Orders[[#This Row],[CustomerID]],Customers[CustomerID],Customers[CustomerAge])</f>
        <v>27</v>
      </c>
      <c r="Q637" t="str">
        <f>IF(Orders[[#This Row],[Age]]&gt;=35,"older","young")</f>
        <v>young</v>
      </c>
      <c r="R637" t="str">
        <f>_xlfn.XLOOKUP(Orders[[#This Row],[ProductID]],Products[ProductID],Products[ProductName])</f>
        <v>TOPS</v>
      </c>
      <c r="S637" t="str">
        <f>_xlfn.XLOOKUP(Orders[[#This Row],[ProductID]],Products!A:A,Products!C:C)</f>
        <v>Clothing</v>
      </c>
    </row>
    <row r="638" spans="1:19" x14ac:dyDescent="0.2">
      <c r="A638" s="4" t="s">
        <v>825</v>
      </c>
      <c r="B638" s="5">
        <v>45971</v>
      </c>
      <c r="C638" s="15">
        <f>WEEKNUM(Orders[[#This Row],[OrderDate]])</f>
        <v>46</v>
      </c>
      <c r="D638" s="4" t="s">
        <v>146</v>
      </c>
      <c r="E638" s="4" t="s">
        <v>23</v>
      </c>
      <c r="F638" s="4">
        <v>1</v>
      </c>
      <c r="G638" s="4">
        <v>8403.6</v>
      </c>
      <c r="H638">
        <v>7143.06</v>
      </c>
      <c r="I638">
        <f>Orders[[#This Row],[Quantity]]*Orders[[#This Row],[Selling Price]]</f>
        <v>8403.6</v>
      </c>
      <c r="J638">
        <f>Orders[[#This Row],[Quantity]]*Orders[[#This Row],[Cost Price]]</f>
        <v>7143.06</v>
      </c>
      <c r="K638">
        <f>Orders[[#This Row],[Revenue]]-Orders[[#This Row],[Expenses]]</f>
        <v>1260.54</v>
      </c>
      <c r="L638" t="s">
        <v>2202</v>
      </c>
      <c r="M638" t="str">
        <f>_xlfn.XLOOKUP(Orders[[#This Row],[CustomerID]],Customers[CustomerID],Customers[City])</f>
        <v>Texas</v>
      </c>
      <c r="N638" t="str">
        <f>_xlfn.XLOOKUP(Orders[[#This Row],[CustomerID]],Customers[CustomerID],Customers[CustomerName])</f>
        <v>Mustafa Igwe</v>
      </c>
      <c r="O638" t="str">
        <f>_xlfn.XLOOKUP(Orders[[#This Row],[CustomerID]],Customers[CustomerID],Customers[Gender])</f>
        <v>Male</v>
      </c>
      <c r="P638">
        <f>_xlfn.XLOOKUP(Orders[[#This Row],[CustomerID]],Customers[CustomerID],Customers[CustomerAge])</f>
        <v>27</v>
      </c>
      <c r="Q638" t="str">
        <f>IF(Orders[[#This Row],[Age]]&gt;=35,"older","young")</f>
        <v>young</v>
      </c>
      <c r="R638" t="str">
        <f>_xlfn.XLOOKUP(Orders[[#This Row],[ProductID]],Products[ProductID],Products[ProductName])</f>
        <v>GYM GLOVES</v>
      </c>
      <c r="S638" t="str">
        <f>_xlfn.XLOOKUP(Orders[[#This Row],[ProductID]],Products!A:A,Products!C:C)</f>
        <v>Gym</v>
      </c>
    </row>
    <row r="639" spans="1:19" x14ac:dyDescent="0.2">
      <c r="A639" s="4" t="s">
        <v>826</v>
      </c>
      <c r="B639" s="5">
        <v>45967</v>
      </c>
      <c r="C639" s="15">
        <f>WEEKNUM(Orders[[#This Row],[OrderDate]])</f>
        <v>45</v>
      </c>
      <c r="D639" s="4" t="s">
        <v>307</v>
      </c>
      <c r="E639" s="4" t="s">
        <v>120</v>
      </c>
      <c r="F639" s="4">
        <v>2</v>
      </c>
      <c r="G639" s="4">
        <v>19378</v>
      </c>
      <c r="H639">
        <v>16471.3</v>
      </c>
      <c r="I639">
        <f>Orders[[#This Row],[Quantity]]*Orders[[#This Row],[Selling Price]]</f>
        <v>38756</v>
      </c>
      <c r="J639">
        <f>Orders[[#This Row],[Quantity]]*Orders[[#This Row],[Cost Price]]</f>
        <v>32942.6</v>
      </c>
      <c r="K639">
        <f>Orders[[#This Row],[Revenue]]-Orders[[#This Row],[Expenses]]</f>
        <v>5813.4000000000015</v>
      </c>
      <c r="L639" t="s">
        <v>2192</v>
      </c>
      <c r="M639" t="str">
        <f>_xlfn.XLOOKUP(Orders[[#This Row],[CustomerID]],Customers[CustomerID],Customers[City])</f>
        <v>Illinois</v>
      </c>
      <c r="N639" t="str">
        <f>_xlfn.XLOOKUP(Orders[[#This Row],[CustomerID]],Customers[CustomerID],Customers[CustomerName])</f>
        <v>Adanma Bello</v>
      </c>
      <c r="O639" t="str">
        <f>_xlfn.XLOOKUP(Orders[[#This Row],[CustomerID]],Customers[CustomerID],Customers[Gender])</f>
        <v>Female</v>
      </c>
      <c r="P639">
        <f>_xlfn.XLOOKUP(Orders[[#This Row],[CustomerID]],Customers[CustomerID],Customers[CustomerAge])</f>
        <v>51</v>
      </c>
      <c r="Q639" t="str">
        <f>IF(Orders[[#This Row],[Age]]&gt;=35,"older","young")</f>
        <v>older</v>
      </c>
      <c r="R639" t="str">
        <f>_xlfn.XLOOKUP(Orders[[#This Row],[ProductID]],Products[ProductID],Products[ProductName])</f>
        <v>CHESS</v>
      </c>
      <c r="S639" t="str">
        <f>_xlfn.XLOOKUP(Orders[[#This Row],[ProductID]],Products!A:A,Products!C:C)</f>
        <v>Games</v>
      </c>
    </row>
    <row r="640" spans="1:19" x14ac:dyDescent="0.2">
      <c r="A640" s="4" t="s">
        <v>827</v>
      </c>
      <c r="B640" s="5">
        <v>46007</v>
      </c>
      <c r="C640" s="15">
        <f>WEEKNUM(Orders[[#This Row],[OrderDate]])</f>
        <v>51</v>
      </c>
      <c r="D640" s="4" t="s">
        <v>386</v>
      </c>
      <c r="E640" s="4" t="s">
        <v>46</v>
      </c>
      <c r="F640" s="4">
        <v>7</v>
      </c>
      <c r="G640" s="4">
        <v>1378.8999999999999</v>
      </c>
      <c r="H640">
        <v>1172.0649999999998</v>
      </c>
      <c r="I640">
        <f>Orders[[#This Row],[Quantity]]*Orders[[#This Row],[Selling Price]]</f>
        <v>9652.2999999999993</v>
      </c>
      <c r="J640">
        <f>Orders[[#This Row],[Quantity]]*Orders[[#This Row],[Cost Price]]</f>
        <v>8204.4549999999981</v>
      </c>
      <c r="K640">
        <f>Orders[[#This Row],[Revenue]]-Orders[[#This Row],[Expenses]]</f>
        <v>1447.8450000000012</v>
      </c>
      <c r="L640" t="s">
        <v>2193</v>
      </c>
      <c r="M640" t="str">
        <f>_xlfn.XLOOKUP(Orders[[#This Row],[CustomerID]],Customers[CustomerID],Customers[City])</f>
        <v>Washington</v>
      </c>
      <c r="N640" t="str">
        <f>_xlfn.XLOOKUP(Orders[[#This Row],[CustomerID]],Customers[CustomerID],Customers[CustomerName])</f>
        <v>Chinedu Eze</v>
      </c>
      <c r="O640" t="str">
        <f>_xlfn.XLOOKUP(Orders[[#This Row],[CustomerID]],Customers[CustomerID],Customers[Gender])</f>
        <v>Male</v>
      </c>
      <c r="P640">
        <f>_xlfn.XLOOKUP(Orders[[#This Row],[CustomerID]],Customers[CustomerID],Customers[CustomerAge])</f>
        <v>32</v>
      </c>
      <c r="Q640" t="str">
        <f>IF(Orders[[#This Row],[Age]]&gt;=35,"older","young")</f>
        <v>young</v>
      </c>
      <c r="R640" t="str">
        <f>_xlfn.XLOOKUP(Orders[[#This Row],[ProductID]],Products[ProductID],Products[ProductName])</f>
        <v>TURTLE NECK</v>
      </c>
      <c r="S640" t="str">
        <f>_xlfn.XLOOKUP(Orders[[#This Row],[ProductID]],Products!A:A,Products!C:C)</f>
        <v>Clothing</v>
      </c>
    </row>
    <row r="641" spans="1:19" x14ac:dyDescent="0.2">
      <c r="A641" s="4" t="s">
        <v>828</v>
      </c>
      <c r="B641" s="5">
        <v>45962</v>
      </c>
      <c r="C641" s="15">
        <f>WEEKNUM(Orders[[#This Row],[OrderDate]])</f>
        <v>44</v>
      </c>
      <c r="D641" s="4" t="s">
        <v>161</v>
      </c>
      <c r="E641" s="4" t="s">
        <v>168</v>
      </c>
      <c r="F641" s="4">
        <v>9</v>
      </c>
      <c r="G641" s="4">
        <v>11660</v>
      </c>
      <c r="H641">
        <v>9911</v>
      </c>
      <c r="I641">
        <f>Orders[[#This Row],[Quantity]]*Orders[[#This Row],[Selling Price]]</f>
        <v>104940</v>
      </c>
      <c r="J641">
        <f>Orders[[#This Row],[Quantity]]*Orders[[#This Row],[Cost Price]]</f>
        <v>89199</v>
      </c>
      <c r="K641">
        <f>Orders[[#This Row],[Revenue]]-Orders[[#This Row],[Expenses]]</f>
        <v>15741</v>
      </c>
      <c r="L641" t="s">
        <v>2195</v>
      </c>
      <c r="M641" t="str">
        <f>_xlfn.XLOOKUP(Orders[[#This Row],[CustomerID]],Customers[CustomerID],Customers[City])</f>
        <v>Georgia</v>
      </c>
      <c r="N641" t="str">
        <f>_xlfn.XLOOKUP(Orders[[#This Row],[CustomerID]],Customers[CustomerID],Customers[CustomerName])</f>
        <v>Okon Adeyemi</v>
      </c>
      <c r="O641" t="str">
        <f>_xlfn.XLOOKUP(Orders[[#This Row],[CustomerID]],Customers[CustomerID],Customers[Gender])</f>
        <v>Male</v>
      </c>
      <c r="P641">
        <f>_xlfn.XLOOKUP(Orders[[#This Row],[CustomerID]],Customers[CustomerID],Customers[CustomerAge])</f>
        <v>31</v>
      </c>
      <c r="Q641" t="str">
        <f>IF(Orders[[#This Row],[Age]]&gt;=35,"older","young")</f>
        <v>young</v>
      </c>
      <c r="R641" t="str">
        <f>_xlfn.XLOOKUP(Orders[[#This Row],[ProductID]],Products[ProductID],Products[ProductName])</f>
        <v>DUMB BELLS</v>
      </c>
      <c r="S641" t="str">
        <f>_xlfn.XLOOKUP(Orders[[#This Row],[ProductID]],Products!A:A,Products!C:C)</f>
        <v>Gym</v>
      </c>
    </row>
    <row r="642" spans="1:19" x14ac:dyDescent="0.2">
      <c r="A642" s="4" t="s">
        <v>829</v>
      </c>
      <c r="B642" s="5">
        <v>46004</v>
      </c>
      <c r="C642" s="15">
        <f>WEEKNUM(Orders[[#This Row],[OrderDate]])</f>
        <v>50</v>
      </c>
      <c r="D642" s="4" t="s">
        <v>374</v>
      </c>
      <c r="E642" s="4" t="s">
        <v>84</v>
      </c>
      <c r="F642" s="4">
        <v>2</v>
      </c>
      <c r="G642" s="4">
        <v>1350.6</v>
      </c>
      <c r="H642">
        <v>1148.01</v>
      </c>
      <c r="I642">
        <f>Orders[[#This Row],[Quantity]]*Orders[[#This Row],[Selling Price]]</f>
        <v>2701.2</v>
      </c>
      <c r="J642">
        <f>Orders[[#This Row],[Quantity]]*Orders[[#This Row],[Cost Price]]</f>
        <v>2296.02</v>
      </c>
      <c r="K642">
        <f>Orders[[#This Row],[Revenue]]-Orders[[#This Row],[Expenses]]</f>
        <v>405.17999999999984</v>
      </c>
      <c r="L642" t="s">
        <v>2193</v>
      </c>
      <c r="M642" t="str">
        <f>_xlfn.XLOOKUP(Orders[[#This Row],[CustomerID]],Customers[CustomerID],Customers[City])</f>
        <v>Texas</v>
      </c>
      <c r="N642" t="str">
        <f>_xlfn.XLOOKUP(Orders[[#This Row],[CustomerID]],Customers[CustomerID],Customers[CustomerName])</f>
        <v>Uche Okonkwo</v>
      </c>
      <c r="O642" t="str">
        <f>_xlfn.XLOOKUP(Orders[[#This Row],[CustomerID]],Customers[CustomerID],Customers[Gender])</f>
        <v>Male</v>
      </c>
      <c r="P642">
        <f>_xlfn.XLOOKUP(Orders[[#This Row],[CustomerID]],Customers[CustomerID],Customers[CustomerAge])</f>
        <v>27</v>
      </c>
      <c r="Q642" t="str">
        <f>IF(Orders[[#This Row],[Age]]&gt;=35,"older","young")</f>
        <v>young</v>
      </c>
      <c r="R642" t="str">
        <f>_xlfn.XLOOKUP(Orders[[#This Row],[ProductID]],Products[ProductID],Products[ProductName])</f>
        <v>GYM WEARS</v>
      </c>
      <c r="S642" t="str">
        <f>_xlfn.XLOOKUP(Orders[[#This Row],[ProductID]],Products!A:A,Products!C:C)</f>
        <v>Clothing</v>
      </c>
    </row>
    <row r="643" spans="1:19" x14ac:dyDescent="0.2">
      <c r="A643" s="4" t="s">
        <v>830</v>
      </c>
      <c r="B643" s="5">
        <v>45938</v>
      </c>
      <c r="C643" s="15">
        <f>WEEKNUM(Orders[[#This Row],[OrderDate]])</f>
        <v>41</v>
      </c>
      <c r="D643" s="4" t="s">
        <v>514</v>
      </c>
      <c r="E643" s="4" t="s">
        <v>76</v>
      </c>
      <c r="F643" s="4">
        <v>8</v>
      </c>
      <c r="G643" s="4">
        <v>18209.599999999999</v>
      </c>
      <c r="H643">
        <v>15478.16</v>
      </c>
      <c r="I643">
        <f>Orders[[#This Row],[Quantity]]*Orders[[#This Row],[Selling Price]]</f>
        <v>145676.79999999999</v>
      </c>
      <c r="J643">
        <f>Orders[[#This Row],[Quantity]]*Orders[[#This Row],[Cost Price]]</f>
        <v>123825.28</v>
      </c>
      <c r="K643">
        <f>Orders[[#This Row],[Revenue]]-Orders[[#This Row],[Expenses]]</f>
        <v>21851.51999999999</v>
      </c>
      <c r="L643" t="s">
        <v>2220</v>
      </c>
      <c r="M643" t="str">
        <f>_xlfn.XLOOKUP(Orders[[#This Row],[CustomerID]],Customers[CustomerID],Customers[City])</f>
        <v>Florida</v>
      </c>
      <c r="N643" t="str">
        <f>_xlfn.XLOOKUP(Orders[[#This Row],[CustomerID]],Customers[CustomerID],Customers[CustomerName])</f>
        <v>Ibrahim Okonkwo</v>
      </c>
      <c r="O643" t="str">
        <f>_xlfn.XLOOKUP(Orders[[#This Row],[CustomerID]],Customers[CustomerID],Customers[Gender])</f>
        <v>Male</v>
      </c>
      <c r="P643">
        <f>_xlfn.XLOOKUP(Orders[[#This Row],[CustomerID]],Customers[CustomerID],Customers[CustomerAge])</f>
        <v>28</v>
      </c>
      <c r="Q643" t="str">
        <f>IF(Orders[[#This Row],[Age]]&gt;=35,"older","young")</f>
        <v>young</v>
      </c>
      <c r="R643" t="str">
        <f>_xlfn.XLOOKUP(Orders[[#This Row],[ProductID]],Products[ProductID],Products[ProductName])</f>
        <v>BLENDER</v>
      </c>
      <c r="S643" t="str">
        <f>_xlfn.XLOOKUP(Orders[[#This Row],[ProductID]],Products!A:A,Products!C:C)</f>
        <v>Electronics</v>
      </c>
    </row>
    <row r="644" spans="1:19" x14ac:dyDescent="0.2">
      <c r="A644" s="4" t="s">
        <v>831</v>
      </c>
      <c r="B644" s="5">
        <v>45973</v>
      </c>
      <c r="C644" s="15">
        <f>WEEKNUM(Orders[[#This Row],[OrderDate]])</f>
        <v>46</v>
      </c>
      <c r="D644" s="4" t="s">
        <v>176</v>
      </c>
      <c r="E644" s="4" t="s">
        <v>34</v>
      </c>
      <c r="F644" s="4">
        <v>4</v>
      </c>
      <c r="G644" s="4">
        <v>7502.7999999999993</v>
      </c>
      <c r="H644">
        <v>6377.3799999999992</v>
      </c>
      <c r="I644">
        <f>Orders[[#This Row],[Quantity]]*Orders[[#This Row],[Selling Price]]</f>
        <v>30011.199999999997</v>
      </c>
      <c r="J644">
        <f>Orders[[#This Row],[Quantity]]*Orders[[#This Row],[Cost Price]]</f>
        <v>25509.519999999997</v>
      </c>
      <c r="K644">
        <f>Orders[[#This Row],[Revenue]]-Orders[[#This Row],[Expenses]]</f>
        <v>4501.68</v>
      </c>
      <c r="L644" t="s">
        <v>2208</v>
      </c>
      <c r="M644" t="str">
        <f>_xlfn.XLOOKUP(Orders[[#This Row],[CustomerID]],Customers[CustomerID],Customers[City])</f>
        <v>Florida</v>
      </c>
      <c r="N644" t="str">
        <f>_xlfn.XLOOKUP(Orders[[#This Row],[CustomerID]],Customers[CustomerID],Customers[CustomerName])</f>
        <v>Okon Eze</v>
      </c>
      <c r="O644" t="str">
        <f>_xlfn.XLOOKUP(Orders[[#This Row],[CustomerID]],Customers[CustomerID],Customers[Gender])</f>
        <v>Male</v>
      </c>
      <c r="P644">
        <f>_xlfn.XLOOKUP(Orders[[#This Row],[CustomerID]],Customers[CustomerID],Customers[CustomerAge])</f>
        <v>26</v>
      </c>
      <c r="Q644" t="str">
        <f>IF(Orders[[#This Row],[Age]]&gt;=35,"older","young")</f>
        <v>young</v>
      </c>
      <c r="R644" t="str">
        <f>_xlfn.XLOOKUP(Orders[[#This Row],[ProductID]],Products[ProductID],Products[ProductName])</f>
        <v>GOLD BRACELETS</v>
      </c>
      <c r="S644" t="str">
        <f>_xlfn.XLOOKUP(Orders[[#This Row],[ProductID]],Products!A:A,Products!C:C)</f>
        <v>Accessories</v>
      </c>
    </row>
    <row r="645" spans="1:19" x14ac:dyDescent="0.2">
      <c r="A645" s="4" t="s">
        <v>832</v>
      </c>
      <c r="B645" s="5">
        <v>45962</v>
      </c>
      <c r="C645" s="15">
        <f>WEEKNUM(Orders[[#This Row],[OrderDate]])</f>
        <v>44</v>
      </c>
      <c r="D645" s="4" t="s">
        <v>833</v>
      </c>
      <c r="E645" s="4" t="s">
        <v>81</v>
      </c>
      <c r="F645" s="4">
        <v>2</v>
      </c>
      <c r="G645" s="4">
        <v>15249</v>
      </c>
      <c r="H645">
        <v>12961.65</v>
      </c>
      <c r="I645">
        <f>Orders[[#This Row],[Quantity]]*Orders[[#This Row],[Selling Price]]</f>
        <v>30498</v>
      </c>
      <c r="J645">
        <f>Orders[[#This Row],[Quantity]]*Orders[[#This Row],[Cost Price]]</f>
        <v>25923.3</v>
      </c>
      <c r="K645">
        <f>Orders[[#This Row],[Revenue]]-Orders[[#This Row],[Expenses]]</f>
        <v>4574.7000000000007</v>
      </c>
      <c r="L645" t="s">
        <v>2196</v>
      </c>
      <c r="M645" t="str">
        <f>_xlfn.XLOOKUP(Orders[[#This Row],[CustomerID]],Customers[CustomerID],Customers[City])</f>
        <v>Washington</v>
      </c>
      <c r="N645" t="str">
        <f>_xlfn.XLOOKUP(Orders[[#This Row],[CustomerID]],Customers[CustomerID],Customers[CustomerName])</f>
        <v>Abiola Adeyemi</v>
      </c>
      <c r="O645" t="str">
        <f>_xlfn.XLOOKUP(Orders[[#This Row],[CustomerID]],Customers[CustomerID],Customers[Gender])</f>
        <v>Male</v>
      </c>
      <c r="P645">
        <f>_xlfn.XLOOKUP(Orders[[#This Row],[CustomerID]],Customers[CustomerID],Customers[CustomerAge])</f>
        <v>53</v>
      </c>
      <c r="Q645" t="str">
        <f>IF(Orders[[#This Row],[Age]]&gt;=35,"older","young")</f>
        <v>older</v>
      </c>
      <c r="R645" t="str">
        <f>_xlfn.XLOOKUP(Orders[[#This Row],[ProductID]],Products[ProductID],Products[ProductName])</f>
        <v>TROUSERS</v>
      </c>
      <c r="S645" t="str">
        <f>_xlfn.XLOOKUP(Orders[[#This Row],[ProductID]],Products!A:A,Products!C:C)</f>
        <v>Clothing</v>
      </c>
    </row>
    <row r="646" spans="1:19" x14ac:dyDescent="0.2">
      <c r="A646" s="4" t="s">
        <v>834</v>
      </c>
      <c r="B646" s="5">
        <v>45939</v>
      </c>
      <c r="C646" s="15">
        <f>WEEKNUM(Orders[[#This Row],[OrderDate]])</f>
        <v>41</v>
      </c>
      <c r="D646" s="4" t="s">
        <v>116</v>
      </c>
      <c r="E646" s="4" t="s">
        <v>23</v>
      </c>
      <c r="F646" s="4">
        <v>6</v>
      </c>
      <c r="G646" s="4">
        <v>17607.099999999999</v>
      </c>
      <c r="H646">
        <v>14966.035</v>
      </c>
      <c r="I646">
        <f>Orders[[#This Row],[Quantity]]*Orders[[#This Row],[Selling Price]]</f>
        <v>105642.59999999999</v>
      </c>
      <c r="J646">
        <f>Orders[[#This Row],[Quantity]]*Orders[[#This Row],[Cost Price]]</f>
        <v>89796.209999999992</v>
      </c>
      <c r="K646">
        <f>Orders[[#This Row],[Revenue]]-Orders[[#This Row],[Expenses]]</f>
        <v>15846.39</v>
      </c>
      <c r="L646" t="s">
        <v>2203</v>
      </c>
      <c r="M646" t="str">
        <f>_xlfn.XLOOKUP(Orders[[#This Row],[CustomerID]],Customers[CustomerID],Customers[City])</f>
        <v>Texas</v>
      </c>
      <c r="N646" t="str">
        <f>_xlfn.XLOOKUP(Orders[[#This Row],[CustomerID]],Customers[CustomerID],Customers[CustomerName])</f>
        <v>Uche Bello</v>
      </c>
      <c r="O646" t="str">
        <f>_xlfn.XLOOKUP(Orders[[#This Row],[CustomerID]],Customers[CustomerID],Customers[Gender])</f>
        <v>Male</v>
      </c>
      <c r="P646">
        <f>_xlfn.XLOOKUP(Orders[[#This Row],[CustomerID]],Customers[CustomerID],Customers[CustomerAge])</f>
        <v>21</v>
      </c>
      <c r="Q646" t="str">
        <f>IF(Orders[[#This Row],[Age]]&gt;=35,"older","young")</f>
        <v>young</v>
      </c>
      <c r="R646" t="str">
        <f>_xlfn.XLOOKUP(Orders[[#This Row],[ProductID]],Products[ProductID],Products[ProductName])</f>
        <v>GYM GLOVES</v>
      </c>
      <c r="S646" t="str">
        <f>_xlfn.XLOOKUP(Orders[[#This Row],[ProductID]],Products!A:A,Products!C:C)</f>
        <v>Gym</v>
      </c>
    </row>
    <row r="647" spans="1:19" x14ac:dyDescent="0.2">
      <c r="A647" s="4" t="s">
        <v>835</v>
      </c>
      <c r="B647" s="5">
        <v>45937</v>
      </c>
      <c r="C647" s="15">
        <f>WEEKNUM(Orders[[#This Row],[OrderDate]])</f>
        <v>41</v>
      </c>
      <c r="D647" s="4" t="s">
        <v>80</v>
      </c>
      <c r="E647" s="4" t="s">
        <v>15</v>
      </c>
      <c r="F647" s="4">
        <v>8</v>
      </c>
      <c r="G647" s="4">
        <v>15002.3</v>
      </c>
      <c r="H647">
        <v>12751.955</v>
      </c>
      <c r="I647">
        <f>Orders[[#This Row],[Quantity]]*Orders[[#This Row],[Selling Price]]</f>
        <v>120018.4</v>
      </c>
      <c r="J647">
        <f>Orders[[#This Row],[Quantity]]*Orders[[#This Row],[Cost Price]]</f>
        <v>102015.64</v>
      </c>
      <c r="K647">
        <f>Orders[[#This Row],[Revenue]]-Orders[[#This Row],[Expenses]]</f>
        <v>18002.759999999995</v>
      </c>
      <c r="L647" t="s">
        <v>2199</v>
      </c>
      <c r="M647" t="str">
        <f>_xlfn.XLOOKUP(Orders[[#This Row],[CustomerID]],Customers[CustomerID],Customers[City])</f>
        <v>Texas</v>
      </c>
      <c r="N647" t="str">
        <f>_xlfn.XLOOKUP(Orders[[#This Row],[CustomerID]],Customers[CustomerID],Customers[CustomerName])</f>
        <v>Sani Ojo</v>
      </c>
      <c r="O647" t="str">
        <f>_xlfn.XLOOKUP(Orders[[#This Row],[CustomerID]],Customers[CustomerID],Customers[Gender])</f>
        <v>Male</v>
      </c>
      <c r="P647">
        <f>_xlfn.XLOOKUP(Orders[[#This Row],[CustomerID]],Customers[CustomerID],Customers[CustomerAge])</f>
        <v>35</v>
      </c>
      <c r="Q647" t="str">
        <f>IF(Orders[[#This Row],[Age]]&gt;=35,"older","young")</f>
        <v>older</v>
      </c>
      <c r="R647" t="str">
        <f>_xlfn.XLOOKUP(Orders[[#This Row],[ProductID]],Products[ProductID],Products[ProductName])</f>
        <v>MONOPOLY</v>
      </c>
      <c r="S647" t="str">
        <f>_xlfn.XLOOKUP(Orders[[#This Row],[ProductID]],Products!A:A,Products!C:C)</f>
        <v>Games</v>
      </c>
    </row>
    <row r="648" spans="1:19" x14ac:dyDescent="0.2">
      <c r="A648" s="4" t="s">
        <v>836</v>
      </c>
      <c r="B648" s="5">
        <v>45953</v>
      </c>
      <c r="C648" s="15">
        <f>WEEKNUM(Orders[[#This Row],[OrderDate]])</f>
        <v>43</v>
      </c>
      <c r="D648" s="4" t="s">
        <v>514</v>
      </c>
      <c r="E648" s="4" t="s">
        <v>84</v>
      </c>
      <c r="F648" s="4">
        <v>10</v>
      </c>
      <c r="G648" s="4">
        <v>16921</v>
      </c>
      <c r="H648">
        <v>14382.85</v>
      </c>
      <c r="I648">
        <f>Orders[[#This Row],[Quantity]]*Orders[[#This Row],[Selling Price]]</f>
        <v>169210</v>
      </c>
      <c r="J648">
        <f>Orders[[#This Row],[Quantity]]*Orders[[#This Row],[Cost Price]]</f>
        <v>143828.5</v>
      </c>
      <c r="K648">
        <f>Orders[[#This Row],[Revenue]]-Orders[[#This Row],[Expenses]]</f>
        <v>25381.5</v>
      </c>
      <c r="L648" t="s">
        <v>2219</v>
      </c>
      <c r="M648" t="str">
        <f>_xlfn.XLOOKUP(Orders[[#This Row],[CustomerID]],Customers[CustomerID],Customers[City])</f>
        <v>Florida</v>
      </c>
      <c r="N648" t="str">
        <f>_xlfn.XLOOKUP(Orders[[#This Row],[CustomerID]],Customers[CustomerID],Customers[CustomerName])</f>
        <v>Ibrahim Okonkwo</v>
      </c>
      <c r="O648" t="str">
        <f>_xlfn.XLOOKUP(Orders[[#This Row],[CustomerID]],Customers[CustomerID],Customers[Gender])</f>
        <v>Male</v>
      </c>
      <c r="P648">
        <f>_xlfn.XLOOKUP(Orders[[#This Row],[CustomerID]],Customers[CustomerID],Customers[CustomerAge])</f>
        <v>28</v>
      </c>
      <c r="Q648" t="str">
        <f>IF(Orders[[#This Row],[Age]]&gt;=35,"older","young")</f>
        <v>young</v>
      </c>
      <c r="R648" t="str">
        <f>_xlfn.XLOOKUP(Orders[[#This Row],[ProductID]],Products[ProductID],Products[ProductName])</f>
        <v>GYM WEARS</v>
      </c>
      <c r="S648" t="str">
        <f>_xlfn.XLOOKUP(Orders[[#This Row],[ProductID]],Products!A:A,Products!C:C)</f>
        <v>Clothing</v>
      </c>
    </row>
    <row r="649" spans="1:19" x14ac:dyDescent="0.2">
      <c r="A649" s="4" t="s">
        <v>837</v>
      </c>
      <c r="B649" s="5">
        <v>45933</v>
      </c>
      <c r="C649" s="15">
        <f>WEEKNUM(Orders[[#This Row],[OrderDate]])</f>
        <v>40</v>
      </c>
      <c r="D649" s="4" t="s">
        <v>198</v>
      </c>
      <c r="E649" s="4" t="s">
        <v>31</v>
      </c>
      <c r="F649" s="4">
        <v>10</v>
      </c>
      <c r="G649" s="4">
        <v>16861.400000000001</v>
      </c>
      <c r="H649">
        <v>14332.190000000002</v>
      </c>
      <c r="I649">
        <f>Orders[[#This Row],[Quantity]]*Orders[[#This Row],[Selling Price]]</f>
        <v>168614</v>
      </c>
      <c r="J649">
        <f>Orders[[#This Row],[Quantity]]*Orders[[#This Row],[Cost Price]]</f>
        <v>143321.90000000002</v>
      </c>
      <c r="K649">
        <f>Orders[[#This Row],[Revenue]]-Orders[[#This Row],[Expenses]]</f>
        <v>25292.099999999977</v>
      </c>
      <c r="L649" t="s">
        <v>2211</v>
      </c>
      <c r="M649" t="str">
        <f>_xlfn.XLOOKUP(Orders[[#This Row],[CustomerID]],Customers[CustomerID],Customers[City])</f>
        <v>Texas</v>
      </c>
      <c r="N649" t="str">
        <f>_xlfn.XLOOKUP(Orders[[#This Row],[CustomerID]],Customers[CustomerID],Customers[CustomerName])</f>
        <v>Blessing Danladi</v>
      </c>
      <c r="O649" t="str">
        <f>_xlfn.XLOOKUP(Orders[[#This Row],[CustomerID]],Customers[CustomerID],Customers[Gender])</f>
        <v>Female</v>
      </c>
      <c r="P649">
        <f>_xlfn.XLOOKUP(Orders[[#This Row],[CustomerID]],Customers[CustomerID],Customers[CustomerAge])</f>
        <v>19</v>
      </c>
      <c r="Q649" t="str">
        <f>IF(Orders[[#This Row],[Age]]&gt;=35,"older","young")</f>
        <v>young</v>
      </c>
      <c r="R649" t="str">
        <f>_xlfn.XLOOKUP(Orders[[#This Row],[ProductID]],Products[ProductID],Products[ProductName])</f>
        <v>KIDS GAMES</v>
      </c>
      <c r="S649" t="str">
        <f>_xlfn.XLOOKUP(Orders[[#This Row],[ProductID]],Products!A:A,Products!C:C)</f>
        <v>Games</v>
      </c>
    </row>
    <row r="650" spans="1:19" x14ac:dyDescent="0.2">
      <c r="A650" s="4" t="s">
        <v>838</v>
      </c>
      <c r="B650" s="5">
        <v>45984</v>
      </c>
      <c r="C650" s="15">
        <f>WEEKNUM(Orders[[#This Row],[OrderDate]])</f>
        <v>48</v>
      </c>
      <c r="D650" s="4" t="s">
        <v>388</v>
      </c>
      <c r="E650" s="4" t="s">
        <v>111</v>
      </c>
      <c r="F650" s="4">
        <v>4</v>
      </c>
      <c r="G650" s="4">
        <v>12416.800000000001</v>
      </c>
      <c r="H650">
        <v>10554.28</v>
      </c>
      <c r="I650">
        <f>Orders[[#This Row],[Quantity]]*Orders[[#This Row],[Selling Price]]</f>
        <v>49667.200000000004</v>
      </c>
      <c r="J650">
        <f>Orders[[#This Row],[Quantity]]*Orders[[#This Row],[Cost Price]]</f>
        <v>42217.120000000003</v>
      </c>
      <c r="K650">
        <f>Orders[[#This Row],[Revenue]]-Orders[[#This Row],[Expenses]]</f>
        <v>7450.0800000000017</v>
      </c>
      <c r="L650" t="s">
        <v>2206</v>
      </c>
      <c r="M650" t="str">
        <f>_xlfn.XLOOKUP(Orders[[#This Row],[CustomerID]],Customers[CustomerID],Customers[City])</f>
        <v>Washington</v>
      </c>
      <c r="N650" t="str">
        <f>_xlfn.XLOOKUP(Orders[[#This Row],[CustomerID]],Customers[CustomerID],Customers[CustomerName])</f>
        <v>Folasade Okonkwo</v>
      </c>
      <c r="O650" t="str">
        <f>_xlfn.XLOOKUP(Orders[[#This Row],[CustomerID]],Customers[CustomerID],Customers[Gender])</f>
        <v>Female</v>
      </c>
      <c r="P650">
        <f>_xlfn.XLOOKUP(Orders[[#This Row],[CustomerID]],Customers[CustomerID],Customers[CustomerAge])</f>
        <v>52</v>
      </c>
      <c r="Q650" t="str">
        <f>IF(Orders[[#This Row],[Age]]&gt;=35,"older","young")</f>
        <v>older</v>
      </c>
      <c r="R650" t="str">
        <f>_xlfn.XLOOKUP(Orders[[#This Row],[ProductID]],Products[ProductID],Products[ProductName])</f>
        <v>REFRIGERATOR</v>
      </c>
      <c r="S650" t="str">
        <f>_xlfn.XLOOKUP(Orders[[#This Row],[ProductID]],Products!A:A,Products!C:C)</f>
        <v>Electronics</v>
      </c>
    </row>
    <row r="651" spans="1:19" x14ac:dyDescent="0.2">
      <c r="A651" s="4" t="s">
        <v>839</v>
      </c>
      <c r="B651" s="5">
        <v>46010</v>
      </c>
      <c r="C651" s="15">
        <f>WEEKNUM(Orders[[#This Row],[OrderDate]])</f>
        <v>51</v>
      </c>
      <c r="D651" s="4" t="s">
        <v>214</v>
      </c>
      <c r="E651" s="4" t="s">
        <v>232</v>
      </c>
      <c r="F651" s="4">
        <v>8</v>
      </c>
      <c r="G651" s="4">
        <v>9369</v>
      </c>
      <c r="H651">
        <v>7963.65</v>
      </c>
      <c r="I651">
        <f>Orders[[#This Row],[Quantity]]*Orders[[#This Row],[Selling Price]]</f>
        <v>74952</v>
      </c>
      <c r="J651">
        <f>Orders[[#This Row],[Quantity]]*Orders[[#This Row],[Cost Price]]</f>
        <v>63709.2</v>
      </c>
      <c r="K651">
        <f>Orders[[#This Row],[Revenue]]-Orders[[#This Row],[Expenses]]</f>
        <v>11242.800000000003</v>
      </c>
      <c r="L651" t="s">
        <v>2217</v>
      </c>
      <c r="M651" t="str">
        <f>_xlfn.XLOOKUP(Orders[[#This Row],[CustomerID]],Customers[CustomerID],Customers[City])</f>
        <v>California</v>
      </c>
      <c r="N651" t="str">
        <f>_xlfn.XLOOKUP(Orders[[#This Row],[CustomerID]],Customers[CustomerID],Customers[CustomerName])</f>
        <v>Adanma Okonkwo</v>
      </c>
      <c r="O651" t="str">
        <f>_xlfn.XLOOKUP(Orders[[#This Row],[CustomerID]],Customers[CustomerID],Customers[Gender])</f>
        <v>Female</v>
      </c>
      <c r="P651">
        <f>_xlfn.XLOOKUP(Orders[[#This Row],[CustomerID]],Customers[CustomerID],Customers[CustomerAge])</f>
        <v>20</v>
      </c>
      <c r="Q651" t="str">
        <f>IF(Orders[[#This Row],[Age]]&gt;=35,"older","young")</f>
        <v>young</v>
      </c>
      <c r="R651" t="str">
        <f>_xlfn.XLOOKUP(Orders[[#This Row],[ProductID]],Products[ProductID],Products[ProductName])</f>
        <v>ANKARA</v>
      </c>
      <c r="S651" t="str">
        <f>_xlfn.XLOOKUP(Orders[[#This Row],[ProductID]],Products!A:A,Products!C:C)</f>
        <v>Clothing</v>
      </c>
    </row>
    <row r="652" spans="1:19" x14ac:dyDescent="0.2">
      <c r="A652" s="4" t="s">
        <v>840</v>
      </c>
      <c r="B652" s="5">
        <v>45964</v>
      </c>
      <c r="C652" s="15">
        <f>WEEKNUM(Orders[[#This Row],[OrderDate]])</f>
        <v>45</v>
      </c>
      <c r="D652" s="4" t="s">
        <v>552</v>
      </c>
      <c r="E652" s="4" t="s">
        <v>46</v>
      </c>
      <c r="F652" s="4">
        <v>10</v>
      </c>
      <c r="G652" s="4">
        <v>8678.7000000000007</v>
      </c>
      <c r="H652">
        <v>7376.8950000000004</v>
      </c>
      <c r="I652">
        <f>Orders[[#This Row],[Quantity]]*Orders[[#This Row],[Selling Price]]</f>
        <v>86787</v>
      </c>
      <c r="J652">
        <f>Orders[[#This Row],[Quantity]]*Orders[[#This Row],[Cost Price]]</f>
        <v>73768.950000000012</v>
      </c>
      <c r="K652">
        <f>Orders[[#This Row],[Revenue]]-Orders[[#This Row],[Expenses]]</f>
        <v>13018.049999999988</v>
      </c>
      <c r="L652" t="s">
        <v>2195</v>
      </c>
      <c r="M652" t="str">
        <f>_xlfn.XLOOKUP(Orders[[#This Row],[CustomerID]],Customers[CustomerID],Customers[City])</f>
        <v>Georgia</v>
      </c>
      <c r="N652" t="str">
        <f>_xlfn.XLOOKUP(Orders[[#This Row],[CustomerID]],Customers[CustomerID],Customers[CustomerName])</f>
        <v>Chioma Eze</v>
      </c>
      <c r="O652" t="str">
        <f>_xlfn.XLOOKUP(Orders[[#This Row],[CustomerID]],Customers[CustomerID],Customers[Gender])</f>
        <v>Female</v>
      </c>
      <c r="P652">
        <f>_xlfn.XLOOKUP(Orders[[#This Row],[CustomerID]],Customers[CustomerID],Customers[CustomerAge])</f>
        <v>40</v>
      </c>
      <c r="Q652" t="str">
        <f>IF(Orders[[#This Row],[Age]]&gt;=35,"older","young")</f>
        <v>older</v>
      </c>
      <c r="R652" t="str">
        <f>_xlfn.XLOOKUP(Orders[[#This Row],[ProductID]],Products[ProductID],Products[ProductName])</f>
        <v>TURTLE NECK</v>
      </c>
      <c r="S652" t="str">
        <f>_xlfn.XLOOKUP(Orders[[#This Row],[ProductID]],Products!A:A,Products!C:C)</f>
        <v>Clothing</v>
      </c>
    </row>
    <row r="653" spans="1:19" x14ac:dyDescent="0.2">
      <c r="A653" s="4" t="s">
        <v>841</v>
      </c>
      <c r="B653" s="5">
        <v>45958</v>
      </c>
      <c r="C653" s="15">
        <f>WEEKNUM(Orders[[#This Row],[OrderDate]])</f>
        <v>44</v>
      </c>
      <c r="D653" s="4" t="s">
        <v>50</v>
      </c>
      <c r="E653" s="4" t="s">
        <v>253</v>
      </c>
      <c r="F653" s="4">
        <v>7</v>
      </c>
      <c r="G653" s="4">
        <v>16886.8</v>
      </c>
      <c r="H653">
        <v>14353.779999999999</v>
      </c>
      <c r="I653">
        <f>Orders[[#This Row],[Quantity]]*Orders[[#This Row],[Selling Price]]</f>
        <v>118207.59999999999</v>
      </c>
      <c r="J653">
        <f>Orders[[#This Row],[Quantity]]*Orders[[#This Row],[Cost Price]]</f>
        <v>100476.45999999999</v>
      </c>
      <c r="K653">
        <f>Orders[[#This Row],[Revenue]]-Orders[[#This Row],[Expenses]]</f>
        <v>17731.14</v>
      </c>
      <c r="L653" t="s">
        <v>2217</v>
      </c>
      <c r="M653" t="str">
        <f>_xlfn.XLOOKUP(Orders[[#This Row],[CustomerID]],Customers[CustomerID],Customers[City])</f>
        <v>California</v>
      </c>
      <c r="N653" t="str">
        <f>_xlfn.XLOOKUP(Orders[[#This Row],[CustomerID]],Customers[CustomerID],Customers[CustomerName])</f>
        <v>Funke Danladi</v>
      </c>
      <c r="O653" t="str">
        <f>_xlfn.XLOOKUP(Orders[[#This Row],[CustomerID]],Customers[CustomerID],Customers[Gender])</f>
        <v>Female</v>
      </c>
      <c r="P653">
        <f>_xlfn.XLOOKUP(Orders[[#This Row],[CustomerID]],Customers[CustomerID],Customers[CustomerAge])</f>
        <v>31</v>
      </c>
      <c r="Q653" t="str">
        <f>IF(Orders[[#This Row],[Age]]&gt;=35,"older","young")</f>
        <v>young</v>
      </c>
      <c r="R653" t="str">
        <f>_xlfn.XLOOKUP(Orders[[#This Row],[ProductID]],Products[ProductID],Products[ProductName])</f>
        <v>NOSE RINGS</v>
      </c>
      <c r="S653" t="str">
        <f>_xlfn.XLOOKUP(Orders[[#This Row],[ProductID]],Products!A:A,Products!C:C)</f>
        <v>Accessories</v>
      </c>
    </row>
    <row r="654" spans="1:19" x14ac:dyDescent="0.2">
      <c r="A654" s="4" t="s">
        <v>842</v>
      </c>
      <c r="B654" s="5">
        <v>45990</v>
      </c>
      <c r="C654" s="15">
        <f>WEEKNUM(Orders[[#This Row],[OrderDate]])</f>
        <v>48</v>
      </c>
      <c r="D654" s="4" t="s">
        <v>293</v>
      </c>
      <c r="E654" s="4" t="s">
        <v>57</v>
      </c>
      <c r="F654" s="4">
        <v>5</v>
      </c>
      <c r="G654" s="4">
        <v>8675.4</v>
      </c>
      <c r="H654">
        <v>7374.09</v>
      </c>
      <c r="I654">
        <f>Orders[[#This Row],[Quantity]]*Orders[[#This Row],[Selling Price]]</f>
        <v>43377</v>
      </c>
      <c r="J654">
        <f>Orders[[#This Row],[Quantity]]*Orders[[#This Row],[Cost Price]]</f>
        <v>36870.449999999997</v>
      </c>
      <c r="K654">
        <f>Orders[[#This Row],[Revenue]]-Orders[[#This Row],[Expenses]]</f>
        <v>6506.5500000000029</v>
      </c>
      <c r="L654" t="s">
        <v>2192</v>
      </c>
      <c r="M654" t="str">
        <f>_xlfn.XLOOKUP(Orders[[#This Row],[CustomerID]],Customers[CustomerID],Customers[City])</f>
        <v>Florida</v>
      </c>
      <c r="N654" t="str">
        <f>_xlfn.XLOOKUP(Orders[[#This Row],[CustomerID]],Customers[CustomerID],Customers[CustomerName])</f>
        <v>Tunde Eze</v>
      </c>
      <c r="O654" t="str">
        <f>_xlfn.XLOOKUP(Orders[[#This Row],[CustomerID]],Customers[CustomerID],Customers[Gender])</f>
        <v>Male</v>
      </c>
      <c r="P654">
        <f>_xlfn.XLOOKUP(Orders[[#This Row],[CustomerID]],Customers[CustomerID],Customers[CustomerAge])</f>
        <v>46</v>
      </c>
      <c r="Q654" t="str">
        <f>IF(Orders[[#This Row],[Age]]&gt;=35,"older","young")</f>
        <v>older</v>
      </c>
      <c r="R654" t="str">
        <f>_xlfn.XLOOKUP(Orders[[#This Row],[ProductID]],Products[ProductID],Products[ProductName])</f>
        <v>BADMINTON RACKET</v>
      </c>
      <c r="S654" t="str">
        <f>_xlfn.XLOOKUP(Orders[[#This Row],[ProductID]],Products!A:A,Products!C:C)</f>
        <v>Sports</v>
      </c>
    </row>
    <row r="655" spans="1:19" x14ac:dyDescent="0.2">
      <c r="A655" s="4" t="s">
        <v>843</v>
      </c>
      <c r="B655" s="5">
        <v>45991</v>
      </c>
      <c r="C655" s="15">
        <f>WEEKNUM(Orders[[#This Row],[OrderDate]])</f>
        <v>49</v>
      </c>
      <c r="D655" s="4" t="s">
        <v>201</v>
      </c>
      <c r="E655" s="4" t="s">
        <v>168</v>
      </c>
      <c r="F655" s="4">
        <v>8</v>
      </c>
      <c r="G655" s="4">
        <v>15951.800000000001</v>
      </c>
      <c r="H655">
        <v>13559.03</v>
      </c>
      <c r="I655">
        <f>Orders[[#This Row],[Quantity]]*Orders[[#This Row],[Selling Price]]</f>
        <v>127614.40000000001</v>
      </c>
      <c r="J655">
        <f>Orders[[#This Row],[Quantity]]*Orders[[#This Row],[Cost Price]]</f>
        <v>108472.24</v>
      </c>
      <c r="K655">
        <f>Orders[[#This Row],[Revenue]]-Orders[[#This Row],[Expenses]]</f>
        <v>19142.160000000003</v>
      </c>
      <c r="L655" t="s">
        <v>2218</v>
      </c>
      <c r="M655" t="str">
        <f>_xlfn.XLOOKUP(Orders[[#This Row],[CustomerID]],Customers[CustomerID],Customers[City])</f>
        <v>Georgia</v>
      </c>
      <c r="N655" t="str">
        <f>_xlfn.XLOOKUP(Orders[[#This Row],[CustomerID]],Customers[CustomerID],Customers[CustomerName])</f>
        <v>Sani Igwe</v>
      </c>
      <c r="O655" t="str">
        <f>_xlfn.XLOOKUP(Orders[[#This Row],[CustomerID]],Customers[CustomerID],Customers[Gender])</f>
        <v>Male</v>
      </c>
      <c r="P655">
        <f>_xlfn.XLOOKUP(Orders[[#This Row],[CustomerID]],Customers[CustomerID],Customers[CustomerAge])</f>
        <v>20</v>
      </c>
      <c r="Q655" t="str">
        <f>IF(Orders[[#This Row],[Age]]&gt;=35,"older","young")</f>
        <v>young</v>
      </c>
      <c r="R655" t="str">
        <f>_xlfn.XLOOKUP(Orders[[#This Row],[ProductID]],Products[ProductID],Products[ProductName])</f>
        <v>DUMB BELLS</v>
      </c>
      <c r="S655" t="str">
        <f>_xlfn.XLOOKUP(Orders[[#This Row],[ProductID]],Products!A:A,Products!C:C)</f>
        <v>Gym</v>
      </c>
    </row>
    <row r="656" spans="1:19" x14ac:dyDescent="0.2">
      <c r="A656" s="4" t="s">
        <v>844</v>
      </c>
      <c r="B656" s="5">
        <v>46002</v>
      </c>
      <c r="C656" s="15">
        <f>WEEKNUM(Orders[[#This Row],[OrderDate]])</f>
        <v>50</v>
      </c>
      <c r="D656" s="4" t="s">
        <v>317</v>
      </c>
      <c r="E656" s="4" t="s">
        <v>9</v>
      </c>
      <c r="F656" s="4">
        <v>5</v>
      </c>
      <c r="G656" s="4">
        <v>8252.9</v>
      </c>
      <c r="H656">
        <v>7014.9650000000001</v>
      </c>
      <c r="I656">
        <f>Orders[[#This Row],[Quantity]]*Orders[[#This Row],[Selling Price]]</f>
        <v>41264.5</v>
      </c>
      <c r="J656">
        <f>Orders[[#This Row],[Quantity]]*Orders[[#This Row],[Cost Price]]</f>
        <v>35074.824999999997</v>
      </c>
      <c r="K656">
        <f>Orders[[#This Row],[Revenue]]-Orders[[#This Row],[Expenses]]</f>
        <v>6189.6750000000029</v>
      </c>
      <c r="L656" t="s">
        <v>2195</v>
      </c>
      <c r="M656" t="str">
        <f>_xlfn.XLOOKUP(Orders[[#This Row],[CustomerID]],Customers[CustomerID],Customers[City])</f>
        <v>Texas</v>
      </c>
      <c r="N656" t="str">
        <f>_xlfn.XLOOKUP(Orders[[#This Row],[CustomerID]],Customers[CustomerID],Customers[CustomerName])</f>
        <v>Folasade Danladi</v>
      </c>
      <c r="O656" t="str">
        <f>_xlfn.XLOOKUP(Orders[[#This Row],[CustomerID]],Customers[CustomerID],Customers[Gender])</f>
        <v>Female</v>
      </c>
      <c r="P656">
        <f>_xlfn.XLOOKUP(Orders[[#This Row],[CustomerID]],Customers[CustomerID],Customers[CustomerAge])</f>
        <v>28</v>
      </c>
      <c r="Q656" t="str">
        <f>IF(Orders[[#This Row],[Age]]&gt;=35,"older","young")</f>
        <v>young</v>
      </c>
      <c r="R656" t="str">
        <f>_xlfn.XLOOKUP(Orders[[#This Row],[ProductID]],Products[ProductID],Products[ProductName])</f>
        <v>BEADED EARRINGS AND NECKLACES</v>
      </c>
      <c r="S656" t="str">
        <f>_xlfn.XLOOKUP(Orders[[#This Row],[ProductID]],Products!A:A,Products!C:C)</f>
        <v>Accessories</v>
      </c>
    </row>
    <row r="657" spans="1:19" x14ac:dyDescent="0.2">
      <c r="A657" s="4" t="s">
        <v>845</v>
      </c>
      <c r="B657" s="5">
        <v>46021</v>
      </c>
      <c r="C657" s="15">
        <f>WEEKNUM(Orders[[#This Row],[OrderDate]])</f>
        <v>53</v>
      </c>
      <c r="D657" s="4" t="s">
        <v>416</v>
      </c>
      <c r="E657" s="4" t="s">
        <v>34</v>
      </c>
      <c r="F657" s="4">
        <v>4</v>
      </c>
      <c r="G657" s="4">
        <v>12371.400000000001</v>
      </c>
      <c r="H657">
        <v>10515.690000000002</v>
      </c>
      <c r="I657">
        <f>Orders[[#This Row],[Quantity]]*Orders[[#This Row],[Selling Price]]</f>
        <v>49485.600000000006</v>
      </c>
      <c r="J657">
        <f>Orders[[#This Row],[Quantity]]*Orders[[#This Row],[Cost Price]]</f>
        <v>42062.760000000009</v>
      </c>
      <c r="K657">
        <f>Orders[[#This Row],[Revenue]]-Orders[[#This Row],[Expenses]]</f>
        <v>7422.8399999999965</v>
      </c>
      <c r="L657" t="s">
        <v>2204</v>
      </c>
      <c r="M657" t="str">
        <f>_xlfn.XLOOKUP(Orders[[#This Row],[CustomerID]],Customers[CustomerID],Customers[City])</f>
        <v>Texas</v>
      </c>
      <c r="N657" t="str">
        <f>_xlfn.XLOOKUP(Orders[[#This Row],[CustomerID]],Customers[CustomerID],Customers[CustomerName])</f>
        <v>Chinedu Igwe</v>
      </c>
      <c r="O657" t="str">
        <f>_xlfn.XLOOKUP(Orders[[#This Row],[CustomerID]],Customers[CustomerID],Customers[Gender])</f>
        <v>Male</v>
      </c>
      <c r="P657">
        <f>_xlfn.XLOOKUP(Orders[[#This Row],[CustomerID]],Customers[CustomerID],Customers[CustomerAge])</f>
        <v>26</v>
      </c>
      <c r="Q657" t="str">
        <f>IF(Orders[[#This Row],[Age]]&gt;=35,"older","young")</f>
        <v>young</v>
      </c>
      <c r="R657" t="str">
        <f>_xlfn.XLOOKUP(Orders[[#This Row],[ProductID]],Products[ProductID],Products[ProductName])</f>
        <v>GOLD BRACELETS</v>
      </c>
      <c r="S657" t="str">
        <f>_xlfn.XLOOKUP(Orders[[#This Row],[ProductID]],Products!A:A,Products!C:C)</f>
        <v>Accessories</v>
      </c>
    </row>
    <row r="658" spans="1:19" x14ac:dyDescent="0.2">
      <c r="A658" s="4" t="s">
        <v>846</v>
      </c>
      <c r="B658" s="5">
        <v>46012</v>
      </c>
      <c r="C658" s="15">
        <f>WEEKNUM(Orders[[#This Row],[OrderDate]])</f>
        <v>52</v>
      </c>
      <c r="D658" s="4" t="s">
        <v>322</v>
      </c>
      <c r="E658" s="4" t="s">
        <v>120</v>
      </c>
      <c r="F658" s="4">
        <v>6</v>
      </c>
      <c r="G658" s="4">
        <v>17298.099999999999</v>
      </c>
      <c r="H658">
        <v>14703.384999999998</v>
      </c>
      <c r="I658">
        <f>Orders[[#This Row],[Quantity]]*Orders[[#This Row],[Selling Price]]</f>
        <v>103788.59999999999</v>
      </c>
      <c r="J658">
        <f>Orders[[#This Row],[Quantity]]*Orders[[#This Row],[Cost Price]]</f>
        <v>88220.31</v>
      </c>
      <c r="K658">
        <f>Orders[[#This Row],[Revenue]]-Orders[[#This Row],[Expenses]]</f>
        <v>15568.289999999994</v>
      </c>
      <c r="L658" t="s">
        <v>2217</v>
      </c>
      <c r="M658" t="str">
        <f>_xlfn.XLOOKUP(Orders[[#This Row],[CustomerID]],Customers[CustomerID],Customers[City])</f>
        <v>Washington</v>
      </c>
      <c r="N658" t="str">
        <f>_xlfn.XLOOKUP(Orders[[#This Row],[CustomerID]],Customers[CustomerID],Customers[CustomerName])</f>
        <v>Ngozi Bello</v>
      </c>
      <c r="O658" t="str">
        <f>_xlfn.XLOOKUP(Orders[[#This Row],[CustomerID]],Customers[CustomerID],Customers[Gender])</f>
        <v>Female</v>
      </c>
      <c r="P658">
        <f>_xlfn.XLOOKUP(Orders[[#This Row],[CustomerID]],Customers[CustomerID],Customers[CustomerAge])</f>
        <v>32</v>
      </c>
      <c r="Q658" t="str">
        <f>IF(Orders[[#This Row],[Age]]&gt;=35,"older","young")</f>
        <v>young</v>
      </c>
      <c r="R658" t="str">
        <f>_xlfn.XLOOKUP(Orders[[#This Row],[ProductID]],Products[ProductID],Products[ProductName])</f>
        <v>CHESS</v>
      </c>
      <c r="S658" t="str">
        <f>_xlfn.XLOOKUP(Orders[[#This Row],[ProductID]],Products!A:A,Products!C:C)</f>
        <v>Games</v>
      </c>
    </row>
    <row r="659" spans="1:19" x14ac:dyDescent="0.2">
      <c r="A659" s="4" t="s">
        <v>847</v>
      </c>
      <c r="B659" s="5">
        <v>46007</v>
      </c>
      <c r="C659" s="15">
        <f>WEEKNUM(Orders[[#This Row],[OrderDate]])</f>
        <v>51</v>
      </c>
      <c r="D659" s="4" t="s">
        <v>426</v>
      </c>
      <c r="E659" s="4" t="s">
        <v>37</v>
      </c>
      <c r="F659" s="4">
        <v>4</v>
      </c>
      <c r="G659" s="4">
        <v>591.4</v>
      </c>
      <c r="H659">
        <v>502.69</v>
      </c>
      <c r="I659">
        <f>Orders[[#This Row],[Quantity]]*Orders[[#This Row],[Selling Price]]</f>
        <v>2365.6</v>
      </c>
      <c r="J659">
        <f>Orders[[#This Row],[Quantity]]*Orders[[#This Row],[Cost Price]]</f>
        <v>2010.76</v>
      </c>
      <c r="K659">
        <f>Orders[[#This Row],[Revenue]]-Orders[[#This Row],[Expenses]]</f>
        <v>354.83999999999992</v>
      </c>
      <c r="L659" t="s">
        <v>2194</v>
      </c>
      <c r="M659" t="str">
        <f>_xlfn.XLOOKUP(Orders[[#This Row],[CustomerID]],Customers[CustomerID],Customers[City])</f>
        <v>Washington</v>
      </c>
      <c r="N659" t="str">
        <f>_xlfn.XLOOKUP(Orders[[#This Row],[CustomerID]],Customers[CustomerID],Customers[CustomerName])</f>
        <v>Chinedu Ojo</v>
      </c>
      <c r="O659" t="str">
        <f>_xlfn.XLOOKUP(Orders[[#This Row],[CustomerID]],Customers[CustomerID],Customers[Gender])</f>
        <v>Male</v>
      </c>
      <c r="P659">
        <f>_xlfn.XLOOKUP(Orders[[#This Row],[CustomerID]],Customers[CustomerID],Customers[CustomerAge])</f>
        <v>18</v>
      </c>
      <c r="Q659" t="str">
        <f>IF(Orders[[#This Row],[Age]]&gt;=35,"older","young")</f>
        <v>young</v>
      </c>
      <c r="R659" t="str">
        <f>_xlfn.XLOOKUP(Orders[[#This Row],[ProductID]],Products[ProductID],Products[ProductName])</f>
        <v>IRON</v>
      </c>
      <c r="S659" t="str">
        <f>_xlfn.XLOOKUP(Orders[[#This Row],[ProductID]],Products!A:A,Products!C:C)</f>
        <v>Electronics</v>
      </c>
    </row>
    <row r="660" spans="1:19" x14ac:dyDescent="0.2">
      <c r="A660" s="4" t="s">
        <v>848</v>
      </c>
      <c r="B660" s="5">
        <v>45988</v>
      </c>
      <c r="C660" s="15">
        <f>WEEKNUM(Orders[[#This Row],[OrderDate]])</f>
        <v>48</v>
      </c>
      <c r="D660" s="4" t="s">
        <v>264</v>
      </c>
      <c r="E660" s="4" t="s">
        <v>28</v>
      </c>
      <c r="F660" s="4">
        <v>9</v>
      </c>
      <c r="G660" s="4">
        <v>19831.900000000001</v>
      </c>
      <c r="H660">
        <v>16857.115000000002</v>
      </c>
      <c r="I660">
        <f>Orders[[#This Row],[Quantity]]*Orders[[#This Row],[Selling Price]]</f>
        <v>178487.1</v>
      </c>
      <c r="J660">
        <f>Orders[[#This Row],[Quantity]]*Orders[[#This Row],[Cost Price]]</f>
        <v>151714.035</v>
      </c>
      <c r="K660">
        <f>Orders[[#This Row],[Revenue]]-Orders[[#This Row],[Expenses]]</f>
        <v>26773.065000000002</v>
      </c>
      <c r="L660" t="s">
        <v>2204</v>
      </c>
      <c r="M660" t="str">
        <f>_xlfn.XLOOKUP(Orders[[#This Row],[CustomerID]],Customers[CustomerID],Customers[City])</f>
        <v>Georgia</v>
      </c>
      <c r="N660" t="str">
        <f>_xlfn.XLOOKUP(Orders[[#This Row],[CustomerID]],Customers[CustomerID],Customers[CustomerName])</f>
        <v>Ronke Adeyemi</v>
      </c>
      <c r="O660" t="str">
        <f>_xlfn.XLOOKUP(Orders[[#This Row],[CustomerID]],Customers[CustomerID],Customers[Gender])</f>
        <v>Female</v>
      </c>
      <c r="P660">
        <f>_xlfn.XLOOKUP(Orders[[#This Row],[CustomerID]],Customers[CustomerID],Customers[CustomerAge])</f>
        <v>19</v>
      </c>
      <c r="Q660" t="str">
        <f>IF(Orders[[#This Row],[Age]]&gt;=35,"older","young")</f>
        <v>young</v>
      </c>
      <c r="R660" t="str">
        <f>_xlfn.XLOOKUP(Orders[[#This Row],[ProductID]],Products[ProductID],Products[ProductName])</f>
        <v>SNEAKERS</v>
      </c>
      <c r="S660" t="str">
        <f>_xlfn.XLOOKUP(Orders[[#This Row],[ProductID]],Products!A:A,Products!C:C)</f>
        <v>Sports</v>
      </c>
    </row>
    <row r="661" spans="1:19" x14ac:dyDescent="0.2">
      <c r="A661" s="4" t="s">
        <v>849</v>
      </c>
      <c r="B661" s="5">
        <v>46020</v>
      </c>
      <c r="C661" s="15">
        <f>WEEKNUM(Orders[[#This Row],[OrderDate]])</f>
        <v>53</v>
      </c>
      <c r="D661" s="4" t="s">
        <v>78</v>
      </c>
      <c r="E661" s="4" t="s">
        <v>37</v>
      </c>
      <c r="F661" s="4">
        <v>4</v>
      </c>
      <c r="G661" s="4">
        <v>11840.2</v>
      </c>
      <c r="H661">
        <v>10064.17</v>
      </c>
      <c r="I661">
        <f>Orders[[#This Row],[Quantity]]*Orders[[#This Row],[Selling Price]]</f>
        <v>47360.800000000003</v>
      </c>
      <c r="J661">
        <f>Orders[[#This Row],[Quantity]]*Orders[[#This Row],[Cost Price]]</f>
        <v>40256.68</v>
      </c>
      <c r="K661">
        <f>Orders[[#This Row],[Revenue]]-Orders[[#This Row],[Expenses]]</f>
        <v>7104.1200000000026</v>
      </c>
      <c r="L661" t="s">
        <v>2212</v>
      </c>
      <c r="M661" t="str">
        <f>_xlfn.XLOOKUP(Orders[[#This Row],[CustomerID]],Customers[CustomerID],Customers[City])</f>
        <v>Washington</v>
      </c>
      <c r="N661" t="str">
        <f>_xlfn.XLOOKUP(Orders[[#This Row],[CustomerID]],Customers[CustomerID],Customers[CustomerName])</f>
        <v>Chinedu Obi</v>
      </c>
      <c r="O661" t="str">
        <f>_xlfn.XLOOKUP(Orders[[#This Row],[CustomerID]],Customers[CustomerID],Customers[Gender])</f>
        <v>Male</v>
      </c>
      <c r="P661">
        <f>_xlfn.XLOOKUP(Orders[[#This Row],[CustomerID]],Customers[CustomerID],Customers[CustomerAge])</f>
        <v>38</v>
      </c>
      <c r="Q661" t="str">
        <f>IF(Orders[[#This Row],[Age]]&gt;=35,"older","young")</f>
        <v>older</v>
      </c>
      <c r="R661" t="str">
        <f>_xlfn.XLOOKUP(Orders[[#This Row],[ProductID]],Products[ProductID],Products[ProductName])</f>
        <v>IRON</v>
      </c>
      <c r="S661" t="str">
        <f>_xlfn.XLOOKUP(Orders[[#This Row],[ProductID]],Products!A:A,Products!C:C)</f>
        <v>Electronics</v>
      </c>
    </row>
    <row r="662" spans="1:19" x14ac:dyDescent="0.2">
      <c r="A662" s="4" t="s">
        <v>850</v>
      </c>
      <c r="B662" s="5">
        <v>45983</v>
      </c>
      <c r="C662" s="15">
        <f>WEEKNUM(Orders[[#This Row],[OrderDate]])</f>
        <v>47</v>
      </c>
      <c r="D662" s="4" t="s">
        <v>546</v>
      </c>
      <c r="E662" s="4" t="s">
        <v>25</v>
      </c>
      <c r="F662" s="4">
        <v>1</v>
      </c>
      <c r="G662" s="4">
        <v>19481.7</v>
      </c>
      <c r="H662">
        <v>16559.445</v>
      </c>
      <c r="I662">
        <f>Orders[[#This Row],[Quantity]]*Orders[[#This Row],[Selling Price]]</f>
        <v>19481.7</v>
      </c>
      <c r="J662">
        <f>Orders[[#This Row],[Quantity]]*Orders[[#This Row],[Cost Price]]</f>
        <v>16559.445</v>
      </c>
      <c r="K662">
        <f>Orders[[#This Row],[Revenue]]-Orders[[#This Row],[Expenses]]</f>
        <v>2922.255000000001</v>
      </c>
      <c r="L662" t="s">
        <v>2202</v>
      </c>
      <c r="M662" t="str">
        <f>_xlfn.XLOOKUP(Orders[[#This Row],[CustomerID]],Customers[CustomerID],Customers[City])</f>
        <v>Texas</v>
      </c>
      <c r="N662" t="str">
        <f>_xlfn.XLOOKUP(Orders[[#This Row],[CustomerID]],Customers[CustomerID],Customers[CustomerName])</f>
        <v>Bisi Eze</v>
      </c>
      <c r="O662" t="str">
        <f>_xlfn.XLOOKUP(Orders[[#This Row],[CustomerID]],Customers[CustomerID],Customers[Gender])</f>
        <v>Female</v>
      </c>
      <c r="P662">
        <f>_xlfn.XLOOKUP(Orders[[#This Row],[CustomerID]],Customers[CustomerID],Customers[CustomerAge])</f>
        <v>32</v>
      </c>
      <c r="Q662" t="str">
        <f>IF(Orders[[#This Row],[Age]]&gt;=35,"older","young")</f>
        <v>young</v>
      </c>
      <c r="R662" t="str">
        <f>_xlfn.XLOOKUP(Orders[[#This Row],[ProductID]],Products[ProductID],Products[ProductName])</f>
        <v>GOLD RINGS</v>
      </c>
      <c r="S662" t="str">
        <f>_xlfn.XLOOKUP(Orders[[#This Row],[ProductID]],Products!A:A,Products!C:C)</f>
        <v>Accessories</v>
      </c>
    </row>
    <row r="663" spans="1:19" x14ac:dyDescent="0.2">
      <c r="A663" s="4" t="s">
        <v>851</v>
      </c>
      <c r="B663" s="5">
        <v>45972</v>
      </c>
      <c r="C663" s="15">
        <f>WEEKNUM(Orders[[#This Row],[OrderDate]])</f>
        <v>46</v>
      </c>
      <c r="D663" s="4" t="s">
        <v>298</v>
      </c>
      <c r="E663" s="4" t="s">
        <v>25</v>
      </c>
      <c r="F663" s="4">
        <v>10</v>
      </c>
      <c r="G663" s="4">
        <v>3917.1</v>
      </c>
      <c r="H663">
        <v>3329.5349999999999</v>
      </c>
      <c r="I663">
        <f>Orders[[#This Row],[Quantity]]*Orders[[#This Row],[Selling Price]]</f>
        <v>39171</v>
      </c>
      <c r="J663">
        <f>Orders[[#This Row],[Quantity]]*Orders[[#This Row],[Cost Price]]</f>
        <v>33295.35</v>
      </c>
      <c r="K663">
        <f>Orders[[#This Row],[Revenue]]-Orders[[#This Row],[Expenses]]</f>
        <v>5875.6500000000015</v>
      </c>
      <c r="L663" t="s">
        <v>2199</v>
      </c>
      <c r="M663" t="str">
        <f>_xlfn.XLOOKUP(Orders[[#This Row],[CustomerID]],Customers[CustomerID],Customers[City])</f>
        <v>Florida</v>
      </c>
      <c r="N663" t="str">
        <f>_xlfn.XLOOKUP(Orders[[#This Row],[CustomerID]],Customers[CustomerID],Customers[CustomerName])</f>
        <v>Amina Obi</v>
      </c>
      <c r="O663" t="str">
        <f>_xlfn.XLOOKUP(Orders[[#This Row],[CustomerID]],Customers[CustomerID],Customers[Gender])</f>
        <v>Female</v>
      </c>
      <c r="P663">
        <f>_xlfn.XLOOKUP(Orders[[#This Row],[CustomerID]],Customers[CustomerID],Customers[CustomerAge])</f>
        <v>19</v>
      </c>
      <c r="Q663" t="str">
        <f>IF(Orders[[#This Row],[Age]]&gt;=35,"older","young")</f>
        <v>young</v>
      </c>
      <c r="R663" t="str">
        <f>_xlfn.XLOOKUP(Orders[[#This Row],[ProductID]],Products[ProductID],Products[ProductName])</f>
        <v>GOLD RINGS</v>
      </c>
      <c r="S663" t="str">
        <f>_xlfn.XLOOKUP(Orders[[#This Row],[ProductID]],Products!A:A,Products!C:C)</f>
        <v>Accessories</v>
      </c>
    </row>
    <row r="664" spans="1:19" x14ac:dyDescent="0.2">
      <c r="A664" s="4" t="s">
        <v>852</v>
      </c>
      <c r="B664" s="5">
        <v>46014</v>
      </c>
      <c r="C664" s="15">
        <f>WEEKNUM(Orders[[#This Row],[OrderDate]])</f>
        <v>52</v>
      </c>
      <c r="D664" s="4" t="s">
        <v>340</v>
      </c>
      <c r="E664" s="4" t="s">
        <v>92</v>
      </c>
      <c r="F664" s="4">
        <v>6</v>
      </c>
      <c r="G664" s="4">
        <v>6163.7</v>
      </c>
      <c r="H664">
        <v>5239.1449999999995</v>
      </c>
      <c r="I664">
        <f>Orders[[#This Row],[Quantity]]*Orders[[#This Row],[Selling Price]]</f>
        <v>36982.199999999997</v>
      </c>
      <c r="J664">
        <f>Orders[[#This Row],[Quantity]]*Orders[[#This Row],[Cost Price]]</f>
        <v>31434.869999999995</v>
      </c>
      <c r="K664">
        <f>Orders[[#This Row],[Revenue]]-Orders[[#This Row],[Expenses]]</f>
        <v>5547.3300000000017</v>
      </c>
      <c r="L664" t="s">
        <v>2215</v>
      </c>
      <c r="M664" t="str">
        <f>_xlfn.XLOOKUP(Orders[[#This Row],[CustomerID]],Customers[CustomerID],Customers[City])</f>
        <v>Illinois</v>
      </c>
      <c r="N664" t="str">
        <f>_xlfn.XLOOKUP(Orders[[#This Row],[CustomerID]],Customers[CustomerID],Customers[CustomerName])</f>
        <v>Uche Abubakar</v>
      </c>
      <c r="O664" t="str">
        <f>_xlfn.XLOOKUP(Orders[[#This Row],[CustomerID]],Customers[CustomerID],Customers[Gender])</f>
        <v>Male</v>
      </c>
      <c r="P664">
        <f>_xlfn.XLOOKUP(Orders[[#This Row],[CustomerID]],Customers[CustomerID],Customers[CustomerAge])</f>
        <v>18</v>
      </c>
      <c r="Q664" t="str">
        <f>IF(Orders[[#This Row],[Age]]&gt;=35,"older","young")</f>
        <v>young</v>
      </c>
      <c r="R664" t="str">
        <f>_xlfn.XLOOKUP(Orders[[#This Row],[ProductID]],Products[ProductID],Products[ProductName])</f>
        <v>CHEST EXPANDER</v>
      </c>
      <c r="S664" t="str">
        <f>_xlfn.XLOOKUP(Orders[[#This Row],[ProductID]],Products!A:A,Products!C:C)</f>
        <v>Gym</v>
      </c>
    </row>
    <row r="665" spans="1:19" x14ac:dyDescent="0.2">
      <c r="A665" s="4" t="s">
        <v>853</v>
      </c>
      <c r="B665" s="5">
        <v>45932</v>
      </c>
      <c r="C665" s="15">
        <f>WEEKNUM(Orders[[#This Row],[OrderDate]])</f>
        <v>40</v>
      </c>
      <c r="D665" s="4" t="s">
        <v>502</v>
      </c>
      <c r="E665" s="4" t="s">
        <v>111</v>
      </c>
      <c r="F665" s="4">
        <v>1</v>
      </c>
      <c r="G665" s="4">
        <v>17743</v>
      </c>
      <c r="H665">
        <v>15081.55</v>
      </c>
      <c r="I665">
        <f>Orders[[#This Row],[Quantity]]*Orders[[#This Row],[Selling Price]]</f>
        <v>17743</v>
      </c>
      <c r="J665">
        <f>Orders[[#This Row],[Quantity]]*Orders[[#This Row],[Cost Price]]</f>
        <v>15081.55</v>
      </c>
      <c r="K665">
        <f>Orders[[#This Row],[Revenue]]-Orders[[#This Row],[Expenses]]</f>
        <v>2661.4500000000007</v>
      </c>
      <c r="L665" t="s">
        <v>2196</v>
      </c>
      <c r="M665" t="str">
        <f>_xlfn.XLOOKUP(Orders[[#This Row],[CustomerID]],Customers[CustomerID],Customers[City])</f>
        <v>Texas</v>
      </c>
      <c r="N665" t="str">
        <f>_xlfn.XLOOKUP(Orders[[#This Row],[CustomerID]],Customers[CustomerID],Customers[CustomerName])</f>
        <v>Obi Eze</v>
      </c>
      <c r="O665" t="str">
        <f>_xlfn.XLOOKUP(Orders[[#This Row],[CustomerID]],Customers[CustomerID],Customers[Gender])</f>
        <v>Male</v>
      </c>
      <c r="P665">
        <f>_xlfn.XLOOKUP(Orders[[#This Row],[CustomerID]],Customers[CustomerID],Customers[CustomerAge])</f>
        <v>24</v>
      </c>
      <c r="Q665" t="str">
        <f>IF(Orders[[#This Row],[Age]]&gt;=35,"older","young")</f>
        <v>young</v>
      </c>
      <c r="R665" t="str">
        <f>_xlfn.XLOOKUP(Orders[[#This Row],[ProductID]],Products[ProductID],Products[ProductName])</f>
        <v>REFRIGERATOR</v>
      </c>
      <c r="S665" t="str">
        <f>_xlfn.XLOOKUP(Orders[[#This Row],[ProductID]],Products!A:A,Products!C:C)</f>
        <v>Electronics</v>
      </c>
    </row>
    <row r="666" spans="1:19" x14ac:dyDescent="0.2">
      <c r="A666" s="4" t="s">
        <v>854</v>
      </c>
      <c r="B666" s="5">
        <v>45936</v>
      </c>
      <c r="C666" s="15">
        <f>WEEKNUM(Orders[[#This Row],[OrderDate]])</f>
        <v>41</v>
      </c>
      <c r="D666" s="4" t="s">
        <v>176</v>
      </c>
      <c r="E666" s="4" t="s">
        <v>92</v>
      </c>
      <c r="F666" s="4">
        <v>4</v>
      </c>
      <c r="G666" s="4">
        <v>10721.300000000001</v>
      </c>
      <c r="H666">
        <v>9113.1050000000014</v>
      </c>
      <c r="I666">
        <f>Orders[[#This Row],[Quantity]]*Orders[[#This Row],[Selling Price]]</f>
        <v>42885.200000000004</v>
      </c>
      <c r="J666">
        <f>Orders[[#This Row],[Quantity]]*Orders[[#This Row],[Cost Price]]</f>
        <v>36452.420000000006</v>
      </c>
      <c r="K666">
        <f>Orders[[#This Row],[Revenue]]-Orders[[#This Row],[Expenses]]</f>
        <v>6432.7799999999988</v>
      </c>
      <c r="L666" t="s">
        <v>2213</v>
      </c>
      <c r="M666" t="str">
        <f>_xlfn.XLOOKUP(Orders[[#This Row],[CustomerID]],Customers[CustomerID],Customers[City])</f>
        <v>Florida</v>
      </c>
      <c r="N666" t="str">
        <f>_xlfn.XLOOKUP(Orders[[#This Row],[CustomerID]],Customers[CustomerID],Customers[CustomerName])</f>
        <v>Okon Eze</v>
      </c>
      <c r="O666" t="str">
        <f>_xlfn.XLOOKUP(Orders[[#This Row],[CustomerID]],Customers[CustomerID],Customers[Gender])</f>
        <v>Male</v>
      </c>
      <c r="P666">
        <f>_xlfn.XLOOKUP(Orders[[#This Row],[CustomerID]],Customers[CustomerID],Customers[CustomerAge])</f>
        <v>26</v>
      </c>
      <c r="Q666" t="str">
        <f>IF(Orders[[#This Row],[Age]]&gt;=35,"older","young")</f>
        <v>young</v>
      </c>
      <c r="R666" t="str">
        <f>_xlfn.XLOOKUP(Orders[[#This Row],[ProductID]],Products[ProductID],Products[ProductName])</f>
        <v>CHEST EXPANDER</v>
      </c>
      <c r="S666" t="str">
        <f>_xlfn.XLOOKUP(Orders[[#This Row],[ProductID]],Products!A:A,Products!C:C)</f>
        <v>Gym</v>
      </c>
    </row>
    <row r="667" spans="1:19" x14ac:dyDescent="0.2">
      <c r="A667" s="4" t="s">
        <v>855</v>
      </c>
      <c r="B667" s="5">
        <v>45950</v>
      </c>
      <c r="C667" s="15">
        <f>WEEKNUM(Orders[[#This Row],[OrderDate]])</f>
        <v>43</v>
      </c>
      <c r="D667" s="4" t="s">
        <v>59</v>
      </c>
      <c r="E667" s="4" t="s">
        <v>208</v>
      </c>
      <c r="F667" s="4">
        <v>2</v>
      </c>
      <c r="G667" s="4">
        <v>16148.5</v>
      </c>
      <c r="H667">
        <v>13726.225</v>
      </c>
      <c r="I667">
        <f>Orders[[#This Row],[Quantity]]*Orders[[#This Row],[Selling Price]]</f>
        <v>32297</v>
      </c>
      <c r="J667">
        <f>Orders[[#This Row],[Quantity]]*Orders[[#This Row],[Cost Price]]</f>
        <v>27452.45</v>
      </c>
      <c r="K667">
        <f>Orders[[#This Row],[Revenue]]-Orders[[#This Row],[Expenses]]</f>
        <v>4844.5499999999993</v>
      </c>
      <c r="L667" t="s">
        <v>2209</v>
      </c>
      <c r="M667" t="str">
        <f>_xlfn.XLOOKUP(Orders[[#This Row],[CustomerID]],Customers[CustomerID],Customers[City])</f>
        <v>Texas</v>
      </c>
      <c r="N667" t="str">
        <f>_xlfn.XLOOKUP(Orders[[#This Row],[CustomerID]],Customers[CustomerID],Customers[CustomerName])</f>
        <v>Adanma Danladi</v>
      </c>
      <c r="O667" t="str">
        <f>_xlfn.XLOOKUP(Orders[[#This Row],[CustomerID]],Customers[CustomerID],Customers[Gender])</f>
        <v>Female</v>
      </c>
      <c r="P667">
        <f>_xlfn.XLOOKUP(Orders[[#This Row],[CustomerID]],Customers[CustomerID],Customers[CustomerAge])</f>
        <v>24</v>
      </c>
      <c r="Q667" t="str">
        <f>IF(Orders[[#This Row],[Age]]&gt;=35,"older","young")</f>
        <v>young</v>
      </c>
      <c r="R667" t="str">
        <f>_xlfn.XLOOKUP(Orders[[#This Row],[ProductID]],Products[ProductID],Products[ProductName])</f>
        <v>SKIPPING ROPE</v>
      </c>
      <c r="S667" t="str">
        <f>_xlfn.XLOOKUP(Orders[[#This Row],[ProductID]],Products!A:A,Products!C:C)</f>
        <v>Sports</v>
      </c>
    </row>
    <row r="668" spans="1:19" x14ac:dyDescent="0.2">
      <c r="A668" s="4" t="s">
        <v>856</v>
      </c>
      <c r="B668" s="5">
        <v>45978</v>
      </c>
      <c r="C668" s="15">
        <f>WEEKNUM(Orders[[#This Row],[OrderDate]])</f>
        <v>47</v>
      </c>
      <c r="D668" s="4" t="s">
        <v>182</v>
      </c>
      <c r="E668" s="4" t="s">
        <v>34</v>
      </c>
      <c r="F668" s="4">
        <v>6</v>
      </c>
      <c r="G668" s="4">
        <v>11803.099999999999</v>
      </c>
      <c r="H668">
        <v>10032.634999999998</v>
      </c>
      <c r="I668">
        <f>Orders[[#This Row],[Quantity]]*Orders[[#This Row],[Selling Price]]</f>
        <v>70818.599999999991</v>
      </c>
      <c r="J668">
        <f>Orders[[#This Row],[Quantity]]*Orders[[#This Row],[Cost Price]]</f>
        <v>60195.80999999999</v>
      </c>
      <c r="K668">
        <f>Orders[[#This Row],[Revenue]]-Orders[[#This Row],[Expenses]]</f>
        <v>10622.79</v>
      </c>
      <c r="L668" t="s">
        <v>2211</v>
      </c>
      <c r="M668" t="str">
        <f>_xlfn.XLOOKUP(Orders[[#This Row],[CustomerID]],Customers[CustomerID],Customers[City])</f>
        <v>Georgia</v>
      </c>
      <c r="N668" t="str">
        <f>_xlfn.XLOOKUP(Orders[[#This Row],[CustomerID]],Customers[CustomerID],Customers[CustomerName])</f>
        <v>Abiola Okonkwo</v>
      </c>
      <c r="O668" t="str">
        <f>_xlfn.XLOOKUP(Orders[[#This Row],[CustomerID]],Customers[CustomerID],Customers[Gender])</f>
        <v>Male</v>
      </c>
      <c r="P668">
        <f>_xlfn.XLOOKUP(Orders[[#This Row],[CustomerID]],Customers[CustomerID],Customers[CustomerAge])</f>
        <v>39</v>
      </c>
      <c r="Q668" t="str">
        <f>IF(Orders[[#This Row],[Age]]&gt;=35,"older","young")</f>
        <v>older</v>
      </c>
      <c r="R668" t="str">
        <f>_xlfn.XLOOKUP(Orders[[#This Row],[ProductID]],Products[ProductID],Products[ProductName])</f>
        <v>GOLD BRACELETS</v>
      </c>
      <c r="S668" t="str">
        <f>_xlfn.XLOOKUP(Orders[[#This Row],[ProductID]],Products!A:A,Products!C:C)</f>
        <v>Accessories</v>
      </c>
    </row>
    <row r="669" spans="1:19" x14ac:dyDescent="0.2">
      <c r="A669" s="4" t="s">
        <v>857</v>
      </c>
      <c r="B669" s="5">
        <v>46003</v>
      </c>
      <c r="C669" s="15">
        <f>WEEKNUM(Orders[[#This Row],[OrderDate]])</f>
        <v>50</v>
      </c>
      <c r="D669" s="4" t="s">
        <v>103</v>
      </c>
      <c r="E669" s="4" t="s">
        <v>46</v>
      </c>
      <c r="F669" s="4">
        <v>7</v>
      </c>
      <c r="G669" s="4">
        <v>3453.8</v>
      </c>
      <c r="H669">
        <v>2935.73</v>
      </c>
      <c r="I669">
        <f>Orders[[#This Row],[Quantity]]*Orders[[#This Row],[Selling Price]]</f>
        <v>24176.600000000002</v>
      </c>
      <c r="J669">
        <f>Orders[[#This Row],[Quantity]]*Orders[[#This Row],[Cost Price]]</f>
        <v>20550.11</v>
      </c>
      <c r="K669">
        <f>Orders[[#This Row],[Revenue]]-Orders[[#This Row],[Expenses]]</f>
        <v>3626.4900000000016</v>
      </c>
      <c r="L669" t="s">
        <v>2204</v>
      </c>
      <c r="M669" t="str">
        <f>_xlfn.XLOOKUP(Orders[[#This Row],[CustomerID]],Customers[CustomerID],Customers[City])</f>
        <v>Georgia</v>
      </c>
      <c r="N669" t="str">
        <f>_xlfn.XLOOKUP(Orders[[#This Row],[CustomerID]],Customers[CustomerID],Customers[CustomerName])</f>
        <v>Chioma Adeyemi</v>
      </c>
      <c r="O669" t="str">
        <f>_xlfn.XLOOKUP(Orders[[#This Row],[CustomerID]],Customers[CustomerID],Customers[Gender])</f>
        <v>Female</v>
      </c>
      <c r="P669">
        <f>_xlfn.XLOOKUP(Orders[[#This Row],[CustomerID]],Customers[CustomerID],Customers[CustomerAge])</f>
        <v>31</v>
      </c>
      <c r="Q669" t="str">
        <f>IF(Orders[[#This Row],[Age]]&gt;=35,"older","young")</f>
        <v>young</v>
      </c>
      <c r="R669" t="str">
        <f>_xlfn.XLOOKUP(Orders[[#This Row],[ProductID]],Products[ProductID],Products[ProductName])</f>
        <v>TURTLE NECK</v>
      </c>
      <c r="S669" t="str">
        <f>_xlfn.XLOOKUP(Orders[[#This Row],[ProductID]],Products!A:A,Products!C:C)</f>
        <v>Clothing</v>
      </c>
    </row>
    <row r="670" spans="1:19" x14ac:dyDescent="0.2">
      <c r="A670" s="4" t="s">
        <v>858</v>
      </c>
      <c r="B670" s="5">
        <v>46009</v>
      </c>
      <c r="C670" s="15">
        <f>WEEKNUM(Orders[[#This Row],[OrderDate]])</f>
        <v>51</v>
      </c>
      <c r="D670" s="4" t="s">
        <v>136</v>
      </c>
      <c r="E670" s="4" t="s">
        <v>70</v>
      </c>
      <c r="F670" s="4">
        <v>5</v>
      </c>
      <c r="G670" s="4">
        <v>4514.8999999999996</v>
      </c>
      <c r="H670">
        <v>3837.665</v>
      </c>
      <c r="I670">
        <f>Orders[[#This Row],[Quantity]]*Orders[[#This Row],[Selling Price]]</f>
        <v>22574.5</v>
      </c>
      <c r="J670">
        <f>Orders[[#This Row],[Quantity]]*Orders[[#This Row],[Cost Price]]</f>
        <v>19188.325000000001</v>
      </c>
      <c r="K670">
        <f>Orders[[#This Row],[Revenue]]-Orders[[#This Row],[Expenses]]</f>
        <v>3386.1749999999993</v>
      </c>
      <c r="L670" t="s">
        <v>2200</v>
      </c>
      <c r="M670" t="str">
        <f>_xlfn.XLOOKUP(Orders[[#This Row],[CustomerID]],Customers[CustomerID],Customers[City])</f>
        <v>California</v>
      </c>
      <c r="N670" t="str">
        <f>_xlfn.XLOOKUP(Orders[[#This Row],[CustomerID]],Customers[CustomerID],Customers[CustomerName])</f>
        <v>Chinedu Obi</v>
      </c>
      <c r="O670" t="str">
        <f>_xlfn.XLOOKUP(Orders[[#This Row],[CustomerID]],Customers[CustomerID],Customers[Gender])</f>
        <v>Male</v>
      </c>
      <c r="P670">
        <f>_xlfn.XLOOKUP(Orders[[#This Row],[CustomerID]],Customers[CustomerID],Customers[CustomerAge])</f>
        <v>27</v>
      </c>
      <c r="Q670" t="str">
        <f>IF(Orders[[#This Row],[Age]]&gt;=35,"older","young")</f>
        <v>young</v>
      </c>
      <c r="R670" t="str">
        <f>_xlfn.XLOOKUP(Orders[[#This Row],[ProductID]],Products[ProductID],Products[ProductName])</f>
        <v>YOGA MAT</v>
      </c>
      <c r="S670" t="str">
        <f>_xlfn.XLOOKUP(Orders[[#This Row],[ProductID]],Products!A:A,Products!C:C)</f>
        <v>Gym</v>
      </c>
    </row>
    <row r="671" spans="1:19" x14ac:dyDescent="0.2">
      <c r="A671" s="4" t="s">
        <v>859</v>
      </c>
      <c r="B671" s="5">
        <v>46016</v>
      </c>
      <c r="C671" s="15">
        <f>WEEKNUM(Orders[[#This Row],[OrderDate]])</f>
        <v>52</v>
      </c>
      <c r="D671" s="4" t="s">
        <v>48</v>
      </c>
      <c r="E671" s="4" t="s">
        <v>57</v>
      </c>
      <c r="F671" s="4">
        <v>4</v>
      </c>
      <c r="G671" s="4">
        <v>12378.900000000001</v>
      </c>
      <c r="H671">
        <v>10522.065000000002</v>
      </c>
      <c r="I671">
        <f>Orders[[#This Row],[Quantity]]*Orders[[#This Row],[Selling Price]]</f>
        <v>49515.600000000006</v>
      </c>
      <c r="J671">
        <f>Orders[[#This Row],[Quantity]]*Orders[[#This Row],[Cost Price]]</f>
        <v>42088.260000000009</v>
      </c>
      <c r="K671">
        <f>Orders[[#This Row],[Revenue]]-Orders[[#This Row],[Expenses]]</f>
        <v>7427.3399999999965</v>
      </c>
      <c r="L671" t="s">
        <v>2215</v>
      </c>
      <c r="M671" t="str">
        <f>_xlfn.XLOOKUP(Orders[[#This Row],[CustomerID]],Customers[CustomerID],Customers[City])</f>
        <v>California</v>
      </c>
      <c r="N671" t="str">
        <f>_xlfn.XLOOKUP(Orders[[#This Row],[CustomerID]],Customers[CustomerID],Customers[CustomerName])</f>
        <v>Mustafa Obi</v>
      </c>
      <c r="O671" t="str">
        <f>_xlfn.XLOOKUP(Orders[[#This Row],[CustomerID]],Customers[CustomerID],Customers[Gender])</f>
        <v>Male</v>
      </c>
      <c r="P671">
        <f>_xlfn.XLOOKUP(Orders[[#This Row],[CustomerID]],Customers[CustomerID],Customers[CustomerAge])</f>
        <v>23</v>
      </c>
      <c r="Q671" t="str">
        <f>IF(Orders[[#This Row],[Age]]&gt;=35,"older","young")</f>
        <v>young</v>
      </c>
      <c r="R671" t="str">
        <f>_xlfn.XLOOKUP(Orders[[#This Row],[ProductID]],Products[ProductID],Products[ProductName])</f>
        <v>BADMINTON RACKET</v>
      </c>
      <c r="S671" t="str">
        <f>_xlfn.XLOOKUP(Orders[[#This Row],[ProductID]],Products!A:A,Products!C:C)</f>
        <v>Sports</v>
      </c>
    </row>
    <row r="672" spans="1:19" x14ac:dyDescent="0.2">
      <c r="A672" s="4" t="s">
        <v>860</v>
      </c>
      <c r="B672" s="5">
        <v>46010</v>
      </c>
      <c r="C672" s="15">
        <f>WEEKNUM(Orders[[#This Row],[OrderDate]])</f>
        <v>51</v>
      </c>
      <c r="D672" s="4" t="s">
        <v>386</v>
      </c>
      <c r="E672" s="4" t="s">
        <v>168</v>
      </c>
      <c r="F672" s="4">
        <v>7</v>
      </c>
      <c r="G672" s="4">
        <v>11008.5</v>
      </c>
      <c r="H672">
        <v>9357.2250000000004</v>
      </c>
      <c r="I672">
        <f>Orders[[#This Row],[Quantity]]*Orders[[#This Row],[Selling Price]]</f>
        <v>77059.5</v>
      </c>
      <c r="J672">
        <f>Orders[[#This Row],[Quantity]]*Orders[[#This Row],[Cost Price]]</f>
        <v>65500.575000000004</v>
      </c>
      <c r="K672">
        <f>Orders[[#This Row],[Revenue]]-Orders[[#This Row],[Expenses]]</f>
        <v>11558.924999999996</v>
      </c>
      <c r="L672" t="s">
        <v>2196</v>
      </c>
      <c r="M672" t="str">
        <f>_xlfn.XLOOKUP(Orders[[#This Row],[CustomerID]],Customers[CustomerID],Customers[City])</f>
        <v>Washington</v>
      </c>
      <c r="N672" t="str">
        <f>_xlfn.XLOOKUP(Orders[[#This Row],[CustomerID]],Customers[CustomerID],Customers[CustomerName])</f>
        <v>Chinedu Eze</v>
      </c>
      <c r="O672" t="str">
        <f>_xlfn.XLOOKUP(Orders[[#This Row],[CustomerID]],Customers[CustomerID],Customers[Gender])</f>
        <v>Male</v>
      </c>
      <c r="P672">
        <f>_xlfn.XLOOKUP(Orders[[#This Row],[CustomerID]],Customers[CustomerID],Customers[CustomerAge])</f>
        <v>32</v>
      </c>
      <c r="Q672" t="str">
        <f>IF(Orders[[#This Row],[Age]]&gt;=35,"older","young")</f>
        <v>young</v>
      </c>
      <c r="R672" t="str">
        <f>_xlfn.XLOOKUP(Orders[[#This Row],[ProductID]],Products[ProductID],Products[ProductName])</f>
        <v>DUMB BELLS</v>
      </c>
      <c r="S672" t="str">
        <f>_xlfn.XLOOKUP(Orders[[#This Row],[ProductID]],Products!A:A,Products!C:C)</f>
        <v>Gym</v>
      </c>
    </row>
    <row r="673" spans="1:19" x14ac:dyDescent="0.2">
      <c r="A673" s="4" t="s">
        <v>861</v>
      </c>
      <c r="B673" s="5">
        <v>46001</v>
      </c>
      <c r="C673" s="15">
        <f>WEEKNUM(Orders[[#This Row],[OrderDate]])</f>
        <v>50</v>
      </c>
      <c r="D673" s="4" t="s">
        <v>546</v>
      </c>
      <c r="E673" s="4" t="s">
        <v>28</v>
      </c>
      <c r="F673" s="4">
        <v>2</v>
      </c>
      <c r="G673" s="4">
        <v>19678.5</v>
      </c>
      <c r="H673">
        <v>16726.724999999999</v>
      </c>
      <c r="I673">
        <f>Orders[[#This Row],[Quantity]]*Orders[[#This Row],[Selling Price]]</f>
        <v>39357</v>
      </c>
      <c r="J673">
        <f>Orders[[#This Row],[Quantity]]*Orders[[#This Row],[Cost Price]]</f>
        <v>33453.449999999997</v>
      </c>
      <c r="K673">
        <f>Orders[[#This Row],[Revenue]]-Orders[[#This Row],[Expenses]]</f>
        <v>5903.5500000000029</v>
      </c>
      <c r="L673" t="s">
        <v>2213</v>
      </c>
      <c r="M673" t="str">
        <f>_xlfn.XLOOKUP(Orders[[#This Row],[CustomerID]],Customers[CustomerID],Customers[City])</f>
        <v>Texas</v>
      </c>
      <c r="N673" t="str">
        <f>_xlfn.XLOOKUP(Orders[[#This Row],[CustomerID]],Customers[CustomerID],Customers[CustomerName])</f>
        <v>Bisi Eze</v>
      </c>
      <c r="O673" t="str">
        <f>_xlfn.XLOOKUP(Orders[[#This Row],[CustomerID]],Customers[CustomerID],Customers[Gender])</f>
        <v>Female</v>
      </c>
      <c r="P673">
        <f>_xlfn.XLOOKUP(Orders[[#This Row],[CustomerID]],Customers[CustomerID],Customers[CustomerAge])</f>
        <v>32</v>
      </c>
      <c r="Q673" t="str">
        <f>IF(Orders[[#This Row],[Age]]&gt;=35,"older","young")</f>
        <v>young</v>
      </c>
      <c r="R673" t="str">
        <f>_xlfn.XLOOKUP(Orders[[#This Row],[ProductID]],Products[ProductID],Products[ProductName])</f>
        <v>SNEAKERS</v>
      </c>
      <c r="S673" t="str">
        <f>_xlfn.XLOOKUP(Orders[[#This Row],[ProductID]],Products!A:A,Products!C:C)</f>
        <v>Sports</v>
      </c>
    </row>
    <row r="674" spans="1:19" x14ac:dyDescent="0.2">
      <c r="A674" s="4" t="s">
        <v>862</v>
      </c>
      <c r="B674" s="5">
        <v>45992</v>
      </c>
      <c r="C674" s="15">
        <f>WEEKNUM(Orders[[#This Row],[OrderDate]])</f>
        <v>49</v>
      </c>
      <c r="D674" s="4" t="s">
        <v>324</v>
      </c>
      <c r="E674" s="4" t="s">
        <v>120</v>
      </c>
      <c r="F674" s="4">
        <v>9</v>
      </c>
      <c r="G674" s="4">
        <v>18398</v>
      </c>
      <c r="H674">
        <v>15638.3</v>
      </c>
      <c r="I674">
        <f>Orders[[#This Row],[Quantity]]*Orders[[#This Row],[Selling Price]]</f>
        <v>165582</v>
      </c>
      <c r="J674">
        <f>Orders[[#This Row],[Quantity]]*Orders[[#This Row],[Cost Price]]</f>
        <v>140744.69999999998</v>
      </c>
      <c r="K674">
        <f>Orders[[#This Row],[Revenue]]-Orders[[#This Row],[Expenses]]</f>
        <v>24837.300000000017</v>
      </c>
      <c r="L674" t="s">
        <v>2195</v>
      </c>
      <c r="M674" t="str">
        <f>_xlfn.XLOOKUP(Orders[[#This Row],[CustomerID]],Customers[CustomerID],Customers[City])</f>
        <v>Texas</v>
      </c>
      <c r="N674" t="str">
        <f>_xlfn.XLOOKUP(Orders[[#This Row],[CustomerID]],Customers[CustomerID],Customers[CustomerName])</f>
        <v>Tunde Okonkwo</v>
      </c>
      <c r="O674" t="str">
        <f>_xlfn.XLOOKUP(Orders[[#This Row],[CustomerID]],Customers[CustomerID],Customers[Gender])</f>
        <v>Male</v>
      </c>
      <c r="P674">
        <f>_xlfn.XLOOKUP(Orders[[#This Row],[CustomerID]],Customers[CustomerID],Customers[CustomerAge])</f>
        <v>25</v>
      </c>
      <c r="Q674" t="str">
        <f>IF(Orders[[#This Row],[Age]]&gt;=35,"older","young")</f>
        <v>young</v>
      </c>
      <c r="R674" t="str">
        <f>_xlfn.XLOOKUP(Orders[[#This Row],[ProductID]],Products[ProductID],Products[ProductName])</f>
        <v>CHESS</v>
      </c>
      <c r="S674" t="str">
        <f>_xlfn.XLOOKUP(Orders[[#This Row],[ProductID]],Products!A:A,Products!C:C)</f>
        <v>Games</v>
      </c>
    </row>
    <row r="675" spans="1:19" x14ac:dyDescent="0.2">
      <c r="A675" s="4" t="s">
        <v>863</v>
      </c>
      <c r="B675" s="5">
        <v>45945</v>
      </c>
      <c r="C675" s="15">
        <f>WEEKNUM(Orders[[#This Row],[OrderDate]])</f>
        <v>42</v>
      </c>
      <c r="D675" s="4" t="s">
        <v>322</v>
      </c>
      <c r="E675" s="4" t="s">
        <v>34</v>
      </c>
      <c r="F675" s="4">
        <v>10</v>
      </c>
      <c r="G675" s="4">
        <v>14802.3</v>
      </c>
      <c r="H675">
        <v>12581.955</v>
      </c>
      <c r="I675">
        <f>Orders[[#This Row],[Quantity]]*Orders[[#This Row],[Selling Price]]</f>
        <v>148023</v>
      </c>
      <c r="J675">
        <f>Orders[[#This Row],[Quantity]]*Orders[[#This Row],[Cost Price]]</f>
        <v>125819.55</v>
      </c>
      <c r="K675">
        <f>Orders[[#This Row],[Revenue]]-Orders[[#This Row],[Expenses]]</f>
        <v>22203.449999999997</v>
      </c>
      <c r="L675" t="s">
        <v>2207</v>
      </c>
      <c r="M675" t="str">
        <f>_xlfn.XLOOKUP(Orders[[#This Row],[CustomerID]],Customers[CustomerID],Customers[City])</f>
        <v>Washington</v>
      </c>
      <c r="N675" t="str">
        <f>_xlfn.XLOOKUP(Orders[[#This Row],[CustomerID]],Customers[CustomerID],Customers[CustomerName])</f>
        <v>Ngozi Bello</v>
      </c>
      <c r="O675" t="str">
        <f>_xlfn.XLOOKUP(Orders[[#This Row],[CustomerID]],Customers[CustomerID],Customers[Gender])</f>
        <v>Female</v>
      </c>
      <c r="P675">
        <f>_xlfn.XLOOKUP(Orders[[#This Row],[CustomerID]],Customers[CustomerID],Customers[CustomerAge])</f>
        <v>32</v>
      </c>
      <c r="Q675" t="str">
        <f>IF(Orders[[#This Row],[Age]]&gt;=35,"older","young")</f>
        <v>young</v>
      </c>
      <c r="R675" t="str">
        <f>_xlfn.XLOOKUP(Orders[[#This Row],[ProductID]],Products[ProductID],Products[ProductName])</f>
        <v>GOLD BRACELETS</v>
      </c>
      <c r="S675" t="str">
        <f>_xlfn.XLOOKUP(Orders[[#This Row],[ProductID]],Products!A:A,Products!C:C)</f>
        <v>Accessories</v>
      </c>
    </row>
    <row r="676" spans="1:19" x14ac:dyDescent="0.2">
      <c r="A676" s="4" t="s">
        <v>864</v>
      </c>
      <c r="B676" s="5">
        <v>45969</v>
      </c>
      <c r="C676" s="15">
        <f>WEEKNUM(Orders[[#This Row],[OrderDate]])</f>
        <v>45</v>
      </c>
      <c r="D676" s="4" t="s">
        <v>833</v>
      </c>
      <c r="E676" s="4" t="s">
        <v>84</v>
      </c>
      <c r="F676" s="4">
        <v>10</v>
      </c>
      <c r="G676" s="4">
        <v>1758.6000000000001</v>
      </c>
      <c r="H676">
        <v>1494.8100000000002</v>
      </c>
      <c r="I676">
        <f>Orders[[#This Row],[Quantity]]*Orders[[#This Row],[Selling Price]]</f>
        <v>17586</v>
      </c>
      <c r="J676">
        <f>Orders[[#This Row],[Quantity]]*Orders[[#This Row],[Cost Price]]</f>
        <v>14948.100000000002</v>
      </c>
      <c r="K676">
        <f>Orders[[#This Row],[Revenue]]-Orders[[#This Row],[Expenses]]</f>
        <v>2637.8999999999978</v>
      </c>
      <c r="L676" t="s">
        <v>2213</v>
      </c>
      <c r="M676" t="str">
        <f>_xlfn.XLOOKUP(Orders[[#This Row],[CustomerID]],Customers[CustomerID],Customers[City])</f>
        <v>Washington</v>
      </c>
      <c r="N676" t="str">
        <f>_xlfn.XLOOKUP(Orders[[#This Row],[CustomerID]],Customers[CustomerID],Customers[CustomerName])</f>
        <v>Abiola Adeyemi</v>
      </c>
      <c r="O676" t="str">
        <f>_xlfn.XLOOKUP(Orders[[#This Row],[CustomerID]],Customers[CustomerID],Customers[Gender])</f>
        <v>Male</v>
      </c>
      <c r="P676">
        <f>_xlfn.XLOOKUP(Orders[[#This Row],[CustomerID]],Customers[CustomerID],Customers[CustomerAge])</f>
        <v>53</v>
      </c>
      <c r="Q676" t="str">
        <f>IF(Orders[[#This Row],[Age]]&gt;=35,"older","young")</f>
        <v>older</v>
      </c>
      <c r="R676" t="str">
        <f>_xlfn.XLOOKUP(Orders[[#This Row],[ProductID]],Products[ProductID],Products[ProductName])</f>
        <v>GYM WEARS</v>
      </c>
      <c r="S676" t="str">
        <f>_xlfn.XLOOKUP(Orders[[#This Row],[ProductID]],Products!A:A,Products!C:C)</f>
        <v>Clothing</v>
      </c>
    </row>
    <row r="677" spans="1:19" x14ac:dyDescent="0.2">
      <c r="A677" s="4" t="s">
        <v>865</v>
      </c>
      <c r="B677" s="5">
        <v>46011</v>
      </c>
      <c r="C677" s="15">
        <f>WEEKNUM(Orders[[#This Row],[OrderDate]])</f>
        <v>51</v>
      </c>
      <c r="D677" s="4" t="s">
        <v>264</v>
      </c>
      <c r="E677" s="4" t="s">
        <v>57</v>
      </c>
      <c r="F677" s="4">
        <v>10</v>
      </c>
      <c r="G677" s="4">
        <v>6264.4000000000005</v>
      </c>
      <c r="H677">
        <v>5324.7400000000007</v>
      </c>
      <c r="I677">
        <f>Orders[[#This Row],[Quantity]]*Orders[[#This Row],[Selling Price]]</f>
        <v>62644.000000000007</v>
      </c>
      <c r="J677">
        <f>Orders[[#This Row],[Quantity]]*Orders[[#This Row],[Cost Price]]</f>
        <v>53247.400000000009</v>
      </c>
      <c r="K677">
        <f>Orders[[#This Row],[Revenue]]-Orders[[#This Row],[Expenses]]</f>
        <v>9396.5999999999985</v>
      </c>
      <c r="L677" t="s">
        <v>2195</v>
      </c>
      <c r="M677" t="str">
        <f>_xlfn.XLOOKUP(Orders[[#This Row],[CustomerID]],Customers[CustomerID],Customers[City])</f>
        <v>Georgia</v>
      </c>
      <c r="N677" t="str">
        <f>_xlfn.XLOOKUP(Orders[[#This Row],[CustomerID]],Customers[CustomerID],Customers[CustomerName])</f>
        <v>Ronke Adeyemi</v>
      </c>
      <c r="O677" t="str">
        <f>_xlfn.XLOOKUP(Orders[[#This Row],[CustomerID]],Customers[CustomerID],Customers[Gender])</f>
        <v>Female</v>
      </c>
      <c r="P677">
        <f>_xlfn.XLOOKUP(Orders[[#This Row],[CustomerID]],Customers[CustomerID],Customers[CustomerAge])</f>
        <v>19</v>
      </c>
      <c r="Q677" t="str">
        <f>IF(Orders[[#This Row],[Age]]&gt;=35,"older","young")</f>
        <v>young</v>
      </c>
      <c r="R677" t="str">
        <f>_xlfn.XLOOKUP(Orders[[#This Row],[ProductID]],Products[ProductID],Products[ProductName])</f>
        <v>BADMINTON RACKET</v>
      </c>
      <c r="S677" t="str">
        <f>_xlfn.XLOOKUP(Orders[[#This Row],[ProductID]],Products!A:A,Products!C:C)</f>
        <v>Sports</v>
      </c>
    </row>
    <row r="678" spans="1:19" x14ac:dyDescent="0.2">
      <c r="A678" s="4" t="s">
        <v>866</v>
      </c>
      <c r="B678" s="5">
        <v>45961</v>
      </c>
      <c r="C678" s="15">
        <f>WEEKNUM(Orders[[#This Row],[OrderDate]])</f>
        <v>44</v>
      </c>
      <c r="D678" s="4" t="s">
        <v>260</v>
      </c>
      <c r="E678" s="4" t="s">
        <v>353</v>
      </c>
      <c r="F678" s="4">
        <v>5</v>
      </c>
      <c r="G678" s="4">
        <v>11355.8</v>
      </c>
      <c r="H678">
        <v>9652.43</v>
      </c>
      <c r="I678">
        <f>Orders[[#This Row],[Quantity]]*Orders[[#This Row],[Selling Price]]</f>
        <v>56779</v>
      </c>
      <c r="J678">
        <f>Orders[[#This Row],[Quantity]]*Orders[[#This Row],[Cost Price]]</f>
        <v>48262.15</v>
      </c>
      <c r="K678">
        <f>Orders[[#This Row],[Revenue]]-Orders[[#This Row],[Expenses]]</f>
        <v>8516.8499999999985</v>
      </c>
      <c r="L678" t="s">
        <v>2197</v>
      </c>
      <c r="M678" t="str">
        <f>_xlfn.XLOOKUP(Orders[[#This Row],[CustomerID]],Customers[CustomerID],Customers[City])</f>
        <v>Florida</v>
      </c>
      <c r="N678" t="str">
        <f>_xlfn.XLOOKUP(Orders[[#This Row],[CustomerID]],Customers[CustomerID],Customers[CustomerName])</f>
        <v>Amina Obi</v>
      </c>
      <c r="O678" t="str">
        <f>_xlfn.XLOOKUP(Orders[[#This Row],[CustomerID]],Customers[CustomerID],Customers[Gender])</f>
        <v>Female</v>
      </c>
      <c r="P678">
        <f>_xlfn.XLOOKUP(Orders[[#This Row],[CustomerID]],Customers[CustomerID],Customers[CustomerAge])</f>
        <v>29</v>
      </c>
      <c r="Q678" t="str">
        <f>IF(Orders[[#This Row],[Age]]&gt;=35,"older","young")</f>
        <v>young</v>
      </c>
      <c r="R678" t="str">
        <f>_xlfn.XLOOKUP(Orders[[#This Row],[ProductID]],Products[ProductID],Products[ProductName])</f>
        <v>SILVER EARRINGS AND NECKLACES</v>
      </c>
      <c r="S678" t="str">
        <f>_xlfn.XLOOKUP(Orders[[#This Row],[ProductID]],Products!A:A,Products!C:C)</f>
        <v>Accessories</v>
      </c>
    </row>
    <row r="679" spans="1:19" x14ac:dyDescent="0.2">
      <c r="A679" s="4" t="s">
        <v>867</v>
      </c>
      <c r="B679" s="5">
        <v>46004</v>
      </c>
      <c r="C679" s="15">
        <f>WEEKNUM(Orders[[#This Row],[OrderDate]])</f>
        <v>50</v>
      </c>
      <c r="D679" s="4" t="s">
        <v>369</v>
      </c>
      <c r="E679" s="4" t="s">
        <v>15</v>
      </c>
      <c r="F679" s="4">
        <v>2</v>
      </c>
      <c r="G679" s="4">
        <v>14687.8</v>
      </c>
      <c r="H679">
        <v>12484.63</v>
      </c>
      <c r="I679">
        <f>Orders[[#This Row],[Quantity]]*Orders[[#This Row],[Selling Price]]</f>
        <v>29375.599999999999</v>
      </c>
      <c r="J679">
        <f>Orders[[#This Row],[Quantity]]*Orders[[#This Row],[Cost Price]]</f>
        <v>24969.26</v>
      </c>
      <c r="K679">
        <f>Orders[[#This Row],[Revenue]]-Orders[[#This Row],[Expenses]]</f>
        <v>4406.34</v>
      </c>
      <c r="L679" t="s">
        <v>2192</v>
      </c>
      <c r="M679" t="str">
        <f>_xlfn.XLOOKUP(Orders[[#This Row],[CustomerID]],Customers[CustomerID],Customers[City])</f>
        <v>Washington</v>
      </c>
      <c r="N679" t="str">
        <f>_xlfn.XLOOKUP(Orders[[#This Row],[CustomerID]],Customers[CustomerID],Customers[CustomerName])</f>
        <v>Ibrahim Bello</v>
      </c>
      <c r="O679" t="str">
        <f>_xlfn.XLOOKUP(Orders[[#This Row],[CustomerID]],Customers[CustomerID],Customers[Gender])</f>
        <v>Male</v>
      </c>
      <c r="P679">
        <f>_xlfn.XLOOKUP(Orders[[#This Row],[CustomerID]],Customers[CustomerID],Customers[CustomerAge])</f>
        <v>40</v>
      </c>
      <c r="Q679" t="str">
        <f>IF(Orders[[#This Row],[Age]]&gt;=35,"older","young")</f>
        <v>older</v>
      </c>
      <c r="R679" t="str">
        <f>_xlfn.XLOOKUP(Orders[[#This Row],[ProductID]],Products[ProductID],Products[ProductName])</f>
        <v>MONOPOLY</v>
      </c>
      <c r="S679" t="str">
        <f>_xlfn.XLOOKUP(Orders[[#This Row],[ProductID]],Products!A:A,Products!C:C)</f>
        <v>Games</v>
      </c>
    </row>
    <row r="680" spans="1:19" x14ac:dyDescent="0.2">
      <c r="A680" s="4" t="s">
        <v>868</v>
      </c>
      <c r="B680" s="5">
        <v>45961</v>
      </c>
      <c r="C680" s="15">
        <f>WEEKNUM(Orders[[#This Row],[OrderDate]])</f>
        <v>44</v>
      </c>
      <c r="D680" s="4" t="s">
        <v>212</v>
      </c>
      <c r="E680" s="4" t="s">
        <v>53</v>
      </c>
      <c r="F680" s="4">
        <v>2</v>
      </c>
      <c r="G680" s="4">
        <v>14619.300000000001</v>
      </c>
      <c r="H680">
        <v>12426.405000000001</v>
      </c>
      <c r="I680">
        <f>Orders[[#This Row],[Quantity]]*Orders[[#This Row],[Selling Price]]</f>
        <v>29238.600000000002</v>
      </c>
      <c r="J680">
        <f>Orders[[#This Row],[Quantity]]*Orders[[#This Row],[Cost Price]]</f>
        <v>24852.81</v>
      </c>
      <c r="K680">
        <f>Orders[[#This Row],[Revenue]]-Orders[[#This Row],[Expenses]]</f>
        <v>4385.7900000000009</v>
      </c>
      <c r="L680" t="s">
        <v>2197</v>
      </c>
      <c r="M680" t="str">
        <f>_xlfn.XLOOKUP(Orders[[#This Row],[CustomerID]],Customers[CustomerID],Customers[City])</f>
        <v>Illinois</v>
      </c>
      <c r="N680" t="str">
        <f>_xlfn.XLOOKUP(Orders[[#This Row],[CustomerID]],Customers[CustomerID],Customers[CustomerName])</f>
        <v>Ngozi Ojo</v>
      </c>
      <c r="O680" t="str">
        <f>_xlfn.XLOOKUP(Orders[[#This Row],[CustomerID]],Customers[CustomerID],Customers[Gender])</f>
        <v>Female</v>
      </c>
      <c r="P680">
        <f>_xlfn.XLOOKUP(Orders[[#This Row],[CustomerID]],Customers[CustomerID],Customers[CustomerAge])</f>
        <v>53</v>
      </c>
      <c r="Q680" t="str">
        <f>IF(Orders[[#This Row],[Age]]&gt;=35,"older","young")</f>
        <v>older</v>
      </c>
      <c r="R680" t="str">
        <f>_xlfn.XLOOKUP(Orders[[#This Row],[ProductID]],Products[ProductID],Products[ProductName])</f>
        <v>SILVER BANGLES</v>
      </c>
      <c r="S680" t="str">
        <f>_xlfn.XLOOKUP(Orders[[#This Row],[ProductID]],Products!A:A,Products!C:C)</f>
        <v>Accessories</v>
      </c>
    </row>
    <row r="681" spans="1:19" x14ac:dyDescent="0.2">
      <c r="A681" s="4" t="s">
        <v>869</v>
      </c>
      <c r="B681" s="5">
        <v>45932</v>
      </c>
      <c r="C681" s="15">
        <f>WEEKNUM(Orders[[#This Row],[OrderDate]])</f>
        <v>40</v>
      </c>
      <c r="D681" s="4" t="s">
        <v>62</v>
      </c>
      <c r="E681" s="4" t="s">
        <v>60</v>
      </c>
      <c r="F681" s="4">
        <v>9</v>
      </c>
      <c r="G681" s="4">
        <v>7515.2</v>
      </c>
      <c r="H681">
        <v>6387.92</v>
      </c>
      <c r="I681">
        <f>Orders[[#This Row],[Quantity]]*Orders[[#This Row],[Selling Price]]</f>
        <v>67636.800000000003</v>
      </c>
      <c r="J681">
        <f>Orders[[#This Row],[Quantity]]*Orders[[#This Row],[Cost Price]]</f>
        <v>57491.28</v>
      </c>
      <c r="K681">
        <f>Orders[[#This Row],[Revenue]]-Orders[[#This Row],[Expenses]]</f>
        <v>10145.520000000004</v>
      </c>
      <c r="L681" t="s">
        <v>2204</v>
      </c>
      <c r="M681" t="str">
        <f>_xlfn.XLOOKUP(Orders[[#This Row],[CustomerID]],Customers[CustomerID],Customers[City])</f>
        <v>Texas</v>
      </c>
      <c r="N681" t="str">
        <f>_xlfn.XLOOKUP(Orders[[#This Row],[CustomerID]],Customers[CustomerID],Customers[CustomerName])</f>
        <v>Ronke Okonkwo</v>
      </c>
      <c r="O681" t="str">
        <f>_xlfn.XLOOKUP(Orders[[#This Row],[CustomerID]],Customers[CustomerID],Customers[Gender])</f>
        <v>Female</v>
      </c>
      <c r="P681">
        <f>_xlfn.XLOOKUP(Orders[[#This Row],[CustomerID]],Customers[CustomerID],Customers[CustomerAge])</f>
        <v>36</v>
      </c>
      <c r="Q681" t="str">
        <f>IF(Orders[[#This Row],[Age]]&gt;=35,"older","young")</f>
        <v>older</v>
      </c>
      <c r="R681" t="str">
        <f>_xlfn.XLOOKUP(Orders[[#This Row],[ProductID]],Products[ProductID],Products[ProductName])</f>
        <v>SILVER RINGS</v>
      </c>
      <c r="S681" t="str">
        <f>_xlfn.XLOOKUP(Orders[[#This Row],[ProductID]],Products!A:A,Products!C:C)</f>
        <v>Accessories</v>
      </c>
    </row>
    <row r="682" spans="1:19" x14ac:dyDescent="0.2">
      <c r="A682" s="4" t="s">
        <v>870</v>
      </c>
      <c r="B682" s="5">
        <v>45943</v>
      </c>
      <c r="C682" s="15">
        <f>WEEKNUM(Orders[[#This Row],[OrderDate]])</f>
        <v>42</v>
      </c>
      <c r="D682" s="4" t="s">
        <v>596</v>
      </c>
      <c r="E682" s="4" t="s">
        <v>70</v>
      </c>
      <c r="F682" s="4">
        <v>8</v>
      </c>
      <c r="G682" s="4">
        <v>13915.599999999999</v>
      </c>
      <c r="H682">
        <v>11828.259999999998</v>
      </c>
      <c r="I682">
        <f>Orders[[#This Row],[Quantity]]*Orders[[#This Row],[Selling Price]]</f>
        <v>111324.79999999999</v>
      </c>
      <c r="J682">
        <f>Orders[[#This Row],[Quantity]]*Orders[[#This Row],[Cost Price]]</f>
        <v>94626.079999999987</v>
      </c>
      <c r="K682">
        <f>Orders[[#This Row],[Revenue]]-Orders[[#This Row],[Expenses]]</f>
        <v>16698.72</v>
      </c>
      <c r="L682" t="s">
        <v>2200</v>
      </c>
      <c r="M682" t="str">
        <f>_xlfn.XLOOKUP(Orders[[#This Row],[CustomerID]],Customers[CustomerID],Customers[City])</f>
        <v>Texas</v>
      </c>
      <c r="N682" t="str">
        <f>_xlfn.XLOOKUP(Orders[[#This Row],[CustomerID]],Customers[CustomerID],Customers[CustomerName])</f>
        <v>Blessing Balogun</v>
      </c>
      <c r="O682" t="str">
        <f>_xlfn.XLOOKUP(Orders[[#This Row],[CustomerID]],Customers[CustomerID],Customers[Gender])</f>
        <v>Female</v>
      </c>
      <c r="P682">
        <f>_xlfn.XLOOKUP(Orders[[#This Row],[CustomerID]],Customers[CustomerID],Customers[CustomerAge])</f>
        <v>26</v>
      </c>
      <c r="Q682" t="str">
        <f>IF(Orders[[#This Row],[Age]]&gt;=35,"older","young")</f>
        <v>young</v>
      </c>
      <c r="R682" t="str">
        <f>_xlfn.XLOOKUP(Orders[[#This Row],[ProductID]],Products[ProductID],Products[ProductName])</f>
        <v>YOGA MAT</v>
      </c>
      <c r="S682" t="str">
        <f>_xlfn.XLOOKUP(Orders[[#This Row],[ProductID]],Products!A:A,Products!C:C)</f>
        <v>Gym</v>
      </c>
    </row>
    <row r="683" spans="1:19" x14ac:dyDescent="0.2">
      <c r="A683" s="4" t="s">
        <v>871</v>
      </c>
      <c r="B683" s="5">
        <v>45936</v>
      </c>
      <c r="C683" s="15">
        <f>WEEKNUM(Orders[[#This Row],[OrderDate]])</f>
        <v>41</v>
      </c>
      <c r="D683" s="4" t="s">
        <v>62</v>
      </c>
      <c r="E683" s="4" t="s">
        <v>46</v>
      </c>
      <c r="F683" s="4">
        <v>3</v>
      </c>
      <c r="G683" s="4">
        <v>11260.3</v>
      </c>
      <c r="H683">
        <v>9571.2549999999992</v>
      </c>
      <c r="I683">
        <f>Orders[[#This Row],[Quantity]]*Orders[[#This Row],[Selling Price]]</f>
        <v>33780.899999999994</v>
      </c>
      <c r="J683">
        <f>Orders[[#This Row],[Quantity]]*Orders[[#This Row],[Cost Price]]</f>
        <v>28713.764999999999</v>
      </c>
      <c r="K683">
        <f>Orders[[#This Row],[Revenue]]-Orders[[#This Row],[Expenses]]</f>
        <v>5067.1349999999948</v>
      </c>
      <c r="L683" t="s">
        <v>2199</v>
      </c>
      <c r="M683" t="str">
        <f>_xlfn.XLOOKUP(Orders[[#This Row],[CustomerID]],Customers[CustomerID],Customers[City])</f>
        <v>Texas</v>
      </c>
      <c r="N683" t="str">
        <f>_xlfn.XLOOKUP(Orders[[#This Row],[CustomerID]],Customers[CustomerID],Customers[CustomerName])</f>
        <v>Ronke Okonkwo</v>
      </c>
      <c r="O683" t="str">
        <f>_xlfn.XLOOKUP(Orders[[#This Row],[CustomerID]],Customers[CustomerID],Customers[Gender])</f>
        <v>Female</v>
      </c>
      <c r="P683">
        <f>_xlfn.XLOOKUP(Orders[[#This Row],[CustomerID]],Customers[CustomerID],Customers[CustomerAge])</f>
        <v>36</v>
      </c>
      <c r="Q683" t="str">
        <f>IF(Orders[[#This Row],[Age]]&gt;=35,"older","young")</f>
        <v>older</v>
      </c>
      <c r="R683" t="str">
        <f>_xlfn.XLOOKUP(Orders[[#This Row],[ProductID]],Products[ProductID],Products[ProductName])</f>
        <v>TURTLE NECK</v>
      </c>
      <c r="S683" t="str">
        <f>_xlfn.XLOOKUP(Orders[[#This Row],[ProductID]],Products!A:A,Products!C:C)</f>
        <v>Clothing</v>
      </c>
    </row>
    <row r="684" spans="1:19" x14ac:dyDescent="0.2">
      <c r="A684" s="4" t="s">
        <v>872</v>
      </c>
      <c r="B684" s="5">
        <v>45972</v>
      </c>
      <c r="C684" s="15">
        <f>WEEKNUM(Orders[[#This Row],[OrderDate]])</f>
        <v>46</v>
      </c>
      <c r="D684" s="4" t="s">
        <v>564</v>
      </c>
      <c r="E684" s="4" t="s">
        <v>31</v>
      </c>
      <c r="F684" s="4">
        <v>6</v>
      </c>
      <c r="G684" s="4">
        <v>15212.4</v>
      </c>
      <c r="H684">
        <v>12930.54</v>
      </c>
      <c r="I684">
        <f>Orders[[#This Row],[Quantity]]*Orders[[#This Row],[Selling Price]]</f>
        <v>91274.4</v>
      </c>
      <c r="J684">
        <f>Orders[[#This Row],[Quantity]]*Orders[[#This Row],[Cost Price]]</f>
        <v>77583.240000000005</v>
      </c>
      <c r="K684">
        <f>Orders[[#This Row],[Revenue]]-Orders[[#This Row],[Expenses]]</f>
        <v>13691.159999999989</v>
      </c>
      <c r="L684" t="s">
        <v>2196</v>
      </c>
      <c r="M684" t="str">
        <f>_xlfn.XLOOKUP(Orders[[#This Row],[CustomerID]],Customers[CustomerID],Customers[City])</f>
        <v>Georgia</v>
      </c>
      <c r="N684" t="str">
        <f>_xlfn.XLOOKUP(Orders[[#This Row],[CustomerID]],Customers[CustomerID],Customers[CustomerName])</f>
        <v>Blessing Eze</v>
      </c>
      <c r="O684" t="str">
        <f>_xlfn.XLOOKUP(Orders[[#This Row],[CustomerID]],Customers[CustomerID],Customers[Gender])</f>
        <v>Female</v>
      </c>
      <c r="P684">
        <f>_xlfn.XLOOKUP(Orders[[#This Row],[CustomerID]],Customers[CustomerID],Customers[CustomerAge])</f>
        <v>19</v>
      </c>
      <c r="Q684" t="str">
        <f>IF(Orders[[#This Row],[Age]]&gt;=35,"older","young")</f>
        <v>young</v>
      </c>
      <c r="R684" t="str">
        <f>_xlfn.XLOOKUP(Orders[[#This Row],[ProductID]],Products[ProductID],Products[ProductName])</f>
        <v>KIDS GAMES</v>
      </c>
      <c r="S684" t="str">
        <f>_xlfn.XLOOKUP(Orders[[#This Row],[ProductID]],Products!A:A,Products!C:C)</f>
        <v>Games</v>
      </c>
    </row>
    <row r="685" spans="1:19" x14ac:dyDescent="0.2">
      <c r="A685" s="4" t="s">
        <v>873</v>
      </c>
      <c r="B685" s="5">
        <v>45945</v>
      </c>
      <c r="C685" s="15">
        <f>WEEKNUM(Orders[[#This Row],[OrderDate]])</f>
        <v>42</v>
      </c>
      <c r="D685" s="4" t="s">
        <v>39</v>
      </c>
      <c r="E685" s="4" t="s">
        <v>120</v>
      </c>
      <c r="F685" s="4">
        <v>8</v>
      </c>
      <c r="G685" s="4">
        <v>17543.800000000003</v>
      </c>
      <c r="H685">
        <v>14912.230000000003</v>
      </c>
      <c r="I685">
        <f>Orders[[#This Row],[Quantity]]*Orders[[#This Row],[Selling Price]]</f>
        <v>140350.40000000002</v>
      </c>
      <c r="J685">
        <f>Orders[[#This Row],[Quantity]]*Orders[[#This Row],[Cost Price]]</f>
        <v>119297.84000000003</v>
      </c>
      <c r="K685">
        <f>Orders[[#This Row],[Revenue]]-Orders[[#This Row],[Expenses]]</f>
        <v>21052.559999999998</v>
      </c>
      <c r="L685" t="s">
        <v>2198</v>
      </c>
      <c r="M685" t="str">
        <f>_xlfn.XLOOKUP(Orders[[#This Row],[CustomerID]],Customers[CustomerID],Customers[City])</f>
        <v>Florida</v>
      </c>
      <c r="N685" t="str">
        <f>_xlfn.XLOOKUP(Orders[[#This Row],[CustomerID]],Customers[CustomerID],Customers[CustomerName])</f>
        <v>Efe Adeyemi</v>
      </c>
      <c r="O685" t="str">
        <f>_xlfn.XLOOKUP(Orders[[#This Row],[CustomerID]],Customers[CustomerID],Customers[Gender])</f>
        <v>Female</v>
      </c>
      <c r="P685">
        <f>_xlfn.XLOOKUP(Orders[[#This Row],[CustomerID]],Customers[CustomerID],Customers[CustomerAge])</f>
        <v>20</v>
      </c>
      <c r="Q685" t="str">
        <f>IF(Orders[[#This Row],[Age]]&gt;=35,"older","young")</f>
        <v>young</v>
      </c>
      <c r="R685" t="str">
        <f>_xlfn.XLOOKUP(Orders[[#This Row],[ProductID]],Products[ProductID],Products[ProductName])</f>
        <v>CHESS</v>
      </c>
      <c r="S685" t="str">
        <f>_xlfn.XLOOKUP(Orders[[#This Row],[ProductID]],Products!A:A,Products!C:C)</f>
        <v>Games</v>
      </c>
    </row>
    <row r="686" spans="1:19" x14ac:dyDescent="0.2">
      <c r="A686" s="4" t="s">
        <v>874</v>
      </c>
      <c r="B686" s="5">
        <v>45998</v>
      </c>
      <c r="C686" s="15">
        <f>WEEKNUM(Orders[[#This Row],[OrderDate]])</f>
        <v>50</v>
      </c>
      <c r="D686" s="4" t="s">
        <v>322</v>
      </c>
      <c r="E686" s="4" t="s">
        <v>34</v>
      </c>
      <c r="F686" s="4">
        <v>4</v>
      </c>
      <c r="G686" s="4">
        <v>18834.400000000001</v>
      </c>
      <c r="H686">
        <v>16009.240000000002</v>
      </c>
      <c r="I686">
        <f>Orders[[#This Row],[Quantity]]*Orders[[#This Row],[Selling Price]]</f>
        <v>75337.600000000006</v>
      </c>
      <c r="J686">
        <f>Orders[[#This Row],[Quantity]]*Orders[[#This Row],[Cost Price]]</f>
        <v>64036.960000000006</v>
      </c>
      <c r="K686">
        <f>Orders[[#This Row],[Revenue]]-Orders[[#This Row],[Expenses]]</f>
        <v>11300.64</v>
      </c>
      <c r="L686" t="s">
        <v>2194</v>
      </c>
      <c r="M686" t="str">
        <f>_xlfn.XLOOKUP(Orders[[#This Row],[CustomerID]],Customers[CustomerID],Customers[City])</f>
        <v>Washington</v>
      </c>
      <c r="N686" t="str">
        <f>_xlfn.XLOOKUP(Orders[[#This Row],[CustomerID]],Customers[CustomerID],Customers[CustomerName])</f>
        <v>Ngozi Bello</v>
      </c>
      <c r="O686" t="str">
        <f>_xlfn.XLOOKUP(Orders[[#This Row],[CustomerID]],Customers[CustomerID],Customers[Gender])</f>
        <v>Female</v>
      </c>
      <c r="P686">
        <f>_xlfn.XLOOKUP(Orders[[#This Row],[CustomerID]],Customers[CustomerID],Customers[CustomerAge])</f>
        <v>32</v>
      </c>
      <c r="Q686" t="str">
        <f>IF(Orders[[#This Row],[Age]]&gt;=35,"older","young")</f>
        <v>young</v>
      </c>
      <c r="R686" t="str">
        <f>_xlfn.XLOOKUP(Orders[[#This Row],[ProductID]],Products[ProductID],Products[ProductName])</f>
        <v>GOLD BRACELETS</v>
      </c>
      <c r="S686" t="str">
        <f>_xlfn.XLOOKUP(Orders[[#This Row],[ProductID]],Products!A:A,Products!C:C)</f>
        <v>Accessories</v>
      </c>
    </row>
    <row r="687" spans="1:19" x14ac:dyDescent="0.2">
      <c r="A687" s="4" t="s">
        <v>875</v>
      </c>
      <c r="B687" s="5">
        <v>45996</v>
      </c>
      <c r="C687" s="15">
        <f>WEEKNUM(Orders[[#This Row],[OrderDate]])</f>
        <v>49</v>
      </c>
      <c r="D687" s="4" t="s">
        <v>252</v>
      </c>
      <c r="E687" s="4" t="s">
        <v>37</v>
      </c>
      <c r="F687" s="4">
        <v>10</v>
      </c>
      <c r="G687" s="4">
        <v>6797.2000000000007</v>
      </c>
      <c r="H687">
        <v>5777.6200000000008</v>
      </c>
      <c r="I687">
        <f>Orders[[#This Row],[Quantity]]*Orders[[#This Row],[Selling Price]]</f>
        <v>67972</v>
      </c>
      <c r="J687">
        <f>Orders[[#This Row],[Quantity]]*Orders[[#This Row],[Cost Price]]</f>
        <v>57776.200000000012</v>
      </c>
      <c r="K687">
        <f>Orders[[#This Row],[Revenue]]-Orders[[#This Row],[Expenses]]</f>
        <v>10195.799999999988</v>
      </c>
      <c r="L687" t="s">
        <v>2216</v>
      </c>
      <c r="M687" t="str">
        <f>_xlfn.XLOOKUP(Orders[[#This Row],[CustomerID]],Customers[CustomerID],Customers[City])</f>
        <v>Texas</v>
      </c>
      <c r="N687" t="str">
        <f>_xlfn.XLOOKUP(Orders[[#This Row],[CustomerID]],Customers[CustomerID],Customers[CustomerName])</f>
        <v>Chioma Adeyemi</v>
      </c>
      <c r="O687" t="str">
        <f>_xlfn.XLOOKUP(Orders[[#This Row],[CustomerID]],Customers[CustomerID],Customers[Gender])</f>
        <v>Female</v>
      </c>
      <c r="P687">
        <f>_xlfn.XLOOKUP(Orders[[#This Row],[CustomerID]],Customers[CustomerID],Customers[CustomerAge])</f>
        <v>20</v>
      </c>
      <c r="Q687" t="str">
        <f>IF(Orders[[#This Row],[Age]]&gt;=35,"older","young")</f>
        <v>young</v>
      </c>
      <c r="R687" t="str">
        <f>_xlfn.XLOOKUP(Orders[[#This Row],[ProductID]],Products[ProductID],Products[ProductName])</f>
        <v>IRON</v>
      </c>
      <c r="S687" t="str">
        <f>_xlfn.XLOOKUP(Orders[[#This Row],[ProductID]],Products!A:A,Products!C:C)</f>
        <v>Electronics</v>
      </c>
    </row>
    <row r="688" spans="1:19" x14ac:dyDescent="0.2">
      <c r="A688" s="4" t="s">
        <v>876</v>
      </c>
      <c r="B688" s="5">
        <v>46013</v>
      </c>
      <c r="C688" s="15">
        <f>WEEKNUM(Orders[[#This Row],[OrderDate]])</f>
        <v>52</v>
      </c>
      <c r="D688" s="4" t="s">
        <v>264</v>
      </c>
      <c r="E688" s="4" t="s">
        <v>208</v>
      </c>
      <c r="F688" s="4">
        <v>6</v>
      </c>
      <c r="G688" s="4">
        <v>15894.7</v>
      </c>
      <c r="H688">
        <v>13510.495000000001</v>
      </c>
      <c r="I688">
        <f>Orders[[#This Row],[Quantity]]*Orders[[#This Row],[Selling Price]]</f>
        <v>95368.200000000012</v>
      </c>
      <c r="J688">
        <f>Orders[[#This Row],[Quantity]]*Orders[[#This Row],[Cost Price]]</f>
        <v>81062.97</v>
      </c>
      <c r="K688">
        <f>Orders[[#This Row],[Revenue]]-Orders[[#This Row],[Expenses]]</f>
        <v>14305.23000000001</v>
      </c>
      <c r="L688" t="s">
        <v>2220</v>
      </c>
      <c r="M688" t="str">
        <f>_xlfn.XLOOKUP(Orders[[#This Row],[CustomerID]],Customers[CustomerID],Customers[City])</f>
        <v>Georgia</v>
      </c>
      <c r="N688" t="str">
        <f>_xlfn.XLOOKUP(Orders[[#This Row],[CustomerID]],Customers[CustomerID],Customers[CustomerName])</f>
        <v>Ronke Adeyemi</v>
      </c>
      <c r="O688" t="str">
        <f>_xlfn.XLOOKUP(Orders[[#This Row],[CustomerID]],Customers[CustomerID],Customers[Gender])</f>
        <v>Female</v>
      </c>
      <c r="P688">
        <f>_xlfn.XLOOKUP(Orders[[#This Row],[CustomerID]],Customers[CustomerID],Customers[CustomerAge])</f>
        <v>19</v>
      </c>
      <c r="Q688" t="str">
        <f>IF(Orders[[#This Row],[Age]]&gt;=35,"older","young")</f>
        <v>young</v>
      </c>
      <c r="R688" t="str">
        <f>_xlfn.XLOOKUP(Orders[[#This Row],[ProductID]],Products[ProductID],Products[ProductName])</f>
        <v>SKIPPING ROPE</v>
      </c>
      <c r="S688" t="str">
        <f>_xlfn.XLOOKUP(Orders[[#This Row],[ProductID]],Products!A:A,Products!C:C)</f>
        <v>Sports</v>
      </c>
    </row>
    <row r="689" spans="1:19" x14ac:dyDescent="0.2">
      <c r="A689" s="4" t="s">
        <v>877</v>
      </c>
      <c r="B689" s="5">
        <v>45983</v>
      </c>
      <c r="C689" s="15">
        <f>WEEKNUM(Orders[[#This Row],[OrderDate]])</f>
        <v>47</v>
      </c>
      <c r="D689" s="4" t="s">
        <v>237</v>
      </c>
      <c r="E689" s="4" t="s">
        <v>28</v>
      </c>
      <c r="F689" s="4">
        <v>4</v>
      </c>
      <c r="G689" s="4">
        <v>17387.8</v>
      </c>
      <c r="H689">
        <v>14779.63</v>
      </c>
      <c r="I689">
        <f>Orders[[#This Row],[Quantity]]*Orders[[#This Row],[Selling Price]]</f>
        <v>69551.199999999997</v>
      </c>
      <c r="J689">
        <f>Orders[[#This Row],[Quantity]]*Orders[[#This Row],[Cost Price]]</f>
        <v>59118.52</v>
      </c>
      <c r="K689">
        <f>Orders[[#This Row],[Revenue]]-Orders[[#This Row],[Expenses]]</f>
        <v>10432.68</v>
      </c>
      <c r="L689" t="s">
        <v>2203</v>
      </c>
      <c r="M689" t="str">
        <f>_xlfn.XLOOKUP(Orders[[#This Row],[CustomerID]],Customers[CustomerID],Customers[City])</f>
        <v>Florida</v>
      </c>
      <c r="N689" t="str">
        <f>_xlfn.XLOOKUP(Orders[[#This Row],[CustomerID]],Customers[CustomerID],Customers[CustomerName])</f>
        <v>Ronke Danladi</v>
      </c>
      <c r="O689" t="str">
        <f>_xlfn.XLOOKUP(Orders[[#This Row],[CustomerID]],Customers[CustomerID],Customers[Gender])</f>
        <v>Female</v>
      </c>
      <c r="P689">
        <f>_xlfn.XLOOKUP(Orders[[#This Row],[CustomerID]],Customers[CustomerID],Customers[CustomerAge])</f>
        <v>25</v>
      </c>
      <c r="Q689" t="str">
        <f>IF(Orders[[#This Row],[Age]]&gt;=35,"older","young")</f>
        <v>young</v>
      </c>
      <c r="R689" t="str">
        <f>_xlfn.XLOOKUP(Orders[[#This Row],[ProductID]],Products[ProductID],Products[ProductName])</f>
        <v>SNEAKERS</v>
      </c>
      <c r="S689" t="str">
        <f>_xlfn.XLOOKUP(Orders[[#This Row],[ProductID]],Products!A:A,Products!C:C)</f>
        <v>Sports</v>
      </c>
    </row>
    <row r="690" spans="1:19" x14ac:dyDescent="0.2">
      <c r="A690" s="4" t="s">
        <v>878</v>
      </c>
      <c r="B690" s="5">
        <v>46009</v>
      </c>
      <c r="C690" s="15">
        <f>WEEKNUM(Orders[[#This Row],[OrderDate]])</f>
        <v>51</v>
      </c>
      <c r="D690" s="4" t="s">
        <v>132</v>
      </c>
      <c r="E690" s="4" t="s">
        <v>28</v>
      </c>
      <c r="F690" s="4">
        <v>7</v>
      </c>
      <c r="G690" s="4">
        <v>16051.199999999999</v>
      </c>
      <c r="H690">
        <v>13643.519999999999</v>
      </c>
      <c r="I690">
        <f>Orders[[#This Row],[Quantity]]*Orders[[#This Row],[Selling Price]]</f>
        <v>112358.39999999999</v>
      </c>
      <c r="J690">
        <f>Orders[[#This Row],[Quantity]]*Orders[[#This Row],[Cost Price]]</f>
        <v>95504.639999999985</v>
      </c>
      <c r="K690">
        <f>Orders[[#This Row],[Revenue]]-Orders[[#This Row],[Expenses]]</f>
        <v>16853.760000000009</v>
      </c>
      <c r="L690" t="s">
        <v>2208</v>
      </c>
      <c r="M690" t="str">
        <f>_xlfn.XLOOKUP(Orders[[#This Row],[CustomerID]],Customers[CustomerID],Customers[City])</f>
        <v>Illinois</v>
      </c>
      <c r="N690" t="str">
        <f>_xlfn.XLOOKUP(Orders[[#This Row],[CustomerID]],Customers[CustomerID],Customers[CustomerName])</f>
        <v>Emeka Balogun</v>
      </c>
      <c r="O690" t="str">
        <f>_xlfn.XLOOKUP(Orders[[#This Row],[CustomerID]],Customers[CustomerID],Customers[Gender])</f>
        <v>Male</v>
      </c>
      <c r="P690">
        <f>_xlfn.XLOOKUP(Orders[[#This Row],[CustomerID]],Customers[CustomerID],Customers[CustomerAge])</f>
        <v>36</v>
      </c>
      <c r="Q690" t="str">
        <f>IF(Orders[[#This Row],[Age]]&gt;=35,"older","young")</f>
        <v>older</v>
      </c>
      <c r="R690" t="str">
        <f>_xlfn.XLOOKUP(Orders[[#This Row],[ProductID]],Products[ProductID],Products[ProductName])</f>
        <v>SNEAKERS</v>
      </c>
      <c r="S690" t="str">
        <f>_xlfn.XLOOKUP(Orders[[#This Row],[ProductID]],Products!A:A,Products!C:C)</f>
        <v>Sports</v>
      </c>
    </row>
    <row r="691" spans="1:19" x14ac:dyDescent="0.2">
      <c r="A691" s="4" t="s">
        <v>879</v>
      </c>
      <c r="B691" s="5">
        <v>46000</v>
      </c>
      <c r="C691" s="15">
        <f>WEEKNUM(Orders[[#This Row],[OrderDate]])</f>
        <v>50</v>
      </c>
      <c r="D691" s="4" t="s">
        <v>159</v>
      </c>
      <c r="E691" s="4" t="s">
        <v>168</v>
      </c>
      <c r="F691" s="4">
        <v>3</v>
      </c>
      <c r="G691" s="4">
        <v>9305</v>
      </c>
      <c r="H691">
        <v>7909.25</v>
      </c>
      <c r="I691">
        <f>Orders[[#This Row],[Quantity]]*Orders[[#This Row],[Selling Price]]</f>
        <v>27915</v>
      </c>
      <c r="J691">
        <f>Orders[[#This Row],[Quantity]]*Orders[[#This Row],[Cost Price]]</f>
        <v>23727.75</v>
      </c>
      <c r="K691">
        <f>Orders[[#This Row],[Revenue]]-Orders[[#This Row],[Expenses]]</f>
        <v>4187.25</v>
      </c>
      <c r="L691" t="s">
        <v>2220</v>
      </c>
      <c r="M691" t="str">
        <f>_xlfn.XLOOKUP(Orders[[#This Row],[CustomerID]],Customers[CustomerID],Customers[City])</f>
        <v>Florida</v>
      </c>
      <c r="N691" t="str">
        <f>_xlfn.XLOOKUP(Orders[[#This Row],[CustomerID]],Customers[CustomerID],Customers[CustomerName])</f>
        <v>Ibrahim Okonkwo</v>
      </c>
      <c r="O691" t="str">
        <f>_xlfn.XLOOKUP(Orders[[#This Row],[CustomerID]],Customers[CustomerID],Customers[Gender])</f>
        <v>Male</v>
      </c>
      <c r="P691">
        <f>_xlfn.XLOOKUP(Orders[[#This Row],[CustomerID]],Customers[CustomerID],Customers[CustomerAge])</f>
        <v>49</v>
      </c>
      <c r="Q691" t="str">
        <f>IF(Orders[[#This Row],[Age]]&gt;=35,"older","young")</f>
        <v>older</v>
      </c>
      <c r="R691" t="str">
        <f>_xlfn.XLOOKUP(Orders[[#This Row],[ProductID]],Products[ProductID],Products[ProductName])</f>
        <v>DUMB BELLS</v>
      </c>
      <c r="S691" t="str">
        <f>_xlfn.XLOOKUP(Orders[[#This Row],[ProductID]],Products!A:A,Products!C:C)</f>
        <v>Gym</v>
      </c>
    </row>
    <row r="692" spans="1:19" x14ac:dyDescent="0.2">
      <c r="A692" s="4" t="s">
        <v>880</v>
      </c>
      <c r="B692" s="5">
        <v>45966</v>
      </c>
      <c r="C692" s="15">
        <f>WEEKNUM(Orders[[#This Row],[OrderDate]])</f>
        <v>45</v>
      </c>
      <c r="D692" s="4" t="s">
        <v>52</v>
      </c>
      <c r="E692" s="4" t="s">
        <v>127</v>
      </c>
      <c r="F692" s="4">
        <v>2</v>
      </c>
      <c r="G692" s="4">
        <v>2505.4</v>
      </c>
      <c r="H692">
        <v>2129.59</v>
      </c>
      <c r="I692">
        <f>Orders[[#This Row],[Quantity]]*Orders[[#This Row],[Selling Price]]</f>
        <v>5010.8</v>
      </c>
      <c r="J692">
        <f>Orders[[#This Row],[Quantity]]*Orders[[#This Row],[Cost Price]]</f>
        <v>4259.18</v>
      </c>
      <c r="K692">
        <f>Orders[[#This Row],[Revenue]]-Orders[[#This Row],[Expenses]]</f>
        <v>751.61999999999989</v>
      </c>
      <c r="L692" t="s">
        <v>2214</v>
      </c>
      <c r="M692" t="str">
        <f>_xlfn.XLOOKUP(Orders[[#This Row],[CustomerID]],Customers[CustomerID],Customers[City])</f>
        <v>Texas</v>
      </c>
      <c r="N692" t="str">
        <f>_xlfn.XLOOKUP(Orders[[#This Row],[CustomerID]],Customers[CustomerID],Customers[CustomerName])</f>
        <v>Folasade Ojo</v>
      </c>
      <c r="O692" t="str">
        <f>_xlfn.XLOOKUP(Orders[[#This Row],[CustomerID]],Customers[CustomerID],Customers[Gender])</f>
        <v>Female</v>
      </c>
      <c r="P692">
        <f>_xlfn.XLOOKUP(Orders[[#This Row],[CustomerID]],Customers[CustomerID],Customers[CustomerAge])</f>
        <v>29</v>
      </c>
      <c r="Q692" t="str">
        <f>IF(Orders[[#This Row],[Age]]&gt;=35,"older","young")</f>
        <v>young</v>
      </c>
      <c r="R692" t="str">
        <f>_xlfn.XLOOKUP(Orders[[#This Row],[ProductID]],Products[ProductID],Products[ProductName])</f>
        <v>TOPS</v>
      </c>
      <c r="S692" t="str">
        <f>_xlfn.XLOOKUP(Orders[[#This Row],[ProductID]],Products!A:A,Products!C:C)</f>
        <v>Clothing</v>
      </c>
    </row>
    <row r="693" spans="1:19" x14ac:dyDescent="0.2">
      <c r="A693" s="4" t="s">
        <v>881</v>
      </c>
      <c r="B693" s="5">
        <v>46020</v>
      </c>
      <c r="C693" s="15">
        <f>WEEKNUM(Orders[[#This Row],[OrderDate]])</f>
        <v>53</v>
      </c>
      <c r="D693" s="4" t="s">
        <v>223</v>
      </c>
      <c r="E693" s="4" t="s">
        <v>84</v>
      </c>
      <c r="F693" s="4">
        <v>10</v>
      </c>
      <c r="G693" s="4">
        <v>6422.9</v>
      </c>
      <c r="H693">
        <v>5459.4650000000001</v>
      </c>
      <c r="I693">
        <f>Orders[[#This Row],[Quantity]]*Orders[[#This Row],[Selling Price]]</f>
        <v>64229</v>
      </c>
      <c r="J693">
        <f>Orders[[#This Row],[Quantity]]*Orders[[#This Row],[Cost Price]]</f>
        <v>54594.65</v>
      </c>
      <c r="K693">
        <f>Orders[[#This Row],[Revenue]]-Orders[[#This Row],[Expenses]]</f>
        <v>9634.3499999999985</v>
      </c>
      <c r="L693" t="s">
        <v>2217</v>
      </c>
      <c r="M693" t="str">
        <f>_xlfn.XLOOKUP(Orders[[#This Row],[CustomerID]],Customers[CustomerID],Customers[City])</f>
        <v>Washington</v>
      </c>
      <c r="N693" t="str">
        <f>_xlfn.XLOOKUP(Orders[[#This Row],[CustomerID]],Customers[CustomerID],Customers[CustomerName])</f>
        <v>Blessing Danladi</v>
      </c>
      <c r="O693" t="str">
        <f>_xlfn.XLOOKUP(Orders[[#This Row],[CustomerID]],Customers[CustomerID],Customers[Gender])</f>
        <v>Female</v>
      </c>
      <c r="P693">
        <f>_xlfn.XLOOKUP(Orders[[#This Row],[CustomerID]],Customers[CustomerID],Customers[CustomerAge])</f>
        <v>20</v>
      </c>
      <c r="Q693" t="str">
        <f>IF(Orders[[#This Row],[Age]]&gt;=35,"older","young")</f>
        <v>young</v>
      </c>
      <c r="R693" t="str">
        <f>_xlfn.XLOOKUP(Orders[[#This Row],[ProductID]],Products[ProductID],Products[ProductName])</f>
        <v>GYM WEARS</v>
      </c>
      <c r="S693" t="str">
        <f>_xlfn.XLOOKUP(Orders[[#This Row],[ProductID]],Products!A:A,Products!C:C)</f>
        <v>Clothing</v>
      </c>
    </row>
    <row r="694" spans="1:19" x14ac:dyDescent="0.2">
      <c r="A694" s="4" t="s">
        <v>882</v>
      </c>
      <c r="B694" s="5">
        <v>46006</v>
      </c>
      <c r="C694" s="15">
        <f>WEEKNUM(Orders[[#This Row],[OrderDate]])</f>
        <v>51</v>
      </c>
      <c r="D694" s="4" t="s">
        <v>383</v>
      </c>
      <c r="E694" s="4" t="s">
        <v>81</v>
      </c>
      <c r="F694" s="4">
        <v>4</v>
      </c>
      <c r="G694" s="4">
        <v>674.2</v>
      </c>
      <c r="H694">
        <v>573.07000000000005</v>
      </c>
      <c r="I694">
        <f>Orders[[#This Row],[Quantity]]*Orders[[#This Row],[Selling Price]]</f>
        <v>2696.8</v>
      </c>
      <c r="J694">
        <f>Orders[[#This Row],[Quantity]]*Orders[[#This Row],[Cost Price]]</f>
        <v>2292.2800000000002</v>
      </c>
      <c r="K694">
        <f>Orders[[#This Row],[Revenue]]-Orders[[#This Row],[Expenses]]</f>
        <v>404.52</v>
      </c>
      <c r="L694" t="s">
        <v>2195</v>
      </c>
      <c r="M694" t="str">
        <f>_xlfn.XLOOKUP(Orders[[#This Row],[CustomerID]],Customers[CustomerID],Customers[City])</f>
        <v>Florida</v>
      </c>
      <c r="N694" t="str">
        <f>_xlfn.XLOOKUP(Orders[[#This Row],[CustomerID]],Customers[CustomerID],Customers[CustomerName])</f>
        <v>Ibrahim Balogun</v>
      </c>
      <c r="O694" t="str">
        <f>_xlfn.XLOOKUP(Orders[[#This Row],[CustomerID]],Customers[CustomerID],Customers[Gender])</f>
        <v>Male</v>
      </c>
      <c r="P694">
        <f>_xlfn.XLOOKUP(Orders[[#This Row],[CustomerID]],Customers[CustomerID],Customers[CustomerAge])</f>
        <v>27</v>
      </c>
      <c r="Q694" t="str">
        <f>IF(Orders[[#This Row],[Age]]&gt;=35,"older","young")</f>
        <v>young</v>
      </c>
      <c r="R694" t="str">
        <f>_xlfn.XLOOKUP(Orders[[#This Row],[ProductID]],Products[ProductID],Products[ProductName])</f>
        <v>TROUSERS</v>
      </c>
      <c r="S694" t="str">
        <f>_xlfn.XLOOKUP(Orders[[#This Row],[ProductID]],Products!A:A,Products!C:C)</f>
        <v>Clothing</v>
      </c>
    </row>
    <row r="695" spans="1:19" x14ac:dyDescent="0.2">
      <c r="A695" s="4" t="s">
        <v>883</v>
      </c>
      <c r="B695" s="5">
        <v>45951</v>
      </c>
      <c r="C695" s="15">
        <f>WEEKNUM(Orders[[#This Row],[OrderDate]])</f>
        <v>43</v>
      </c>
      <c r="D695" s="4" t="s">
        <v>73</v>
      </c>
      <c r="E695" s="4" t="s">
        <v>9</v>
      </c>
      <c r="F695" s="4">
        <v>1</v>
      </c>
      <c r="G695" s="4">
        <v>17370.899999999998</v>
      </c>
      <c r="H695">
        <v>14765.264999999998</v>
      </c>
      <c r="I695">
        <f>Orders[[#This Row],[Quantity]]*Orders[[#This Row],[Selling Price]]</f>
        <v>17370.899999999998</v>
      </c>
      <c r="J695">
        <f>Orders[[#This Row],[Quantity]]*Orders[[#This Row],[Cost Price]]</f>
        <v>14765.264999999998</v>
      </c>
      <c r="K695">
        <f>Orders[[#This Row],[Revenue]]-Orders[[#This Row],[Expenses]]</f>
        <v>2605.6350000000002</v>
      </c>
      <c r="L695" t="s">
        <v>2195</v>
      </c>
      <c r="M695" t="str">
        <f>_xlfn.XLOOKUP(Orders[[#This Row],[CustomerID]],Customers[CustomerID],Customers[City])</f>
        <v>California</v>
      </c>
      <c r="N695" t="str">
        <f>_xlfn.XLOOKUP(Orders[[#This Row],[CustomerID]],Customers[CustomerID],Customers[CustomerName])</f>
        <v>Ronke Okonkwo</v>
      </c>
      <c r="O695" t="str">
        <f>_xlfn.XLOOKUP(Orders[[#This Row],[CustomerID]],Customers[CustomerID],Customers[Gender])</f>
        <v>Female</v>
      </c>
      <c r="P695">
        <f>_xlfn.XLOOKUP(Orders[[#This Row],[CustomerID]],Customers[CustomerID],Customers[CustomerAge])</f>
        <v>20</v>
      </c>
      <c r="Q695" t="str">
        <f>IF(Orders[[#This Row],[Age]]&gt;=35,"older","young")</f>
        <v>young</v>
      </c>
      <c r="R695" t="str">
        <f>_xlfn.XLOOKUP(Orders[[#This Row],[ProductID]],Products[ProductID],Products[ProductName])</f>
        <v>BEADED EARRINGS AND NECKLACES</v>
      </c>
      <c r="S695" t="str">
        <f>_xlfn.XLOOKUP(Orders[[#This Row],[ProductID]],Products!A:A,Products!C:C)</f>
        <v>Accessories</v>
      </c>
    </row>
    <row r="696" spans="1:19" x14ac:dyDescent="0.2">
      <c r="A696" s="4" t="s">
        <v>884</v>
      </c>
      <c r="B696" s="5">
        <v>45949</v>
      </c>
      <c r="C696" s="15">
        <f>WEEKNUM(Orders[[#This Row],[OrderDate]])</f>
        <v>43</v>
      </c>
      <c r="D696" s="4" t="s">
        <v>256</v>
      </c>
      <c r="E696" s="4" t="s">
        <v>63</v>
      </c>
      <c r="F696" s="4">
        <v>6</v>
      </c>
      <c r="G696" s="4">
        <v>19846.900000000001</v>
      </c>
      <c r="H696">
        <v>16869.865000000002</v>
      </c>
      <c r="I696">
        <f>Orders[[#This Row],[Quantity]]*Orders[[#This Row],[Selling Price]]</f>
        <v>119081.40000000001</v>
      </c>
      <c r="J696">
        <f>Orders[[#This Row],[Quantity]]*Orders[[#This Row],[Cost Price]]</f>
        <v>101219.19</v>
      </c>
      <c r="K696">
        <f>Orders[[#This Row],[Revenue]]-Orders[[#This Row],[Expenses]]</f>
        <v>17862.210000000006</v>
      </c>
      <c r="L696" t="s">
        <v>2216</v>
      </c>
      <c r="M696" t="str">
        <f>_xlfn.XLOOKUP(Orders[[#This Row],[CustomerID]],Customers[CustomerID],Customers[City])</f>
        <v>Georgia</v>
      </c>
      <c r="N696" t="str">
        <f>_xlfn.XLOOKUP(Orders[[#This Row],[CustomerID]],Customers[CustomerID],Customers[CustomerName])</f>
        <v>Efe Ojo</v>
      </c>
      <c r="O696" t="str">
        <f>_xlfn.XLOOKUP(Orders[[#This Row],[CustomerID]],Customers[CustomerID],Customers[Gender])</f>
        <v>Female</v>
      </c>
      <c r="P696">
        <f>_xlfn.XLOOKUP(Orders[[#This Row],[CustomerID]],Customers[CustomerID],Customers[CustomerAge])</f>
        <v>23</v>
      </c>
      <c r="Q696" t="str">
        <f>IF(Orders[[#This Row],[Age]]&gt;=35,"older","young")</f>
        <v>young</v>
      </c>
      <c r="R696" t="str">
        <f>_xlfn.XLOOKUP(Orders[[#This Row],[ProductID]],Products[ProductID],Products[ProductName])</f>
        <v>TENNIS BAT</v>
      </c>
      <c r="S696" t="str">
        <f>_xlfn.XLOOKUP(Orders[[#This Row],[ProductID]],Products!A:A,Products!C:C)</f>
        <v>Sports</v>
      </c>
    </row>
    <row r="697" spans="1:19" x14ac:dyDescent="0.2">
      <c r="A697" s="4" t="s">
        <v>885</v>
      </c>
      <c r="B697" s="5">
        <v>45954</v>
      </c>
      <c r="C697" s="15">
        <f>WEEKNUM(Orders[[#This Row],[OrderDate]])</f>
        <v>43</v>
      </c>
      <c r="D697" s="4" t="s">
        <v>83</v>
      </c>
      <c r="E697" s="4" t="s">
        <v>25</v>
      </c>
      <c r="F697" s="4">
        <v>1</v>
      </c>
      <c r="G697" s="4">
        <v>9011.1</v>
      </c>
      <c r="H697">
        <v>7659.4350000000004</v>
      </c>
      <c r="I697">
        <f>Orders[[#This Row],[Quantity]]*Orders[[#This Row],[Selling Price]]</f>
        <v>9011.1</v>
      </c>
      <c r="J697">
        <f>Orders[[#This Row],[Quantity]]*Orders[[#This Row],[Cost Price]]</f>
        <v>7659.4350000000004</v>
      </c>
      <c r="K697">
        <f>Orders[[#This Row],[Revenue]]-Orders[[#This Row],[Expenses]]</f>
        <v>1351.665</v>
      </c>
      <c r="L697" t="s">
        <v>2194</v>
      </c>
      <c r="M697" t="str">
        <f>_xlfn.XLOOKUP(Orders[[#This Row],[CustomerID]],Customers[CustomerID],Customers[City])</f>
        <v>Florida</v>
      </c>
      <c r="N697" t="str">
        <f>_xlfn.XLOOKUP(Orders[[#This Row],[CustomerID]],Customers[CustomerID],Customers[CustomerName])</f>
        <v>Funke Danladi</v>
      </c>
      <c r="O697" t="str">
        <f>_xlfn.XLOOKUP(Orders[[#This Row],[CustomerID]],Customers[CustomerID],Customers[Gender])</f>
        <v>Female</v>
      </c>
      <c r="P697">
        <f>_xlfn.XLOOKUP(Orders[[#This Row],[CustomerID]],Customers[CustomerID],Customers[CustomerAge])</f>
        <v>26</v>
      </c>
      <c r="Q697" t="str">
        <f>IF(Orders[[#This Row],[Age]]&gt;=35,"older","young")</f>
        <v>young</v>
      </c>
      <c r="R697" t="str">
        <f>_xlfn.XLOOKUP(Orders[[#This Row],[ProductID]],Products[ProductID],Products[ProductName])</f>
        <v>GOLD RINGS</v>
      </c>
      <c r="S697" t="str">
        <f>_xlfn.XLOOKUP(Orders[[#This Row],[ProductID]],Products!A:A,Products!C:C)</f>
        <v>Accessories</v>
      </c>
    </row>
    <row r="698" spans="1:19" x14ac:dyDescent="0.2">
      <c r="A698" s="4" t="s">
        <v>886</v>
      </c>
      <c r="B698" s="5">
        <v>45943</v>
      </c>
      <c r="C698" s="15">
        <f>WEEKNUM(Orders[[#This Row],[OrderDate]])</f>
        <v>42</v>
      </c>
      <c r="D698" s="4" t="s">
        <v>96</v>
      </c>
      <c r="E698" s="4" t="s">
        <v>25</v>
      </c>
      <c r="F698" s="4">
        <v>5</v>
      </c>
      <c r="G698" s="4">
        <v>13384.8</v>
      </c>
      <c r="H698">
        <v>11377.08</v>
      </c>
      <c r="I698">
        <f>Orders[[#This Row],[Quantity]]*Orders[[#This Row],[Selling Price]]</f>
        <v>66924</v>
      </c>
      <c r="J698">
        <f>Orders[[#This Row],[Quantity]]*Orders[[#This Row],[Cost Price]]</f>
        <v>56885.4</v>
      </c>
      <c r="K698">
        <f>Orders[[#This Row],[Revenue]]-Orders[[#This Row],[Expenses]]</f>
        <v>10038.599999999999</v>
      </c>
      <c r="L698" t="s">
        <v>2218</v>
      </c>
      <c r="M698" t="str">
        <f>_xlfn.XLOOKUP(Orders[[#This Row],[CustomerID]],Customers[CustomerID],Customers[City])</f>
        <v>Texas</v>
      </c>
      <c r="N698" t="str">
        <f>_xlfn.XLOOKUP(Orders[[#This Row],[CustomerID]],Customers[CustomerID],Customers[CustomerName])</f>
        <v>Amina Abubakar</v>
      </c>
      <c r="O698" t="str">
        <f>_xlfn.XLOOKUP(Orders[[#This Row],[CustomerID]],Customers[CustomerID],Customers[Gender])</f>
        <v>Female</v>
      </c>
      <c r="P698">
        <f>_xlfn.XLOOKUP(Orders[[#This Row],[CustomerID]],Customers[CustomerID],Customers[CustomerAge])</f>
        <v>35</v>
      </c>
      <c r="Q698" t="str">
        <f>IF(Orders[[#This Row],[Age]]&gt;=35,"older","young")</f>
        <v>older</v>
      </c>
      <c r="R698" t="str">
        <f>_xlfn.XLOOKUP(Orders[[#This Row],[ProductID]],Products[ProductID],Products[ProductName])</f>
        <v>GOLD RINGS</v>
      </c>
      <c r="S698" t="str">
        <f>_xlfn.XLOOKUP(Orders[[#This Row],[ProductID]],Products!A:A,Products!C:C)</f>
        <v>Accessories</v>
      </c>
    </row>
    <row r="699" spans="1:19" x14ac:dyDescent="0.2">
      <c r="A699" s="4" t="s">
        <v>887</v>
      </c>
      <c r="B699" s="5">
        <v>45933</v>
      </c>
      <c r="C699" s="15">
        <f>WEEKNUM(Orders[[#This Row],[OrderDate]])</f>
        <v>40</v>
      </c>
      <c r="D699" s="4" t="s">
        <v>426</v>
      </c>
      <c r="E699" s="4" t="s">
        <v>66</v>
      </c>
      <c r="F699" s="4">
        <v>9</v>
      </c>
      <c r="G699" s="4">
        <v>19751.199999999997</v>
      </c>
      <c r="H699">
        <v>16788.519999999997</v>
      </c>
      <c r="I699">
        <f>Orders[[#This Row],[Quantity]]*Orders[[#This Row],[Selling Price]]</f>
        <v>177760.8</v>
      </c>
      <c r="J699">
        <f>Orders[[#This Row],[Quantity]]*Orders[[#This Row],[Cost Price]]</f>
        <v>151096.67999999996</v>
      </c>
      <c r="K699">
        <f>Orders[[#This Row],[Revenue]]-Orders[[#This Row],[Expenses]]</f>
        <v>26664.120000000024</v>
      </c>
      <c r="L699" t="s">
        <v>2192</v>
      </c>
      <c r="M699" t="str">
        <f>_xlfn.XLOOKUP(Orders[[#This Row],[CustomerID]],Customers[CustomerID],Customers[City])</f>
        <v>Washington</v>
      </c>
      <c r="N699" t="str">
        <f>_xlfn.XLOOKUP(Orders[[#This Row],[CustomerID]],Customers[CustomerID],Customers[CustomerName])</f>
        <v>Chinedu Ojo</v>
      </c>
      <c r="O699" t="str">
        <f>_xlfn.XLOOKUP(Orders[[#This Row],[CustomerID]],Customers[CustomerID],Customers[Gender])</f>
        <v>Male</v>
      </c>
      <c r="P699">
        <f>_xlfn.XLOOKUP(Orders[[#This Row],[CustomerID]],Customers[CustomerID],Customers[CustomerAge])</f>
        <v>18</v>
      </c>
      <c r="Q699" t="str">
        <f>IF(Orders[[#This Row],[Age]]&gt;=35,"older","young")</f>
        <v>young</v>
      </c>
      <c r="R699" t="str">
        <f>_xlfn.XLOOKUP(Orders[[#This Row],[ProductID]],Products[ProductID],Products[ProductName])</f>
        <v>MICROWAVE</v>
      </c>
      <c r="S699" t="str">
        <f>_xlfn.XLOOKUP(Orders[[#This Row],[ProductID]],Products!A:A,Products!C:C)</f>
        <v>Electronics</v>
      </c>
    </row>
    <row r="700" spans="1:19" x14ac:dyDescent="0.2">
      <c r="A700" s="4" t="s">
        <v>888</v>
      </c>
      <c r="B700" s="5">
        <v>45998</v>
      </c>
      <c r="C700" s="15">
        <f>WEEKNUM(Orders[[#This Row],[OrderDate]])</f>
        <v>50</v>
      </c>
      <c r="D700" s="4" t="s">
        <v>22</v>
      </c>
      <c r="E700" s="4" t="s">
        <v>63</v>
      </c>
      <c r="F700" s="4">
        <v>8</v>
      </c>
      <c r="G700" s="4">
        <v>18552.2</v>
      </c>
      <c r="H700">
        <v>15769.37</v>
      </c>
      <c r="I700">
        <f>Orders[[#This Row],[Quantity]]*Orders[[#This Row],[Selling Price]]</f>
        <v>148417.60000000001</v>
      </c>
      <c r="J700">
        <f>Orders[[#This Row],[Quantity]]*Orders[[#This Row],[Cost Price]]</f>
        <v>126154.96</v>
      </c>
      <c r="K700">
        <f>Orders[[#This Row],[Revenue]]-Orders[[#This Row],[Expenses]]</f>
        <v>22262.639999999999</v>
      </c>
      <c r="L700" t="s">
        <v>2218</v>
      </c>
      <c r="M700" t="str">
        <f>_xlfn.XLOOKUP(Orders[[#This Row],[CustomerID]],Customers[CustomerID],Customers[City])</f>
        <v>Texas</v>
      </c>
      <c r="N700" t="str">
        <f>_xlfn.XLOOKUP(Orders[[#This Row],[CustomerID]],Customers[CustomerID],Customers[CustomerName])</f>
        <v>Temi Bello</v>
      </c>
      <c r="O700" t="str">
        <f>_xlfn.XLOOKUP(Orders[[#This Row],[CustomerID]],Customers[CustomerID],Customers[Gender])</f>
        <v>Female</v>
      </c>
      <c r="P700">
        <f>_xlfn.XLOOKUP(Orders[[#This Row],[CustomerID]],Customers[CustomerID],Customers[CustomerAge])</f>
        <v>52</v>
      </c>
      <c r="Q700" t="str">
        <f>IF(Orders[[#This Row],[Age]]&gt;=35,"older","young")</f>
        <v>older</v>
      </c>
      <c r="R700" t="str">
        <f>_xlfn.XLOOKUP(Orders[[#This Row],[ProductID]],Products[ProductID],Products[ProductName])</f>
        <v>TENNIS BAT</v>
      </c>
      <c r="S700" t="str">
        <f>_xlfn.XLOOKUP(Orders[[#This Row],[ProductID]],Products!A:A,Products!C:C)</f>
        <v>Sports</v>
      </c>
    </row>
    <row r="701" spans="1:19" x14ac:dyDescent="0.2">
      <c r="A701" s="4" t="s">
        <v>889</v>
      </c>
      <c r="B701" s="5">
        <v>45995</v>
      </c>
      <c r="C701" s="15">
        <f>WEEKNUM(Orders[[#This Row],[OrderDate]])</f>
        <v>49</v>
      </c>
      <c r="D701" s="4" t="s">
        <v>75</v>
      </c>
      <c r="E701" s="4" t="s">
        <v>20</v>
      </c>
      <c r="F701" s="4">
        <v>3</v>
      </c>
      <c r="G701" s="4">
        <v>18580.099999999999</v>
      </c>
      <c r="H701">
        <v>15793.084999999999</v>
      </c>
      <c r="I701">
        <f>Orders[[#This Row],[Quantity]]*Orders[[#This Row],[Selling Price]]</f>
        <v>55740.299999999996</v>
      </c>
      <c r="J701">
        <f>Orders[[#This Row],[Quantity]]*Orders[[#This Row],[Cost Price]]</f>
        <v>47379.254999999997</v>
      </c>
      <c r="K701">
        <f>Orders[[#This Row],[Revenue]]-Orders[[#This Row],[Expenses]]</f>
        <v>8361.0449999999983</v>
      </c>
      <c r="L701" t="s">
        <v>2195</v>
      </c>
      <c r="M701" t="str">
        <f>_xlfn.XLOOKUP(Orders[[#This Row],[CustomerID]],Customers[CustomerID],Customers[City])</f>
        <v>Texas</v>
      </c>
      <c r="N701" t="str">
        <f>_xlfn.XLOOKUP(Orders[[#This Row],[CustomerID]],Customers[CustomerID],Customers[CustomerName])</f>
        <v>Tunde Danladi</v>
      </c>
      <c r="O701" t="str">
        <f>_xlfn.XLOOKUP(Orders[[#This Row],[CustomerID]],Customers[CustomerID],Customers[Gender])</f>
        <v>Male</v>
      </c>
      <c r="P701">
        <f>_xlfn.XLOOKUP(Orders[[#This Row],[CustomerID]],Customers[CustomerID],Customers[CustomerAge])</f>
        <v>47</v>
      </c>
      <c r="Q701" t="str">
        <f>IF(Orders[[#This Row],[Age]]&gt;=35,"older","young")</f>
        <v>older</v>
      </c>
      <c r="R701" t="str">
        <f>_xlfn.XLOOKUP(Orders[[#This Row],[ProductID]],Products[ProductID],Products[ProductName])</f>
        <v>GYM BAG</v>
      </c>
      <c r="S701" t="str">
        <f>_xlfn.XLOOKUP(Orders[[#This Row],[ProductID]],Products!A:A,Products!C:C)</f>
        <v>Gym</v>
      </c>
    </row>
    <row r="702" spans="1:19" x14ac:dyDescent="0.2">
      <c r="A702" s="4" t="s">
        <v>890</v>
      </c>
      <c r="B702" s="5">
        <v>45976</v>
      </c>
      <c r="C702" s="15">
        <f>WEEKNUM(Orders[[#This Row],[OrderDate]])</f>
        <v>46</v>
      </c>
      <c r="D702" s="4" t="s">
        <v>73</v>
      </c>
      <c r="E702" s="4" t="s">
        <v>25</v>
      </c>
      <c r="F702" s="4">
        <v>10</v>
      </c>
      <c r="G702" s="4">
        <v>14972.3</v>
      </c>
      <c r="H702">
        <v>12726.455</v>
      </c>
      <c r="I702">
        <f>Orders[[#This Row],[Quantity]]*Orders[[#This Row],[Selling Price]]</f>
        <v>149723</v>
      </c>
      <c r="J702">
        <f>Orders[[#This Row],[Quantity]]*Orders[[#This Row],[Cost Price]]</f>
        <v>127264.55</v>
      </c>
      <c r="K702">
        <f>Orders[[#This Row],[Revenue]]-Orders[[#This Row],[Expenses]]</f>
        <v>22458.449999999997</v>
      </c>
      <c r="L702" t="s">
        <v>2194</v>
      </c>
      <c r="M702" t="str">
        <f>_xlfn.XLOOKUP(Orders[[#This Row],[CustomerID]],Customers[CustomerID],Customers[City])</f>
        <v>California</v>
      </c>
      <c r="N702" t="str">
        <f>_xlfn.XLOOKUP(Orders[[#This Row],[CustomerID]],Customers[CustomerID],Customers[CustomerName])</f>
        <v>Ronke Okonkwo</v>
      </c>
      <c r="O702" t="str">
        <f>_xlfn.XLOOKUP(Orders[[#This Row],[CustomerID]],Customers[CustomerID],Customers[Gender])</f>
        <v>Female</v>
      </c>
      <c r="P702">
        <f>_xlfn.XLOOKUP(Orders[[#This Row],[CustomerID]],Customers[CustomerID],Customers[CustomerAge])</f>
        <v>20</v>
      </c>
      <c r="Q702" t="str">
        <f>IF(Orders[[#This Row],[Age]]&gt;=35,"older","young")</f>
        <v>young</v>
      </c>
      <c r="R702" t="str">
        <f>_xlfn.XLOOKUP(Orders[[#This Row],[ProductID]],Products[ProductID],Products[ProductName])</f>
        <v>GOLD RINGS</v>
      </c>
      <c r="S702" t="str">
        <f>_xlfn.XLOOKUP(Orders[[#This Row],[ProductID]],Products!A:A,Products!C:C)</f>
        <v>Accessories</v>
      </c>
    </row>
    <row r="703" spans="1:19" x14ac:dyDescent="0.2">
      <c r="A703" s="4" t="s">
        <v>891</v>
      </c>
      <c r="B703" s="5">
        <v>46022</v>
      </c>
      <c r="C703" s="15">
        <f>WEEKNUM(Orders[[#This Row],[OrderDate]])</f>
        <v>53</v>
      </c>
      <c r="D703" s="4" t="s">
        <v>258</v>
      </c>
      <c r="E703" s="4" t="s">
        <v>84</v>
      </c>
      <c r="F703" s="4">
        <v>5</v>
      </c>
      <c r="G703" s="4">
        <v>10040.599999999999</v>
      </c>
      <c r="H703">
        <v>8534.5099999999984</v>
      </c>
      <c r="I703">
        <f>Orders[[#This Row],[Quantity]]*Orders[[#This Row],[Selling Price]]</f>
        <v>50202.999999999993</v>
      </c>
      <c r="J703">
        <f>Orders[[#This Row],[Quantity]]*Orders[[#This Row],[Cost Price]]</f>
        <v>42672.549999999988</v>
      </c>
      <c r="K703">
        <f>Orders[[#This Row],[Revenue]]-Orders[[#This Row],[Expenses]]</f>
        <v>7530.4500000000044</v>
      </c>
      <c r="L703" t="s">
        <v>2194</v>
      </c>
      <c r="M703" t="str">
        <f>_xlfn.XLOOKUP(Orders[[#This Row],[CustomerID]],Customers[CustomerID],Customers[City])</f>
        <v>Washington</v>
      </c>
      <c r="N703" t="str">
        <f>_xlfn.XLOOKUP(Orders[[#This Row],[CustomerID]],Customers[CustomerID],Customers[CustomerName])</f>
        <v>Sani Abubakar</v>
      </c>
      <c r="O703" t="str">
        <f>_xlfn.XLOOKUP(Orders[[#This Row],[CustomerID]],Customers[CustomerID],Customers[Gender])</f>
        <v>Male</v>
      </c>
      <c r="P703">
        <f>_xlfn.XLOOKUP(Orders[[#This Row],[CustomerID]],Customers[CustomerID],Customers[CustomerAge])</f>
        <v>37</v>
      </c>
      <c r="Q703" t="str">
        <f>IF(Orders[[#This Row],[Age]]&gt;=35,"older","young")</f>
        <v>older</v>
      </c>
      <c r="R703" t="str">
        <f>_xlfn.XLOOKUP(Orders[[#This Row],[ProductID]],Products[ProductID],Products[ProductName])</f>
        <v>GYM WEARS</v>
      </c>
      <c r="S703" t="str">
        <f>_xlfn.XLOOKUP(Orders[[#This Row],[ProductID]],Products!A:A,Products!C:C)</f>
        <v>Clothing</v>
      </c>
    </row>
    <row r="704" spans="1:19" x14ac:dyDescent="0.2">
      <c r="A704" s="4" t="s">
        <v>892</v>
      </c>
      <c r="B704" s="5">
        <v>45987</v>
      </c>
      <c r="C704" s="15">
        <f>WEEKNUM(Orders[[#This Row],[OrderDate]])</f>
        <v>48</v>
      </c>
      <c r="D704" s="4" t="s">
        <v>45</v>
      </c>
      <c r="E704" s="4" t="s">
        <v>31</v>
      </c>
      <c r="F704" s="4">
        <v>1</v>
      </c>
      <c r="G704" s="4">
        <v>15665.699999999999</v>
      </c>
      <c r="H704">
        <v>13315.844999999999</v>
      </c>
      <c r="I704">
        <f>Orders[[#This Row],[Quantity]]*Orders[[#This Row],[Selling Price]]</f>
        <v>15665.699999999999</v>
      </c>
      <c r="J704">
        <f>Orders[[#This Row],[Quantity]]*Orders[[#This Row],[Cost Price]]</f>
        <v>13315.844999999999</v>
      </c>
      <c r="K704">
        <f>Orders[[#This Row],[Revenue]]-Orders[[#This Row],[Expenses]]</f>
        <v>2349.8549999999996</v>
      </c>
      <c r="L704" t="s">
        <v>2195</v>
      </c>
      <c r="M704" t="str">
        <f>_xlfn.XLOOKUP(Orders[[#This Row],[CustomerID]],Customers[CustomerID],Customers[City])</f>
        <v>Florida</v>
      </c>
      <c r="N704" t="str">
        <f>_xlfn.XLOOKUP(Orders[[#This Row],[CustomerID]],Customers[CustomerID],Customers[CustomerName])</f>
        <v>Abiola Abubakar</v>
      </c>
      <c r="O704" t="str">
        <f>_xlfn.XLOOKUP(Orders[[#This Row],[CustomerID]],Customers[CustomerID],Customers[Gender])</f>
        <v>Male</v>
      </c>
      <c r="P704">
        <f>_xlfn.XLOOKUP(Orders[[#This Row],[CustomerID]],Customers[CustomerID],Customers[CustomerAge])</f>
        <v>26</v>
      </c>
      <c r="Q704" t="str">
        <f>IF(Orders[[#This Row],[Age]]&gt;=35,"older","young")</f>
        <v>young</v>
      </c>
      <c r="R704" t="str">
        <f>_xlfn.XLOOKUP(Orders[[#This Row],[ProductID]],Products[ProductID],Products[ProductName])</f>
        <v>KIDS GAMES</v>
      </c>
      <c r="S704" t="str">
        <f>_xlfn.XLOOKUP(Orders[[#This Row],[ProductID]],Products!A:A,Products!C:C)</f>
        <v>Games</v>
      </c>
    </row>
    <row r="705" spans="1:19" x14ac:dyDescent="0.2">
      <c r="A705" s="4" t="s">
        <v>893</v>
      </c>
      <c r="B705" s="5">
        <v>45981</v>
      </c>
      <c r="C705" s="15">
        <f>WEEKNUM(Orders[[#This Row],[OrderDate]])</f>
        <v>47</v>
      </c>
      <c r="D705" s="4" t="s">
        <v>98</v>
      </c>
      <c r="E705" s="4" t="s">
        <v>66</v>
      </c>
      <c r="F705" s="4">
        <v>4</v>
      </c>
      <c r="G705" s="4">
        <v>14252.1</v>
      </c>
      <c r="H705">
        <v>12114.285</v>
      </c>
      <c r="I705">
        <f>Orders[[#This Row],[Quantity]]*Orders[[#This Row],[Selling Price]]</f>
        <v>57008.4</v>
      </c>
      <c r="J705">
        <f>Orders[[#This Row],[Quantity]]*Orders[[#This Row],[Cost Price]]</f>
        <v>48457.14</v>
      </c>
      <c r="K705">
        <f>Orders[[#This Row],[Revenue]]-Orders[[#This Row],[Expenses]]</f>
        <v>8551.260000000002</v>
      </c>
      <c r="L705" t="s">
        <v>2206</v>
      </c>
      <c r="M705" t="str">
        <f>_xlfn.XLOOKUP(Orders[[#This Row],[CustomerID]],Customers[CustomerID],Customers[City])</f>
        <v>Illinois</v>
      </c>
      <c r="N705" t="str">
        <f>_xlfn.XLOOKUP(Orders[[#This Row],[CustomerID]],Customers[CustomerID],Customers[CustomerName])</f>
        <v>Chioma Adeyemi</v>
      </c>
      <c r="O705" t="str">
        <f>_xlfn.XLOOKUP(Orders[[#This Row],[CustomerID]],Customers[CustomerID],Customers[Gender])</f>
        <v>Female</v>
      </c>
      <c r="P705">
        <f>_xlfn.XLOOKUP(Orders[[#This Row],[CustomerID]],Customers[CustomerID],Customers[CustomerAge])</f>
        <v>23</v>
      </c>
      <c r="Q705" t="str">
        <f>IF(Orders[[#This Row],[Age]]&gt;=35,"older","young")</f>
        <v>young</v>
      </c>
      <c r="R705" t="str">
        <f>_xlfn.XLOOKUP(Orders[[#This Row],[ProductID]],Products[ProductID],Products[ProductName])</f>
        <v>MICROWAVE</v>
      </c>
      <c r="S705" t="str">
        <f>_xlfn.XLOOKUP(Orders[[#This Row],[ProductID]],Products!A:A,Products!C:C)</f>
        <v>Electronics</v>
      </c>
    </row>
    <row r="706" spans="1:19" x14ac:dyDescent="0.2">
      <c r="A706" s="4" t="s">
        <v>894</v>
      </c>
      <c r="B706" s="5">
        <v>45998</v>
      </c>
      <c r="C706" s="15">
        <f>WEEKNUM(Orders[[#This Row],[OrderDate]])</f>
        <v>50</v>
      </c>
      <c r="D706" s="4" t="s">
        <v>214</v>
      </c>
      <c r="E706" s="4" t="s">
        <v>34</v>
      </c>
      <c r="F706" s="4">
        <v>9</v>
      </c>
      <c r="G706" s="4">
        <v>16436.400000000001</v>
      </c>
      <c r="H706">
        <v>13970.940000000002</v>
      </c>
      <c r="I706">
        <f>Orders[[#This Row],[Quantity]]*Orders[[#This Row],[Selling Price]]</f>
        <v>147927.6</v>
      </c>
      <c r="J706">
        <f>Orders[[#This Row],[Quantity]]*Orders[[#This Row],[Cost Price]]</f>
        <v>125738.46000000002</v>
      </c>
      <c r="K706">
        <f>Orders[[#This Row],[Revenue]]-Orders[[#This Row],[Expenses]]</f>
        <v>22189.139999999985</v>
      </c>
      <c r="L706" t="s">
        <v>2201</v>
      </c>
      <c r="M706" t="str">
        <f>_xlfn.XLOOKUP(Orders[[#This Row],[CustomerID]],Customers[CustomerID],Customers[City])</f>
        <v>California</v>
      </c>
      <c r="N706" t="str">
        <f>_xlfn.XLOOKUP(Orders[[#This Row],[CustomerID]],Customers[CustomerID],Customers[CustomerName])</f>
        <v>Adanma Okonkwo</v>
      </c>
      <c r="O706" t="str">
        <f>_xlfn.XLOOKUP(Orders[[#This Row],[CustomerID]],Customers[CustomerID],Customers[Gender])</f>
        <v>Female</v>
      </c>
      <c r="P706">
        <f>_xlfn.XLOOKUP(Orders[[#This Row],[CustomerID]],Customers[CustomerID],Customers[CustomerAge])</f>
        <v>20</v>
      </c>
      <c r="Q706" t="str">
        <f>IF(Orders[[#This Row],[Age]]&gt;=35,"older","young")</f>
        <v>young</v>
      </c>
      <c r="R706" t="str">
        <f>_xlfn.XLOOKUP(Orders[[#This Row],[ProductID]],Products[ProductID],Products[ProductName])</f>
        <v>GOLD BRACELETS</v>
      </c>
      <c r="S706" t="str">
        <f>_xlfn.XLOOKUP(Orders[[#This Row],[ProductID]],Products!A:A,Products!C:C)</f>
        <v>Accessories</v>
      </c>
    </row>
    <row r="707" spans="1:19" x14ac:dyDescent="0.2">
      <c r="A707" s="4" t="s">
        <v>895</v>
      </c>
      <c r="B707" s="5">
        <v>46017</v>
      </c>
      <c r="C707" s="15">
        <f>WEEKNUM(Orders[[#This Row],[OrderDate]])</f>
        <v>52</v>
      </c>
      <c r="D707" s="4" t="s">
        <v>75</v>
      </c>
      <c r="E707" s="4" t="s">
        <v>23</v>
      </c>
      <c r="F707" s="4">
        <v>4</v>
      </c>
      <c r="G707" s="4">
        <v>7269.4000000000005</v>
      </c>
      <c r="H707">
        <v>6178.9900000000007</v>
      </c>
      <c r="I707">
        <f>Orders[[#This Row],[Quantity]]*Orders[[#This Row],[Selling Price]]</f>
        <v>29077.600000000002</v>
      </c>
      <c r="J707">
        <f>Orders[[#This Row],[Quantity]]*Orders[[#This Row],[Cost Price]]</f>
        <v>24715.960000000003</v>
      </c>
      <c r="K707">
        <f>Orders[[#This Row],[Revenue]]-Orders[[#This Row],[Expenses]]</f>
        <v>4361.6399999999994</v>
      </c>
      <c r="L707" t="s">
        <v>2192</v>
      </c>
      <c r="M707" t="str">
        <f>_xlfn.XLOOKUP(Orders[[#This Row],[CustomerID]],Customers[CustomerID],Customers[City])</f>
        <v>Texas</v>
      </c>
      <c r="N707" t="str">
        <f>_xlfn.XLOOKUP(Orders[[#This Row],[CustomerID]],Customers[CustomerID],Customers[CustomerName])</f>
        <v>Tunde Danladi</v>
      </c>
      <c r="O707" t="str">
        <f>_xlfn.XLOOKUP(Orders[[#This Row],[CustomerID]],Customers[CustomerID],Customers[Gender])</f>
        <v>Male</v>
      </c>
      <c r="P707">
        <f>_xlfn.XLOOKUP(Orders[[#This Row],[CustomerID]],Customers[CustomerID],Customers[CustomerAge])</f>
        <v>47</v>
      </c>
      <c r="Q707" t="str">
        <f>IF(Orders[[#This Row],[Age]]&gt;=35,"older","young")</f>
        <v>older</v>
      </c>
      <c r="R707" t="str">
        <f>_xlfn.XLOOKUP(Orders[[#This Row],[ProductID]],Products[ProductID],Products[ProductName])</f>
        <v>GYM GLOVES</v>
      </c>
      <c r="S707" t="str">
        <f>_xlfn.XLOOKUP(Orders[[#This Row],[ProductID]],Products!A:A,Products!C:C)</f>
        <v>Gym</v>
      </c>
    </row>
    <row r="708" spans="1:19" x14ac:dyDescent="0.2">
      <c r="A708" s="4" t="s">
        <v>896</v>
      </c>
      <c r="B708" s="5">
        <v>45982</v>
      </c>
      <c r="C708" s="15">
        <f>WEEKNUM(Orders[[#This Row],[OrderDate]])</f>
        <v>47</v>
      </c>
      <c r="D708" s="4" t="s">
        <v>205</v>
      </c>
      <c r="E708" s="4" t="s">
        <v>37</v>
      </c>
      <c r="F708" s="4">
        <v>6</v>
      </c>
      <c r="G708" s="4">
        <v>9522</v>
      </c>
      <c r="H708">
        <v>8093.7</v>
      </c>
      <c r="I708">
        <f>Orders[[#This Row],[Quantity]]*Orders[[#This Row],[Selling Price]]</f>
        <v>57132</v>
      </c>
      <c r="J708">
        <f>Orders[[#This Row],[Quantity]]*Orders[[#This Row],[Cost Price]]</f>
        <v>48562.2</v>
      </c>
      <c r="K708">
        <f>Orders[[#This Row],[Revenue]]-Orders[[#This Row],[Expenses]]</f>
        <v>8569.8000000000029</v>
      </c>
      <c r="L708" t="s">
        <v>2194</v>
      </c>
      <c r="M708" t="str">
        <f>_xlfn.XLOOKUP(Orders[[#This Row],[CustomerID]],Customers[CustomerID],Customers[City])</f>
        <v>Washington</v>
      </c>
      <c r="N708" t="str">
        <f>_xlfn.XLOOKUP(Orders[[#This Row],[CustomerID]],Customers[CustomerID],Customers[CustomerName])</f>
        <v>Jide Adeyemi</v>
      </c>
      <c r="O708" t="str">
        <f>_xlfn.XLOOKUP(Orders[[#This Row],[CustomerID]],Customers[CustomerID],Customers[Gender])</f>
        <v>Male</v>
      </c>
      <c r="P708">
        <f>_xlfn.XLOOKUP(Orders[[#This Row],[CustomerID]],Customers[CustomerID],Customers[CustomerAge])</f>
        <v>19</v>
      </c>
      <c r="Q708" t="str">
        <f>IF(Orders[[#This Row],[Age]]&gt;=35,"older","young")</f>
        <v>young</v>
      </c>
      <c r="R708" t="str">
        <f>_xlfn.XLOOKUP(Orders[[#This Row],[ProductID]],Products[ProductID],Products[ProductName])</f>
        <v>IRON</v>
      </c>
      <c r="S708" t="str">
        <f>_xlfn.XLOOKUP(Orders[[#This Row],[ProductID]],Products!A:A,Products!C:C)</f>
        <v>Electronics</v>
      </c>
    </row>
    <row r="709" spans="1:19" x14ac:dyDescent="0.2">
      <c r="A709" s="4" t="s">
        <v>897</v>
      </c>
      <c r="B709" s="5">
        <v>45960</v>
      </c>
      <c r="C709" s="15">
        <f>WEEKNUM(Orders[[#This Row],[OrderDate]])</f>
        <v>44</v>
      </c>
      <c r="D709" s="4" t="s">
        <v>161</v>
      </c>
      <c r="E709" s="4" t="s">
        <v>168</v>
      </c>
      <c r="F709" s="4">
        <v>7</v>
      </c>
      <c r="G709" s="4">
        <v>9072.1</v>
      </c>
      <c r="H709">
        <v>7711.2849999999999</v>
      </c>
      <c r="I709">
        <f>Orders[[#This Row],[Quantity]]*Orders[[#This Row],[Selling Price]]</f>
        <v>63504.700000000004</v>
      </c>
      <c r="J709">
        <f>Orders[[#This Row],[Quantity]]*Orders[[#This Row],[Cost Price]]</f>
        <v>53978.994999999995</v>
      </c>
      <c r="K709">
        <f>Orders[[#This Row],[Revenue]]-Orders[[#This Row],[Expenses]]</f>
        <v>9525.705000000009</v>
      </c>
      <c r="L709" t="s">
        <v>2212</v>
      </c>
      <c r="M709" t="str">
        <f>_xlfn.XLOOKUP(Orders[[#This Row],[CustomerID]],Customers[CustomerID],Customers[City])</f>
        <v>Georgia</v>
      </c>
      <c r="N709" t="str">
        <f>_xlfn.XLOOKUP(Orders[[#This Row],[CustomerID]],Customers[CustomerID],Customers[CustomerName])</f>
        <v>Okon Adeyemi</v>
      </c>
      <c r="O709" t="str">
        <f>_xlfn.XLOOKUP(Orders[[#This Row],[CustomerID]],Customers[CustomerID],Customers[Gender])</f>
        <v>Male</v>
      </c>
      <c r="P709">
        <f>_xlfn.XLOOKUP(Orders[[#This Row],[CustomerID]],Customers[CustomerID],Customers[CustomerAge])</f>
        <v>31</v>
      </c>
      <c r="Q709" t="str">
        <f>IF(Orders[[#This Row],[Age]]&gt;=35,"older","young")</f>
        <v>young</v>
      </c>
      <c r="R709" t="str">
        <f>_xlfn.XLOOKUP(Orders[[#This Row],[ProductID]],Products[ProductID],Products[ProductName])</f>
        <v>DUMB BELLS</v>
      </c>
      <c r="S709" t="str">
        <f>_xlfn.XLOOKUP(Orders[[#This Row],[ProductID]],Products!A:A,Products!C:C)</f>
        <v>Gym</v>
      </c>
    </row>
    <row r="710" spans="1:19" x14ac:dyDescent="0.2">
      <c r="A710" s="4" t="s">
        <v>898</v>
      </c>
      <c r="B710" s="5">
        <v>45941</v>
      </c>
      <c r="C710" s="15">
        <f>WEEKNUM(Orders[[#This Row],[OrderDate]])</f>
        <v>41</v>
      </c>
      <c r="D710" s="4" t="s">
        <v>517</v>
      </c>
      <c r="E710" s="4" t="s">
        <v>12</v>
      </c>
      <c r="F710" s="4">
        <v>1</v>
      </c>
      <c r="G710" s="4">
        <v>14766.800000000001</v>
      </c>
      <c r="H710">
        <v>12551.78</v>
      </c>
      <c r="I710">
        <f>Orders[[#This Row],[Quantity]]*Orders[[#This Row],[Selling Price]]</f>
        <v>14766.800000000001</v>
      </c>
      <c r="J710">
        <f>Orders[[#This Row],[Quantity]]*Orders[[#This Row],[Cost Price]]</f>
        <v>12551.78</v>
      </c>
      <c r="K710">
        <f>Orders[[#This Row],[Revenue]]-Orders[[#This Row],[Expenses]]</f>
        <v>2215.0200000000004</v>
      </c>
      <c r="L710" t="s">
        <v>2194</v>
      </c>
      <c r="M710" t="str">
        <f>_xlfn.XLOOKUP(Orders[[#This Row],[CustomerID]],Customers[CustomerID],Customers[City])</f>
        <v>Florida</v>
      </c>
      <c r="N710" t="str">
        <f>_xlfn.XLOOKUP(Orders[[#This Row],[CustomerID]],Customers[CustomerID],Customers[CustomerName])</f>
        <v>Efe Adeyemi</v>
      </c>
      <c r="O710" t="str">
        <f>_xlfn.XLOOKUP(Orders[[#This Row],[CustomerID]],Customers[CustomerID],Customers[Gender])</f>
        <v>Female</v>
      </c>
      <c r="P710">
        <f>_xlfn.XLOOKUP(Orders[[#This Row],[CustomerID]],Customers[CustomerID],Customers[CustomerAge])</f>
        <v>25</v>
      </c>
      <c r="Q710" t="str">
        <f>IF(Orders[[#This Row],[Age]]&gt;=35,"older","young")</f>
        <v>young</v>
      </c>
      <c r="R710" t="str">
        <f>_xlfn.XLOOKUP(Orders[[#This Row],[ProductID]],Products[ProductID],Products[ProductName])</f>
        <v>BOUBOU</v>
      </c>
      <c r="S710" t="str">
        <f>_xlfn.XLOOKUP(Orders[[#This Row],[ProductID]],Products!A:A,Products!C:C)</f>
        <v>Clothing</v>
      </c>
    </row>
    <row r="711" spans="1:19" x14ac:dyDescent="0.2">
      <c r="A711" s="4" t="s">
        <v>899</v>
      </c>
      <c r="B711" s="5">
        <v>45985</v>
      </c>
      <c r="C711" s="15">
        <f>WEEKNUM(Orders[[#This Row],[OrderDate]])</f>
        <v>48</v>
      </c>
      <c r="D711" s="4" t="s">
        <v>346</v>
      </c>
      <c r="E711" s="4" t="s">
        <v>28</v>
      </c>
      <c r="F711" s="4">
        <v>8</v>
      </c>
      <c r="G711" s="4">
        <v>4718.1000000000004</v>
      </c>
      <c r="H711">
        <v>4010.3850000000002</v>
      </c>
      <c r="I711">
        <f>Orders[[#This Row],[Quantity]]*Orders[[#This Row],[Selling Price]]</f>
        <v>37744.800000000003</v>
      </c>
      <c r="J711">
        <f>Orders[[#This Row],[Quantity]]*Orders[[#This Row],[Cost Price]]</f>
        <v>32083.08</v>
      </c>
      <c r="K711">
        <f>Orders[[#This Row],[Revenue]]-Orders[[#This Row],[Expenses]]</f>
        <v>5661.7200000000012</v>
      </c>
      <c r="L711" t="s">
        <v>2218</v>
      </c>
      <c r="M711" t="str">
        <f>_xlfn.XLOOKUP(Orders[[#This Row],[CustomerID]],Customers[CustomerID],Customers[City])</f>
        <v>California</v>
      </c>
      <c r="N711" t="str">
        <f>_xlfn.XLOOKUP(Orders[[#This Row],[CustomerID]],Customers[CustomerID],Customers[CustomerName])</f>
        <v>Ngozi Danladi</v>
      </c>
      <c r="O711" t="str">
        <f>_xlfn.XLOOKUP(Orders[[#This Row],[CustomerID]],Customers[CustomerID],Customers[Gender])</f>
        <v>Female</v>
      </c>
      <c r="P711">
        <f>_xlfn.XLOOKUP(Orders[[#This Row],[CustomerID]],Customers[CustomerID],Customers[CustomerAge])</f>
        <v>30</v>
      </c>
      <c r="Q711" t="str">
        <f>IF(Orders[[#This Row],[Age]]&gt;=35,"older","young")</f>
        <v>young</v>
      </c>
      <c r="R711" t="str">
        <f>_xlfn.XLOOKUP(Orders[[#This Row],[ProductID]],Products[ProductID],Products[ProductName])</f>
        <v>SNEAKERS</v>
      </c>
      <c r="S711" t="str">
        <f>_xlfn.XLOOKUP(Orders[[#This Row],[ProductID]],Products!A:A,Products!C:C)</f>
        <v>Sports</v>
      </c>
    </row>
    <row r="712" spans="1:19" x14ac:dyDescent="0.2">
      <c r="A712" s="4" t="s">
        <v>900</v>
      </c>
      <c r="B712" s="5">
        <v>45968</v>
      </c>
      <c r="C712" s="15">
        <f>WEEKNUM(Orders[[#This Row],[OrderDate]])</f>
        <v>45</v>
      </c>
      <c r="D712" s="4" t="s">
        <v>174</v>
      </c>
      <c r="E712" s="4" t="s">
        <v>253</v>
      </c>
      <c r="F712" s="4">
        <v>8</v>
      </c>
      <c r="G712" s="4">
        <v>10073.300000000001</v>
      </c>
      <c r="H712">
        <v>8562.3050000000003</v>
      </c>
      <c r="I712">
        <f>Orders[[#This Row],[Quantity]]*Orders[[#This Row],[Selling Price]]</f>
        <v>80586.400000000009</v>
      </c>
      <c r="J712">
        <f>Orders[[#This Row],[Quantity]]*Orders[[#This Row],[Cost Price]]</f>
        <v>68498.44</v>
      </c>
      <c r="K712">
        <f>Orders[[#This Row],[Revenue]]-Orders[[#This Row],[Expenses]]</f>
        <v>12087.960000000006</v>
      </c>
      <c r="L712" t="s">
        <v>2215</v>
      </c>
      <c r="M712" t="str">
        <f>_xlfn.XLOOKUP(Orders[[#This Row],[CustomerID]],Customers[CustomerID],Customers[City])</f>
        <v>California</v>
      </c>
      <c r="N712" t="str">
        <f>_xlfn.XLOOKUP(Orders[[#This Row],[CustomerID]],Customers[CustomerID],Customers[CustomerName])</f>
        <v>Zainab Obi</v>
      </c>
      <c r="O712" t="str">
        <f>_xlfn.XLOOKUP(Orders[[#This Row],[CustomerID]],Customers[CustomerID],Customers[Gender])</f>
        <v>Female</v>
      </c>
      <c r="P712">
        <f>_xlfn.XLOOKUP(Orders[[#This Row],[CustomerID]],Customers[CustomerID],Customers[CustomerAge])</f>
        <v>18</v>
      </c>
      <c r="Q712" t="str">
        <f>IF(Orders[[#This Row],[Age]]&gt;=35,"older","young")</f>
        <v>young</v>
      </c>
      <c r="R712" t="str">
        <f>_xlfn.XLOOKUP(Orders[[#This Row],[ProductID]],Products[ProductID],Products[ProductName])</f>
        <v>NOSE RINGS</v>
      </c>
      <c r="S712" t="str">
        <f>_xlfn.XLOOKUP(Orders[[#This Row],[ProductID]],Products!A:A,Products!C:C)</f>
        <v>Accessories</v>
      </c>
    </row>
    <row r="713" spans="1:19" x14ac:dyDescent="0.2">
      <c r="A713" s="4" t="s">
        <v>901</v>
      </c>
      <c r="B713" s="5">
        <v>46004</v>
      </c>
      <c r="C713" s="15">
        <f>WEEKNUM(Orders[[#This Row],[OrderDate]])</f>
        <v>50</v>
      </c>
      <c r="D713" s="4" t="s">
        <v>62</v>
      </c>
      <c r="E713" s="4" t="s">
        <v>15</v>
      </c>
      <c r="F713" s="4">
        <v>9</v>
      </c>
      <c r="G713" s="4">
        <v>13371.800000000001</v>
      </c>
      <c r="H713">
        <v>11366.03</v>
      </c>
      <c r="I713">
        <f>Orders[[#This Row],[Quantity]]*Orders[[#This Row],[Selling Price]]</f>
        <v>120346.20000000001</v>
      </c>
      <c r="J713">
        <f>Orders[[#This Row],[Quantity]]*Orders[[#This Row],[Cost Price]]</f>
        <v>102294.27</v>
      </c>
      <c r="K713">
        <f>Orders[[#This Row],[Revenue]]-Orders[[#This Row],[Expenses]]</f>
        <v>18051.930000000008</v>
      </c>
      <c r="L713" t="s">
        <v>2202</v>
      </c>
      <c r="M713" t="str">
        <f>_xlfn.XLOOKUP(Orders[[#This Row],[CustomerID]],Customers[CustomerID],Customers[City])</f>
        <v>Texas</v>
      </c>
      <c r="N713" t="str">
        <f>_xlfn.XLOOKUP(Orders[[#This Row],[CustomerID]],Customers[CustomerID],Customers[CustomerName])</f>
        <v>Ronke Okonkwo</v>
      </c>
      <c r="O713" t="str">
        <f>_xlfn.XLOOKUP(Orders[[#This Row],[CustomerID]],Customers[CustomerID],Customers[Gender])</f>
        <v>Female</v>
      </c>
      <c r="P713">
        <f>_xlfn.XLOOKUP(Orders[[#This Row],[CustomerID]],Customers[CustomerID],Customers[CustomerAge])</f>
        <v>36</v>
      </c>
      <c r="Q713" t="str">
        <f>IF(Orders[[#This Row],[Age]]&gt;=35,"older","young")</f>
        <v>older</v>
      </c>
      <c r="R713" t="str">
        <f>_xlfn.XLOOKUP(Orders[[#This Row],[ProductID]],Products[ProductID],Products[ProductName])</f>
        <v>MONOPOLY</v>
      </c>
      <c r="S713" t="str">
        <f>_xlfn.XLOOKUP(Orders[[#This Row],[ProductID]],Products!A:A,Products!C:C)</f>
        <v>Games</v>
      </c>
    </row>
    <row r="714" spans="1:19" x14ac:dyDescent="0.2">
      <c r="A714" s="4" t="s">
        <v>902</v>
      </c>
      <c r="B714" s="5">
        <v>46006</v>
      </c>
      <c r="C714" s="15">
        <f>WEEKNUM(Orders[[#This Row],[OrderDate]])</f>
        <v>51</v>
      </c>
      <c r="D714" s="4" t="s">
        <v>129</v>
      </c>
      <c r="E714" s="4" t="s">
        <v>63</v>
      </c>
      <c r="F714" s="4">
        <v>1</v>
      </c>
      <c r="G714" s="4">
        <v>9729.2999999999993</v>
      </c>
      <c r="H714">
        <v>8269.9049999999988</v>
      </c>
      <c r="I714">
        <f>Orders[[#This Row],[Quantity]]*Orders[[#This Row],[Selling Price]]</f>
        <v>9729.2999999999993</v>
      </c>
      <c r="J714">
        <f>Orders[[#This Row],[Quantity]]*Orders[[#This Row],[Cost Price]]</f>
        <v>8269.9049999999988</v>
      </c>
      <c r="K714">
        <f>Orders[[#This Row],[Revenue]]-Orders[[#This Row],[Expenses]]</f>
        <v>1459.3950000000004</v>
      </c>
      <c r="L714" t="s">
        <v>2210</v>
      </c>
      <c r="M714" t="str">
        <f>_xlfn.XLOOKUP(Orders[[#This Row],[CustomerID]],Customers[CustomerID],Customers[City])</f>
        <v>Washington</v>
      </c>
      <c r="N714" t="str">
        <f>_xlfn.XLOOKUP(Orders[[#This Row],[CustomerID]],Customers[CustomerID],Customers[CustomerName])</f>
        <v>Chioma Ojo</v>
      </c>
      <c r="O714" t="str">
        <f>_xlfn.XLOOKUP(Orders[[#This Row],[CustomerID]],Customers[CustomerID],Customers[Gender])</f>
        <v>Female</v>
      </c>
      <c r="P714">
        <f>_xlfn.XLOOKUP(Orders[[#This Row],[CustomerID]],Customers[CustomerID],Customers[CustomerAge])</f>
        <v>46</v>
      </c>
      <c r="Q714" t="str">
        <f>IF(Orders[[#This Row],[Age]]&gt;=35,"older","young")</f>
        <v>older</v>
      </c>
      <c r="R714" t="str">
        <f>_xlfn.XLOOKUP(Orders[[#This Row],[ProductID]],Products[ProductID],Products[ProductName])</f>
        <v>TENNIS BAT</v>
      </c>
      <c r="S714" t="str">
        <f>_xlfn.XLOOKUP(Orders[[#This Row],[ProductID]],Products!A:A,Products!C:C)</f>
        <v>Sports</v>
      </c>
    </row>
    <row r="715" spans="1:19" x14ac:dyDescent="0.2">
      <c r="A715" s="4" t="s">
        <v>903</v>
      </c>
      <c r="B715" s="5">
        <v>45991</v>
      </c>
      <c r="C715" s="15">
        <f>WEEKNUM(Orders[[#This Row],[OrderDate]])</f>
        <v>49</v>
      </c>
      <c r="D715" s="4" t="s">
        <v>186</v>
      </c>
      <c r="E715" s="4" t="s">
        <v>353</v>
      </c>
      <c r="F715" s="4">
        <v>6</v>
      </c>
      <c r="G715" s="4">
        <v>7306.1</v>
      </c>
      <c r="H715">
        <v>6210.1850000000004</v>
      </c>
      <c r="I715">
        <f>Orders[[#This Row],[Quantity]]*Orders[[#This Row],[Selling Price]]</f>
        <v>43836.600000000006</v>
      </c>
      <c r="J715">
        <f>Orders[[#This Row],[Quantity]]*Orders[[#This Row],[Cost Price]]</f>
        <v>37261.11</v>
      </c>
      <c r="K715">
        <f>Orders[[#This Row],[Revenue]]-Orders[[#This Row],[Expenses]]</f>
        <v>6575.4900000000052</v>
      </c>
      <c r="L715" t="s">
        <v>2199</v>
      </c>
      <c r="M715" t="str">
        <f>_xlfn.XLOOKUP(Orders[[#This Row],[CustomerID]],Customers[CustomerID],Customers[City])</f>
        <v>Texas</v>
      </c>
      <c r="N715" t="str">
        <f>_xlfn.XLOOKUP(Orders[[#This Row],[CustomerID]],Customers[CustomerID],Customers[CustomerName])</f>
        <v>Ronke Eze</v>
      </c>
      <c r="O715" t="str">
        <f>_xlfn.XLOOKUP(Orders[[#This Row],[CustomerID]],Customers[CustomerID],Customers[Gender])</f>
        <v>Female</v>
      </c>
      <c r="P715">
        <f>_xlfn.XLOOKUP(Orders[[#This Row],[CustomerID]],Customers[CustomerID],Customers[CustomerAge])</f>
        <v>37</v>
      </c>
      <c r="Q715" t="str">
        <f>IF(Orders[[#This Row],[Age]]&gt;=35,"older","young")</f>
        <v>older</v>
      </c>
      <c r="R715" t="str">
        <f>_xlfn.XLOOKUP(Orders[[#This Row],[ProductID]],Products[ProductID],Products[ProductName])</f>
        <v>SILVER EARRINGS AND NECKLACES</v>
      </c>
      <c r="S715" t="str">
        <f>_xlfn.XLOOKUP(Orders[[#This Row],[ProductID]],Products!A:A,Products!C:C)</f>
        <v>Accessories</v>
      </c>
    </row>
    <row r="716" spans="1:19" x14ac:dyDescent="0.2">
      <c r="A716" s="4" t="s">
        <v>904</v>
      </c>
      <c r="B716" s="5">
        <v>45951</v>
      </c>
      <c r="C716" s="15">
        <f>WEEKNUM(Orders[[#This Row],[OrderDate]])</f>
        <v>43</v>
      </c>
      <c r="D716" s="4" t="s">
        <v>229</v>
      </c>
      <c r="E716" s="4" t="s">
        <v>37</v>
      </c>
      <c r="F716" s="4">
        <v>2</v>
      </c>
      <c r="G716" s="4">
        <v>1213.3</v>
      </c>
      <c r="H716">
        <v>1031.3050000000001</v>
      </c>
      <c r="I716">
        <f>Orders[[#This Row],[Quantity]]*Orders[[#This Row],[Selling Price]]</f>
        <v>2426.6</v>
      </c>
      <c r="J716">
        <f>Orders[[#This Row],[Quantity]]*Orders[[#This Row],[Cost Price]]</f>
        <v>2062.61</v>
      </c>
      <c r="K716">
        <f>Orders[[#This Row],[Revenue]]-Orders[[#This Row],[Expenses]]</f>
        <v>363.98999999999978</v>
      </c>
      <c r="L716" t="s">
        <v>2206</v>
      </c>
      <c r="M716" t="str">
        <f>_xlfn.XLOOKUP(Orders[[#This Row],[CustomerID]],Customers[CustomerID],Customers[City])</f>
        <v>Florida</v>
      </c>
      <c r="N716" t="str">
        <f>_xlfn.XLOOKUP(Orders[[#This Row],[CustomerID]],Customers[CustomerID],Customers[CustomerName])</f>
        <v>Uche Abubakar</v>
      </c>
      <c r="O716" t="str">
        <f>_xlfn.XLOOKUP(Orders[[#This Row],[CustomerID]],Customers[CustomerID],Customers[Gender])</f>
        <v>Male</v>
      </c>
      <c r="P716">
        <f>_xlfn.XLOOKUP(Orders[[#This Row],[CustomerID]],Customers[CustomerID],Customers[CustomerAge])</f>
        <v>43</v>
      </c>
      <c r="Q716" t="str">
        <f>IF(Orders[[#This Row],[Age]]&gt;=35,"older","young")</f>
        <v>older</v>
      </c>
      <c r="R716" t="str">
        <f>_xlfn.XLOOKUP(Orders[[#This Row],[ProductID]],Products[ProductID],Products[ProductName])</f>
        <v>IRON</v>
      </c>
      <c r="S716" t="str">
        <f>_xlfn.XLOOKUP(Orders[[#This Row],[ProductID]],Products!A:A,Products!C:C)</f>
        <v>Electronics</v>
      </c>
    </row>
    <row r="717" spans="1:19" x14ac:dyDescent="0.2">
      <c r="A717" s="4" t="s">
        <v>905</v>
      </c>
      <c r="B717" s="5">
        <v>45960</v>
      </c>
      <c r="C717" s="15">
        <f>WEEKNUM(Orders[[#This Row],[OrderDate]])</f>
        <v>44</v>
      </c>
      <c r="D717" s="4" t="s">
        <v>258</v>
      </c>
      <c r="E717" s="4" t="s">
        <v>189</v>
      </c>
      <c r="F717" s="4">
        <v>5</v>
      </c>
      <c r="G717" s="4">
        <v>14240.8</v>
      </c>
      <c r="H717">
        <v>12104.68</v>
      </c>
      <c r="I717">
        <f>Orders[[#This Row],[Quantity]]*Orders[[#This Row],[Selling Price]]</f>
        <v>71204</v>
      </c>
      <c r="J717">
        <f>Orders[[#This Row],[Quantity]]*Orders[[#This Row],[Cost Price]]</f>
        <v>60523.4</v>
      </c>
      <c r="K717">
        <f>Orders[[#This Row],[Revenue]]-Orders[[#This Row],[Expenses]]</f>
        <v>10680.599999999999</v>
      </c>
      <c r="L717" t="s">
        <v>2202</v>
      </c>
      <c r="M717" t="str">
        <f>_xlfn.XLOOKUP(Orders[[#This Row],[CustomerID]],Customers[CustomerID],Customers[City])</f>
        <v>Washington</v>
      </c>
      <c r="N717" t="str">
        <f>_xlfn.XLOOKUP(Orders[[#This Row],[CustomerID]],Customers[CustomerID],Customers[CustomerName])</f>
        <v>Sani Abubakar</v>
      </c>
      <c r="O717" t="str">
        <f>_xlfn.XLOOKUP(Orders[[#This Row],[CustomerID]],Customers[CustomerID],Customers[Gender])</f>
        <v>Male</v>
      </c>
      <c r="P717">
        <f>_xlfn.XLOOKUP(Orders[[#This Row],[CustomerID]],Customers[CustomerID],Customers[CustomerAge])</f>
        <v>37</v>
      </c>
      <c r="Q717" t="str">
        <f>IF(Orders[[#This Row],[Age]]&gt;=35,"older","young")</f>
        <v>older</v>
      </c>
      <c r="R717" t="str">
        <f>_xlfn.XLOOKUP(Orders[[#This Row],[ProductID]],Products[ProductID],Products[ProductName])</f>
        <v>SCRABBLE</v>
      </c>
      <c r="S717" t="str">
        <f>_xlfn.XLOOKUP(Orders[[#This Row],[ProductID]],Products!A:A,Products!C:C)</f>
        <v>Games</v>
      </c>
    </row>
    <row r="718" spans="1:19" x14ac:dyDescent="0.2">
      <c r="A718" s="4" t="s">
        <v>906</v>
      </c>
      <c r="B718" s="5">
        <v>45939</v>
      </c>
      <c r="C718" s="15">
        <f>WEEKNUM(Orders[[#This Row],[OrderDate]])</f>
        <v>41</v>
      </c>
      <c r="D718" s="4" t="s">
        <v>212</v>
      </c>
      <c r="E718" s="4" t="s">
        <v>63</v>
      </c>
      <c r="F718" s="4">
        <v>1</v>
      </c>
      <c r="G718" s="4">
        <v>8174.2</v>
      </c>
      <c r="H718">
        <v>6948.07</v>
      </c>
      <c r="I718">
        <f>Orders[[#This Row],[Quantity]]*Orders[[#This Row],[Selling Price]]</f>
        <v>8174.2</v>
      </c>
      <c r="J718">
        <f>Orders[[#This Row],[Quantity]]*Orders[[#This Row],[Cost Price]]</f>
        <v>6948.07</v>
      </c>
      <c r="K718">
        <f>Orders[[#This Row],[Revenue]]-Orders[[#This Row],[Expenses]]</f>
        <v>1226.1300000000001</v>
      </c>
      <c r="L718" t="s">
        <v>2215</v>
      </c>
      <c r="M718" t="str">
        <f>_xlfn.XLOOKUP(Orders[[#This Row],[CustomerID]],Customers[CustomerID],Customers[City])</f>
        <v>Illinois</v>
      </c>
      <c r="N718" t="str">
        <f>_xlfn.XLOOKUP(Orders[[#This Row],[CustomerID]],Customers[CustomerID],Customers[CustomerName])</f>
        <v>Ngozi Ojo</v>
      </c>
      <c r="O718" t="str">
        <f>_xlfn.XLOOKUP(Orders[[#This Row],[CustomerID]],Customers[CustomerID],Customers[Gender])</f>
        <v>Female</v>
      </c>
      <c r="P718">
        <f>_xlfn.XLOOKUP(Orders[[#This Row],[CustomerID]],Customers[CustomerID],Customers[CustomerAge])</f>
        <v>53</v>
      </c>
      <c r="Q718" t="str">
        <f>IF(Orders[[#This Row],[Age]]&gt;=35,"older","young")</f>
        <v>older</v>
      </c>
      <c r="R718" t="str">
        <f>_xlfn.XLOOKUP(Orders[[#This Row],[ProductID]],Products[ProductID],Products[ProductName])</f>
        <v>TENNIS BAT</v>
      </c>
      <c r="S718" t="str">
        <f>_xlfn.XLOOKUP(Orders[[#This Row],[ProductID]],Products!A:A,Products!C:C)</f>
        <v>Sports</v>
      </c>
    </row>
    <row r="719" spans="1:19" x14ac:dyDescent="0.2">
      <c r="A719" s="4" t="s">
        <v>907</v>
      </c>
      <c r="B719" s="5">
        <v>46006</v>
      </c>
      <c r="C719" s="15">
        <f>WEEKNUM(Orders[[#This Row],[OrderDate]])</f>
        <v>51</v>
      </c>
      <c r="D719" s="4" t="s">
        <v>17</v>
      </c>
      <c r="E719" s="4" t="s">
        <v>125</v>
      </c>
      <c r="F719" s="4">
        <v>7</v>
      </c>
      <c r="G719" s="4">
        <v>14313.4</v>
      </c>
      <c r="H719">
        <v>12166.39</v>
      </c>
      <c r="I719">
        <f>Orders[[#This Row],[Quantity]]*Orders[[#This Row],[Selling Price]]</f>
        <v>100193.8</v>
      </c>
      <c r="J719">
        <f>Orders[[#This Row],[Quantity]]*Orders[[#This Row],[Cost Price]]</f>
        <v>85164.73</v>
      </c>
      <c r="K719">
        <f>Orders[[#This Row],[Revenue]]-Orders[[#This Row],[Expenses]]</f>
        <v>15029.070000000007</v>
      </c>
      <c r="L719" t="s">
        <v>2200</v>
      </c>
      <c r="M719" t="str">
        <f>_xlfn.XLOOKUP(Orders[[#This Row],[CustomerID]],Customers[CustomerID],Customers[City])</f>
        <v>Illinois</v>
      </c>
      <c r="N719" t="str">
        <f>_xlfn.XLOOKUP(Orders[[#This Row],[CustomerID]],Customers[CustomerID],Customers[CustomerName])</f>
        <v>Bisi Adeyemi</v>
      </c>
      <c r="O719" t="str">
        <f>_xlfn.XLOOKUP(Orders[[#This Row],[CustomerID]],Customers[CustomerID],Customers[Gender])</f>
        <v>Female</v>
      </c>
      <c r="P719">
        <f>_xlfn.XLOOKUP(Orders[[#This Row],[CustomerID]],Customers[CustomerID],Customers[CustomerAge])</f>
        <v>48</v>
      </c>
      <c r="Q719" t="str">
        <f>IF(Orders[[#This Row],[Age]]&gt;=35,"older","young")</f>
        <v>older</v>
      </c>
      <c r="R719" t="str">
        <f>_xlfn.XLOOKUP(Orders[[#This Row],[ProductID]],Products[ProductID],Products[ProductName])</f>
        <v>EARRINGS</v>
      </c>
      <c r="S719" t="str">
        <f>_xlfn.XLOOKUP(Orders[[#This Row],[ProductID]],Products!A:A,Products!C:C)</f>
        <v>Accessories</v>
      </c>
    </row>
    <row r="720" spans="1:19" x14ac:dyDescent="0.2">
      <c r="A720" s="4" t="s">
        <v>908</v>
      </c>
      <c r="B720" s="5">
        <v>45949</v>
      </c>
      <c r="C720" s="15">
        <f>WEEKNUM(Orders[[#This Row],[OrderDate]])</f>
        <v>43</v>
      </c>
      <c r="D720" s="4" t="s">
        <v>142</v>
      </c>
      <c r="E720" s="4" t="s">
        <v>57</v>
      </c>
      <c r="F720" s="4">
        <v>10</v>
      </c>
      <c r="G720" s="4">
        <v>9002.1</v>
      </c>
      <c r="H720">
        <v>7651.7849999999999</v>
      </c>
      <c r="I720">
        <f>Orders[[#This Row],[Quantity]]*Orders[[#This Row],[Selling Price]]</f>
        <v>90021</v>
      </c>
      <c r="J720">
        <f>Orders[[#This Row],[Quantity]]*Orders[[#This Row],[Cost Price]]</f>
        <v>76517.850000000006</v>
      </c>
      <c r="K720">
        <f>Orders[[#This Row],[Revenue]]-Orders[[#This Row],[Expenses]]</f>
        <v>13503.149999999994</v>
      </c>
      <c r="L720" t="s">
        <v>2217</v>
      </c>
      <c r="M720" t="str">
        <f>_xlfn.XLOOKUP(Orders[[#This Row],[CustomerID]],Customers[CustomerID],Customers[City])</f>
        <v>Florida</v>
      </c>
      <c r="N720" t="str">
        <f>_xlfn.XLOOKUP(Orders[[#This Row],[CustomerID]],Customers[CustomerID],Customers[CustomerName])</f>
        <v>Obi Adeyemi</v>
      </c>
      <c r="O720" t="str">
        <f>_xlfn.XLOOKUP(Orders[[#This Row],[CustomerID]],Customers[CustomerID],Customers[Gender])</f>
        <v>Male</v>
      </c>
      <c r="P720">
        <f>_xlfn.XLOOKUP(Orders[[#This Row],[CustomerID]],Customers[CustomerID],Customers[CustomerAge])</f>
        <v>31</v>
      </c>
      <c r="Q720" t="str">
        <f>IF(Orders[[#This Row],[Age]]&gt;=35,"older","young")</f>
        <v>young</v>
      </c>
      <c r="R720" t="str">
        <f>_xlfn.XLOOKUP(Orders[[#This Row],[ProductID]],Products[ProductID],Products[ProductName])</f>
        <v>BADMINTON RACKET</v>
      </c>
      <c r="S720" t="str">
        <f>_xlfn.XLOOKUP(Orders[[#This Row],[ProductID]],Products!A:A,Products!C:C)</f>
        <v>Sports</v>
      </c>
    </row>
    <row r="721" spans="1:19" x14ac:dyDescent="0.2">
      <c r="A721" s="4" t="s">
        <v>909</v>
      </c>
      <c r="B721" s="5">
        <v>46000</v>
      </c>
      <c r="C721" s="15">
        <f>WEEKNUM(Orders[[#This Row],[OrderDate]])</f>
        <v>50</v>
      </c>
      <c r="D721" s="4" t="s">
        <v>83</v>
      </c>
      <c r="E721" s="4" t="s">
        <v>353</v>
      </c>
      <c r="F721" s="4">
        <v>6</v>
      </c>
      <c r="G721" s="4">
        <v>19779.3</v>
      </c>
      <c r="H721">
        <v>16812.404999999999</v>
      </c>
      <c r="I721">
        <f>Orders[[#This Row],[Quantity]]*Orders[[#This Row],[Selling Price]]</f>
        <v>118675.79999999999</v>
      </c>
      <c r="J721">
        <f>Orders[[#This Row],[Quantity]]*Orders[[#This Row],[Cost Price]]</f>
        <v>100874.43</v>
      </c>
      <c r="K721">
        <f>Orders[[#This Row],[Revenue]]-Orders[[#This Row],[Expenses]]</f>
        <v>17801.369999999995</v>
      </c>
      <c r="L721" t="s">
        <v>2213</v>
      </c>
      <c r="M721" t="str">
        <f>_xlfn.XLOOKUP(Orders[[#This Row],[CustomerID]],Customers[CustomerID],Customers[City])</f>
        <v>Florida</v>
      </c>
      <c r="N721" t="str">
        <f>_xlfn.XLOOKUP(Orders[[#This Row],[CustomerID]],Customers[CustomerID],Customers[CustomerName])</f>
        <v>Funke Danladi</v>
      </c>
      <c r="O721" t="str">
        <f>_xlfn.XLOOKUP(Orders[[#This Row],[CustomerID]],Customers[CustomerID],Customers[Gender])</f>
        <v>Female</v>
      </c>
      <c r="P721">
        <f>_xlfn.XLOOKUP(Orders[[#This Row],[CustomerID]],Customers[CustomerID],Customers[CustomerAge])</f>
        <v>26</v>
      </c>
      <c r="Q721" t="str">
        <f>IF(Orders[[#This Row],[Age]]&gt;=35,"older","young")</f>
        <v>young</v>
      </c>
      <c r="R721" t="str">
        <f>_xlfn.XLOOKUP(Orders[[#This Row],[ProductID]],Products[ProductID],Products[ProductName])</f>
        <v>SILVER EARRINGS AND NECKLACES</v>
      </c>
      <c r="S721" t="str">
        <f>_xlfn.XLOOKUP(Orders[[#This Row],[ProductID]],Products!A:A,Products!C:C)</f>
        <v>Accessories</v>
      </c>
    </row>
    <row r="722" spans="1:19" x14ac:dyDescent="0.2">
      <c r="A722" s="4" t="s">
        <v>910</v>
      </c>
      <c r="B722" s="5">
        <v>45989</v>
      </c>
      <c r="C722" s="15">
        <f>WEEKNUM(Orders[[#This Row],[OrderDate]])</f>
        <v>48</v>
      </c>
      <c r="D722" s="4" t="s">
        <v>596</v>
      </c>
      <c r="E722" s="4" t="s">
        <v>9</v>
      </c>
      <c r="F722" s="4">
        <v>10</v>
      </c>
      <c r="G722" s="4">
        <v>11977.8</v>
      </c>
      <c r="H722">
        <v>10181.129999999999</v>
      </c>
      <c r="I722">
        <f>Orders[[#This Row],[Quantity]]*Orders[[#This Row],[Selling Price]]</f>
        <v>119778</v>
      </c>
      <c r="J722">
        <f>Orders[[#This Row],[Quantity]]*Orders[[#This Row],[Cost Price]]</f>
        <v>101811.29999999999</v>
      </c>
      <c r="K722">
        <f>Orders[[#This Row],[Revenue]]-Orders[[#This Row],[Expenses]]</f>
        <v>17966.700000000012</v>
      </c>
      <c r="L722" t="s">
        <v>2192</v>
      </c>
      <c r="M722" t="str">
        <f>_xlfn.XLOOKUP(Orders[[#This Row],[CustomerID]],Customers[CustomerID],Customers[City])</f>
        <v>Texas</v>
      </c>
      <c r="N722" t="str">
        <f>_xlfn.XLOOKUP(Orders[[#This Row],[CustomerID]],Customers[CustomerID],Customers[CustomerName])</f>
        <v>Blessing Balogun</v>
      </c>
      <c r="O722" t="str">
        <f>_xlfn.XLOOKUP(Orders[[#This Row],[CustomerID]],Customers[CustomerID],Customers[Gender])</f>
        <v>Female</v>
      </c>
      <c r="P722">
        <f>_xlfn.XLOOKUP(Orders[[#This Row],[CustomerID]],Customers[CustomerID],Customers[CustomerAge])</f>
        <v>26</v>
      </c>
      <c r="Q722" t="str">
        <f>IF(Orders[[#This Row],[Age]]&gt;=35,"older","young")</f>
        <v>young</v>
      </c>
      <c r="R722" t="str">
        <f>_xlfn.XLOOKUP(Orders[[#This Row],[ProductID]],Products[ProductID],Products[ProductName])</f>
        <v>BEADED EARRINGS AND NECKLACES</v>
      </c>
      <c r="S722" t="str">
        <f>_xlfn.XLOOKUP(Orders[[#This Row],[ProductID]],Products!A:A,Products!C:C)</f>
        <v>Accessories</v>
      </c>
    </row>
    <row r="723" spans="1:19" x14ac:dyDescent="0.2">
      <c r="A723" s="4" t="s">
        <v>911</v>
      </c>
      <c r="B723" s="5">
        <v>46018</v>
      </c>
      <c r="C723" s="15">
        <f>WEEKNUM(Orders[[#This Row],[OrderDate]])</f>
        <v>52</v>
      </c>
      <c r="D723" s="4" t="s">
        <v>98</v>
      </c>
      <c r="E723" s="4" t="s">
        <v>125</v>
      </c>
      <c r="F723" s="4">
        <v>3</v>
      </c>
      <c r="G723" s="4">
        <v>19403.099999999999</v>
      </c>
      <c r="H723">
        <v>16492.634999999998</v>
      </c>
      <c r="I723">
        <f>Orders[[#This Row],[Quantity]]*Orders[[#This Row],[Selling Price]]</f>
        <v>58209.299999999996</v>
      </c>
      <c r="J723">
        <f>Orders[[#This Row],[Quantity]]*Orders[[#This Row],[Cost Price]]</f>
        <v>49477.904999999999</v>
      </c>
      <c r="K723">
        <f>Orders[[#This Row],[Revenue]]-Orders[[#This Row],[Expenses]]</f>
        <v>8731.3949999999968</v>
      </c>
      <c r="L723" t="s">
        <v>2217</v>
      </c>
      <c r="M723" t="str">
        <f>_xlfn.XLOOKUP(Orders[[#This Row],[CustomerID]],Customers[CustomerID],Customers[City])</f>
        <v>Illinois</v>
      </c>
      <c r="N723" t="str">
        <f>_xlfn.XLOOKUP(Orders[[#This Row],[CustomerID]],Customers[CustomerID],Customers[CustomerName])</f>
        <v>Chioma Adeyemi</v>
      </c>
      <c r="O723" t="str">
        <f>_xlfn.XLOOKUP(Orders[[#This Row],[CustomerID]],Customers[CustomerID],Customers[Gender])</f>
        <v>Female</v>
      </c>
      <c r="P723">
        <f>_xlfn.XLOOKUP(Orders[[#This Row],[CustomerID]],Customers[CustomerID],Customers[CustomerAge])</f>
        <v>23</v>
      </c>
      <c r="Q723" t="str">
        <f>IF(Orders[[#This Row],[Age]]&gt;=35,"older","young")</f>
        <v>young</v>
      </c>
      <c r="R723" t="str">
        <f>_xlfn.XLOOKUP(Orders[[#This Row],[ProductID]],Products[ProductID],Products[ProductName])</f>
        <v>EARRINGS</v>
      </c>
      <c r="S723" t="str">
        <f>_xlfn.XLOOKUP(Orders[[#This Row],[ProductID]],Products!A:A,Products!C:C)</f>
        <v>Accessories</v>
      </c>
    </row>
    <row r="724" spans="1:19" x14ac:dyDescent="0.2">
      <c r="A724" s="4" t="s">
        <v>912</v>
      </c>
      <c r="B724" s="5">
        <v>45993</v>
      </c>
      <c r="C724" s="15">
        <f>WEEKNUM(Orders[[#This Row],[OrderDate]])</f>
        <v>49</v>
      </c>
      <c r="D724" s="4" t="s">
        <v>43</v>
      </c>
      <c r="E724" s="4" t="s">
        <v>57</v>
      </c>
      <c r="F724" s="4">
        <v>9</v>
      </c>
      <c r="G724" s="4">
        <v>15051.5</v>
      </c>
      <c r="H724">
        <v>12793.775</v>
      </c>
      <c r="I724">
        <f>Orders[[#This Row],[Quantity]]*Orders[[#This Row],[Selling Price]]</f>
        <v>135463.5</v>
      </c>
      <c r="J724">
        <f>Orders[[#This Row],[Quantity]]*Orders[[#This Row],[Cost Price]]</f>
        <v>115143.97499999999</v>
      </c>
      <c r="K724">
        <f>Orders[[#This Row],[Revenue]]-Orders[[#This Row],[Expenses]]</f>
        <v>20319.525000000009</v>
      </c>
      <c r="L724" t="s">
        <v>2217</v>
      </c>
      <c r="M724" t="str">
        <f>_xlfn.XLOOKUP(Orders[[#This Row],[CustomerID]],Customers[CustomerID],Customers[City])</f>
        <v>Georgia</v>
      </c>
      <c r="N724" t="str">
        <f>_xlfn.XLOOKUP(Orders[[#This Row],[CustomerID]],Customers[CustomerID],Customers[CustomerName])</f>
        <v>Mustafa Danladi</v>
      </c>
      <c r="O724" t="str">
        <f>_xlfn.XLOOKUP(Orders[[#This Row],[CustomerID]],Customers[CustomerID],Customers[Gender])</f>
        <v>Male</v>
      </c>
      <c r="P724">
        <f>_xlfn.XLOOKUP(Orders[[#This Row],[CustomerID]],Customers[CustomerID],Customers[CustomerAge])</f>
        <v>49</v>
      </c>
      <c r="Q724" t="str">
        <f>IF(Orders[[#This Row],[Age]]&gt;=35,"older","young")</f>
        <v>older</v>
      </c>
      <c r="R724" t="str">
        <f>_xlfn.XLOOKUP(Orders[[#This Row],[ProductID]],Products[ProductID],Products[ProductName])</f>
        <v>BADMINTON RACKET</v>
      </c>
      <c r="S724" t="str">
        <f>_xlfn.XLOOKUP(Orders[[#This Row],[ProductID]],Products!A:A,Products!C:C)</f>
        <v>Sports</v>
      </c>
    </row>
    <row r="725" spans="1:19" x14ac:dyDescent="0.2">
      <c r="A725" s="4" t="s">
        <v>913</v>
      </c>
      <c r="B725" s="5">
        <v>46003</v>
      </c>
      <c r="C725" s="15">
        <f>WEEKNUM(Orders[[#This Row],[OrderDate]])</f>
        <v>50</v>
      </c>
      <c r="D725" s="4" t="s">
        <v>426</v>
      </c>
      <c r="E725" s="4" t="s">
        <v>157</v>
      </c>
      <c r="F725" s="4">
        <v>9</v>
      </c>
      <c r="G725" s="4">
        <v>18635.400000000001</v>
      </c>
      <c r="H725">
        <v>15840.090000000002</v>
      </c>
      <c r="I725">
        <f>Orders[[#This Row],[Quantity]]*Orders[[#This Row],[Selling Price]]</f>
        <v>167718.6</v>
      </c>
      <c r="J725">
        <f>Orders[[#This Row],[Quantity]]*Orders[[#This Row],[Cost Price]]</f>
        <v>142560.81000000003</v>
      </c>
      <c r="K725">
        <f>Orders[[#This Row],[Revenue]]-Orders[[#This Row],[Expenses]]</f>
        <v>25157.789999999979</v>
      </c>
      <c r="L725" t="s">
        <v>2198</v>
      </c>
      <c r="M725" t="str">
        <f>_xlfn.XLOOKUP(Orders[[#This Row],[CustomerID]],Customers[CustomerID],Customers[City])</f>
        <v>Washington</v>
      </c>
      <c r="N725" t="str">
        <f>_xlfn.XLOOKUP(Orders[[#This Row],[CustomerID]],Customers[CustomerID],Customers[CustomerName])</f>
        <v>Chinedu Ojo</v>
      </c>
      <c r="O725" t="str">
        <f>_xlfn.XLOOKUP(Orders[[#This Row],[CustomerID]],Customers[CustomerID],Customers[Gender])</f>
        <v>Male</v>
      </c>
      <c r="P725">
        <f>_xlfn.XLOOKUP(Orders[[#This Row],[CustomerID]],Customers[CustomerID],Customers[CustomerAge])</f>
        <v>18</v>
      </c>
      <c r="Q725" t="str">
        <f>IF(Orders[[#This Row],[Age]]&gt;=35,"older","young")</f>
        <v>young</v>
      </c>
      <c r="R725" t="str">
        <f>_xlfn.XLOOKUP(Orders[[#This Row],[ProductID]],Products[ProductID],Products[ProductName])</f>
        <v>FOOTBALL</v>
      </c>
      <c r="S725" t="str">
        <f>_xlfn.XLOOKUP(Orders[[#This Row],[ProductID]],Products!A:A,Products!C:C)</f>
        <v>Sports</v>
      </c>
    </row>
    <row r="726" spans="1:19" x14ac:dyDescent="0.2">
      <c r="A726" s="4" t="s">
        <v>914</v>
      </c>
      <c r="B726" s="5">
        <v>45957</v>
      </c>
      <c r="C726" s="15">
        <f>WEEKNUM(Orders[[#This Row],[OrderDate]])</f>
        <v>44</v>
      </c>
      <c r="D726" s="4" t="s">
        <v>275</v>
      </c>
      <c r="E726" s="4" t="s">
        <v>130</v>
      </c>
      <c r="F726" s="4">
        <v>9</v>
      </c>
      <c r="G726" s="4">
        <v>3933.8999999999996</v>
      </c>
      <c r="H726">
        <v>3343.8149999999996</v>
      </c>
      <c r="I726">
        <f>Orders[[#This Row],[Quantity]]*Orders[[#This Row],[Selling Price]]</f>
        <v>35405.1</v>
      </c>
      <c r="J726">
        <f>Orders[[#This Row],[Quantity]]*Orders[[#This Row],[Cost Price]]</f>
        <v>30094.334999999995</v>
      </c>
      <c r="K726">
        <f>Orders[[#This Row],[Revenue]]-Orders[[#This Row],[Expenses]]</f>
        <v>5310.7650000000031</v>
      </c>
      <c r="L726" t="s">
        <v>2199</v>
      </c>
      <c r="M726" t="str">
        <f>_xlfn.XLOOKUP(Orders[[#This Row],[CustomerID]],Customers[CustomerID],Customers[City])</f>
        <v>Texas</v>
      </c>
      <c r="N726" t="str">
        <f>_xlfn.XLOOKUP(Orders[[#This Row],[CustomerID]],Customers[CustomerID],Customers[CustomerName])</f>
        <v>Ngozi Danladi</v>
      </c>
      <c r="O726" t="str">
        <f>_xlfn.XLOOKUP(Orders[[#This Row],[CustomerID]],Customers[CustomerID],Customers[Gender])</f>
        <v>Female</v>
      </c>
      <c r="P726">
        <f>_xlfn.XLOOKUP(Orders[[#This Row],[CustomerID]],Customers[CustomerID],Customers[CustomerAge])</f>
        <v>25</v>
      </c>
      <c r="Q726" t="str">
        <f>IF(Orders[[#This Row],[Age]]&gt;=35,"older","young")</f>
        <v>young</v>
      </c>
      <c r="R726" t="str">
        <f>_xlfn.XLOOKUP(Orders[[#This Row],[ProductID]],Products[ProductID],Products[ProductName])</f>
        <v>GOLD EARRINGS AND NECKLACES</v>
      </c>
      <c r="S726" t="str">
        <f>_xlfn.XLOOKUP(Orders[[#This Row],[ProductID]],Products!A:A,Products!C:C)</f>
        <v>Accessories</v>
      </c>
    </row>
    <row r="727" spans="1:19" x14ac:dyDescent="0.2">
      <c r="A727" s="4" t="s">
        <v>915</v>
      </c>
      <c r="B727" s="5">
        <v>46018</v>
      </c>
      <c r="C727" s="15">
        <f>WEEKNUM(Orders[[#This Row],[OrderDate]])</f>
        <v>52</v>
      </c>
      <c r="D727" s="4" t="s">
        <v>159</v>
      </c>
      <c r="E727" s="4" t="s">
        <v>168</v>
      </c>
      <c r="F727" s="4">
        <v>10</v>
      </c>
      <c r="G727" s="4">
        <v>4558.8</v>
      </c>
      <c r="H727">
        <v>3874.98</v>
      </c>
      <c r="I727">
        <f>Orders[[#This Row],[Quantity]]*Orders[[#This Row],[Selling Price]]</f>
        <v>45588</v>
      </c>
      <c r="J727">
        <f>Orders[[#This Row],[Quantity]]*Orders[[#This Row],[Cost Price]]</f>
        <v>38749.800000000003</v>
      </c>
      <c r="K727">
        <f>Orders[[#This Row],[Revenue]]-Orders[[#This Row],[Expenses]]</f>
        <v>6838.1999999999971</v>
      </c>
      <c r="L727" t="s">
        <v>2209</v>
      </c>
      <c r="M727" t="str">
        <f>_xlfn.XLOOKUP(Orders[[#This Row],[CustomerID]],Customers[CustomerID],Customers[City])</f>
        <v>Florida</v>
      </c>
      <c r="N727" t="str">
        <f>_xlfn.XLOOKUP(Orders[[#This Row],[CustomerID]],Customers[CustomerID],Customers[CustomerName])</f>
        <v>Ibrahim Okonkwo</v>
      </c>
      <c r="O727" t="str">
        <f>_xlfn.XLOOKUP(Orders[[#This Row],[CustomerID]],Customers[CustomerID],Customers[Gender])</f>
        <v>Male</v>
      </c>
      <c r="P727">
        <f>_xlfn.XLOOKUP(Orders[[#This Row],[CustomerID]],Customers[CustomerID],Customers[CustomerAge])</f>
        <v>49</v>
      </c>
      <c r="Q727" t="str">
        <f>IF(Orders[[#This Row],[Age]]&gt;=35,"older","young")</f>
        <v>older</v>
      </c>
      <c r="R727" t="str">
        <f>_xlfn.XLOOKUP(Orders[[#This Row],[ProductID]],Products[ProductID],Products[ProductName])</f>
        <v>DUMB BELLS</v>
      </c>
      <c r="S727" t="str">
        <f>_xlfn.XLOOKUP(Orders[[#This Row],[ProductID]],Products!A:A,Products!C:C)</f>
        <v>Gym</v>
      </c>
    </row>
    <row r="728" spans="1:19" x14ac:dyDescent="0.2">
      <c r="A728" s="4" t="s">
        <v>916</v>
      </c>
      <c r="B728" s="5">
        <v>45960</v>
      </c>
      <c r="C728" s="15">
        <f>WEEKNUM(Orders[[#This Row],[OrderDate]])</f>
        <v>44</v>
      </c>
      <c r="D728" s="4" t="s">
        <v>161</v>
      </c>
      <c r="E728" s="4" t="s">
        <v>46</v>
      </c>
      <c r="F728" s="4">
        <v>10</v>
      </c>
      <c r="G728" s="4">
        <v>6024.8</v>
      </c>
      <c r="H728">
        <v>5121.08</v>
      </c>
      <c r="I728">
        <f>Orders[[#This Row],[Quantity]]*Orders[[#This Row],[Selling Price]]</f>
        <v>60248</v>
      </c>
      <c r="J728">
        <f>Orders[[#This Row],[Quantity]]*Orders[[#This Row],[Cost Price]]</f>
        <v>51210.8</v>
      </c>
      <c r="K728">
        <f>Orders[[#This Row],[Revenue]]-Orders[[#This Row],[Expenses]]</f>
        <v>9037.1999999999971</v>
      </c>
      <c r="L728" t="s">
        <v>2194</v>
      </c>
      <c r="M728" t="str">
        <f>_xlfn.XLOOKUP(Orders[[#This Row],[CustomerID]],Customers[CustomerID],Customers[City])</f>
        <v>Georgia</v>
      </c>
      <c r="N728" t="str">
        <f>_xlfn.XLOOKUP(Orders[[#This Row],[CustomerID]],Customers[CustomerID],Customers[CustomerName])</f>
        <v>Okon Adeyemi</v>
      </c>
      <c r="O728" t="str">
        <f>_xlfn.XLOOKUP(Orders[[#This Row],[CustomerID]],Customers[CustomerID],Customers[Gender])</f>
        <v>Male</v>
      </c>
      <c r="P728">
        <f>_xlfn.XLOOKUP(Orders[[#This Row],[CustomerID]],Customers[CustomerID],Customers[CustomerAge])</f>
        <v>31</v>
      </c>
      <c r="Q728" t="str">
        <f>IF(Orders[[#This Row],[Age]]&gt;=35,"older","young")</f>
        <v>young</v>
      </c>
      <c r="R728" t="str">
        <f>_xlfn.XLOOKUP(Orders[[#This Row],[ProductID]],Products[ProductID],Products[ProductName])</f>
        <v>TURTLE NECK</v>
      </c>
      <c r="S728" t="str">
        <f>_xlfn.XLOOKUP(Orders[[#This Row],[ProductID]],Products!A:A,Products!C:C)</f>
        <v>Clothing</v>
      </c>
    </row>
    <row r="729" spans="1:19" x14ac:dyDescent="0.2">
      <c r="A729" s="4" t="s">
        <v>917</v>
      </c>
      <c r="B729" s="5">
        <v>45969</v>
      </c>
      <c r="C729" s="15">
        <f>WEEKNUM(Orders[[#This Row],[OrderDate]])</f>
        <v>45</v>
      </c>
      <c r="D729" s="4" t="s">
        <v>178</v>
      </c>
      <c r="E729" s="4" t="s">
        <v>81</v>
      </c>
      <c r="F729" s="4">
        <v>4</v>
      </c>
      <c r="G729" s="4">
        <v>2043.7</v>
      </c>
      <c r="H729">
        <v>1737.145</v>
      </c>
      <c r="I729">
        <f>Orders[[#This Row],[Quantity]]*Orders[[#This Row],[Selling Price]]</f>
        <v>8174.8</v>
      </c>
      <c r="J729">
        <f>Orders[[#This Row],[Quantity]]*Orders[[#This Row],[Cost Price]]</f>
        <v>6948.58</v>
      </c>
      <c r="K729">
        <f>Orders[[#This Row],[Revenue]]-Orders[[#This Row],[Expenses]]</f>
        <v>1226.2200000000003</v>
      </c>
      <c r="L729" t="s">
        <v>2219</v>
      </c>
      <c r="M729" t="str">
        <f>_xlfn.XLOOKUP(Orders[[#This Row],[CustomerID]],Customers[CustomerID],Customers[City])</f>
        <v>Florida</v>
      </c>
      <c r="N729" t="str">
        <f>_xlfn.XLOOKUP(Orders[[#This Row],[CustomerID]],Customers[CustomerID],Customers[CustomerName])</f>
        <v>Ibrahim Igwe</v>
      </c>
      <c r="O729" t="str">
        <f>_xlfn.XLOOKUP(Orders[[#This Row],[CustomerID]],Customers[CustomerID],Customers[Gender])</f>
        <v>Male</v>
      </c>
      <c r="P729">
        <f>_xlfn.XLOOKUP(Orders[[#This Row],[CustomerID]],Customers[CustomerID],Customers[CustomerAge])</f>
        <v>19</v>
      </c>
      <c r="Q729" t="str">
        <f>IF(Orders[[#This Row],[Age]]&gt;=35,"older","young")</f>
        <v>young</v>
      </c>
      <c r="R729" t="str">
        <f>_xlfn.XLOOKUP(Orders[[#This Row],[ProductID]],Products[ProductID],Products[ProductName])</f>
        <v>TROUSERS</v>
      </c>
      <c r="S729" t="str">
        <f>_xlfn.XLOOKUP(Orders[[#This Row],[ProductID]],Products!A:A,Products!C:C)</f>
        <v>Clothing</v>
      </c>
    </row>
    <row r="730" spans="1:19" x14ac:dyDescent="0.2">
      <c r="A730" s="4" t="s">
        <v>918</v>
      </c>
      <c r="B730" s="5">
        <v>45998</v>
      </c>
      <c r="C730" s="15">
        <f>WEEKNUM(Orders[[#This Row],[OrderDate]])</f>
        <v>50</v>
      </c>
      <c r="D730" s="4" t="s">
        <v>607</v>
      </c>
      <c r="E730" s="4" t="s">
        <v>76</v>
      </c>
      <c r="F730" s="4">
        <v>7</v>
      </c>
      <c r="G730" s="4">
        <v>6711.2</v>
      </c>
      <c r="H730">
        <v>5704.5199999999995</v>
      </c>
      <c r="I730">
        <f>Orders[[#This Row],[Quantity]]*Orders[[#This Row],[Selling Price]]</f>
        <v>46978.400000000001</v>
      </c>
      <c r="J730">
        <f>Orders[[#This Row],[Quantity]]*Orders[[#This Row],[Cost Price]]</f>
        <v>39931.64</v>
      </c>
      <c r="K730">
        <f>Orders[[#This Row],[Revenue]]-Orders[[#This Row],[Expenses]]</f>
        <v>7046.760000000002</v>
      </c>
      <c r="L730" t="s">
        <v>2194</v>
      </c>
      <c r="M730" t="str">
        <f>_xlfn.XLOOKUP(Orders[[#This Row],[CustomerID]],Customers[CustomerID],Customers[City])</f>
        <v>Texas</v>
      </c>
      <c r="N730" t="str">
        <f>_xlfn.XLOOKUP(Orders[[#This Row],[CustomerID]],Customers[CustomerID],Customers[CustomerName])</f>
        <v>Folasade Ojo</v>
      </c>
      <c r="O730" t="str">
        <f>_xlfn.XLOOKUP(Orders[[#This Row],[CustomerID]],Customers[CustomerID],Customers[Gender])</f>
        <v>Female</v>
      </c>
      <c r="P730">
        <f>_xlfn.XLOOKUP(Orders[[#This Row],[CustomerID]],Customers[CustomerID],Customers[CustomerAge])</f>
        <v>19</v>
      </c>
      <c r="Q730" t="str">
        <f>IF(Orders[[#This Row],[Age]]&gt;=35,"older","young")</f>
        <v>young</v>
      </c>
      <c r="R730" t="str">
        <f>_xlfn.XLOOKUP(Orders[[#This Row],[ProductID]],Products[ProductID],Products[ProductName])</f>
        <v>BLENDER</v>
      </c>
      <c r="S730" t="str">
        <f>_xlfn.XLOOKUP(Orders[[#This Row],[ProductID]],Products!A:A,Products!C:C)</f>
        <v>Electronics</v>
      </c>
    </row>
    <row r="731" spans="1:19" x14ac:dyDescent="0.2">
      <c r="A731" s="4" t="s">
        <v>919</v>
      </c>
      <c r="B731" s="5">
        <v>45937</v>
      </c>
      <c r="C731" s="15">
        <f>WEEKNUM(Orders[[#This Row],[OrderDate]])</f>
        <v>41</v>
      </c>
      <c r="D731" s="4" t="s">
        <v>444</v>
      </c>
      <c r="E731" s="4" t="s">
        <v>28</v>
      </c>
      <c r="F731" s="4">
        <v>4</v>
      </c>
      <c r="G731" s="4">
        <v>648.79999999999995</v>
      </c>
      <c r="H731">
        <v>551.48</v>
      </c>
      <c r="I731">
        <f>Orders[[#This Row],[Quantity]]*Orders[[#This Row],[Selling Price]]</f>
        <v>2595.1999999999998</v>
      </c>
      <c r="J731">
        <f>Orders[[#This Row],[Quantity]]*Orders[[#This Row],[Cost Price]]</f>
        <v>2205.92</v>
      </c>
      <c r="K731">
        <f>Orders[[#This Row],[Revenue]]-Orders[[#This Row],[Expenses]]</f>
        <v>389.27999999999975</v>
      </c>
      <c r="L731" t="s">
        <v>2202</v>
      </c>
      <c r="M731" t="str">
        <f>_xlfn.XLOOKUP(Orders[[#This Row],[CustomerID]],Customers[CustomerID],Customers[City])</f>
        <v>Texas</v>
      </c>
      <c r="N731" t="str">
        <f>_xlfn.XLOOKUP(Orders[[#This Row],[CustomerID]],Customers[CustomerID],Customers[CustomerName])</f>
        <v>Blessing Eze</v>
      </c>
      <c r="O731" t="str">
        <f>_xlfn.XLOOKUP(Orders[[#This Row],[CustomerID]],Customers[CustomerID],Customers[Gender])</f>
        <v>Female</v>
      </c>
      <c r="P731">
        <f>_xlfn.XLOOKUP(Orders[[#This Row],[CustomerID]],Customers[CustomerID],Customers[CustomerAge])</f>
        <v>24</v>
      </c>
      <c r="Q731" t="str">
        <f>IF(Orders[[#This Row],[Age]]&gt;=35,"older","young")</f>
        <v>young</v>
      </c>
      <c r="R731" t="str">
        <f>_xlfn.XLOOKUP(Orders[[#This Row],[ProductID]],Products[ProductID],Products[ProductName])</f>
        <v>SNEAKERS</v>
      </c>
      <c r="S731" t="str">
        <f>_xlfn.XLOOKUP(Orders[[#This Row],[ProductID]],Products!A:A,Products!C:C)</f>
        <v>Sports</v>
      </c>
    </row>
    <row r="732" spans="1:19" x14ac:dyDescent="0.2">
      <c r="A732" s="4" t="s">
        <v>920</v>
      </c>
      <c r="B732" s="5">
        <v>45948</v>
      </c>
      <c r="C732" s="15">
        <f>WEEKNUM(Orders[[#This Row],[OrderDate]])</f>
        <v>42</v>
      </c>
      <c r="D732" s="4" t="s">
        <v>524</v>
      </c>
      <c r="E732" s="4" t="s">
        <v>31</v>
      </c>
      <c r="F732" s="4">
        <v>4</v>
      </c>
      <c r="G732" s="4">
        <v>4556.1000000000004</v>
      </c>
      <c r="H732">
        <v>3872.6850000000004</v>
      </c>
      <c r="I732">
        <f>Orders[[#This Row],[Quantity]]*Orders[[#This Row],[Selling Price]]</f>
        <v>18224.400000000001</v>
      </c>
      <c r="J732">
        <f>Orders[[#This Row],[Quantity]]*Orders[[#This Row],[Cost Price]]</f>
        <v>15490.740000000002</v>
      </c>
      <c r="K732">
        <f>Orders[[#This Row],[Revenue]]-Orders[[#This Row],[Expenses]]</f>
        <v>2733.66</v>
      </c>
      <c r="L732" t="s">
        <v>2209</v>
      </c>
      <c r="M732" t="str">
        <f>_xlfn.XLOOKUP(Orders[[#This Row],[CustomerID]],Customers[CustomerID],Customers[City])</f>
        <v>Florida</v>
      </c>
      <c r="N732" t="str">
        <f>_xlfn.XLOOKUP(Orders[[#This Row],[CustomerID]],Customers[CustomerID],Customers[CustomerName])</f>
        <v>Chinedu Igwe</v>
      </c>
      <c r="O732" t="str">
        <f>_xlfn.XLOOKUP(Orders[[#This Row],[CustomerID]],Customers[CustomerID],Customers[Gender])</f>
        <v>Male</v>
      </c>
      <c r="P732">
        <f>_xlfn.XLOOKUP(Orders[[#This Row],[CustomerID]],Customers[CustomerID],Customers[CustomerAge])</f>
        <v>21</v>
      </c>
      <c r="Q732" t="str">
        <f>IF(Orders[[#This Row],[Age]]&gt;=35,"older","young")</f>
        <v>young</v>
      </c>
      <c r="R732" t="str">
        <f>_xlfn.XLOOKUP(Orders[[#This Row],[ProductID]],Products[ProductID],Products[ProductName])</f>
        <v>KIDS GAMES</v>
      </c>
      <c r="S732" t="str">
        <f>_xlfn.XLOOKUP(Orders[[#This Row],[ProductID]],Products!A:A,Products!C:C)</f>
        <v>Games</v>
      </c>
    </row>
    <row r="733" spans="1:19" x14ac:dyDescent="0.2">
      <c r="A733" s="4" t="s">
        <v>921</v>
      </c>
      <c r="B733" s="5">
        <v>45958</v>
      </c>
      <c r="C733" s="15">
        <f>WEEKNUM(Orders[[#This Row],[OrderDate]])</f>
        <v>44</v>
      </c>
      <c r="D733" s="4" t="s">
        <v>410</v>
      </c>
      <c r="E733" s="4" t="s">
        <v>189</v>
      </c>
      <c r="F733" s="4">
        <v>7</v>
      </c>
      <c r="G733" s="4">
        <v>6486.4</v>
      </c>
      <c r="H733">
        <v>5513.44</v>
      </c>
      <c r="I733">
        <f>Orders[[#This Row],[Quantity]]*Orders[[#This Row],[Selling Price]]</f>
        <v>45404.799999999996</v>
      </c>
      <c r="J733">
        <f>Orders[[#This Row],[Quantity]]*Orders[[#This Row],[Cost Price]]</f>
        <v>38594.079999999994</v>
      </c>
      <c r="K733">
        <f>Orders[[#This Row],[Revenue]]-Orders[[#This Row],[Expenses]]</f>
        <v>6810.7200000000012</v>
      </c>
      <c r="L733" t="s">
        <v>2196</v>
      </c>
      <c r="M733" t="str">
        <f>_xlfn.XLOOKUP(Orders[[#This Row],[CustomerID]],Customers[CustomerID],Customers[City])</f>
        <v>Texas</v>
      </c>
      <c r="N733" t="str">
        <f>_xlfn.XLOOKUP(Orders[[#This Row],[CustomerID]],Customers[CustomerID],Customers[CustomerName])</f>
        <v>Jane Thomas</v>
      </c>
      <c r="O733" t="str">
        <f>_xlfn.XLOOKUP(Orders[[#This Row],[CustomerID]],Customers[CustomerID],Customers[Gender])</f>
        <v>Male</v>
      </c>
      <c r="P733">
        <f>_xlfn.XLOOKUP(Orders[[#This Row],[CustomerID]],Customers[CustomerID],Customers[CustomerAge])</f>
        <v>21</v>
      </c>
      <c r="Q733" t="str">
        <f>IF(Orders[[#This Row],[Age]]&gt;=35,"older","young")</f>
        <v>young</v>
      </c>
      <c r="R733" t="str">
        <f>_xlfn.XLOOKUP(Orders[[#This Row],[ProductID]],Products[ProductID],Products[ProductName])</f>
        <v>SCRABBLE</v>
      </c>
      <c r="S733" t="str">
        <f>_xlfn.XLOOKUP(Orders[[#This Row],[ProductID]],Products!A:A,Products!C:C)</f>
        <v>Games</v>
      </c>
    </row>
    <row r="734" spans="1:19" x14ac:dyDescent="0.2">
      <c r="A734" s="4" t="s">
        <v>922</v>
      </c>
      <c r="B734" s="5">
        <v>45941</v>
      </c>
      <c r="C734" s="15">
        <f>WEEKNUM(Orders[[#This Row],[OrderDate]])</f>
        <v>41</v>
      </c>
      <c r="D734" s="4" t="s">
        <v>435</v>
      </c>
      <c r="E734" s="4" t="s">
        <v>9</v>
      </c>
      <c r="F734" s="4">
        <v>7</v>
      </c>
      <c r="G734" s="4">
        <v>3114.6</v>
      </c>
      <c r="H734">
        <v>2647.41</v>
      </c>
      <c r="I734">
        <f>Orders[[#This Row],[Quantity]]*Orders[[#This Row],[Selling Price]]</f>
        <v>21802.2</v>
      </c>
      <c r="J734">
        <f>Orders[[#This Row],[Quantity]]*Orders[[#This Row],[Cost Price]]</f>
        <v>18531.87</v>
      </c>
      <c r="K734">
        <f>Orders[[#This Row],[Revenue]]-Orders[[#This Row],[Expenses]]</f>
        <v>3270.3300000000017</v>
      </c>
      <c r="L734" t="s">
        <v>2211</v>
      </c>
      <c r="M734" t="str">
        <f>_xlfn.XLOOKUP(Orders[[#This Row],[CustomerID]],Customers[CustomerID],Customers[City])</f>
        <v>Texas</v>
      </c>
      <c r="N734" t="str">
        <f>_xlfn.XLOOKUP(Orders[[#This Row],[CustomerID]],Customers[CustomerID],Customers[CustomerName])</f>
        <v>Amina Balogun</v>
      </c>
      <c r="O734" t="str">
        <f>_xlfn.XLOOKUP(Orders[[#This Row],[CustomerID]],Customers[CustomerID],Customers[Gender])</f>
        <v>Female</v>
      </c>
      <c r="P734">
        <f>_xlfn.XLOOKUP(Orders[[#This Row],[CustomerID]],Customers[CustomerID],Customers[CustomerAge])</f>
        <v>32</v>
      </c>
      <c r="Q734" t="str">
        <f>IF(Orders[[#This Row],[Age]]&gt;=35,"older","young")</f>
        <v>young</v>
      </c>
      <c r="R734" t="str">
        <f>_xlfn.XLOOKUP(Orders[[#This Row],[ProductID]],Products[ProductID],Products[ProductName])</f>
        <v>BEADED EARRINGS AND NECKLACES</v>
      </c>
      <c r="S734" t="str">
        <f>_xlfn.XLOOKUP(Orders[[#This Row],[ProductID]],Products!A:A,Products!C:C)</f>
        <v>Accessories</v>
      </c>
    </row>
    <row r="735" spans="1:19" x14ac:dyDescent="0.2">
      <c r="A735" s="4" t="s">
        <v>923</v>
      </c>
      <c r="B735" s="5">
        <v>45978</v>
      </c>
      <c r="C735" s="15">
        <f>WEEKNUM(Orders[[#This Row],[OrderDate]])</f>
        <v>47</v>
      </c>
      <c r="D735" s="4" t="s">
        <v>129</v>
      </c>
      <c r="E735" s="4" t="s">
        <v>253</v>
      </c>
      <c r="F735" s="4">
        <v>3</v>
      </c>
      <c r="G735" s="4">
        <v>11617.8</v>
      </c>
      <c r="H735">
        <v>9875.1299999999992</v>
      </c>
      <c r="I735">
        <f>Orders[[#This Row],[Quantity]]*Orders[[#This Row],[Selling Price]]</f>
        <v>34853.399999999994</v>
      </c>
      <c r="J735">
        <f>Orders[[#This Row],[Quantity]]*Orders[[#This Row],[Cost Price]]</f>
        <v>29625.39</v>
      </c>
      <c r="K735">
        <f>Orders[[#This Row],[Revenue]]-Orders[[#This Row],[Expenses]]</f>
        <v>5228.0099999999948</v>
      </c>
      <c r="L735" t="s">
        <v>2192</v>
      </c>
      <c r="M735" t="str">
        <f>_xlfn.XLOOKUP(Orders[[#This Row],[CustomerID]],Customers[CustomerID],Customers[City])</f>
        <v>Washington</v>
      </c>
      <c r="N735" t="str">
        <f>_xlfn.XLOOKUP(Orders[[#This Row],[CustomerID]],Customers[CustomerID],Customers[CustomerName])</f>
        <v>Chioma Ojo</v>
      </c>
      <c r="O735" t="str">
        <f>_xlfn.XLOOKUP(Orders[[#This Row],[CustomerID]],Customers[CustomerID],Customers[Gender])</f>
        <v>Female</v>
      </c>
      <c r="P735">
        <f>_xlfn.XLOOKUP(Orders[[#This Row],[CustomerID]],Customers[CustomerID],Customers[CustomerAge])</f>
        <v>46</v>
      </c>
      <c r="Q735" t="str">
        <f>IF(Orders[[#This Row],[Age]]&gt;=35,"older","young")</f>
        <v>older</v>
      </c>
      <c r="R735" t="str">
        <f>_xlfn.XLOOKUP(Orders[[#This Row],[ProductID]],Products[ProductID],Products[ProductName])</f>
        <v>NOSE RINGS</v>
      </c>
      <c r="S735" t="str">
        <f>_xlfn.XLOOKUP(Orders[[#This Row],[ProductID]],Products!A:A,Products!C:C)</f>
        <v>Accessories</v>
      </c>
    </row>
    <row r="736" spans="1:19" x14ac:dyDescent="0.2">
      <c r="A736" s="4" t="s">
        <v>924</v>
      </c>
      <c r="B736" s="5">
        <v>46020</v>
      </c>
      <c r="C736" s="15">
        <f>WEEKNUM(Orders[[#This Row],[OrderDate]])</f>
        <v>53</v>
      </c>
      <c r="D736" s="4" t="s">
        <v>327</v>
      </c>
      <c r="E736" s="4" t="s">
        <v>46</v>
      </c>
      <c r="F736" s="4">
        <v>2</v>
      </c>
      <c r="G736" s="4">
        <v>14600.4</v>
      </c>
      <c r="H736">
        <v>12410.34</v>
      </c>
      <c r="I736">
        <f>Orders[[#This Row],[Quantity]]*Orders[[#This Row],[Selling Price]]</f>
        <v>29200.799999999999</v>
      </c>
      <c r="J736">
        <f>Orders[[#This Row],[Quantity]]*Orders[[#This Row],[Cost Price]]</f>
        <v>24820.68</v>
      </c>
      <c r="K736">
        <f>Orders[[#This Row],[Revenue]]-Orders[[#This Row],[Expenses]]</f>
        <v>4380.119999999999</v>
      </c>
      <c r="L736" t="s">
        <v>2200</v>
      </c>
      <c r="M736" t="str">
        <f>_xlfn.XLOOKUP(Orders[[#This Row],[CustomerID]],Customers[CustomerID],Customers[City])</f>
        <v>Washington</v>
      </c>
      <c r="N736" t="str">
        <f>_xlfn.XLOOKUP(Orders[[#This Row],[CustomerID]],Customers[CustomerID],Customers[CustomerName])</f>
        <v>Folasade Ojo</v>
      </c>
      <c r="O736" t="str">
        <f>_xlfn.XLOOKUP(Orders[[#This Row],[CustomerID]],Customers[CustomerID],Customers[Gender])</f>
        <v>Female</v>
      </c>
      <c r="P736">
        <f>_xlfn.XLOOKUP(Orders[[#This Row],[CustomerID]],Customers[CustomerID],Customers[CustomerAge])</f>
        <v>24</v>
      </c>
      <c r="Q736" t="str">
        <f>IF(Orders[[#This Row],[Age]]&gt;=35,"older","young")</f>
        <v>young</v>
      </c>
      <c r="R736" t="str">
        <f>_xlfn.XLOOKUP(Orders[[#This Row],[ProductID]],Products[ProductID],Products[ProductName])</f>
        <v>TURTLE NECK</v>
      </c>
      <c r="S736" t="str">
        <f>_xlfn.XLOOKUP(Orders[[#This Row],[ProductID]],Products!A:A,Products!C:C)</f>
        <v>Clothing</v>
      </c>
    </row>
    <row r="737" spans="1:19" x14ac:dyDescent="0.2">
      <c r="A737" s="4" t="s">
        <v>925</v>
      </c>
      <c r="B737" s="5">
        <v>45982</v>
      </c>
      <c r="C737" s="15">
        <f>WEEKNUM(Orders[[#This Row],[OrderDate]])</f>
        <v>47</v>
      </c>
      <c r="D737" s="4" t="s">
        <v>48</v>
      </c>
      <c r="E737" s="4" t="s">
        <v>92</v>
      </c>
      <c r="F737" s="4">
        <v>9</v>
      </c>
      <c r="G737" s="4">
        <v>18739.7</v>
      </c>
      <c r="H737">
        <v>15928.745000000001</v>
      </c>
      <c r="I737">
        <f>Orders[[#This Row],[Quantity]]*Orders[[#This Row],[Selling Price]]</f>
        <v>168657.30000000002</v>
      </c>
      <c r="J737">
        <f>Orders[[#This Row],[Quantity]]*Orders[[#This Row],[Cost Price]]</f>
        <v>143358.70500000002</v>
      </c>
      <c r="K737">
        <f>Orders[[#This Row],[Revenue]]-Orders[[#This Row],[Expenses]]</f>
        <v>25298.595000000001</v>
      </c>
      <c r="L737" t="s">
        <v>2219</v>
      </c>
      <c r="M737" t="str">
        <f>_xlfn.XLOOKUP(Orders[[#This Row],[CustomerID]],Customers[CustomerID],Customers[City])</f>
        <v>California</v>
      </c>
      <c r="N737" t="str">
        <f>_xlfn.XLOOKUP(Orders[[#This Row],[CustomerID]],Customers[CustomerID],Customers[CustomerName])</f>
        <v>Mustafa Obi</v>
      </c>
      <c r="O737" t="str">
        <f>_xlfn.XLOOKUP(Orders[[#This Row],[CustomerID]],Customers[CustomerID],Customers[Gender])</f>
        <v>Male</v>
      </c>
      <c r="P737">
        <f>_xlfn.XLOOKUP(Orders[[#This Row],[CustomerID]],Customers[CustomerID],Customers[CustomerAge])</f>
        <v>23</v>
      </c>
      <c r="Q737" t="str">
        <f>IF(Orders[[#This Row],[Age]]&gt;=35,"older","young")</f>
        <v>young</v>
      </c>
      <c r="R737" t="str">
        <f>_xlfn.XLOOKUP(Orders[[#This Row],[ProductID]],Products[ProductID],Products[ProductName])</f>
        <v>CHEST EXPANDER</v>
      </c>
      <c r="S737" t="str">
        <f>_xlfn.XLOOKUP(Orders[[#This Row],[ProductID]],Products!A:A,Products!C:C)</f>
        <v>Gym</v>
      </c>
    </row>
    <row r="738" spans="1:19" x14ac:dyDescent="0.2">
      <c r="A738" s="4" t="s">
        <v>926</v>
      </c>
      <c r="B738" s="5">
        <v>45951</v>
      </c>
      <c r="C738" s="15">
        <f>WEEKNUM(Orders[[#This Row],[OrderDate]])</f>
        <v>43</v>
      </c>
      <c r="D738" s="4" t="s">
        <v>156</v>
      </c>
      <c r="E738" s="4" t="s">
        <v>63</v>
      </c>
      <c r="F738" s="4">
        <v>3</v>
      </c>
      <c r="G738" s="4">
        <v>7938.5</v>
      </c>
      <c r="H738">
        <v>6747.7250000000004</v>
      </c>
      <c r="I738">
        <f>Orders[[#This Row],[Quantity]]*Orders[[#This Row],[Selling Price]]</f>
        <v>23815.5</v>
      </c>
      <c r="J738">
        <f>Orders[[#This Row],[Quantity]]*Orders[[#This Row],[Cost Price]]</f>
        <v>20243.175000000003</v>
      </c>
      <c r="K738">
        <f>Orders[[#This Row],[Revenue]]-Orders[[#This Row],[Expenses]]</f>
        <v>3572.3249999999971</v>
      </c>
      <c r="L738" t="s">
        <v>2200</v>
      </c>
      <c r="M738" t="str">
        <f>_xlfn.XLOOKUP(Orders[[#This Row],[CustomerID]],Customers[CustomerID],Customers[City])</f>
        <v>Florida</v>
      </c>
      <c r="N738" t="str">
        <f>_xlfn.XLOOKUP(Orders[[#This Row],[CustomerID]],Customers[CustomerID],Customers[CustomerName])</f>
        <v>Obi Okonkwo</v>
      </c>
      <c r="O738" t="str">
        <f>_xlfn.XLOOKUP(Orders[[#This Row],[CustomerID]],Customers[CustomerID],Customers[Gender])</f>
        <v>Male</v>
      </c>
      <c r="P738">
        <f>_xlfn.XLOOKUP(Orders[[#This Row],[CustomerID]],Customers[CustomerID],Customers[CustomerAge])</f>
        <v>52</v>
      </c>
      <c r="Q738" t="str">
        <f>IF(Orders[[#This Row],[Age]]&gt;=35,"older","young")</f>
        <v>older</v>
      </c>
      <c r="R738" t="str">
        <f>_xlfn.XLOOKUP(Orders[[#This Row],[ProductID]],Products[ProductID],Products[ProductName])</f>
        <v>TENNIS BAT</v>
      </c>
      <c r="S738" t="str">
        <f>_xlfn.XLOOKUP(Orders[[#This Row],[ProductID]],Products!A:A,Products!C:C)</f>
        <v>Sports</v>
      </c>
    </row>
    <row r="739" spans="1:19" x14ac:dyDescent="0.2">
      <c r="A739" s="4" t="s">
        <v>927</v>
      </c>
      <c r="B739" s="5">
        <v>45974</v>
      </c>
      <c r="C739" s="15">
        <f>WEEKNUM(Orders[[#This Row],[OrderDate]])</f>
        <v>46</v>
      </c>
      <c r="D739" s="4" t="s">
        <v>298</v>
      </c>
      <c r="E739" s="4" t="s">
        <v>60</v>
      </c>
      <c r="F739" s="4">
        <v>4</v>
      </c>
      <c r="G739" s="4">
        <v>19672.900000000001</v>
      </c>
      <c r="H739">
        <v>16721.965</v>
      </c>
      <c r="I739">
        <f>Orders[[#This Row],[Quantity]]*Orders[[#This Row],[Selling Price]]</f>
        <v>78691.600000000006</v>
      </c>
      <c r="J739">
        <f>Orders[[#This Row],[Quantity]]*Orders[[#This Row],[Cost Price]]</f>
        <v>66887.86</v>
      </c>
      <c r="K739">
        <f>Orders[[#This Row],[Revenue]]-Orders[[#This Row],[Expenses]]</f>
        <v>11803.740000000005</v>
      </c>
      <c r="L739" t="s">
        <v>2195</v>
      </c>
      <c r="M739" t="str">
        <f>_xlfn.XLOOKUP(Orders[[#This Row],[CustomerID]],Customers[CustomerID],Customers[City])</f>
        <v>Florida</v>
      </c>
      <c r="N739" t="str">
        <f>_xlfn.XLOOKUP(Orders[[#This Row],[CustomerID]],Customers[CustomerID],Customers[CustomerName])</f>
        <v>Amina Obi</v>
      </c>
      <c r="O739" t="str">
        <f>_xlfn.XLOOKUP(Orders[[#This Row],[CustomerID]],Customers[CustomerID],Customers[Gender])</f>
        <v>Female</v>
      </c>
      <c r="P739">
        <f>_xlfn.XLOOKUP(Orders[[#This Row],[CustomerID]],Customers[CustomerID],Customers[CustomerAge])</f>
        <v>19</v>
      </c>
      <c r="Q739" t="str">
        <f>IF(Orders[[#This Row],[Age]]&gt;=35,"older","young")</f>
        <v>young</v>
      </c>
      <c r="R739" t="str">
        <f>_xlfn.XLOOKUP(Orders[[#This Row],[ProductID]],Products[ProductID],Products[ProductName])</f>
        <v>SILVER RINGS</v>
      </c>
      <c r="S739" t="str">
        <f>_xlfn.XLOOKUP(Orders[[#This Row],[ProductID]],Products!A:A,Products!C:C)</f>
        <v>Accessories</v>
      </c>
    </row>
    <row r="740" spans="1:19" x14ac:dyDescent="0.2">
      <c r="A740" s="4" t="s">
        <v>928</v>
      </c>
      <c r="B740" s="5">
        <v>46013</v>
      </c>
      <c r="C740" s="15">
        <f>WEEKNUM(Orders[[#This Row],[OrderDate]])</f>
        <v>52</v>
      </c>
      <c r="D740" s="4" t="s">
        <v>388</v>
      </c>
      <c r="E740" s="4" t="s">
        <v>25</v>
      </c>
      <c r="F740" s="4">
        <v>4</v>
      </c>
      <c r="G740" s="4">
        <v>13069.6</v>
      </c>
      <c r="H740">
        <v>11109.16</v>
      </c>
      <c r="I740">
        <f>Orders[[#This Row],[Quantity]]*Orders[[#This Row],[Selling Price]]</f>
        <v>52278.400000000001</v>
      </c>
      <c r="J740">
        <f>Orders[[#This Row],[Quantity]]*Orders[[#This Row],[Cost Price]]</f>
        <v>44436.639999999999</v>
      </c>
      <c r="K740">
        <f>Orders[[#This Row],[Revenue]]-Orders[[#This Row],[Expenses]]</f>
        <v>7841.760000000002</v>
      </c>
      <c r="L740" t="s">
        <v>2203</v>
      </c>
      <c r="M740" t="str">
        <f>_xlfn.XLOOKUP(Orders[[#This Row],[CustomerID]],Customers[CustomerID],Customers[City])</f>
        <v>Washington</v>
      </c>
      <c r="N740" t="str">
        <f>_xlfn.XLOOKUP(Orders[[#This Row],[CustomerID]],Customers[CustomerID],Customers[CustomerName])</f>
        <v>Folasade Okonkwo</v>
      </c>
      <c r="O740" t="str">
        <f>_xlfn.XLOOKUP(Orders[[#This Row],[CustomerID]],Customers[CustomerID],Customers[Gender])</f>
        <v>Female</v>
      </c>
      <c r="P740">
        <f>_xlfn.XLOOKUP(Orders[[#This Row],[CustomerID]],Customers[CustomerID],Customers[CustomerAge])</f>
        <v>52</v>
      </c>
      <c r="Q740" t="str">
        <f>IF(Orders[[#This Row],[Age]]&gt;=35,"older","young")</f>
        <v>older</v>
      </c>
      <c r="R740" t="str">
        <f>_xlfn.XLOOKUP(Orders[[#This Row],[ProductID]],Products[ProductID],Products[ProductName])</f>
        <v>GOLD RINGS</v>
      </c>
      <c r="S740" t="str">
        <f>_xlfn.XLOOKUP(Orders[[#This Row],[ProductID]],Products!A:A,Products!C:C)</f>
        <v>Accessories</v>
      </c>
    </row>
    <row r="741" spans="1:19" x14ac:dyDescent="0.2">
      <c r="A741" s="4" t="s">
        <v>929</v>
      </c>
      <c r="B741" s="5">
        <v>45971</v>
      </c>
      <c r="C741" s="15">
        <f>WEEKNUM(Orders[[#This Row],[OrderDate]])</f>
        <v>46</v>
      </c>
      <c r="D741" s="4" t="s">
        <v>146</v>
      </c>
      <c r="E741" s="4" t="s">
        <v>111</v>
      </c>
      <c r="F741" s="4">
        <v>4</v>
      </c>
      <c r="G741" s="4">
        <v>7359.8</v>
      </c>
      <c r="H741">
        <v>6255.83</v>
      </c>
      <c r="I741">
        <f>Orders[[#This Row],[Quantity]]*Orders[[#This Row],[Selling Price]]</f>
        <v>29439.200000000001</v>
      </c>
      <c r="J741">
        <f>Orders[[#This Row],[Quantity]]*Orders[[#This Row],[Cost Price]]</f>
        <v>25023.32</v>
      </c>
      <c r="K741">
        <f>Orders[[#This Row],[Revenue]]-Orders[[#This Row],[Expenses]]</f>
        <v>4415.880000000001</v>
      </c>
      <c r="L741" t="s">
        <v>2219</v>
      </c>
      <c r="M741" t="str">
        <f>_xlfn.XLOOKUP(Orders[[#This Row],[CustomerID]],Customers[CustomerID],Customers[City])</f>
        <v>Texas</v>
      </c>
      <c r="N741" t="str">
        <f>_xlfn.XLOOKUP(Orders[[#This Row],[CustomerID]],Customers[CustomerID],Customers[CustomerName])</f>
        <v>Mustafa Igwe</v>
      </c>
      <c r="O741" t="str">
        <f>_xlfn.XLOOKUP(Orders[[#This Row],[CustomerID]],Customers[CustomerID],Customers[Gender])</f>
        <v>Male</v>
      </c>
      <c r="P741">
        <f>_xlfn.XLOOKUP(Orders[[#This Row],[CustomerID]],Customers[CustomerID],Customers[CustomerAge])</f>
        <v>27</v>
      </c>
      <c r="Q741" t="str">
        <f>IF(Orders[[#This Row],[Age]]&gt;=35,"older","young")</f>
        <v>young</v>
      </c>
      <c r="R741" t="str">
        <f>_xlfn.XLOOKUP(Orders[[#This Row],[ProductID]],Products[ProductID],Products[ProductName])</f>
        <v>REFRIGERATOR</v>
      </c>
      <c r="S741" t="str">
        <f>_xlfn.XLOOKUP(Orders[[#This Row],[ProductID]],Products!A:A,Products!C:C)</f>
        <v>Electronics</v>
      </c>
    </row>
    <row r="742" spans="1:19" x14ac:dyDescent="0.2">
      <c r="A742" s="4" t="s">
        <v>930</v>
      </c>
      <c r="B742" s="5">
        <v>45951</v>
      </c>
      <c r="C742" s="15">
        <f>WEEKNUM(Orders[[#This Row],[OrderDate]])</f>
        <v>43</v>
      </c>
      <c r="D742" s="4" t="s">
        <v>184</v>
      </c>
      <c r="E742" s="4" t="s">
        <v>37</v>
      </c>
      <c r="F742" s="4">
        <v>8</v>
      </c>
      <c r="G742" s="4">
        <v>18274.100000000002</v>
      </c>
      <c r="H742">
        <v>15532.985000000002</v>
      </c>
      <c r="I742">
        <f>Orders[[#This Row],[Quantity]]*Orders[[#This Row],[Selling Price]]</f>
        <v>146192.80000000002</v>
      </c>
      <c r="J742">
        <f>Orders[[#This Row],[Quantity]]*Orders[[#This Row],[Cost Price]]</f>
        <v>124263.88000000002</v>
      </c>
      <c r="K742">
        <f>Orders[[#This Row],[Revenue]]-Orders[[#This Row],[Expenses]]</f>
        <v>21928.92</v>
      </c>
      <c r="L742" t="s">
        <v>2209</v>
      </c>
      <c r="M742" t="str">
        <f>_xlfn.XLOOKUP(Orders[[#This Row],[CustomerID]],Customers[CustomerID],Customers[City])</f>
        <v>Washington</v>
      </c>
      <c r="N742" t="str">
        <f>_xlfn.XLOOKUP(Orders[[#This Row],[CustomerID]],Customers[CustomerID],Customers[CustomerName])</f>
        <v>Ngozi Obi</v>
      </c>
      <c r="O742" t="str">
        <f>_xlfn.XLOOKUP(Orders[[#This Row],[CustomerID]],Customers[CustomerID],Customers[Gender])</f>
        <v>Female</v>
      </c>
      <c r="P742">
        <f>_xlfn.XLOOKUP(Orders[[#This Row],[CustomerID]],Customers[CustomerID],Customers[CustomerAge])</f>
        <v>32</v>
      </c>
      <c r="Q742" t="str">
        <f>IF(Orders[[#This Row],[Age]]&gt;=35,"older","young")</f>
        <v>young</v>
      </c>
      <c r="R742" t="str">
        <f>_xlfn.XLOOKUP(Orders[[#This Row],[ProductID]],Products[ProductID],Products[ProductName])</f>
        <v>IRON</v>
      </c>
      <c r="S742" t="str">
        <f>_xlfn.XLOOKUP(Orders[[#This Row],[ProductID]],Products!A:A,Products!C:C)</f>
        <v>Electronics</v>
      </c>
    </row>
    <row r="743" spans="1:19" x14ac:dyDescent="0.2">
      <c r="A743" s="4" t="s">
        <v>931</v>
      </c>
      <c r="B743" s="5">
        <v>45994</v>
      </c>
      <c r="C743" s="15">
        <f>WEEKNUM(Orders[[#This Row],[OrderDate]])</f>
        <v>49</v>
      </c>
      <c r="D743" s="4" t="s">
        <v>285</v>
      </c>
      <c r="E743" s="4" t="s">
        <v>23</v>
      </c>
      <c r="F743" s="4">
        <v>2</v>
      </c>
      <c r="G743" s="4">
        <v>3789.4</v>
      </c>
      <c r="H743">
        <v>3220.9900000000002</v>
      </c>
      <c r="I743">
        <f>Orders[[#This Row],[Quantity]]*Orders[[#This Row],[Selling Price]]</f>
        <v>7578.8</v>
      </c>
      <c r="J743">
        <f>Orders[[#This Row],[Quantity]]*Orders[[#This Row],[Cost Price]]</f>
        <v>6441.9800000000005</v>
      </c>
      <c r="K743">
        <f>Orders[[#This Row],[Revenue]]-Orders[[#This Row],[Expenses]]</f>
        <v>1136.8199999999997</v>
      </c>
      <c r="L743" t="s">
        <v>2219</v>
      </c>
      <c r="M743" t="str">
        <f>_xlfn.XLOOKUP(Orders[[#This Row],[CustomerID]],Customers[CustomerID],Customers[City])</f>
        <v>California</v>
      </c>
      <c r="N743" t="str">
        <f>_xlfn.XLOOKUP(Orders[[#This Row],[CustomerID]],Customers[CustomerID],Customers[CustomerName])</f>
        <v>Sani Balogun</v>
      </c>
      <c r="O743" t="str">
        <f>_xlfn.XLOOKUP(Orders[[#This Row],[CustomerID]],Customers[CustomerID],Customers[Gender])</f>
        <v>Male</v>
      </c>
      <c r="P743">
        <f>_xlfn.XLOOKUP(Orders[[#This Row],[CustomerID]],Customers[CustomerID],Customers[CustomerAge])</f>
        <v>27</v>
      </c>
      <c r="Q743" t="str">
        <f>IF(Orders[[#This Row],[Age]]&gt;=35,"older","young")</f>
        <v>young</v>
      </c>
      <c r="R743" t="str">
        <f>_xlfn.XLOOKUP(Orders[[#This Row],[ProductID]],Products[ProductID],Products[ProductName])</f>
        <v>GYM GLOVES</v>
      </c>
      <c r="S743" t="str">
        <f>_xlfn.XLOOKUP(Orders[[#This Row],[ProductID]],Products!A:A,Products!C:C)</f>
        <v>Gym</v>
      </c>
    </row>
    <row r="744" spans="1:19" x14ac:dyDescent="0.2">
      <c r="A744" s="4" t="s">
        <v>932</v>
      </c>
      <c r="B744" s="5">
        <v>46007</v>
      </c>
      <c r="C744" s="15">
        <f>WEEKNUM(Orders[[#This Row],[OrderDate]])</f>
        <v>51</v>
      </c>
      <c r="D744" s="4" t="s">
        <v>757</v>
      </c>
      <c r="E744" s="4" t="s">
        <v>111</v>
      </c>
      <c r="F744" s="4">
        <v>9</v>
      </c>
      <c r="G744" s="4">
        <v>4401.8999999999996</v>
      </c>
      <c r="H744">
        <v>3741.6149999999998</v>
      </c>
      <c r="I744">
        <f>Orders[[#This Row],[Quantity]]*Orders[[#This Row],[Selling Price]]</f>
        <v>39617.1</v>
      </c>
      <c r="J744">
        <f>Orders[[#This Row],[Quantity]]*Orders[[#This Row],[Cost Price]]</f>
        <v>33674.534999999996</v>
      </c>
      <c r="K744">
        <f>Orders[[#This Row],[Revenue]]-Orders[[#This Row],[Expenses]]</f>
        <v>5942.5650000000023</v>
      </c>
      <c r="L744" t="s">
        <v>2198</v>
      </c>
      <c r="M744" t="str">
        <f>_xlfn.XLOOKUP(Orders[[#This Row],[CustomerID]],Customers[CustomerID],Customers[City])</f>
        <v>Texas</v>
      </c>
      <c r="N744" t="str">
        <f>_xlfn.XLOOKUP(Orders[[#This Row],[CustomerID]],Customers[CustomerID],Customers[CustomerName])</f>
        <v>Okon Balogun</v>
      </c>
      <c r="O744" t="str">
        <f>_xlfn.XLOOKUP(Orders[[#This Row],[CustomerID]],Customers[CustomerID],Customers[Gender])</f>
        <v>Male</v>
      </c>
      <c r="P744">
        <f>_xlfn.XLOOKUP(Orders[[#This Row],[CustomerID]],Customers[CustomerID],Customers[CustomerAge])</f>
        <v>20</v>
      </c>
      <c r="Q744" t="str">
        <f>IF(Orders[[#This Row],[Age]]&gt;=35,"older","young")</f>
        <v>young</v>
      </c>
      <c r="R744" t="str">
        <f>_xlfn.XLOOKUP(Orders[[#This Row],[ProductID]],Products[ProductID],Products[ProductName])</f>
        <v>REFRIGERATOR</v>
      </c>
      <c r="S744" t="str">
        <f>_xlfn.XLOOKUP(Orders[[#This Row],[ProductID]],Products!A:A,Products!C:C)</f>
        <v>Electronics</v>
      </c>
    </row>
    <row r="745" spans="1:19" x14ac:dyDescent="0.2">
      <c r="A745" s="4" t="s">
        <v>933</v>
      </c>
      <c r="B745" s="5">
        <v>45937</v>
      </c>
      <c r="C745" s="15">
        <f>WEEKNUM(Orders[[#This Row],[OrderDate]])</f>
        <v>41</v>
      </c>
      <c r="D745" s="4" t="s">
        <v>352</v>
      </c>
      <c r="E745" s="4" t="s">
        <v>189</v>
      </c>
      <c r="F745" s="4">
        <v>9</v>
      </c>
      <c r="G745" s="4">
        <v>3164.1000000000004</v>
      </c>
      <c r="H745">
        <v>2689.4850000000006</v>
      </c>
      <c r="I745">
        <f>Orders[[#This Row],[Quantity]]*Orders[[#This Row],[Selling Price]]</f>
        <v>28476.9</v>
      </c>
      <c r="J745">
        <f>Orders[[#This Row],[Quantity]]*Orders[[#This Row],[Cost Price]]</f>
        <v>24205.365000000005</v>
      </c>
      <c r="K745">
        <f>Orders[[#This Row],[Revenue]]-Orders[[#This Row],[Expenses]]</f>
        <v>4271.5349999999962</v>
      </c>
      <c r="L745" t="s">
        <v>2197</v>
      </c>
      <c r="M745" t="str">
        <f>_xlfn.XLOOKUP(Orders[[#This Row],[CustomerID]],Customers[CustomerID],Customers[City])</f>
        <v>Texas</v>
      </c>
      <c r="N745" t="str">
        <f>_xlfn.XLOOKUP(Orders[[#This Row],[CustomerID]],Customers[CustomerID],Customers[CustomerName])</f>
        <v>Zainab Eze</v>
      </c>
      <c r="O745" t="str">
        <f>_xlfn.XLOOKUP(Orders[[#This Row],[CustomerID]],Customers[CustomerID],Customers[Gender])</f>
        <v>Female</v>
      </c>
      <c r="P745">
        <f>_xlfn.XLOOKUP(Orders[[#This Row],[CustomerID]],Customers[CustomerID],Customers[CustomerAge])</f>
        <v>40</v>
      </c>
      <c r="Q745" t="str">
        <f>IF(Orders[[#This Row],[Age]]&gt;=35,"older","young")</f>
        <v>older</v>
      </c>
      <c r="R745" t="str">
        <f>_xlfn.XLOOKUP(Orders[[#This Row],[ProductID]],Products[ProductID],Products[ProductName])</f>
        <v>SCRABBLE</v>
      </c>
      <c r="S745" t="str">
        <f>_xlfn.XLOOKUP(Orders[[#This Row],[ProductID]],Products!A:A,Products!C:C)</f>
        <v>Games</v>
      </c>
    </row>
    <row r="746" spans="1:19" x14ac:dyDescent="0.2">
      <c r="A746" s="4" t="s">
        <v>934</v>
      </c>
      <c r="B746" s="5">
        <v>45972</v>
      </c>
      <c r="C746" s="15">
        <f>WEEKNUM(Orders[[#This Row],[OrderDate]])</f>
        <v>46</v>
      </c>
      <c r="D746" s="4" t="s">
        <v>514</v>
      </c>
      <c r="E746" s="4" t="s">
        <v>34</v>
      </c>
      <c r="F746" s="4">
        <v>6</v>
      </c>
      <c r="G746" s="4">
        <v>11177.1</v>
      </c>
      <c r="H746">
        <v>9500.5349999999999</v>
      </c>
      <c r="I746">
        <f>Orders[[#This Row],[Quantity]]*Orders[[#This Row],[Selling Price]]</f>
        <v>67062.600000000006</v>
      </c>
      <c r="J746">
        <f>Orders[[#This Row],[Quantity]]*Orders[[#This Row],[Cost Price]]</f>
        <v>57003.21</v>
      </c>
      <c r="K746">
        <f>Orders[[#This Row],[Revenue]]-Orders[[#This Row],[Expenses]]</f>
        <v>10059.390000000007</v>
      </c>
      <c r="L746" t="s">
        <v>2215</v>
      </c>
      <c r="M746" t="str">
        <f>_xlfn.XLOOKUP(Orders[[#This Row],[CustomerID]],Customers[CustomerID],Customers[City])</f>
        <v>Florida</v>
      </c>
      <c r="N746" t="str">
        <f>_xlfn.XLOOKUP(Orders[[#This Row],[CustomerID]],Customers[CustomerID],Customers[CustomerName])</f>
        <v>Ibrahim Okonkwo</v>
      </c>
      <c r="O746" t="str">
        <f>_xlfn.XLOOKUP(Orders[[#This Row],[CustomerID]],Customers[CustomerID],Customers[Gender])</f>
        <v>Male</v>
      </c>
      <c r="P746">
        <f>_xlfn.XLOOKUP(Orders[[#This Row],[CustomerID]],Customers[CustomerID],Customers[CustomerAge])</f>
        <v>28</v>
      </c>
      <c r="Q746" t="str">
        <f>IF(Orders[[#This Row],[Age]]&gt;=35,"older","young")</f>
        <v>young</v>
      </c>
      <c r="R746" t="str">
        <f>_xlfn.XLOOKUP(Orders[[#This Row],[ProductID]],Products[ProductID],Products[ProductName])</f>
        <v>GOLD BRACELETS</v>
      </c>
      <c r="S746" t="str">
        <f>_xlfn.XLOOKUP(Orders[[#This Row],[ProductID]],Products!A:A,Products!C:C)</f>
        <v>Accessories</v>
      </c>
    </row>
    <row r="747" spans="1:19" x14ac:dyDescent="0.2">
      <c r="A747" s="4" t="s">
        <v>935</v>
      </c>
      <c r="B747" s="5">
        <v>45964</v>
      </c>
      <c r="C747" s="15">
        <f>WEEKNUM(Orders[[#This Row],[OrderDate]])</f>
        <v>45</v>
      </c>
      <c r="D747" s="4" t="s">
        <v>105</v>
      </c>
      <c r="E747" s="4" t="s">
        <v>53</v>
      </c>
      <c r="F747" s="4">
        <v>6</v>
      </c>
      <c r="G747" s="4">
        <v>13905.699999999999</v>
      </c>
      <c r="H747">
        <v>11819.844999999999</v>
      </c>
      <c r="I747">
        <f>Orders[[#This Row],[Quantity]]*Orders[[#This Row],[Selling Price]]</f>
        <v>83434.2</v>
      </c>
      <c r="J747">
        <f>Orders[[#This Row],[Quantity]]*Orders[[#This Row],[Cost Price]]</f>
        <v>70919.069999999992</v>
      </c>
      <c r="K747">
        <f>Orders[[#This Row],[Revenue]]-Orders[[#This Row],[Expenses]]</f>
        <v>12515.130000000005</v>
      </c>
      <c r="L747" t="s">
        <v>2202</v>
      </c>
      <c r="M747" t="str">
        <f>_xlfn.XLOOKUP(Orders[[#This Row],[CustomerID]],Customers[CustomerID],Customers[City])</f>
        <v>Georgia</v>
      </c>
      <c r="N747" t="str">
        <f>_xlfn.XLOOKUP(Orders[[#This Row],[CustomerID]],Customers[CustomerID],Customers[CustomerName])</f>
        <v>Folasade Adeyemi</v>
      </c>
      <c r="O747" t="str">
        <f>_xlfn.XLOOKUP(Orders[[#This Row],[CustomerID]],Customers[CustomerID],Customers[Gender])</f>
        <v>Female</v>
      </c>
      <c r="P747">
        <f>_xlfn.XLOOKUP(Orders[[#This Row],[CustomerID]],Customers[CustomerID],Customers[CustomerAge])</f>
        <v>42</v>
      </c>
      <c r="Q747" t="str">
        <f>IF(Orders[[#This Row],[Age]]&gt;=35,"older","young")</f>
        <v>older</v>
      </c>
      <c r="R747" t="str">
        <f>_xlfn.XLOOKUP(Orders[[#This Row],[ProductID]],Products[ProductID],Products[ProductName])</f>
        <v>SILVER BANGLES</v>
      </c>
      <c r="S747" t="str">
        <f>_xlfn.XLOOKUP(Orders[[#This Row],[ProductID]],Products!A:A,Products!C:C)</f>
        <v>Accessories</v>
      </c>
    </row>
    <row r="748" spans="1:19" x14ac:dyDescent="0.2">
      <c r="A748" s="4" t="s">
        <v>936</v>
      </c>
      <c r="B748" s="5">
        <v>46016</v>
      </c>
      <c r="C748" s="15">
        <f>WEEKNUM(Orders[[#This Row],[OrderDate]])</f>
        <v>52</v>
      </c>
      <c r="D748" s="4" t="s">
        <v>282</v>
      </c>
      <c r="E748" s="4" t="s">
        <v>37</v>
      </c>
      <c r="F748" s="4">
        <v>2</v>
      </c>
      <c r="G748" s="4">
        <v>9522</v>
      </c>
      <c r="H748">
        <v>8093.7</v>
      </c>
      <c r="I748">
        <f>Orders[[#This Row],[Quantity]]*Orders[[#This Row],[Selling Price]]</f>
        <v>19044</v>
      </c>
      <c r="J748">
        <f>Orders[[#This Row],[Quantity]]*Orders[[#This Row],[Cost Price]]</f>
        <v>16187.4</v>
      </c>
      <c r="K748">
        <f>Orders[[#This Row],[Revenue]]-Orders[[#This Row],[Expenses]]</f>
        <v>2856.6000000000004</v>
      </c>
      <c r="L748" t="s">
        <v>2218</v>
      </c>
      <c r="M748" t="str">
        <f>_xlfn.XLOOKUP(Orders[[#This Row],[CustomerID]],Customers[CustomerID],Customers[City])</f>
        <v>Texas</v>
      </c>
      <c r="N748" t="str">
        <f>_xlfn.XLOOKUP(Orders[[#This Row],[CustomerID]],Customers[CustomerID],Customers[CustomerName])</f>
        <v>Bisi Ojo</v>
      </c>
      <c r="O748" t="str">
        <f>_xlfn.XLOOKUP(Orders[[#This Row],[CustomerID]],Customers[CustomerID],Customers[Gender])</f>
        <v>Female</v>
      </c>
      <c r="P748">
        <f>_xlfn.XLOOKUP(Orders[[#This Row],[CustomerID]],Customers[CustomerID],Customers[CustomerAge])</f>
        <v>26</v>
      </c>
      <c r="Q748" t="str">
        <f>IF(Orders[[#This Row],[Age]]&gt;=35,"older","young")</f>
        <v>young</v>
      </c>
      <c r="R748" t="str">
        <f>_xlfn.XLOOKUP(Orders[[#This Row],[ProductID]],Products[ProductID],Products[ProductName])</f>
        <v>IRON</v>
      </c>
      <c r="S748" t="str">
        <f>_xlfn.XLOOKUP(Orders[[#This Row],[ProductID]],Products!A:A,Products!C:C)</f>
        <v>Electronics</v>
      </c>
    </row>
    <row r="749" spans="1:19" x14ac:dyDescent="0.2">
      <c r="A749" s="4" t="s">
        <v>937</v>
      </c>
      <c r="B749" s="5">
        <v>45969</v>
      </c>
      <c r="C749" s="15">
        <f>WEEKNUM(Orders[[#This Row],[OrderDate]])</f>
        <v>45</v>
      </c>
      <c r="D749" s="4" t="s">
        <v>280</v>
      </c>
      <c r="E749" s="4" t="s">
        <v>9</v>
      </c>
      <c r="F749" s="4">
        <v>4</v>
      </c>
      <c r="G749" s="4">
        <v>2479.4</v>
      </c>
      <c r="H749">
        <v>2107.4900000000002</v>
      </c>
      <c r="I749">
        <f>Orders[[#This Row],[Quantity]]*Orders[[#This Row],[Selling Price]]</f>
        <v>9917.6</v>
      </c>
      <c r="J749">
        <f>Orders[[#This Row],[Quantity]]*Orders[[#This Row],[Cost Price]]</f>
        <v>8429.9600000000009</v>
      </c>
      <c r="K749">
        <f>Orders[[#This Row],[Revenue]]-Orders[[#This Row],[Expenses]]</f>
        <v>1487.6399999999994</v>
      </c>
      <c r="L749" t="s">
        <v>2200</v>
      </c>
      <c r="M749" t="str">
        <f>_xlfn.XLOOKUP(Orders[[#This Row],[CustomerID]],Customers[CustomerID],Customers[City])</f>
        <v>Texas</v>
      </c>
      <c r="N749" t="str">
        <f>_xlfn.XLOOKUP(Orders[[#This Row],[CustomerID]],Customers[CustomerID],Customers[CustomerName])</f>
        <v>Folasade Okonkwo</v>
      </c>
      <c r="O749" t="str">
        <f>_xlfn.XLOOKUP(Orders[[#This Row],[CustomerID]],Customers[CustomerID],Customers[Gender])</f>
        <v>Female</v>
      </c>
      <c r="P749">
        <f>_xlfn.XLOOKUP(Orders[[#This Row],[CustomerID]],Customers[CustomerID],Customers[CustomerAge])</f>
        <v>21</v>
      </c>
      <c r="Q749" t="str">
        <f>IF(Orders[[#This Row],[Age]]&gt;=35,"older","young")</f>
        <v>young</v>
      </c>
      <c r="R749" t="str">
        <f>_xlfn.XLOOKUP(Orders[[#This Row],[ProductID]],Products[ProductID],Products[ProductName])</f>
        <v>BEADED EARRINGS AND NECKLACES</v>
      </c>
      <c r="S749" t="str">
        <f>_xlfn.XLOOKUP(Orders[[#This Row],[ProductID]],Products!A:A,Products!C:C)</f>
        <v>Accessories</v>
      </c>
    </row>
    <row r="750" spans="1:19" x14ac:dyDescent="0.2">
      <c r="A750" s="4" t="s">
        <v>938</v>
      </c>
      <c r="B750" s="5">
        <v>46000</v>
      </c>
      <c r="C750" s="15">
        <f>WEEKNUM(Orders[[#This Row],[OrderDate]])</f>
        <v>50</v>
      </c>
      <c r="D750" s="4" t="s">
        <v>280</v>
      </c>
      <c r="E750" s="4" t="s">
        <v>189</v>
      </c>
      <c r="F750" s="4">
        <v>3</v>
      </c>
      <c r="G750" s="4">
        <v>1840.1</v>
      </c>
      <c r="H750">
        <v>1564.085</v>
      </c>
      <c r="I750">
        <f>Orders[[#This Row],[Quantity]]*Orders[[#This Row],[Selling Price]]</f>
        <v>5520.2999999999993</v>
      </c>
      <c r="J750">
        <f>Orders[[#This Row],[Quantity]]*Orders[[#This Row],[Cost Price]]</f>
        <v>4692.2550000000001</v>
      </c>
      <c r="K750">
        <f>Orders[[#This Row],[Revenue]]-Orders[[#This Row],[Expenses]]</f>
        <v>828.04499999999916</v>
      </c>
      <c r="L750" t="s">
        <v>2214</v>
      </c>
      <c r="M750" t="str">
        <f>_xlfn.XLOOKUP(Orders[[#This Row],[CustomerID]],Customers[CustomerID],Customers[City])</f>
        <v>Texas</v>
      </c>
      <c r="N750" t="str">
        <f>_xlfn.XLOOKUP(Orders[[#This Row],[CustomerID]],Customers[CustomerID],Customers[CustomerName])</f>
        <v>Folasade Okonkwo</v>
      </c>
      <c r="O750" t="str">
        <f>_xlfn.XLOOKUP(Orders[[#This Row],[CustomerID]],Customers[CustomerID],Customers[Gender])</f>
        <v>Female</v>
      </c>
      <c r="P750">
        <f>_xlfn.XLOOKUP(Orders[[#This Row],[CustomerID]],Customers[CustomerID],Customers[CustomerAge])</f>
        <v>21</v>
      </c>
      <c r="Q750" t="str">
        <f>IF(Orders[[#This Row],[Age]]&gt;=35,"older","young")</f>
        <v>young</v>
      </c>
      <c r="R750" t="str">
        <f>_xlfn.XLOOKUP(Orders[[#This Row],[ProductID]],Products[ProductID],Products[ProductName])</f>
        <v>SCRABBLE</v>
      </c>
      <c r="S750" t="str">
        <f>_xlfn.XLOOKUP(Orders[[#This Row],[ProductID]],Products!A:A,Products!C:C)</f>
        <v>Games</v>
      </c>
    </row>
    <row r="751" spans="1:19" x14ac:dyDescent="0.2">
      <c r="A751" s="4" t="s">
        <v>939</v>
      </c>
      <c r="B751" s="5">
        <v>45949</v>
      </c>
      <c r="C751" s="15">
        <f>WEEKNUM(Orders[[#This Row],[OrderDate]])</f>
        <v>43</v>
      </c>
      <c r="D751" s="4" t="s">
        <v>940</v>
      </c>
      <c r="E751" s="4" t="s">
        <v>111</v>
      </c>
      <c r="F751" s="4">
        <v>2</v>
      </c>
      <c r="G751" s="4">
        <v>19868.599999999999</v>
      </c>
      <c r="H751">
        <v>16888.309999999998</v>
      </c>
      <c r="I751">
        <f>Orders[[#This Row],[Quantity]]*Orders[[#This Row],[Selling Price]]</f>
        <v>39737.199999999997</v>
      </c>
      <c r="J751">
        <f>Orders[[#This Row],[Quantity]]*Orders[[#This Row],[Cost Price]]</f>
        <v>33776.619999999995</v>
      </c>
      <c r="K751">
        <f>Orders[[#This Row],[Revenue]]-Orders[[#This Row],[Expenses]]</f>
        <v>5960.5800000000017</v>
      </c>
      <c r="L751" t="s">
        <v>2218</v>
      </c>
      <c r="M751" t="str">
        <f>_xlfn.XLOOKUP(Orders[[#This Row],[CustomerID]],Customers[CustomerID],Customers[City])</f>
        <v>Texas</v>
      </c>
      <c r="N751" t="str">
        <f>_xlfn.XLOOKUP(Orders[[#This Row],[CustomerID]],Customers[CustomerID],Customers[CustomerName])</f>
        <v>Okon Ojo</v>
      </c>
      <c r="O751" t="str">
        <f>_xlfn.XLOOKUP(Orders[[#This Row],[CustomerID]],Customers[CustomerID],Customers[Gender])</f>
        <v>Male</v>
      </c>
      <c r="P751">
        <f>_xlfn.XLOOKUP(Orders[[#This Row],[CustomerID]],Customers[CustomerID],Customers[CustomerAge])</f>
        <v>25</v>
      </c>
      <c r="Q751" t="str">
        <f>IF(Orders[[#This Row],[Age]]&gt;=35,"older","young")</f>
        <v>young</v>
      </c>
      <c r="R751" t="str">
        <f>_xlfn.XLOOKUP(Orders[[#This Row],[ProductID]],Products[ProductID],Products[ProductName])</f>
        <v>REFRIGERATOR</v>
      </c>
      <c r="S751" t="str">
        <f>_xlfn.XLOOKUP(Orders[[#This Row],[ProductID]],Products!A:A,Products!C:C)</f>
        <v>Electronics</v>
      </c>
    </row>
    <row r="752" spans="1:19" x14ac:dyDescent="0.2">
      <c r="A752" s="4" t="s">
        <v>941</v>
      </c>
      <c r="B752" s="5">
        <v>45999</v>
      </c>
      <c r="C752" s="15">
        <f>WEEKNUM(Orders[[#This Row],[OrderDate]])</f>
        <v>50</v>
      </c>
      <c r="D752" s="4" t="s">
        <v>400</v>
      </c>
      <c r="E752" s="4" t="s">
        <v>25</v>
      </c>
      <c r="F752" s="4">
        <v>2</v>
      </c>
      <c r="G752" s="4">
        <v>3584.7000000000003</v>
      </c>
      <c r="H752">
        <v>3046.9950000000003</v>
      </c>
      <c r="I752">
        <f>Orders[[#This Row],[Quantity]]*Orders[[#This Row],[Selling Price]]</f>
        <v>7169.4000000000005</v>
      </c>
      <c r="J752">
        <f>Orders[[#This Row],[Quantity]]*Orders[[#This Row],[Cost Price]]</f>
        <v>6093.9900000000007</v>
      </c>
      <c r="K752">
        <f>Orders[[#This Row],[Revenue]]-Orders[[#This Row],[Expenses]]</f>
        <v>1075.4099999999999</v>
      </c>
      <c r="L752" t="s">
        <v>2219</v>
      </c>
      <c r="M752" t="str">
        <f>_xlfn.XLOOKUP(Orders[[#This Row],[CustomerID]],Customers[CustomerID],Customers[City])</f>
        <v>Florida</v>
      </c>
      <c r="N752" t="str">
        <f>_xlfn.XLOOKUP(Orders[[#This Row],[CustomerID]],Customers[CustomerID],Customers[CustomerName])</f>
        <v>Obi Igwe</v>
      </c>
      <c r="O752" t="str">
        <f>_xlfn.XLOOKUP(Orders[[#This Row],[CustomerID]],Customers[CustomerID],Customers[Gender])</f>
        <v>Male</v>
      </c>
      <c r="P752">
        <f>_xlfn.XLOOKUP(Orders[[#This Row],[CustomerID]],Customers[CustomerID],Customers[CustomerAge])</f>
        <v>35</v>
      </c>
      <c r="Q752" t="str">
        <f>IF(Orders[[#This Row],[Age]]&gt;=35,"older","young")</f>
        <v>older</v>
      </c>
      <c r="R752" t="str">
        <f>_xlfn.XLOOKUP(Orders[[#This Row],[ProductID]],Products[ProductID],Products[ProductName])</f>
        <v>GOLD RINGS</v>
      </c>
      <c r="S752" t="str">
        <f>_xlfn.XLOOKUP(Orders[[#This Row],[ProductID]],Products!A:A,Products!C:C)</f>
        <v>Accessories</v>
      </c>
    </row>
    <row r="753" spans="1:19" x14ac:dyDescent="0.2">
      <c r="A753" s="4" t="s">
        <v>942</v>
      </c>
      <c r="B753" s="5">
        <v>45974</v>
      </c>
      <c r="C753" s="15">
        <f>WEEKNUM(Orders[[#This Row],[OrderDate]])</f>
        <v>46</v>
      </c>
      <c r="D753" s="4" t="s">
        <v>352</v>
      </c>
      <c r="E753" s="4" t="s">
        <v>63</v>
      </c>
      <c r="F753" s="4">
        <v>1</v>
      </c>
      <c r="G753" s="4">
        <v>1870.8000000000002</v>
      </c>
      <c r="H753">
        <v>1590.1800000000003</v>
      </c>
      <c r="I753">
        <f>Orders[[#This Row],[Quantity]]*Orders[[#This Row],[Selling Price]]</f>
        <v>1870.8000000000002</v>
      </c>
      <c r="J753">
        <f>Orders[[#This Row],[Quantity]]*Orders[[#This Row],[Cost Price]]</f>
        <v>1590.1800000000003</v>
      </c>
      <c r="K753">
        <f>Orders[[#This Row],[Revenue]]-Orders[[#This Row],[Expenses]]</f>
        <v>280.61999999999989</v>
      </c>
      <c r="L753" t="s">
        <v>2194</v>
      </c>
      <c r="M753" t="str">
        <f>_xlfn.XLOOKUP(Orders[[#This Row],[CustomerID]],Customers[CustomerID],Customers[City])</f>
        <v>Texas</v>
      </c>
      <c r="N753" t="str">
        <f>_xlfn.XLOOKUP(Orders[[#This Row],[CustomerID]],Customers[CustomerID],Customers[CustomerName])</f>
        <v>Zainab Eze</v>
      </c>
      <c r="O753" t="str">
        <f>_xlfn.XLOOKUP(Orders[[#This Row],[CustomerID]],Customers[CustomerID],Customers[Gender])</f>
        <v>Female</v>
      </c>
      <c r="P753">
        <f>_xlfn.XLOOKUP(Orders[[#This Row],[CustomerID]],Customers[CustomerID],Customers[CustomerAge])</f>
        <v>40</v>
      </c>
      <c r="Q753" t="str">
        <f>IF(Orders[[#This Row],[Age]]&gt;=35,"older","young")</f>
        <v>older</v>
      </c>
      <c r="R753" t="str">
        <f>_xlfn.XLOOKUP(Orders[[#This Row],[ProductID]],Products[ProductID],Products[ProductName])</f>
        <v>TENNIS BAT</v>
      </c>
      <c r="S753" t="str">
        <f>_xlfn.XLOOKUP(Orders[[#This Row],[ProductID]],Products!A:A,Products!C:C)</f>
        <v>Sports</v>
      </c>
    </row>
    <row r="754" spans="1:19" x14ac:dyDescent="0.2">
      <c r="A754" s="4" t="s">
        <v>943</v>
      </c>
      <c r="B754" s="5">
        <v>45949</v>
      </c>
      <c r="C754" s="15">
        <f>WEEKNUM(Orders[[#This Row],[OrderDate]])</f>
        <v>43</v>
      </c>
      <c r="D754" s="4" t="s">
        <v>89</v>
      </c>
      <c r="E754" s="4" t="s">
        <v>120</v>
      </c>
      <c r="F754" s="4">
        <v>10</v>
      </c>
      <c r="G754" s="4">
        <v>12912.4</v>
      </c>
      <c r="H754">
        <v>10975.539999999999</v>
      </c>
      <c r="I754">
        <f>Orders[[#This Row],[Quantity]]*Orders[[#This Row],[Selling Price]]</f>
        <v>129124</v>
      </c>
      <c r="J754">
        <f>Orders[[#This Row],[Quantity]]*Orders[[#This Row],[Cost Price]]</f>
        <v>109755.4</v>
      </c>
      <c r="K754">
        <f>Orders[[#This Row],[Revenue]]-Orders[[#This Row],[Expenses]]</f>
        <v>19368.600000000006</v>
      </c>
      <c r="L754" t="s">
        <v>2192</v>
      </c>
      <c r="M754" t="str">
        <f>_xlfn.XLOOKUP(Orders[[#This Row],[CustomerID]],Customers[CustomerID],Customers[City])</f>
        <v>Washington</v>
      </c>
      <c r="N754" t="str">
        <f>_xlfn.XLOOKUP(Orders[[#This Row],[CustomerID]],Customers[CustomerID],Customers[CustomerName])</f>
        <v>Blessing Balogun</v>
      </c>
      <c r="O754" t="str">
        <f>_xlfn.XLOOKUP(Orders[[#This Row],[CustomerID]],Customers[CustomerID],Customers[Gender])</f>
        <v>Female</v>
      </c>
      <c r="P754">
        <f>_xlfn.XLOOKUP(Orders[[#This Row],[CustomerID]],Customers[CustomerID],Customers[CustomerAge])</f>
        <v>19</v>
      </c>
      <c r="Q754" t="str">
        <f>IF(Orders[[#This Row],[Age]]&gt;=35,"older","young")</f>
        <v>young</v>
      </c>
      <c r="R754" t="str">
        <f>_xlfn.XLOOKUP(Orders[[#This Row],[ProductID]],Products[ProductID],Products[ProductName])</f>
        <v>CHESS</v>
      </c>
      <c r="S754" t="str">
        <f>_xlfn.XLOOKUP(Orders[[#This Row],[ProductID]],Products!A:A,Products!C:C)</f>
        <v>Games</v>
      </c>
    </row>
    <row r="755" spans="1:19" x14ac:dyDescent="0.2">
      <c r="A755" s="4" t="s">
        <v>944</v>
      </c>
      <c r="B755" s="5">
        <v>45986</v>
      </c>
      <c r="C755" s="15">
        <f>WEEKNUM(Orders[[#This Row],[OrderDate]])</f>
        <v>48</v>
      </c>
      <c r="D755" s="4" t="s">
        <v>59</v>
      </c>
      <c r="E755" s="4" t="s">
        <v>130</v>
      </c>
      <c r="F755" s="4">
        <v>1</v>
      </c>
      <c r="G755" s="4">
        <v>18414.400000000001</v>
      </c>
      <c r="H755">
        <v>15652.240000000002</v>
      </c>
      <c r="I755">
        <f>Orders[[#This Row],[Quantity]]*Orders[[#This Row],[Selling Price]]</f>
        <v>18414.400000000001</v>
      </c>
      <c r="J755">
        <f>Orders[[#This Row],[Quantity]]*Orders[[#This Row],[Cost Price]]</f>
        <v>15652.240000000002</v>
      </c>
      <c r="K755">
        <f>Orders[[#This Row],[Revenue]]-Orders[[#This Row],[Expenses]]</f>
        <v>2762.16</v>
      </c>
      <c r="L755" t="s">
        <v>2212</v>
      </c>
      <c r="M755" t="str">
        <f>_xlfn.XLOOKUP(Orders[[#This Row],[CustomerID]],Customers[CustomerID],Customers[City])</f>
        <v>Texas</v>
      </c>
      <c r="N755" t="str">
        <f>_xlfn.XLOOKUP(Orders[[#This Row],[CustomerID]],Customers[CustomerID],Customers[CustomerName])</f>
        <v>Adanma Danladi</v>
      </c>
      <c r="O755" t="str">
        <f>_xlfn.XLOOKUP(Orders[[#This Row],[CustomerID]],Customers[CustomerID],Customers[Gender])</f>
        <v>Female</v>
      </c>
      <c r="P755">
        <f>_xlfn.XLOOKUP(Orders[[#This Row],[CustomerID]],Customers[CustomerID],Customers[CustomerAge])</f>
        <v>24</v>
      </c>
      <c r="Q755" t="str">
        <f>IF(Orders[[#This Row],[Age]]&gt;=35,"older","young")</f>
        <v>young</v>
      </c>
      <c r="R755" t="str">
        <f>_xlfn.XLOOKUP(Orders[[#This Row],[ProductID]],Products[ProductID],Products[ProductName])</f>
        <v>GOLD EARRINGS AND NECKLACES</v>
      </c>
      <c r="S755" t="str">
        <f>_xlfn.XLOOKUP(Orders[[#This Row],[ProductID]],Products!A:A,Products!C:C)</f>
        <v>Accessories</v>
      </c>
    </row>
    <row r="756" spans="1:19" x14ac:dyDescent="0.2">
      <c r="A756" s="4" t="s">
        <v>945</v>
      </c>
      <c r="B756" s="5">
        <v>45986</v>
      </c>
      <c r="C756" s="15">
        <f>WEEKNUM(Orders[[#This Row],[OrderDate]])</f>
        <v>48</v>
      </c>
      <c r="D756" s="4" t="s">
        <v>68</v>
      </c>
      <c r="E756" s="4" t="s">
        <v>189</v>
      </c>
      <c r="F756" s="4">
        <v>2</v>
      </c>
      <c r="G756" s="4">
        <v>8256.2999999999993</v>
      </c>
      <c r="H756">
        <v>7017.8549999999996</v>
      </c>
      <c r="I756">
        <f>Orders[[#This Row],[Quantity]]*Orders[[#This Row],[Selling Price]]</f>
        <v>16512.599999999999</v>
      </c>
      <c r="J756">
        <f>Orders[[#This Row],[Quantity]]*Orders[[#This Row],[Cost Price]]</f>
        <v>14035.71</v>
      </c>
      <c r="K756">
        <f>Orders[[#This Row],[Revenue]]-Orders[[#This Row],[Expenses]]</f>
        <v>2476.8899999999994</v>
      </c>
      <c r="L756" t="s">
        <v>2207</v>
      </c>
      <c r="M756" t="str">
        <f>_xlfn.XLOOKUP(Orders[[#This Row],[CustomerID]],Customers[CustomerID],Customers[City])</f>
        <v>Texas</v>
      </c>
      <c r="N756" t="str">
        <f>_xlfn.XLOOKUP(Orders[[#This Row],[CustomerID]],Customers[CustomerID],Customers[CustomerName])</f>
        <v>Abiola Balogun</v>
      </c>
      <c r="O756" t="str">
        <f>_xlfn.XLOOKUP(Orders[[#This Row],[CustomerID]],Customers[CustomerID],Customers[Gender])</f>
        <v>Male</v>
      </c>
      <c r="P756">
        <f>_xlfn.XLOOKUP(Orders[[#This Row],[CustomerID]],Customers[CustomerID],Customers[CustomerAge])</f>
        <v>29</v>
      </c>
      <c r="Q756" t="str">
        <f>IF(Orders[[#This Row],[Age]]&gt;=35,"older","young")</f>
        <v>young</v>
      </c>
      <c r="R756" t="str">
        <f>_xlfn.XLOOKUP(Orders[[#This Row],[ProductID]],Products[ProductID],Products[ProductName])</f>
        <v>SCRABBLE</v>
      </c>
      <c r="S756" t="str">
        <f>_xlfn.XLOOKUP(Orders[[#This Row],[ProductID]],Products!A:A,Products!C:C)</f>
        <v>Games</v>
      </c>
    </row>
    <row r="757" spans="1:19" x14ac:dyDescent="0.2">
      <c r="A757" s="4" t="s">
        <v>946</v>
      </c>
      <c r="B757" s="5">
        <v>46014</v>
      </c>
      <c r="C757" s="15">
        <f>WEEKNUM(Orders[[#This Row],[OrderDate]])</f>
        <v>52</v>
      </c>
      <c r="D757" s="4" t="s">
        <v>225</v>
      </c>
      <c r="E757" s="4" t="s">
        <v>23</v>
      </c>
      <c r="F757" s="4">
        <v>6</v>
      </c>
      <c r="G757" s="4">
        <v>12774.7</v>
      </c>
      <c r="H757">
        <v>10858.495000000001</v>
      </c>
      <c r="I757">
        <f>Orders[[#This Row],[Quantity]]*Orders[[#This Row],[Selling Price]]</f>
        <v>76648.200000000012</v>
      </c>
      <c r="J757">
        <f>Orders[[#This Row],[Quantity]]*Orders[[#This Row],[Cost Price]]</f>
        <v>65150.97</v>
      </c>
      <c r="K757">
        <f>Orders[[#This Row],[Revenue]]-Orders[[#This Row],[Expenses]]</f>
        <v>11497.23000000001</v>
      </c>
      <c r="L757" t="s">
        <v>2201</v>
      </c>
      <c r="M757" t="str">
        <f>_xlfn.XLOOKUP(Orders[[#This Row],[CustomerID]],Customers[CustomerID],Customers[City])</f>
        <v>Texas</v>
      </c>
      <c r="N757" t="str">
        <f>_xlfn.XLOOKUP(Orders[[#This Row],[CustomerID]],Customers[CustomerID],Customers[CustomerName])</f>
        <v>Uche Danladi</v>
      </c>
      <c r="O757" t="str">
        <f>_xlfn.XLOOKUP(Orders[[#This Row],[CustomerID]],Customers[CustomerID],Customers[Gender])</f>
        <v>Male</v>
      </c>
      <c r="P757">
        <f>_xlfn.XLOOKUP(Orders[[#This Row],[CustomerID]],Customers[CustomerID],Customers[CustomerAge])</f>
        <v>45</v>
      </c>
      <c r="Q757" t="str">
        <f>IF(Orders[[#This Row],[Age]]&gt;=35,"older","young")</f>
        <v>older</v>
      </c>
      <c r="R757" t="str">
        <f>_xlfn.XLOOKUP(Orders[[#This Row],[ProductID]],Products[ProductID],Products[ProductName])</f>
        <v>GYM GLOVES</v>
      </c>
      <c r="S757" t="str">
        <f>_xlfn.XLOOKUP(Orders[[#This Row],[ProductID]],Products!A:A,Products!C:C)</f>
        <v>Gym</v>
      </c>
    </row>
    <row r="758" spans="1:19" x14ac:dyDescent="0.2">
      <c r="A758" s="4" t="s">
        <v>947</v>
      </c>
      <c r="B758" s="5">
        <v>45986</v>
      </c>
      <c r="C758" s="15">
        <f>WEEKNUM(Orders[[#This Row],[OrderDate]])</f>
        <v>48</v>
      </c>
      <c r="D758" s="4" t="s">
        <v>605</v>
      </c>
      <c r="E758" s="4" t="s">
        <v>70</v>
      </c>
      <c r="F758" s="4">
        <v>10</v>
      </c>
      <c r="G758" s="4">
        <v>11907.6</v>
      </c>
      <c r="H758">
        <v>10121.460000000001</v>
      </c>
      <c r="I758">
        <f>Orders[[#This Row],[Quantity]]*Orders[[#This Row],[Selling Price]]</f>
        <v>119076</v>
      </c>
      <c r="J758">
        <f>Orders[[#This Row],[Quantity]]*Orders[[#This Row],[Cost Price]]</f>
        <v>101214.6</v>
      </c>
      <c r="K758">
        <f>Orders[[#This Row],[Revenue]]-Orders[[#This Row],[Expenses]]</f>
        <v>17861.399999999994</v>
      </c>
      <c r="L758" t="s">
        <v>2217</v>
      </c>
      <c r="M758" t="str">
        <f>_xlfn.XLOOKUP(Orders[[#This Row],[CustomerID]],Customers[CustomerID],Customers[City])</f>
        <v>Texas</v>
      </c>
      <c r="N758" t="str">
        <f>_xlfn.XLOOKUP(Orders[[#This Row],[CustomerID]],Customers[CustomerID],Customers[CustomerName])</f>
        <v>Blessing Abubakar</v>
      </c>
      <c r="O758" t="str">
        <f>_xlfn.XLOOKUP(Orders[[#This Row],[CustomerID]],Customers[CustomerID],Customers[Gender])</f>
        <v>Female</v>
      </c>
      <c r="P758">
        <f>_xlfn.XLOOKUP(Orders[[#This Row],[CustomerID]],Customers[CustomerID],Customers[CustomerAge])</f>
        <v>44</v>
      </c>
      <c r="Q758" t="str">
        <f>IF(Orders[[#This Row],[Age]]&gt;=35,"older","young")</f>
        <v>older</v>
      </c>
      <c r="R758" t="str">
        <f>_xlfn.XLOOKUP(Orders[[#This Row],[ProductID]],Products[ProductID],Products[ProductName])</f>
        <v>YOGA MAT</v>
      </c>
      <c r="S758" t="str">
        <f>_xlfn.XLOOKUP(Orders[[#This Row],[ProductID]],Products!A:A,Products!C:C)</f>
        <v>Gym</v>
      </c>
    </row>
    <row r="759" spans="1:19" x14ac:dyDescent="0.2">
      <c r="A759" s="4" t="s">
        <v>948</v>
      </c>
      <c r="B759" s="5">
        <v>45942</v>
      </c>
      <c r="C759" s="15">
        <f>WEEKNUM(Orders[[#This Row],[OrderDate]])</f>
        <v>42</v>
      </c>
      <c r="D759" s="4" t="s">
        <v>103</v>
      </c>
      <c r="E759" s="4" t="s">
        <v>20</v>
      </c>
      <c r="F759" s="4">
        <v>4</v>
      </c>
      <c r="G759" s="4">
        <v>5105.5</v>
      </c>
      <c r="H759">
        <v>4339.6750000000002</v>
      </c>
      <c r="I759">
        <f>Orders[[#This Row],[Quantity]]*Orders[[#This Row],[Selling Price]]</f>
        <v>20422</v>
      </c>
      <c r="J759">
        <f>Orders[[#This Row],[Quantity]]*Orders[[#This Row],[Cost Price]]</f>
        <v>17358.7</v>
      </c>
      <c r="K759">
        <f>Orders[[#This Row],[Revenue]]-Orders[[#This Row],[Expenses]]</f>
        <v>3063.2999999999993</v>
      </c>
      <c r="L759" t="s">
        <v>2199</v>
      </c>
      <c r="M759" t="str">
        <f>_xlfn.XLOOKUP(Orders[[#This Row],[CustomerID]],Customers[CustomerID],Customers[City])</f>
        <v>Georgia</v>
      </c>
      <c r="N759" t="str">
        <f>_xlfn.XLOOKUP(Orders[[#This Row],[CustomerID]],Customers[CustomerID],Customers[CustomerName])</f>
        <v>Chioma Adeyemi</v>
      </c>
      <c r="O759" t="str">
        <f>_xlfn.XLOOKUP(Orders[[#This Row],[CustomerID]],Customers[CustomerID],Customers[Gender])</f>
        <v>Female</v>
      </c>
      <c r="P759">
        <f>_xlfn.XLOOKUP(Orders[[#This Row],[CustomerID]],Customers[CustomerID],Customers[CustomerAge])</f>
        <v>31</v>
      </c>
      <c r="Q759" t="str">
        <f>IF(Orders[[#This Row],[Age]]&gt;=35,"older","young")</f>
        <v>young</v>
      </c>
      <c r="R759" t="str">
        <f>_xlfn.XLOOKUP(Orders[[#This Row],[ProductID]],Products[ProductID],Products[ProductName])</f>
        <v>GYM BAG</v>
      </c>
      <c r="S759" t="str">
        <f>_xlfn.XLOOKUP(Orders[[#This Row],[ProductID]],Products!A:A,Products!C:C)</f>
        <v>Gym</v>
      </c>
    </row>
    <row r="760" spans="1:19" x14ac:dyDescent="0.2">
      <c r="A760" s="4" t="s">
        <v>949</v>
      </c>
      <c r="B760" s="5">
        <v>46019</v>
      </c>
      <c r="C760" s="15">
        <f>WEEKNUM(Orders[[#This Row],[OrderDate]])</f>
        <v>53</v>
      </c>
      <c r="D760" s="4" t="s">
        <v>507</v>
      </c>
      <c r="E760" s="4" t="s">
        <v>9</v>
      </c>
      <c r="F760" s="4">
        <v>9</v>
      </c>
      <c r="G760" s="4">
        <v>18578</v>
      </c>
      <c r="H760">
        <v>15791.3</v>
      </c>
      <c r="I760">
        <f>Orders[[#This Row],[Quantity]]*Orders[[#This Row],[Selling Price]]</f>
        <v>167202</v>
      </c>
      <c r="J760">
        <f>Orders[[#This Row],[Quantity]]*Orders[[#This Row],[Cost Price]]</f>
        <v>142121.69999999998</v>
      </c>
      <c r="K760">
        <f>Orders[[#This Row],[Revenue]]-Orders[[#This Row],[Expenses]]</f>
        <v>25080.300000000017</v>
      </c>
      <c r="L760" t="s">
        <v>2212</v>
      </c>
      <c r="M760" t="str">
        <f>_xlfn.XLOOKUP(Orders[[#This Row],[CustomerID]],Customers[CustomerID],Customers[City])</f>
        <v>Washington</v>
      </c>
      <c r="N760" t="str">
        <f>_xlfn.XLOOKUP(Orders[[#This Row],[CustomerID]],Customers[CustomerID],Customers[CustomerName])</f>
        <v>Temi Okonkwo</v>
      </c>
      <c r="O760" t="str">
        <f>_xlfn.XLOOKUP(Orders[[#This Row],[CustomerID]],Customers[CustomerID],Customers[Gender])</f>
        <v>Female</v>
      </c>
      <c r="P760">
        <f>_xlfn.XLOOKUP(Orders[[#This Row],[CustomerID]],Customers[CustomerID],Customers[CustomerAge])</f>
        <v>35</v>
      </c>
      <c r="Q760" t="str">
        <f>IF(Orders[[#This Row],[Age]]&gt;=35,"older","young")</f>
        <v>older</v>
      </c>
      <c r="R760" t="str">
        <f>_xlfn.XLOOKUP(Orders[[#This Row],[ProductID]],Products[ProductID],Products[ProductName])</f>
        <v>BEADED EARRINGS AND NECKLACES</v>
      </c>
      <c r="S760" t="str">
        <f>_xlfn.XLOOKUP(Orders[[#This Row],[ProductID]],Products!A:A,Products!C:C)</f>
        <v>Accessories</v>
      </c>
    </row>
    <row r="761" spans="1:19" x14ac:dyDescent="0.2">
      <c r="A761" s="4" t="s">
        <v>950</v>
      </c>
      <c r="B761" s="5">
        <v>45940</v>
      </c>
      <c r="C761" s="15">
        <f>WEEKNUM(Orders[[#This Row],[OrderDate]])</f>
        <v>41</v>
      </c>
      <c r="D761" s="4" t="s">
        <v>159</v>
      </c>
      <c r="E761" s="4" t="s">
        <v>76</v>
      </c>
      <c r="F761" s="4">
        <v>3</v>
      </c>
      <c r="G761" s="4">
        <v>6897.2000000000007</v>
      </c>
      <c r="H761">
        <v>5862.6200000000008</v>
      </c>
      <c r="I761">
        <f>Orders[[#This Row],[Quantity]]*Orders[[#This Row],[Selling Price]]</f>
        <v>20691.600000000002</v>
      </c>
      <c r="J761">
        <f>Orders[[#This Row],[Quantity]]*Orders[[#This Row],[Cost Price]]</f>
        <v>17587.86</v>
      </c>
      <c r="K761">
        <f>Orders[[#This Row],[Revenue]]-Orders[[#This Row],[Expenses]]</f>
        <v>3103.7400000000016</v>
      </c>
      <c r="L761" t="s">
        <v>2206</v>
      </c>
      <c r="M761" t="str">
        <f>_xlfn.XLOOKUP(Orders[[#This Row],[CustomerID]],Customers[CustomerID],Customers[City])</f>
        <v>Florida</v>
      </c>
      <c r="N761" t="str">
        <f>_xlfn.XLOOKUP(Orders[[#This Row],[CustomerID]],Customers[CustomerID],Customers[CustomerName])</f>
        <v>Ibrahim Okonkwo</v>
      </c>
      <c r="O761" t="str">
        <f>_xlfn.XLOOKUP(Orders[[#This Row],[CustomerID]],Customers[CustomerID],Customers[Gender])</f>
        <v>Male</v>
      </c>
      <c r="P761">
        <f>_xlfn.XLOOKUP(Orders[[#This Row],[CustomerID]],Customers[CustomerID],Customers[CustomerAge])</f>
        <v>49</v>
      </c>
      <c r="Q761" t="str">
        <f>IF(Orders[[#This Row],[Age]]&gt;=35,"older","young")</f>
        <v>older</v>
      </c>
      <c r="R761" t="str">
        <f>_xlfn.XLOOKUP(Orders[[#This Row],[ProductID]],Products[ProductID],Products[ProductName])</f>
        <v>BLENDER</v>
      </c>
      <c r="S761" t="str">
        <f>_xlfn.XLOOKUP(Orders[[#This Row],[ProductID]],Products!A:A,Products!C:C)</f>
        <v>Electronics</v>
      </c>
    </row>
    <row r="762" spans="1:19" x14ac:dyDescent="0.2">
      <c r="A762" s="4" t="s">
        <v>951</v>
      </c>
      <c r="B762" s="5">
        <v>45963</v>
      </c>
      <c r="C762" s="15">
        <f>WEEKNUM(Orders[[#This Row],[OrderDate]])</f>
        <v>45</v>
      </c>
      <c r="D762" s="4" t="s">
        <v>307</v>
      </c>
      <c r="E762" s="4" t="s">
        <v>37</v>
      </c>
      <c r="F762" s="4">
        <v>5</v>
      </c>
      <c r="G762" s="4">
        <v>9199.7999999999993</v>
      </c>
      <c r="H762">
        <v>7819.83</v>
      </c>
      <c r="I762">
        <f>Orders[[#This Row],[Quantity]]*Orders[[#This Row],[Selling Price]]</f>
        <v>45999</v>
      </c>
      <c r="J762">
        <f>Orders[[#This Row],[Quantity]]*Orders[[#This Row],[Cost Price]]</f>
        <v>39099.15</v>
      </c>
      <c r="K762">
        <f>Orders[[#This Row],[Revenue]]-Orders[[#This Row],[Expenses]]</f>
        <v>6899.8499999999985</v>
      </c>
      <c r="L762" t="s">
        <v>2199</v>
      </c>
      <c r="M762" t="str">
        <f>_xlfn.XLOOKUP(Orders[[#This Row],[CustomerID]],Customers[CustomerID],Customers[City])</f>
        <v>Illinois</v>
      </c>
      <c r="N762" t="str">
        <f>_xlfn.XLOOKUP(Orders[[#This Row],[CustomerID]],Customers[CustomerID],Customers[CustomerName])</f>
        <v>Adanma Bello</v>
      </c>
      <c r="O762" t="str">
        <f>_xlfn.XLOOKUP(Orders[[#This Row],[CustomerID]],Customers[CustomerID],Customers[Gender])</f>
        <v>Female</v>
      </c>
      <c r="P762">
        <f>_xlfn.XLOOKUP(Orders[[#This Row],[CustomerID]],Customers[CustomerID],Customers[CustomerAge])</f>
        <v>51</v>
      </c>
      <c r="Q762" t="str">
        <f>IF(Orders[[#This Row],[Age]]&gt;=35,"older","young")</f>
        <v>older</v>
      </c>
      <c r="R762" t="str">
        <f>_xlfn.XLOOKUP(Orders[[#This Row],[ProductID]],Products[ProductID],Products[ProductName])</f>
        <v>IRON</v>
      </c>
      <c r="S762" t="str">
        <f>_xlfn.XLOOKUP(Orders[[#This Row],[ProductID]],Products!A:A,Products!C:C)</f>
        <v>Electronics</v>
      </c>
    </row>
    <row r="763" spans="1:19" x14ac:dyDescent="0.2">
      <c r="A763" s="4" t="s">
        <v>952</v>
      </c>
      <c r="B763" s="5">
        <v>45943</v>
      </c>
      <c r="C763" s="15">
        <f>WEEKNUM(Orders[[#This Row],[OrderDate]])</f>
        <v>42</v>
      </c>
      <c r="D763" s="4" t="s">
        <v>444</v>
      </c>
      <c r="E763" s="4" t="s">
        <v>28</v>
      </c>
      <c r="F763" s="4">
        <v>8</v>
      </c>
      <c r="G763" s="4">
        <v>1624.5</v>
      </c>
      <c r="H763">
        <v>1380.825</v>
      </c>
      <c r="I763">
        <f>Orders[[#This Row],[Quantity]]*Orders[[#This Row],[Selling Price]]</f>
        <v>12996</v>
      </c>
      <c r="J763">
        <f>Orders[[#This Row],[Quantity]]*Orders[[#This Row],[Cost Price]]</f>
        <v>11046.6</v>
      </c>
      <c r="K763">
        <f>Orders[[#This Row],[Revenue]]-Orders[[#This Row],[Expenses]]</f>
        <v>1949.3999999999996</v>
      </c>
      <c r="L763" t="s">
        <v>2197</v>
      </c>
      <c r="M763" t="str">
        <f>_xlfn.XLOOKUP(Orders[[#This Row],[CustomerID]],Customers[CustomerID],Customers[City])</f>
        <v>Texas</v>
      </c>
      <c r="N763" t="str">
        <f>_xlfn.XLOOKUP(Orders[[#This Row],[CustomerID]],Customers[CustomerID],Customers[CustomerName])</f>
        <v>Blessing Eze</v>
      </c>
      <c r="O763" t="str">
        <f>_xlfn.XLOOKUP(Orders[[#This Row],[CustomerID]],Customers[CustomerID],Customers[Gender])</f>
        <v>Female</v>
      </c>
      <c r="P763">
        <f>_xlfn.XLOOKUP(Orders[[#This Row],[CustomerID]],Customers[CustomerID],Customers[CustomerAge])</f>
        <v>24</v>
      </c>
      <c r="Q763" t="str">
        <f>IF(Orders[[#This Row],[Age]]&gt;=35,"older","young")</f>
        <v>young</v>
      </c>
      <c r="R763" t="str">
        <f>_xlfn.XLOOKUP(Orders[[#This Row],[ProductID]],Products[ProductID],Products[ProductName])</f>
        <v>SNEAKERS</v>
      </c>
      <c r="S763" t="str">
        <f>_xlfn.XLOOKUP(Orders[[#This Row],[ProductID]],Products!A:A,Products!C:C)</f>
        <v>Sports</v>
      </c>
    </row>
    <row r="764" spans="1:19" x14ac:dyDescent="0.2">
      <c r="A764" s="4" t="s">
        <v>953</v>
      </c>
      <c r="B764" s="5">
        <v>45977</v>
      </c>
      <c r="C764" s="15">
        <f>WEEKNUM(Orders[[#This Row],[OrderDate]])</f>
        <v>47</v>
      </c>
      <c r="D764" s="4" t="s">
        <v>607</v>
      </c>
      <c r="E764" s="4" t="s">
        <v>25</v>
      </c>
      <c r="F764" s="4">
        <v>2</v>
      </c>
      <c r="G764" s="4">
        <v>10017.200000000001</v>
      </c>
      <c r="H764">
        <v>8514.6200000000008</v>
      </c>
      <c r="I764">
        <f>Orders[[#This Row],[Quantity]]*Orders[[#This Row],[Selling Price]]</f>
        <v>20034.400000000001</v>
      </c>
      <c r="J764">
        <f>Orders[[#This Row],[Quantity]]*Orders[[#This Row],[Cost Price]]</f>
        <v>17029.240000000002</v>
      </c>
      <c r="K764">
        <f>Orders[[#This Row],[Revenue]]-Orders[[#This Row],[Expenses]]</f>
        <v>3005.16</v>
      </c>
      <c r="L764" t="s">
        <v>2217</v>
      </c>
      <c r="M764" t="str">
        <f>_xlfn.XLOOKUP(Orders[[#This Row],[CustomerID]],Customers[CustomerID],Customers[City])</f>
        <v>Texas</v>
      </c>
      <c r="N764" t="str">
        <f>_xlfn.XLOOKUP(Orders[[#This Row],[CustomerID]],Customers[CustomerID],Customers[CustomerName])</f>
        <v>Folasade Ojo</v>
      </c>
      <c r="O764" t="str">
        <f>_xlfn.XLOOKUP(Orders[[#This Row],[CustomerID]],Customers[CustomerID],Customers[Gender])</f>
        <v>Female</v>
      </c>
      <c r="P764">
        <f>_xlfn.XLOOKUP(Orders[[#This Row],[CustomerID]],Customers[CustomerID],Customers[CustomerAge])</f>
        <v>19</v>
      </c>
      <c r="Q764" t="str">
        <f>IF(Orders[[#This Row],[Age]]&gt;=35,"older","young")</f>
        <v>young</v>
      </c>
      <c r="R764" t="str">
        <f>_xlfn.XLOOKUP(Orders[[#This Row],[ProductID]],Products[ProductID],Products[ProductName])</f>
        <v>GOLD RINGS</v>
      </c>
      <c r="S764" t="str">
        <f>_xlfn.XLOOKUP(Orders[[#This Row],[ProductID]],Products!A:A,Products!C:C)</f>
        <v>Accessories</v>
      </c>
    </row>
    <row r="765" spans="1:19" x14ac:dyDescent="0.2">
      <c r="A765" s="4" t="s">
        <v>954</v>
      </c>
      <c r="B765" s="5">
        <v>46001</v>
      </c>
      <c r="C765" s="15">
        <f>WEEKNUM(Orders[[#This Row],[OrderDate]])</f>
        <v>50</v>
      </c>
      <c r="D765" s="4" t="s">
        <v>258</v>
      </c>
      <c r="E765" s="4" t="s">
        <v>25</v>
      </c>
      <c r="F765" s="4">
        <v>6</v>
      </c>
      <c r="G765" s="4">
        <v>17125.899999999998</v>
      </c>
      <c r="H765">
        <v>14557.014999999998</v>
      </c>
      <c r="I765">
        <f>Orders[[#This Row],[Quantity]]*Orders[[#This Row],[Selling Price]]</f>
        <v>102755.4</v>
      </c>
      <c r="J765">
        <f>Orders[[#This Row],[Quantity]]*Orders[[#This Row],[Cost Price]]</f>
        <v>87342.089999999982</v>
      </c>
      <c r="K765">
        <f>Orders[[#This Row],[Revenue]]-Orders[[#This Row],[Expenses]]</f>
        <v>15413.310000000012</v>
      </c>
      <c r="L765" t="s">
        <v>2206</v>
      </c>
      <c r="M765" t="str">
        <f>_xlfn.XLOOKUP(Orders[[#This Row],[CustomerID]],Customers[CustomerID],Customers[City])</f>
        <v>Washington</v>
      </c>
      <c r="N765" t="str">
        <f>_xlfn.XLOOKUP(Orders[[#This Row],[CustomerID]],Customers[CustomerID],Customers[CustomerName])</f>
        <v>Sani Abubakar</v>
      </c>
      <c r="O765" t="str">
        <f>_xlfn.XLOOKUP(Orders[[#This Row],[CustomerID]],Customers[CustomerID],Customers[Gender])</f>
        <v>Male</v>
      </c>
      <c r="P765">
        <f>_xlfn.XLOOKUP(Orders[[#This Row],[CustomerID]],Customers[CustomerID],Customers[CustomerAge])</f>
        <v>37</v>
      </c>
      <c r="Q765" t="str">
        <f>IF(Orders[[#This Row],[Age]]&gt;=35,"older","young")</f>
        <v>older</v>
      </c>
      <c r="R765" t="str">
        <f>_xlfn.XLOOKUP(Orders[[#This Row],[ProductID]],Products[ProductID],Products[ProductName])</f>
        <v>GOLD RINGS</v>
      </c>
      <c r="S765" t="str">
        <f>_xlfn.XLOOKUP(Orders[[#This Row],[ProductID]],Products!A:A,Products!C:C)</f>
        <v>Accessories</v>
      </c>
    </row>
    <row r="766" spans="1:19" x14ac:dyDescent="0.2">
      <c r="A766" s="4" t="s">
        <v>955</v>
      </c>
      <c r="B766" s="5">
        <v>45964</v>
      </c>
      <c r="C766" s="15">
        <f>WEEKNUM(Orders[[#This Row],[OrderDate]])</f>
        <v>45</v>
      </c>
      <c r="D766" s="4" t="s">
        <v>87</v>
      </c>
      <c r="E766" s="4" t="s">
        <v>70</v>
      </c>
      <c r="F766" s="4">
        <v>2</v>
      </c>
      <c r="G766" s="4">
        <v>12755.699999999999</v>
      </c>
      <c r="H766">
        <v>10842.344999999999</v>
      </c>
      <c r="I766">
        <f>Orders[[#This Row],[Quantity]]*Orders[[#This Row],[Selling Price]]</f>
        <v>25511.399999999998</v>
      </c>
      <c r="J766">
        <f>Orders[[#This Row],[Quantity]]*Orders[[#This Row],[Cost Price]]</f>
        <v>21684.69</v>
      </c>
      <c r="K766">
        <f>Orders[[#This Row],[Revenue]]-Orders[[#This Row],[Expenses]]</f>
        <v>3826.7099999999991</v>
      </c>
      <c r="L766" t="s">
        <v>2211</v>
      </c>
      <c r="M766" t="str">
        <f>_xlfn.XLOOKUP(Orders[[#This Row],[CustomerID]],Customers[CustomerID],Customers[City])</f>
        <v>Illinois</v>
      </c>
      <c r="N766" t="str">
        <f>_xlfn.XLOOKUP(Orders[[#This Row],[CustomerID]],Customers[CustomerID],Customers[CustomerName])</f>
        <v>Efe Igwe</v>
      </c>
      <c r="O766" t="str">
        <f>_xlfn.XLOOKUP(Orders[[#This Row],[CustomerID]],Customers[CustomerID],Customers[Gender])</f>
        <v>Female</v>
      </c>
      <c r="P766">
        <f>_xlfn.XLOOKUP(Orders[[#This Row],[CustomerID]],Customers[CustomerID],Customers[CustomerAge])</f>
        <v>34</v>
      </c>
      <c r="Q766" t="str">
        <f>IF(Orders[[#This Row],[Age]]&gt;=35,"older","young")</f>
        <v>young</v>
      </c>
      <c r="R766" t="str">
        <f>_xlfn.XLOOKUP(Orders[[#This Row],[ProductID]],Products[ProductID],Products[ProductName])</f>
        <v>YOGA MAT</v>
      </c>
      <c r="S766" t="str">
        <f>_xlfn.XLOOKUP(Orders[[#This Row],[ProductID]],Products!A:A,Products!C:C)</f>
        <v>Gym</v>
      </c>
    </row>
    <row r="767" spans="1:19" x14ac:dyDescent="0.2">
      <c r="A767" s="4" t="s">
        <v>956</v>
      </c>
      <c r="B767" s="5">
        <v>45981</v>
      </c>
      <c r="C767" s="15">
        <f>WEEKNUM(Orders[[#This Row],[OrderDate]])</f>
        <v>47</v>
      </c>
      <c r="D767" s="4" t="s">
        <v>138</v>
      </c>
      <c r="E767" s="4" t="s">
        <v>111</v>
      </c>
      <c r="F767" s="4">
        <v>1</v>
      </c>
      <c r="G767" s="4">
        <v>1791.5</v>
      </c>
      <c r="H767">
        <v>1522.7750000000001</v>
      </c>
      <c r="I767">
        <f>Orders[[#This Row],[Quantity]]*Orders[[#This Row],[Selling Price]]</f>
        <v>1791.5</v>
      </c>
      <c r="J767">
        <f>Orders[[#This Row],[Quantity]]*Orders[[#This Row],[Cost Price]]</f>
        <v>1522.7750000000001</v>
      </c>
      <c r="K767">
        <f>Orders[[#This Row],[Revenue]]-Orders[[#This Row],[Expenses]]</f>
        <v>268.72499999999991</v>
      </c>
      <c r="L767" t="s">
        <v>2208</v>
      </c>
      <c r="M767" t="str">
        <f>_xlfn.XLOOKUP(Orders[[#This Row],[CustomerID]],Customers[CustomerID],Customers[City])</f>
        <v>Washington</v>
      </c>
      <c r="N767" t="str">
        <f>_xlfn.XLOOKUP(Orders[[#This Row],[CustomerID]],Customers[CustomerID],Customers[CustomerName])</f>
        <v>Efe Adeyemi</v>
      </c>
      <c r="O767" t="str">
        <f>_xlfn.XLOOKUP(Orders[[#This Row],[CustomerID]],Customers[CustomerID],Customers[Gender])</f>
        <v>Female</v>
      </c>
      <c r="P767">
        <f>_xlfn.XLOOKUP(Orders[[#This Row],[CustomerID]],Customers[CustomerID],Customers[CustomerAge])</f>
        <v>22</v>
      </c>
      <c r="Q767" t="str">
        <f>IF(Orders[[#This Row],[Age]]&gt;=35,"older","young")</f>
        <v>young</v>
      </c>
      <c r="R767" t="str">
        <f>_xlfn.XLOOKUP(Orders[[#This Row],[ProductID]],Products[ProductID],Products[ProductName])</f>
        <v>REFRIGERATOR</v>
      </c>
      <c r="S767" t="str">
        <f>_xlfn.XLOOKUP(Orders[[#This Row],[ProductID]],Products!A:A,Products!C:C)</f>
        <v>Electronics</v>
      </c>
    </row>
    <row r="768" spans="1:19" x14ac:dyDescent="0.2">
      <c r="A768" s="4" t="s">
        <v>957</v>
      </c>
      <c r="B768" s="5">
        <v>45979</v>
      </c>
      <c r="C768" s="15">
        <f>WEEKNUM(Orders[[#This Row],[OrderDate]])</f>
        <v>47</v>
      </c>
      <c r="D768" s="4" t="s">
        <v>258</v>
      </c>
      <c r="E768" s="4" t="s">
        <v>189</v>
      </c>
      <c r="F768" s="4">
        <v>4</v>
      </c>
      <c r="G768" s="4">
        <v>18676.5</v>
      </c>
      <c r="H768">
        <v>15875.025</v>
      </c>
      <c r="I768">
        <f>Orders[[#This Row],[Quantity]]*Orders[[#This Row],[Selling Price]]</f>
        <v>74706</v>
      </c>
      <c r="J768">
        <f>Orders[[#This Row],[Quantity]]*Orders[[#This Row],[Cost Price]]</f>
        <v>63500.1</v>
      </c>
      <c r="K768">
        <f>Orders[[#This Row],[Revenue]]-Orders[[#This Row],[Expenses]]</f>
        <v>11205.900000000001</v>
      </c>
      <c r="L768" t="s">
        <v>2203</v>
      </c>
      <c r="M768" t="str">
        <f>_xlfn.XLOOKUP(Orders[[#This Row],[CustomerID]],Customers[CustomerID],Customers[City])</f>
        <v>Washington</v>
      </c>
      <c r="N768" t="str">
        <f>_xlfn.XLOOKUP(Orders[[#This Row],[CustomerID]],Customers[CustomerID],Customers[CustomerName])</f>
        <v>Sani Abubakar</v>
      </c>
      <c r="O768" t="str">
        <f>_xlfn.XLOOKUP(Orders[[#This Row],[CustomerID]],Customers[CustomerID],Customers[Gender])</f>
        <v>Male</v>
      </c>
      <c r="P768">
        <f>_xlfn.XLOOKUP(Orders[[#This Row],[CustomerID]],Customers[CustomerID],Customers[CustomerAge])</f>
        <v>37</v>
      </c>
      <c r="Q768" t="str">
        <f>IF(Orders[[#This Row],[Age]]&gt;=35,"older","young")</f>
        <v>older</v>
      </c>
      <c r="R768" t="str">
        <f>_xlfn.XLOOKUP(Orders[[#This Row],[ProductID]],Products[ProductID],Products[ProductName])</f>
        <v>SCRABBLE</v>
      </c>
      <c r="S768" t="str">
        <f>_xlfn.XLOOKUP(Orders[[#This Row],[ProductID]],Products!A:A,Products!C:C)</f>
        <v>Games</v>
      </c>
    </row>
    <row r="769" spans="1:19" x14ac:dyDescent="0.2">
      <c r="A769" s="4" t="s">
        <v>958</v>
      </c>
      <c r="B769" s="5">
        <v>45992</v>
      </c>
      <c r="C769" s="15">
        <f>WEEKNUM(Orders[[#This Row],[OrderDate]])</f>
        <v>49</v>
      </c>
      <c r="D769" s="4" t="s">
        <v>285</v>
      </c>
      <c r="E769" s="4" t="s">
        <v>92</v>
      </c>
      <c r="F769" s="4">
        <v>2</v>
      </c>
      <c r="G769" s="4">
        <v>932.09999999999991</v>
      </c>
      <c r="H769">
        <v>792.28499999999997</v>
      </c>
      <c r="I769">
        <f>Orders[[#This Row],[Quantity]]*Orders[[#This Row],[Selling Price]]</f>
        <v>1864.1999999999998</v>
      </c>
      <c r="J769">
        <f>Orders[[#This Row],[Quantity]]*Orders[[#This Row],[Cost Price]]</f>
        <v>1584.57</v>
      </c>
      <c r="K769">
        <f>Orders[[#This Row],[Revenue]]-Orders[[#This Row],[Expenses]]</f>
        <v>279.62999999999988</v>
      </c>
      <c r="L769" t="s">
        <v>2215</v>
      </c>
      <c r="M769" t="str">
        <f>_xlfn.XLOOKUP(Orders[[#This Row],[CustomerID]],Customers[CustomerID],Customers[City])</f>
        <v>California</v>
      </c>
      <c r="N769" t="str">
        <f>_xlfn.XLOOKUP(Orders[[#This Row],[CustomerID]],Customers[CustomerID],Customers[CustomerName])</f>
        <v>Sani Balogun</v>
      </c>
      <c r="O769" t="str">
        <f>_xlfn.XLOOKUP(Orders[[#This Row],[CustomerID]],Customers[CustomerID],Customers[Gender])</f>
        <v>Male</v>
      </c>
      <c r="P769">
        <f>_xlfn.XLOOKUP(Orders[[#This Row],[CustomerID]],Customers[CustomerID],Customers[CustomerAge])</f>
        <v>27</v>
      </c>
      <c r="Q769" t="str">
        <f>IF(Orders[[#This Row],[Age]]&gt;=35,"older","young")</f>
        <v>young</v>
      </c>
      <c r="R769" t="str">
        <f>_xlfn.XLOOKUP(Orders[[#This Row],[ProductID]],Products[ProductID],Products[ProductName])</f>
        <v>CHEST EXPANDER</v>
      </c>
      <c r="S769" t="str">
        <f>_xlfn.XLOOKUP(Orders[[#This Row],[ProductID]],Products!A:A,Products!C:C)</f>
        <v>Gym</v>
      </c>
    </row>
    <row r="770" spans="1:19" x14ac:dyDescent="0.2">
      <c r="A770" s="4" t="s">
        <v>959</v>
      </c>
      <c r="B770" s="5">
        <v>46020</v>
      </c>
      <c r="C770" s="15">
        <f>WEEKNUM(Orders[[#This Row],[OrderDate]])</f>
        <v>53</v>
      </c>
      <c r="D770" s="4" t="s">
        <v>39</v>
      </c>
      <c r="E770" s="4" t="s">
        <v>20</v>
      </c>
      <c r="F770" s="4">
        <v>8</v>
      </c>
      <c r="G770" s="4">
        <v>4379.7000000000007</v>
      </c>
      <c r="H770">
        <v>3722.7450000000008</v>
      </c>
      <c r="I770">
        <f>Orders[[#This Row],[Quantity]]*Orders[[#This Row],[Selling Price]]</f>
        <v>35037.600000000006</v>
      </c>
      <c r="J770">
        <f>Orders[[#This Row],[Quantity]]*Orders[[#This Row],[Cost Price]]</f>
        <v>29781.960000000006</v>
      </c>
      <c r="K770">
        <f>Orders[[#This Row],[Revenue]]-Orders[[#This Row],[Expenses]]</f>
        <v>5255.6399999999994</v>
      </c>
      <c r="L770" t="s">
        <v>2195</v>
      </c>
      <c r="M770" t="str">
        <f>_xlfn.XLOOKUP(Orders[[#This Row],[CustomerID]],Customers[CustomerID],Customers[City])</f>
        <v>Florida</v>
      </c>
      <c r="N770" t="str">
        <f>_xlfn.XLOOKUP(Orders[[#This Row],[CustomerID]],Customers[CustomerID],Customers[CustomerName])</f>
        <v>Efe Adeyemi</v>
      </c>
      <c r="O770" t="str">
        <f>_xlfn.XLOOKUP(Orders[[#This Row],[CustomerID]],Customers[CustomerID],Customers[Gender])</f>
        <v>Female</v>
      </c>
      <c r="P770">
        <f>_xlfn.XLOOKUP(Orders[[#This Row],[CustomerID]],Customers[CustomerID],Customers[CustomerAge])</f>
        <v>20</v>
      </c>
      <c r="Q770" t="str">
        <f>IF(Orders[[#This Row],[Age]]&gt;=35,"older","young")</f>
        <v>young</v>
      </c>
      <c r="R770" t="str">
        <f>_xlfn.XLOOKUP(Orders[[#This Row],[ProductID]],Products[ProductID],Products[ProductName])</f>
        <v>GYM BAG</v>
      </c>
      <c r="S770" t="str">
        <f>_xlfn.XLOOKUP(Orders[[#This Row],[ProductID]],Products!A:A,Products!C:C)</f>
        <v>Gym</v>
      </c>
    </row>
    <row r="771" spans="1:19" x14ac:dyDescent="0.2">
      <c r="A771" s="4" t="s">
        <v>960</v>
      </c>
      <c r="B771" s="5">
        <v>46005</v>
      </c>
      <c r="C771" s="15">
        <f>WEEKNUM(Orders[[#This Row],[OrderDate]])</f>
        <v>51</v>
      </c>
      <c r="D771" s="4" t="s">
        <v>129</v>
      </c>
      <c r="E771" s="4" t="s">
        <v>37</v>
      </c>
      <c r="F771" s="4">
        <v>9</v>
      </c>
      <c r="G771" s="4">
        <v>9090.4</v>
      </c>
      <c r="H771">
        <v>7726.84</v>
      </c>
      <c r="I771">
        <f>Orders[[#This Row],[Quantity]]*Orders[[#This Row],[Selling Price]]</f>
        <v>81813.599999999991</v>
      </c>
      <c r="J771">
        <f>Orders[[#This Row],[Quantity]]*Orders[[#This Row],[Cost Price]]</f>
        <v>69541.56</v>
      </c>
      <c r="K771">
        <f>Orders[[#This Row],[Revenue]]-Orders[[#This Row],[Expenses]]</f>
        <v>12272.039999999994</v>
      </c>
      <c r="L771" t="s">
        <v>2211</v>
      </c>
      <c r="M771" t="str">
        <f>_xlfn.XLOOKUP(Orders[[#This Row],[CustomerID]],Customers[CustomerID],Customers[City])</f>
        <v>Washington</v>
      </c>
      <c r="N771" t="str">
        <f>_xlfn.XLOOKUP(Orders[[#This Row],[CustomerID]],Customers[CustomerID],Customers[CustomerName])</f>
        <v>Chioma Ojo</v>
      </c>
      <c r="O771" t="str">
        <f>_xlfn.XLOOKUP(Orders[[#This Row],[CustomerID]],Customers[CustomerID],Customers[Gender])</f>
        <v>Female</v>
      </c>
      <c r="P771">
        <f>_xlfn.XLOOKUP(Orders[[#This Row],[CustomerID]],Customers[CustomerID],Customers[CustomerAge])</f>
        <v>46</v>
      </c>
      <c r="Q771" t="str">
        <f>IF(Orders[[#This Row],[Age]]&gt;=35,"older","young")</f>
        <v>older</v>
      </c>
      <c r="R771" t="str">
        <f>_xlfn.XLOOKUP(Orders[[#This Row],[ProductID]],Products[ProductID],Products[ProductName])</f>
        <v>IRON</v>
      </c>
      <c r="S771" t="str">
        <f>_xlfn.XLOOKUP(Orders[[#This Row],[ProductID]],Products!A:A,Products!C:C)</f>
        <v>Electronics</v>
      </c>
    </row>
    <row r="772" spans="1:19" x14ac:dyDescent="0.2">
      <c r="A772" s="4" t="s">
        <v>961</v>
      </c>
      <c r="B772" s="5">
        <v>45948</v>
      </c>
      <c r="C772" s="15">
        <f>WEEKNUM(Orders[[#This Row],[OrderDate]])</f>
        <v>42</v>
      </c>
      <c r="D772" s="4" t="s">
        <v>150</v>
      </c>
      <c r="E772" s="4" t="s">
        <v>60</v>
      </c>
      <c r="F772" s="4">
        <v>8</v>
      </c>
      <c r="G772" s="4">
        <v>14203.099999999999</v>
      </c>
      <c r="H772">
        <v>12072.634999999998</v>
      </c>
      <c r="I772">
        <f>Orders[[#This Row],[Quantity]]*Orders[[#This Row],[Selling Price]]</f>
        <v>113624.79999999999</v>
      </c>
      <c r="J772">
        <f>Orders[[#This Row],[Quantity]]*Orders[[#This Row],[Cost Price]]</f>
        <v>96581.079999999987</v>
      </c>
      <c r="K772">
        <f>Orders[[#This Row],[Revenue]]-Orders[[#This Row],[Expenses]]</f>
        <v>17043.72</v>
      </c>
      <c r="L772" t="s">
        <v>2196</v>
      </c>
      <c r="M772" t="str">
        <f>_xlfn.XLOOKUP(Orders[[#This Row],[CustomerID]],Customers[CustomerID],Customers[City])</f>
        <v>Georgia</v>
      </c>
      <c r="N772" t="str">
        <f>_xlfn.XLOOKUP(Orders[[#This Row],[CustomerID]],Customers[CustomerID],Customers[CustomerName])</f>
        <v>Ronke Eze</v>
      </c>
      <c r="O772" t="str">
        <f>_xlfn.XLOOKUP(Orders[[#This Row],[CustomerID]],Customers[CustomerID],Customers[Gender])</f>
        <v>Female</v>
      </c>
      <c r="P772">
        <f>_xlfn.XLOOKUP(Orders[[#This Row],[CustomerID]],Customers[CustomerID],Customers[CustomerAge])</f>
        <v>23</v>
      </c>
      <c r="Q772" t="str">
        <f>IF(Orders[[#This Row],[Age]]&gt;=35,"older","young")</f>
        <v>young</v>
      </c>
      <c r="R772" t="str">
        <f>_xlfn.XLOOKUP(Orders[[#This Row],[ProductID]],Products[ProductID],Products[ProductName])</f>
        <v>SILVER RINGS</v>
      </c>
      <c r="S772" t="str">
        <f>_xlfn.XLOOKUP(Orders[[#This Row],[ProductID]],Products!A:A,Products!C:C)</f>
        <v>Accessories</v>
      </c>
    </row>
    <row r="773" spans="1:19" x14ac:dyDescent="0.2">
      <c r="A773" s="4" t="s">
        <v>962</v>
      </c>
      <c r="B773" s="5">
        <v>45967</v>
      </c>
      <c r="C773" s="15">
        <f>WEEKNUM(Orders[[#This Row],[OrderDate]])</f>
        <v>45</v>
      </c>
      <c r="D773" s="4" t="s">
        <v>159</v>
      </c>
      <c r="E773" s="4" t="s">
        <v>92</v>
      </c>
      <c r="F773" s="4">
        <v>10</v>
      </c>
      <c r="G773" s="4">
        <v>14788.900000000001</v>
      </c>
      <c r="H773">
        <v>12570.565000000002</v>
      </c>
      <c r="I773">
        <f>Orders[[#This Row],[Quantity]]*Orders[[#This Row],[Selling Price]]</f>
        <v>147889</v>
      </c>
      <c r="J773">
        <f>Orders[[#This Row],[Quantity]]*Orders[[#This Row],[Cost Price]]</f>
        <v>125705.65000000002</v>
      </c>
      <c r="K773">
        <f>Orders[[#This Row],[Revenue]]-Orders[[#This Row],[Expenses]]</f>
        <v>22183.349999999977</v>
      </c>
      <c r="L773" t="s">
        <v>2209</v>
      </c>
      <c r="M773" t="str">
        <f>_xlfn.XLOOKUP(Orders[[#This Row],[CustomerID]],Customers[CustomerID],Customers[City])</f>
        <v>Florida</v>
      </c>
      <c r="N773" t="str">
        <f>_xlfn.XLOOKUP(Orders[[#This Row],[CustomerID]],Customers[CustomerID],Customers[CustomerName])</f>
        <v>Ibrahim Okonkwo</v>
      </c>
      <c r="O773" t="str">
        <f>_xlfn.XLOOKUP(Orders[[#This Row],[CustomerID]],Customers[CustomerID],Customers[Gender])</f>
        <v>Male</v>
      </c>
      <c r="P773">
        <f>_xlfn.XLOOKUP(Orders[[#This Row],[CustomerID]],Customers[CustomerID],Customers[CustomerAge])</f>
        <v>49</v>
      </c>
      <c r="Q773" t="str">
        <f>IF(Orders[[#This Row],[Age]]&gt;=35,"older","young")</f>
        <v>older</v>
      </c>
      <c r="R773" t="str">
        <f>_xlfn.XLOOKUP(Orders[[#This Row],[ProductID]],Products[ProductID],Products[ProductName])</f>
        <v>CHEST EXPANDER</v>
      </c>
      <c r="S773" t="str">
        <f>_xlfn.XLOOKUP(Orders[[#This Row],[ProductID]],Products!A:A,Products!C:C)</f>
        <v>Gym</v>
      </c>
    </row>
    <row r="774" spans="1:19" x14ac:dyDescent="0.2">
      <c r="A774" s="4" t="s">
        <v>963</v>
      </c>
      <c r="B774" s="5">
        <v>45961</v>
      </c>
      <c r="C774" s="15">
        <f>WEEKNUM(Orders[[#This Row],[OrderDate]])</f>
        <v>44</v>
      </c>
      <c r="D774" s="4" t="s">
        <v>150</v>
      </c>
      <c r="E774" s="4" t="s">
        <v>12</v>
      </c>
      <c r="F774" s="4">
        <v>6</v>
      </c>
      <c r="G774" s="4">
        <v>7414.0999999999995</v>
      </c>
      <c r="H774">
        <v>6301.9849999999997</v>
      </c>
      <c r="I774">
        <f>Orders[[#This Row],[Quantity]]*Orders[[#This Row],[Selling Price]]</f>
        <v>44484.6</v>
      </c>
      <c r="J774">
        <f>Orders[[#This Row],[Quantity]]*Orders[[#This Row],[Cost Price]]</f>
        <v>37811.909999999996</v>
      </c>
      <c r="K774">
        <f>Orders[[#This Row],[Revenue]]-Orders[[#This Row],[Expenses]]</f>
        <v>6672.6900000000023</v>
      </c>
      <c r="L774" t="s">
        <v>2210</v>
      </c>
      <c r="M774" t="str">
        <f>_xlfn.XLOOKUP(Orders[[#This Row],[CustomerID]],Customers[CustomerID],Customers[City])</f>
        <v>Georgia</v>
      </c>
      <c r="N774" t="str">
        <f>_xlfn.XLOOKUP(Orders[[#This Row],[CustomerID]],Customers[CustomerID],Customers[CustomerName])</f>
        <v>Ronke Eze</v>
      </c>
      <c r="O774" t="str">
        <f>_xlfn.XLOOKUP(Orders[[#This Row],[CustomerID]],Customers[CustomerID],Customers[Gender])</f>
        <v>Female</v>
      </c>
      <c r="P774">
        <f>_xlfn.XLOOKUP(Orders[[#This Row],[CustomerID]],Customers[CustomerID],Customers[CustomerAge])</f>
        <v>23</v>
      </c>
      <c r="Q774" t="str">
        <f>IF(Orders[[#This Row],[Age]]&gt;=35,"older","young")</f>
        <v>young</v>
      </c>
      <c r="R774" t="str">
        <f>_xlfn.XLOOKUP(Orders[[#This Row],[ProductID]],Products[ProductID],Products[ProductName])</f>
        <v>BOUBOU</v>
      </c>
      <c r="S774" t="str">
        <f>_xlfn.XLOOKUP(Orders[[#This Row],[ProductID]],Products!A:A,Products!C:C)</f>
        <v>Clothing</v>
      </c>
    </row>
    <row r="775" spans="1:19" x14ac:dyDescent="0.2">
      <c r="A775" s="4" t="s">
        <v>964</v>
      </c>
      <c r="B775" s="5">
        <v>45986</v>
      </c>
      <c r="C775" s="15">
        <f>WEEKNUM(Orders[[#This Row],[OrderDate]])</f>
        <v>48</v>
      </c>
      <c r="D775" s="4" t="s">
        <v>343</v>
      </c>
      <c r="E775" s="4" t="s">
        <v>31</v>
      </c>
      <c r="F775" s="4">
        <v>10</v>
      </c>
      <c r="G775" s="4">
        <v>11588.699999999999</v>
      </c>
      <c r="H775">
        <v>9850.3949999999986</v>
      </c>
      <c r="I775">
        <f>Orders[[#This Row],[Quantity]]*Orders[[#This Row],[Selling Price]]</f>
        <v>115886.99999999999</v>
      </c>
      <c r="J775">
        <f>Orders[[#This Row],[Quantity]]*Orders[[#This Row],[Cost Price]]</f>
        <v>98503.949999999983</v>
      </c>
      <c r="K775">
        <f>Orders[[#This Row],[Revenue]]-Orders[[#This Row],[Expenses]]</f>
        <v>17383.050000000003</v>
      </c>
      <c r="L775" t="s">
        <v>2204</v>
      </c>
      <c r="M775" t="str">
        <f>_xlfn.XLOOKUP(Orders[[#This Row],[CustomerID]],Customers[CustomerID],Customers[City])</f>
        <v>Washington</v>
      </c>
      <c r="N775" t="str">
        <f>_xlfn.XLOOKUP(Orders[[#This Row],[CustomerID]],Customers[CustomerID],Customers[CustomerName])</f>
        <v>Ronke Obi</v>
      </c>
      <c r="O775" t="str">
        <f>_xlfn.XLOOKUP(Orders[[#This Row],[CustomerID]],Customers[CustomerID],Customers[Gender])</f>
        <v>Female</v>
      </c>
      <c r="P775">
        <f>_xlfn.XLOOKUP(Orders[[#This Row],[CustomerID]],Customers[CustomerID],Customers[CustomerAge])</f>
        <v>31</v>
      </c>
      <c r="Q775" t="str">
        <f>IF(Orders[[#This Row],[Age]]&gt;=35,"older","young")</f>
        <v>young</v>
      </c>
      <c r="R775" t="str">
        <f>_xlfn.XLOOKUP(Orders[[#This Row],[ProductID]],Products[ProductID],Products[ProductName])</f>
        <v>KIDS GAMES</v>
      </c>
      <c r="S775" t="str">
        <f>_xlfn.XLOOKUP(Orders[[#This Row],[ProductID]],Products!A:A,Products!C:C)</f>
        <v>Games</v>
      </c>
    </row>
    <row r="776" spans="1:19" x14ac:dyDescent="0.2">
      <c r="A776" s="4" t="s">
        <v>965</v>
      </c>
      <c r="B776" s="5">
        <v>45977</v>
      </c>
      <c r="C776" s="15">
        <f>WEEKNUM(Orders[[#This Row],[OrderDate]])</f>
        <v>47</v>
      </c>
      <c r="D776" s="4" t="s">
        <v>98</v>
      </c>
      <c r="E776" s="4" t="s">
        <v>70</v>
      </c>
      <c r="F776" s="4">
        <v>7</v>
      </c>
      <c r="G776" s="4">
        <v>18447.5</v>
      </c>
      <c r="H776">
        <v>15680.375</v>
      </c>
      <c r="I776">
        <f>Orders[[#This Row],[Quantity]]*Orders[[#This Row],[Selling Price]]</f>
        <v>129132.5</v>
      </c>
      <c r="J776">
        <f>Orders[[#This Row],[Quantity]]*Orders[[#This Row],[Cost Price]]</f>
        <v>109762.625</v>
      </c>
      <c r="K776">
        <f>Orders[[#This Row],[Revenue]]-Orders[[#This Row],[Expenses]]</f>
        <v>19369.875</v>
      </c>
      <c r="L776" t="s">
        <v>2209</v>
      </c>
      <c r="M776" t="str">
        <f>_xlfn.XLOOKUP(Orders[[#This Row],[CustomerID]],Customers[CustomerID],Customers[City])</f>
        <v>Illinois</v>
      </c>
      <c r="N776" t="str">
        <f>_xlfn.XLOOKUP(Orders[[#This Row],[CustomerID]],Customers[CustomerID],Customers[CustomerName])</f>
        <v>Chioma Adeyemi</v>
      </c>
      <c r="O776" t="str">
        <f>_xlfn.XLOOKUP(Orders[[#This Row],[CustomerID]],Customers[CustomerID],Customers[Gender])</f>
        <v>Female</v>
      </c>
      <c r="P776">
        <f>_xlfn.XLOOKUP(Orders[[#This Row],[CustomerID]],Customers[CustomerID],Customers[CustomerAge])</f>
        <v>23</v>
      </c>
      <c r="Q776" t="str">
        <f>IF(Orders[[#This Row],[Age]]&gt;=35,"older","young")</f>
        <v>young</v>
      </c>
      <c r="R776" t="str">
        <f>_xlfn.XLOOKUP(Orders[[#This Row],[ProductID]],Products[ProductID],Products[ProductName])</f>
        <v>YOGA MAT</v>
      </c>
      <c r="S776" t="str">
        <f>_xlfn.XLOOKUP(Orders[[#This Row],[ProductID]],Products!A:A,Products!C:C)</f>
        <v>Gym</v>
      </c>
    </row>
    <row r="777" spans="1:19" x14ac:dyDescent="0.2">
      <c r="A777" s="4" t="s">
        <v>966</v>
      </c>
      <c r="B777" s="5">
        <v>45999</v>
      </c>
      <c r="C777" s="15">
        <f>WEEKNUM(Orders[[#This Row],[OrderDate]])</f>
        <v>50</v>
      </c>
      <c r="D777" s="4" t="s">
        <v>80</v>
      </c>
      <c r="E777" s="4" t="s">
        <v>60</v>
      </c>
      <c r="F777" s="4">
        <v>10</v>
      </c>
      <c r="G777" s="4">
        <v>12004.9</v>
      </c>
      <c r="H777">
        <v>10204.164999999999</v>
      </c>
      <c r="I777">
        <f>Orders[[#This Row],[Quantity]]*Orders[[#This Row],[Selling Price]]</f>
        <v>120049</v>
      </c>
      <c r="J777">
        <f>Orders[[#This Row],[Quantity]]*Orders[[#This Row],[Cost Price]]</f>
        <v>102041.65</v>
      </c>
      <c r="K777">
        <f>Orders[[#This Row],[Revenue]]-Orders[[#This Row],[Expenses]]</f>
        <v>18007.350000000006</v>
      </c>
      <c r="L777" t="s">
        <v>2201</v>
      </c>
      <c r="M777" t="str">
        <f>_xlfn.XLOOKUP(Orders[[#This Row],[CustomerID]],Customers[CustomerID],Customers[City])</f>
        <v>Texas</v>
      </c>
      <c r="N777" t="str">
        <f>_xlfn.XLOOKUP(Orders[[#This Row],[CustomerID]],Customers[CustomerID],Customers[CustomerName])</f>
        <v>Sani Ojo</v>
      </c>
      <c r="O777" t="str">
        <f>_xlfn.XLOOKUP(Orders[[#This Row],[CustomerID]],Customers[CustomerID],Customers[Gender])</f>
        <v>Male</v>
      </c>
      <c r="P777">
        <f>_xlfn.XLOOKUP(Orders[[#This Row],[CustomerID]],Customers[CustomerID],Customers[CustomerAge])</f>
        <v>35</v>
      </c>
      <c r="Q777" t="str">
        <f>IF(Orders[[#This Row],[Age]]&gt;=35,"older","young")</f>
        <v>older</v>
      </c>
      <c r="R777" t="str">
        <f>_xlfn.XLOOKUP(Orders[[#This Row],[ProductID]],Products[ProductID],Products[ProductName])</f>
        <v>SILVER RINGS</v>
      </c>
      <c r="S777" t="str">
        <f>_xlfn.XLOOKUP(Orders[[#This Row],[ProductID]],Products!A:A,Products!C:C)</f>
        <v>Accessories</v>
      </c>
    </row>
    <row r="778" spans="1:19" x14ac:dyDescent="0.2">
      <c r="A778" s="4" t="s">
        <v>967</v>
      </c>
      <c r="B778" s="5">
        <v>45981</v>
      </c>
      <c r="C778" s="15">
        <f>WEEKNUM(Orders[[#This Row],[OrderDate]])</f>
        <v>47</v>
      </c>
      <c r="D778" s="4" t="s">
        <v>302</v>
      </c>
      <c r="E778" s="4" t="s">
        <v>57</v>
      </c>
      <c r="F778" s="4">
        <v>6</v>
      </c>
      <c r="G778" s="4">
        <v>6052.3</v>
      </c>
      <c r="H778">
        <v>5144.4549999999999</v>
      </c>
      <c r="I778">
        <f>Orders[[#This Row],[Quantity]]*Orders[[#This Row],[Selling Price]]</f>
        <v>36313.800000000003</v>
      </c>
      <c r="J778">
        <f>Orders[[#This Row],[Quantity]]*Orders[[#This Row],[Cost Price]]</f>
        <v>30866.73</v>
      </c>
      <c r="K778">
        <f>Orders[[#This Row],[Revenue]]-Orders[[#This Row],[Expenses]]</f>
        <v>5447.0700000000033</v>
      </c>
      <c r="L778" t="s">
        <v>2192</v>
      </c>
      <c r="M778" t="str">
        <f>_xlfn.XLOOKUP(Orders[[#This Row],[CustomerID]],Customers[CustomerID],Customers[City])</f>
        <v>Washington</v>
      </c>
      <c r="N778" t="str">
        <f>_xlfn.XLOOKUP(Orders[[#This Row],[CustomerID]],Customers[CustomerID],Customers[CustomerName])</f>
        <v>Sani Bello</v>
      </c>
      <c r="O778" t="str">
        <f>_xlfn.XLOOKUP(Orders[[#This Row],[CustomerID]],Customers[CustomerID],Customers[Gender])</f>
        <v>Male</v>
      </c>
      <c r="P778">
        <f>_xlfn.XLOOKUP(Orders[[#This Row],[CustomerID]],Customers[CustomerID],Customers[CustomerAge])</f>
        <v>23</v>
      </c>
      <c r="Q778" t="str">
        <f>IF(Orders[[#This Row],[Age]]&gt;=35,"older","young")</f>
        <v>young</v>
      </c>
      <c r="R778" t="str">
        <f>_xlfn.XLOOKUP(Orders[[#This Row],[ProductID]],Products[ProductID],Products[ProductName])</f>
        <v>BADMINTON RACKET</v>
      </c>
      <c r="S778" t="str">
        <f>_xlfn.XLOOKUP(Orders[[#This Row],[ProductID]],Products!A:A,Products!C:C)</f>
        <v>Sports</v>
      </c>
    </row>
    <row r="779" spans="1:19" x14ac:dyDescent="0.2">
      <c r="A779" s="4" t="s">
        <v>968</v>
      </c>
      <c r="B779" s="5">
        <v>45984</v>
      </c>
      <c r="C779" s="15">
        <f>WEEKNUM(Orders[[#This Row],[OrderDate]])</f>
        <v>48</v>
      </c>
      <c r="D779" s="4" t="s">
        <v>96</v>
      </c>
      <c r="E779" s="4" t="s">
        <v>70</v>
      </c>
      <c r="F779" s="4">
        <v>5</v>
      </c>
      <c r="G779" s="4">
        <v>19660.7</v>
      </c>
      <c r="H779">
        <v>16711.595000000001</v>
      </c>
      <c r="I779">
        <f>Orders[[#This Row],[Quantity]]*Orders[[#This Row],[Selling Price]]</f>
        <v>98303.5</v>
      </c>
      <c r="J779">
        <f>Orders[[#This Row],[Quantity]]*Orders[[#This Row],[Cost Price]]</f>
        <v>83557.975000000006</v>
      </c>
      <c r="K779">
        <f>Orders[[#This Row],[Revenue]]-Orders[[#This Row],[Expenses]]</f>
        <v>14745.524999999994</v>
      </c>
      <c r="L779" t="s">
        <v>2215</v>
      </c>
      <c r="M779" t="str">
        <f>_xlfn.XLOOKUP(Orders[[#This Row],[CustomerID]],Customers[CustomerID],Customers[City])</f>
        <v>Texas</v>
      </c>
      <c r="N779" t="str">
        <f>_xlfn.XLOOKUP(Orders[[#This Row],[CustomerID]],Customers[CustomerID],Customers[CustomerName])</f>
        <v>Amina Abubakar</v>
      </c>
      <c r="O779" t="str">
        <f>_xlfn.XLOOKUP(Orders[[#This Row],[CustomerID]],Customers[CustomerID],Customers[Gender])</f>
        <v>Female</v>
      </c>
      <c r="P779">
        <f>_xlfn.XLOOKUP(Orders[[#This Row],[CustomerID]],Customers[CustomerID],Customers[CustomerAge])</f>
        <v>35</v>
      </c>
      <c r="Q779" t="str">
        <f>IF(Orders[[#This Row],[Age]]&gt;=35,"older","young")</f>
        <v>older</v>
      </c>
      <c r="R779" t="str">
        <f>_xlfn.XLOOKUP(Orders[[#This Row],[ProductID]],Products[ProductID],Products[ProductName])</f>
        <v>YOGA MAT</v>
      </c>
      <c r="S779" t="str">
        <f>_xlfn.XLOOKUP(Orders[[#This Row],[ProductID]],Products!A:A,Products!C:C)</f>
        <v>Gym</v>
      </c>
    </row>
    <row r="780" spans="1:19" x14ac:dyDescent="0.2">
      <c r="A780" s="4" t="s">
        <v>969</v>
      </c>
      <c r="B780" s="5">
        <v>46010</v>
      </c>
      <c r="C780" s="15">
        <f>WEEKNUM(Orders[[#This Row],[OrderDate]])</f>
        <v>51</v>
      </c>
      <c r="D780" s="4" t="s">
        <v>444</v>
      </c>
      <c r="E780" s="4" t="s">
        <v>125</v>
      </c>
      <c r="F780" s="4">
        <v>7</v>
      </c>
      <c r="G780" s="4">
        <v>16959.2</v>
      </c>
      <c r="H780">
        <v>14415.32</v>
      </c>
      <c r="I780">
        <f>Orders[[#This Row],[Quantity]]*Orders[[#This Row],[Selling Price]]</f>
        <v>118714.40000000001</v>
      </c>
      <c r="J780">
        <f>Orders[[#This Row],[Quantity]]*Orders[[#This Row],[Cost Price]]</f>
        <v>100907.23999999999</v>
      </c>
      <c r="K780">
        <f>Orders[[#This Row],[Revenue]]-Orders[[#This Row],[Expenses]]</f>
        <v>17807.160000000018</v>
      </c>
      <c r="L780" t="s">
        <v>2218</v>
      </c>
      <c r="M780" t="str">
        <f>_xlfn.XLOOKUP(Orders[[#This Row],[CustomerID]],Customers[CustomerID],Customers[City])</f>
        <v>Texas</v>
      </c>
      <c r="N780" t="str">
        <f>_xlfn.XLOOKUP(Orders[[#This Row],[CustomerID]],Customers[CustomerID],Customers[CustomerName])</f>
        <v>Blessing Eze</v>
      </c>
      <c r="O780" t="str">
        <f>_xlfn.XLOOKUP(Orders[[#This Row],[CustomerID]],Customers[CustomerID],Customers[Gender])</f>
        <v>Female</v>
      </c>
      <c r="P780">
        <f>_xlfn.XLOOKUP(Orders[[#This Row],[CustomerID]],Customers[CustomerID],Customers[CustomerAge])</f>
        <v>24</v>
      </c>
      <c r="Q780" t="str">
        <f>IF(Orders[[#This Row],[Age]]&gt;=35,"older","young")</f>
        <v>young</v>
      </c>
      <c r="R780" t="str">
        <f>_xlfn.XLOOKUP(Orders[[#This Row],[ProductID]],Products[ProductID],Products[ProductName])</f>
        <v>EARRINGS</v>
      </c>
      <c r="S780" t="str">
        <f>_xlfn.XLOOKUP(Orders[[#This Row],[ProductID]],Products!A:A,Products!C:C)</f>
        <v>Accessories</v>
      </c>
    </row>
    <row r="781" spans="1:19" x14ac:dyDescent="0.2">
      <c r="A781" s="4" t="s">
        <v>970</v>
      </c>
      <c r="B781" s="5">
        <v>46003</v>
      </c>
      <c r="C781" s="15">
        <f>WEEKNUM(Orders[[#This Row],[OrderDate]])</f>
        <v>50</v>
      </c>
      <c r="D781" s="4" t="s">
        <v>194</v>
      </c>
      <c r="E781" s="4" t="s">
        <v>127</v>
      </c>
      <c r="F781" s="4">
        <v>7</v>
      </c>
      <c r="G781" s="4">
        <v>13849.400000000001</v>
      </c>
      <c r="H781">
        <v>11771.990000000002</v>
      </c>
      <c r="I781">
        <f>Orders[[#This Row],[Quantity]]*Orders[[#This Row],[Selling Price]]</f>
        <v>96945.800000000017</v>
      </c>
      <c r="J781">
        <f>Orders[[#This Row],[Quantity]]*Orders[[#This Row],[Cost Price]]</f>
        <v>82403.930000000008</v>
      </c>
      <c r="K781">
        <f>Orders[[#This Row],[Revenue]]-Orders[[#This Row],[Expenses]]</f>
        <v>14541.87000000001</v>
      </c>
      <c r="L781" t="s">
        <v>2196</v>
      </c>
      <c r="M781" t="str">
        <f>_xlfn.XLOOKUP(Orders[[#This Row],[CustomerID]],Customers[CustomerID],Customers[City])</f>
        <v>Washington</v>
      </c>
      <c r="N781" t="str">
        <f>_xlfn.XLOOKUP(Orders[[#This Row],[CustomerID]],Customers[CustomerID],Customers[CustomerName])</f>
        <v>Adanma Adeyemi</v>
      </c>
      <c r="O781" t="str">
        <f>_xlfn.XLOOKUP(Orders[[#This Row],[CustomerID]],Customers[CustomerID],Customers[Gender])</f>
        <v>Female</v>
      </c>
      <c r="P781">
        <f>_xlfn.XLOOKUP(Orders[[#This Row],[CustomerID]],Customers[CustomerID],Customers[CustomerAge])</f>
        <v>45</v>
      </c>
      <c r="Q781" t="str">
        <f>IF(Orders[[#This Row],[Age]]&gt;=35,"older","young")</f>
        <v>older</v>
      </c>
      <c r="R781" t="str">
        <f>_xlfn.XLOOKUP(Orders[[#This Row],[ProductID]],Products[ProductID],Products[ProductName])</f>
        <v>TOPS</v>
      </c>
      <c r="S781" t="str">
        <f>_xlfn.XLOOKUP(Orders[[#This Row],[ProductID]],Products!A:A,Products!C:C)</f>
        <v>Clothing</v>
      </c>
    </row>
    <row r="782" spans="1:19" x14ac:dyDescent="0.2">
      <c r="A782" s="4" t="s">
        <v>971</v>
      </c>
      <c r="B782" s="5">
        <v>45966</v>
      </c>
      <c r="C782" s="15">
        <f>WEEKNUM(Orders[[#This Row],[OrderDate]])</f>
        <v>45</v>
      </c>
      <c r="D782" s="4" t="s">
        <v>227</v>
      </c>
      <c r="E782" s="4" t="s">
        <v>111</v>
      </c>
      <c r="F782" s="4">
        <v>1</v>
      </c>
      <c r="G782" s="4">
        <v>18043.399999999998</v>
      </c>
      <c r="H782">
        <v>15336.889999999998</v>
      </c>
      <c r="I782">
        <f>Orders[[#This Row],[Quantity]]*Orders[[#This Row],[Selling Price]]</f>
        <v>18043.399999999998</v>
      </c>
      <c r="J782">
        <f>Orders[[#This Row],[Quantity]]*Orders[[#This Row],[Cost Price]]</f>
        <v>15336.889999999998</v>
      </c>
      <c r="K782">
        <f>Orders[[#This Row],[Revenue]]-Orders[[#This Row],[Expenses]]</f>
        <v>2706.51</v>
      </c>
      <c r="L782" t="s">
        <v>2216</v>
      </c>
      <c r="M782" t="str">
        <f>_xlfn.XLOOKUP(Orders[[#This Row],[CustomerID]],Customers[CustomerID],Customers[City])</f>
        <v>Washington</v>
      </c>
      <c r="N782" t="str">
        <f>_xlfn.XLOOKUP(Orders[[#This Row],[CustomerID]],Customers[CustomerID],Customers[CustomerName])</f>
        <v>Emmanuel Victor</v>
      </c>
      <c r="O782" t="str">
        <f>_xlfn.XLOOKUP(Orders[[#This Row],[CustomerID]],Customers[CustomerID],Customers[Gender])</f>
        <v>Male</v>
      </c>
      <c r="P782">
        <f>_xlfn.XLOOKUP(Orders[[#This Row],[CustomerID]],Customers[CustomerID],Customers[CustomerAge])</f>
        <v>35</v>
      </c>
      <c r="Q782" t="str">
        <f>IF(Orders[[#This Row],[Age]]&gt;=35,"older","young")</f>
        <v>older</v>
      </c>
      <c r="R782" t="str">
        <f>_xlfn.XLOOKUP(Orders[[#This Row],[ProductID]],Products[ProductID],Products[ProductName])</f>
        <v>REFRIGERATOR</v>
      </c>
      <c r="S782" t="str">
        <f>_xlfn.XLOOKUP(Orders[[#This Row],[ProductID]],Products!A:A,Products!C:C)</f>
        <v>Electronics</v>
      </c>
    </row>
    <row r="783" spans="1:19" x14ac:dyDescent="0.2">
      <c r="A783" s="4" t="s">
        <v>972</v>
      </c>
      <c r="B783" s="5">
        <v>45942</v>
      </c>
      <c r="C783" s="15">
        <f>WEEKNUM(Orders[[#This Row],[OrderDate]])</f>
        <v>42</v>
      </c>
      <c r="D783" s="4" t="s">
        <v>87</v>
      </c>
      <c r="E783" s="4" t="s">
        <v>37</v>
      </c>
      <c r="F783" s="4">
        <v>7</v>
      </c>
      <c r="G783" s="4">
        <v>13662.4</v>
      </c>
      <c r="H783">
        <v>11613.04</v>
      </c>
      <c r="I783">
        <f>Orders[[#This Row],[Quantity]]*Orders[[#This Row],[Selling Price]]</f>
        <v>95636.800000000003</v>
      </c>
      <c r="J783">
        <f>Orders[[#This Row],[Quantity]]*Orders[[#This Row],[Cost Price]]</f>
        <v>81291.28</v>
      </c>
      <c r="K783">
        <f>Orders[[#This Row],[Revenue]]-Orders[[#This Row],[Expenses]]</f>
        <v>14345.520000000004</v>
      </c>
      <c r="L783" t="s">
        <v>2208</v>
      </c>
      <c r="M783" t="str">
        <f>_xlfn.XLOOKUP(Orders[[#This Row],[CustomerID]],Customers[CustomerID],Customers[City])</f>
        <v>Illinois</v>
      </c>
      <c r="N783" t="str">
        <f>_xlfn.XLOOKUP(Orders[[#This Row],[CustomerID]],Customers[CustomerID],Customers[CustomerName])</f>
        <v>Efe Igwe</v>
      </c>
      <c r="O783" t="str">
        <f>_xlfn.XLOOKUP(Orders[[#This Row],[CustomerID]],Customers[CustomerID],Customers[Gender])</f>
        <v>Female</v>
      </c>
      <c r="P783">
        <f>_xlfn.XLOOKUP(Orders[[#This Row],[CustomerID]],Customers[CustomerID],Customers[CustomerAge])</f>
        <v>34</v>
      </c>
      <c r="Q783" t="str">
        <f>IF(Orders[[#This Row],[Age]]&gt;=35,"older","young")</f>
        <v>young</v>
      </c>
      <c r="R783" t="str">
        <f>_xlfn.XLOOKUP(Orders[[#This Row],[ProductID]],Products[ProductID],Products[ProductName])</f>
        <v>IRON</v>
      </c>
      <c r="S783" t="str">
        <f>_xlfn.XLOOKUP(Orders[[#This Row],[ProductID]],Products!A:A,Products!C:C)</f>
        <v>Electronics</v>
      </c>
    </row>
    <row r="784" spans="1:19" x14ac:dyDescent="0.2">
      <c r="A784" s="4" t="s">
        <v>973</v>
      </c>
      <c r="B784" s="5">
        <v>45943</v>
      </c>
      <c r="C784" s="15">
        <f>WEEKNUM(Orders[[#This Row],[OrderDate]])</f>
        <v>42</v>
      </c>
      <c r="D784" s="4" t="s">
        <v>439</v>
      </c>
      <c r="E784" s="4" t="s">
        <v>31</v>
      </c>
      <c r="F784" s="4">
        <v>1</v>
      </c>
      <c r="G784" s="4">
        <v>12151</v>
      </c>
      <c r="H784">
        <v>10328.35</v>
      </c>
      <c r="I784">
        <f>Orders[[#This Row],[Quantity]]*Orders[[#This Row],[Selling Price]]</f>
        <v>12151</v>
      </c>
      <c r="J784">
        <f>Orders[[#This Row],[Quantity]]*Orders[[#This Row],[Cost Price]]</f>
        <v>10328.35</v>
      </c>
      <c r="K784">
        <f>Orders[[#This Row],[Revenue]]-Orders[[#This Row],[Expenses]]</f>
        <v>1822.6499999999996</v>
      </c>
      <c r="L784" t="s">
        <v>2214</v>
      </c>
      <c r="M784" t="str">
        <f>_xlfn.XLOOKUP(Orders[[#This Row],[CustomerID]],Customers[CustomerID],Customers[City])</f>
        <v>Texas</v>
      </c>
      <c r="N784" t="str">
        <f>_xlfn.XLOOKUP(Orders[[#This Row],[CustomerID]],Customers[CustomerID],Customers[CustomerName])</f>
        <v>Efe Abubakar</v>
      </c>
      <c r="O784" t="str">
        <f>_xlfn.XLOOKUP(Orders[[#This Row],[CustomerID]],Customers[CustomerID],Customers[Gender])</f>
        <v>Female</v>
      </c>
      <c r="P784">
        <f>_xlfn.XLOOKUP(Orders[[#This Row],[CustomerID]],Customers[CustomerID],Customers[CustomerAge])</f>
        <v>50</v>
      </c>
      <c r="Q784" t="str">
        <f>IF(Orders[[#This Row],[Age]]&gt;=35,"older","young")</f>
        <v>older</v>
      </c>
      <c r="R784" t="str">
        <f>_xlfn.XLOOKUP(Orders[[#This Row],[ProductID]],Products[ProductID],Products[ProductName])</f>
        <v>KIDS GAMES</v>
      </c>
      <c r="S784" t="str">
        <f>_xlfn.XLOOKUP(Orders[[#This Row],[ProductID]],Products!A:A,Products!C:C)</f>
        <v>Games</v>
      </c>
    </row>
    <row r="785" spans="1:19" x14ac:dyDescent="0.2">
      <c r="A785" s="4" t="s">
        <v>974</v>
      </c>
      <c r="B785" s="5">
        <v>45953</v>
      </c>
      <c r="C785" s="15">
        <f>WEEKNUM(Orders[[#This Row],[OrderDate]])</f>
        <v>43</v>
      </c>
      <c r="D785" s="4" t="s">
        <v>574</v>
      </c>
      <c r="E785" s="4" t="s">
        <v>20</v>
      </c>
      <c r="F785" s="4">
        <v>10</v>
      </c>
      <c r="G785" s="4">
        <v>3820.2</v>
      </c>
      <c r="H785">
        <v>3247.17</v>
      </c>
      <c r="I785">
        <f>Orders[[#This Row],[Quantity]]*Orders[[#This Row],[Selling Price]]</f>
        <v>38202</v>
      </c>
      <c r="J785">
        <f>Orders[[#This Row],[Quantity]]*Orders[[#This Row],[Cost Price]]</f>
        <v>32471.7</v>
      </c>
      <c r="K785">
        <f>Orders[[#This Row],[Revenue]]-Orders[[#This Row],[Expenses]]</f>
        <v>5730.2999999999993</v>
      </c>
      <c r="L785" t="s">
        <v>2193</v>
      </c>
      <c r="M785" t="str">
        <f>_xlfn.XLOOKUP(Orders[[#This Row],[CustomerID]],Customers[CustomerID],Customers[City])</f>
        <v>Texas</v>
      </c>
      <c r="N785" t="str">
        <f>_xlfn.XLOOKUP(Orders[[#This Row],[CustomerID]],Customers[CustomerID],Customers[CustomerName])</f>
        <v>Adanma Obi</v>
      </c>
      <c r="O785" t="str">
        <f>_xlfn.XLOOKUP(Orders[[#This Row],[CustomerID]],Customers[CustomerID],Customers[Gender])</f>
        <v>Female</v>
      </c>
      <c r="P785">
        <f>_xlfn.XLOOKUP(Orders[[#This Row],[CustomerID]],Customers[CustomerID],Customers[CustomerAge])</f>
        <v>23</v>
      </c>
      <c r="Q785" t="str">
        <f>IF(Orders[[#This Row],[Age]]&gt;=35,"older","young")</f>
        <v>young</v>
      </c>
      <c r="R785" t="str">
        <f>_xlfn.XLOOKUP(Orders[[#This Row],[ProductID]],Products[ProductID],Products[ProductName])</f>
        <v>GYM BAG</v>
      </c>
      <c r="S785" t="str">
        <f>_xlfn.XLOOKUP(Orders[[#This Row],[ProductID]],Products!A:A,Products!C:C)</f>
        <v>Gym</v>
      </c>
    </row>
    <row r="786" spans="1:19" x14ac:dyDescent="0.2">
      <c r="A786" s="4" t="s">
        <v>975</v>
      </c>
      <c r="B786" s="5">
        <v>45947</v>
      </c>
      <c r="C786" s="15">
        <f>WEEKNUM(Orders[[#This Row],[OrderDate]])</f>
        <v>42</v>
      </c>
      <c r="D786" s="4" t="s">
        <v>346</v>
      </c>
      <c r="E786" s="4" t="s">
        <v>31</v>
      </c>
      <c r="F786" s="4">
        <v>10</v>
      </c>
      <c r="G786" s="4">
        <v>11149.9</v>
      </c>
      <c r="H786">
        <v>9477.4149999999991</v>
      </c>
      <c r="I786">
        <f>Orders[[#This Row],[Quantity]]*Orders[[#This Row],[Selling Price]]</f>
        <v>111499</v>
      </c>
      <c r="J786">
        <f>Orders[[#This Row],[Quantity]]*Orders[[#This Row],[Cost Price]]</f>
        <v>94774.15</v>
      </c>
      <c r="K786">
        <f>Orders[[#This Row],[Revenue]]-Orders[[#This Row],[Expenses]]</f>
        <v>16724.850000000006</v>
      </c>
      <c r="L786" t="s">
        <v>2211</v>
      </c>
      <c r="M786" t="str">
        <f>_xlfn.XLOOKUP(Orders[[#This Row],[CustomerID]],Customers[CustomerID],Customers[City])</f>
        <v>California</v>
      </c>
      <c r="N786" t="str">
        <f>_xlfn.XLOOKUP(Orders[[#This Row],[CustomerID]],Customers[CustomerID],Customers[CustomerName])</f>
        <v>Ngozi Danladi</v>
      </c>
      <c r="O786" t="str">
        <f>_xlfn.XLOOKUP(Orders[[#This Row],[CustomerID]],Customers[CustomerID],Customers[Gender])</f>
        <v>Female</v>
      </c>
      <c r="P786">
        <f>_xlfn.XLOOKUP(Orders[[#This Row],[CustomerID]],Customers[CustomerID],Customers[CustomerAge])</f>
        <v>30</v>
      </c>
      <c r="Q786" t="str">
        <f>IF(Orders[[#This Row],[Age]]&gt;=35,"older","young")</f>
        <v>young</v>
      </c>
      <c r="R786" t="str">
        <f>_xlfn.XLOOKUP(Orders[[#This Row],[ProductID]],Products[ProductID],Products[ProductName])</f>
        <v>KIDS GAMES</v>
      </c>
      <c r="S786" t="str">
        <f>_xlfn.XLOOKUP(Orders[[#This Row],[ProductID]],Products!A:A,Products!C:C)</f>
        <v>Games</v>
      </c>
    </row>
    <row r="787" spans="1:19" x14ac:dyDescent="0.2">
      <c r="A787" s="4" t="s">
        <v>976</v>
      </c>
      <c r="B787" s="5">
        <v>45964</v>
      </c>
      <c r="C787" s="15">
        <f>WEEKNUM(Orders[[#This Row],[OrderDate]])</f>
        <v>45</v>
      </c>
      <c r="D787" s="4" t="s">
        <v>118</v>
      </c>
      <c r="E787" s="4" t="s">
        <v>70</v>
      </c>
      <c r="F787" s="4">
        <v>7</v>
      </c>
      <c r="G787" s="4">
        <v>15255.1</v>
      </c>
      <c r="H787">
        <v>12966.835000000001</v>
      </c>
      <c r="I787">
        <f>Orders[[#This Row],[Quantity]]*Orders[[#This Row],[Selling Price]]</f>
        <v>106785.7</v>
      </c>
      <c r="J787">
        <f>Orders[[#This Row],[Quantity]]*Orders[[#This Row],[Cost Price]]</f>
        <v>90767.845000000001</v>
      </c>
      <c r="K787">
        <f>Orders[[#This Row],[Revenue]]-Orders[[#This Row],[Expenses]]</f>
        <v>16017.854999999996</v>
      </c>
      <c r="L787" t="s">
        <v>2200</v>
      </c>
      <c r="M787" t="str">
        <f>_xlfn.XLOOKUP(Orders[[#This Row],[CustomerID]],Customers[CustomerID],Customers[City])</f>
        <v>Georgia</v>
      </c>
      <c r="N787" t="str">
        <f>_xlfn.XLOOKUP(Orders[[#This Row],[CustomerID]],Customers[CustomerID],Customers[CustomerName])</f>
        <v>Ibrahim Balogun</v>
      </c>
      <c r="O787" t="str">
        <f>_xlfn.XLOOKUP(Orders[[#This Row],[CustomerID]],Customers[CustomerID],Customers[Gender])</f>
        <v>Male</v>
      </c>
      <c r="P787">
        <f>_xlfn.XLOOKUP(Orders[[#This Row],[CustomerID]],Customers[CustomerID],Customers[CustomerAge])</f>
        <v>55</v>
      </c>
      <c r="Q787" t="str">
        <f>IF(Orders[[#This Row],[Age]]&gt;=35,"older","young")</f>
        <v>older</v>
      </c>
      <c r="R787" t="str">
        <f>_xlfn.XLOOKUP(Orders[[#This Row],[ProductID]],Products[ProductID],Products[ProductName])</f>
        <v>YOGA MAT</v>
      </c>
      <c r="S787" t="str">
        <f>_xlfn.XLOOKUP(Orders[[#This Row],[ProductID]],Products!A:A,Products!C:C)</f>
        <v>Gym</v>
      </c>
    </row>
    <row r="788" spans="1:19" x14ac:dyDescent="0.2">
      <c r="A788" s="4" t="s">
        <v>977</v>
      </c>
      <c r="B788" s="5">
        <v>45957</v>
      </c>
      <c r="C788" s="15">
        <f>WEEKNUM(Orders[[#This Row],[OrderDate]])</f>
        <v>44</v>
      </c>
      <c r="D788" s="4" t="s">
        <v>216</v>
      </c>
      <c r="E788" s="4" t="s">
        <v>70</v>
      </c>
      <c r="F788" s="4">
        <v>6</v>
      </c>
      <c r="G788" s="4">
        <v>9178.7000000000007</v>
      </c>
      <c r="H788">
        <v>7801.8950000000004</v>
      </c>
      <c r="I788">
        <f>Orders[[#This Row],[Quantity]]*Orders[[#This Row],[Selling Price]]</f>
        <v>55072.200000000004</v>
      </c>
      <c r="J788">
        <f>Orders[[#This Row],[Quantity]]*Orders[[#This Row],[Cost Price]]</f>
        <v>46811.37</v>
      </c>
      <c r="K788">
        <f>Orders[[#This Row],[Revenue]]-Orders[[#This Row],[Expenses]]</f>
        <v>8260.8300000000017</v>
      </c>
      <c r="L788" t="s">
        <v>2201</v>
      </c>
      <c r="M788" t="str">
        <f>_xlfn.XLOOKUP(Orders[[#This Row],[CustomerID]],Customers[CustomerID],Customers[City])</f>
        <v>California</v>
      </c>
      <c r="N788" t="str">
        <f>_xlfn.XLOOKUP(Orders[[#This Row],[CustomerID]],Customers[CustomerID],Customers[CustomerName])</f>
        <v>Ngozi Obi</v>
      </c>
      <c r="O788" t="str">
        <f>_xlfn.XLOOKUP(Orders[[#This Row],[CustomerID]],Customers[CustomerID],Customers[Gender])</f>
        <v>Female</v>
      </c>
      <c r="P788">
        <f>_xlfn.XLOOKUP(Orders[[#This Row],[CustomerID]],Customers[CustomerID],Customers[CustomerAge])</f>
        <v>54</v>
      </c>
      <c r="Q788" t="str">
        <f>IF(Orders[[#This Row],[Age]]&gt;=35,"older","young")</f>
        <v>older</v>
      </c>
      <c r="R788" t="str">
        <f>_xlfn.XLOOKUP(Orders[[#This Row],[ProductID]],Products[ProductID],Products[ProductName])</f>
        <v>YOGA MAT</v>
      </c>
      <c r="S788" t="str">
        <f>_xlfn.XLOOKUP(Orders[[#This Row],[ProductID]],Products!A:A,Products!C:C)</f>
        <v>Gym</v>
      </c>
    </row>
    <row r="789" spans="1:19" x14ac:dyDescent="0.2">
      <c r="A789" s="4" t="s">
        <v>978</v>
      </c>
      <c r="B789" s="5">
        <v>46021</v>
      </c>
      <c r="C789" s="15">
        <f>WEEKNUM(Orders[[#This Row],[OrderDate]])</f>
        <v>53</v>
      </c>
      <c r="D789" s="4" t="s">
        <v>596</v>
      </c>
      <c r="E789" s="4" t="s">
        <v>120</v>
      </c>
      <c r="F789" s="4">
        <v>8</v>
      </c>
      <c r="G789" s="4">
        <v>5429</v>
      </c>
      <c r="H789">
        <v>4614.6499999999996</v>
      </c>
      <c r="I789">
        <f>Orders[[#This Row],[Quantity]]*Orders[[#This Row],[Selling Price]]</f>
        <v>43432</v>
      </c>
      <c r="J789">
        <f>Orders[[#This Row],[Quantity]]*Orders[[#This Row],[Cost Price]]</f>
        <v>36917.199999999997</v>
      </c>
      <c r="K789">
        <f>Orders[[#This Row],[Revenue]]-Orders[[#This Row],[Expenses]]</f>
        <v>6514.8000000000029</v>
      </c>
      <c r="L789" t="s">
        <v>2207</v>
      </c>
      <c r="M789" t="str">
        <f>_xlfn.XLOOKUP(Orders[[#This Row],[CustomerID]],Customers[CustomerID],Customers[City])</f>
        <v>Texas</v>
      </c>
      <c r="N789" t="str">
        <f>_xlfn.XLOOKUP(Orders[[#This Row],[CustomerID]],Customers[CustomerID],Customers[CustomerName])</f>
        <v>Blessing Balogun</v>
      </c>
      <c r="O789" t="str">
        <f>_xlfn.XLOOKUP(Orders[[#This Row],[CustomerID]],Customers[CustomerID],Customers[Gender])</f>
        <v>Female</v>
      </c>
      <c r="P789">
        <f>_xlfn.XLOOKUP(Orders[[#This Row],[CustomerID]],Customers[CustomerID],Customers[CustomerAge])</f>
        <v>26</v>
      </c>
      <c r="Q789" t="str">
        <f>IF(Orders[[#This Row],[Age]]&gt;=35,"older","young")</f>
        <v>young</v>
      </c>
      <c r="R789" t="str">
        <f>_xlfn.XLOOKUP(Orders[[#This Row],[ProductID]],Products[ProductID],Products[ProductName])</f>
        <v>CHESS</v>
      </c>
      <c r="S789" t="str">
        <f>_xlfn.XLOOKUP(Orders[[#This Row],[ProductID]],Products!A:A,Products!C:C)</f>
        <v>Games</v>
      </c>
    </row>
    <row r="790" spans="1:19" x14ac:dyDescent="0.2">
      <c r="A790" s="4" t="s">
        <v>979</v>
      </c>
      <c r="B790" s="5">
        <v>45993</v>
      </c>
      <c r="C790" s="15">
        <f>WEEKNUM(Orders[[#This Row],[OrderDate]])</f>
        <v>49</v>
      </c>
      <c r="D790" s="4" t="s">
        <v>671</v>
      </c>
      <c r="E790" s="4" t="s">
        <v>34</v>
      </c>
      <c r="F790" s="4">
        <v>5</v>
      </c>
      <c r="G790" s="4">
        <v>13328.099999999999</v>
      </c>
      <c r="H790">
        <v>11328.884999999998</v>
      </c>
      <c r="I790">
        <f>Orders[[#This Row],[Quantity]]*Orders[[#This Row],[Selling Price]]</f>
        <v>66640.5</v>
      </c>
      <c r="J790">
        <f>Orders[[#This Row],[Quantity]]*Orders[[#This Row],[Cost Price]]</f>
        <v>56644.424999999988</v>
      </c>
      <c r="K790">
        <f>Orders[[#This Row],[Revenue]]-Orders[[#This Row],[Expenses]]</f>
        <v>9996.0750000000116</v>
      </c>
      <c r="L790" t="s">
        <v>2197</v>
      </c>
      <c r="M790" t="str">
        <f>_xlfn.XLOOKUP(Orders[[#This Row],[CustomerID]],Customers[CustomerID],Customers[City])</f>
        <v>Texas</v>
      </c>
      <c r="N790" t="str">
        <f>_xlfn.XLOOKUP(Orders[[#This Row],[CustomerID]],Customers[CustomerID],Customers[CustomerName])</f>
        <v>Tunde Abubakar</v>
      </c>
      <c r="O790" t="str">
        <f>_xlfn.XLOOKUP(Orders[[#This Row],[CustomerID]],Customers[CustomerID],Customers[Gender])</f>
        <v>Male</v>
      </c>
      <c r="P790">
        <f>_xlfn.XLOOKUP(Orders[[#This Row],[CustomerID]],Customers[CustomerID],Customers[CustomerAge])</f>
        <v>26</v>
      </c>
      <c r="Q790" t="str">
        <f>IF(Orders[[#This Row],[Age]]&gt;=35,"older","young")</f>
        <v>young</v>
      </c>
      <c r="R790" t="str">
        <f>_xlfn.XLOOKUP(Orders[[#This Row],[ProductID]],Products[ProductID],Products[ProductName])</f>
        <v>GOLD BRACELETS</v>
      </c>
      <c r="S790" t="str">
        <f>_xlfn.XLOOKUP(Orders[[#This Row],[ProductID]],Products!A:A,Products!C:C)</f>
        <v>Accessories</v>
      </c>
    </row>
    <row r="791" spans="1:19" x14ac:dyDescent="0.2">
      <c r="A791" s="4" t="s">
        <v>980</v>
      </c>
      <c r="B791" s="5">
        <v>45956</v>
      </c>
      <c r="C791" s="15">
        <f>WEEKNUM(Orders[[#This Row],[OrderDate]])</f>
        <v>44</v>
      </c>
      <c r="D791" s="4" t="s">
        <v>148</v>
      </c>
      <c r="E791" s="4" t="s">
        <v>84</v>
      </c>
      <c r="F791" s="4">
        <v>10</v>
      </c>
      <c r="G791" s="4">
        <v>4816.8</v>
      </c>
      <c r="H791">
        <v>4094.28</v>
      </c>
      <c r="I791">
        <f>Orders[[#This Row],[Quantity]]*Orders[[#This Row],[Selling Price]]</f>
        <v>48168</v>
      </c>
      <c r="J791">
        <f>Orders[[#This Row],[Quantity]]*Orders[[#This Row],[Cost Price]]</f>
        <v>40942.800000000003</v>
      </c>
      <c r="K791">
        <f>Orders[[#This Row],[Revenue]]-Orders[[#This Row],[Expenses]]</f>
        <v>7225.1999999999971</v>
      </c>
      <c r="L791" t="s">
        <v>2203</v>
      </c>
      <c r="M791" t="str">
        <f>_xlfn.XLOOKUP(Orders[[#This Row],[CustomerID]],Customers[CustomerID],Customers[City])</f>
        <v>Florida</v>
      </c>
      <c r="N791" t="str">
        <f>_xlfn.XLOOKUP(Orders[[#This Row],[CustomerID]],Customers[CustomerID],Customers[CustomerName])</f>
        <v>Zainab Abubakar</v>
      </c>
      <c r="O791" t="str">
        <f>_xlfn.XLOOKUP(Orders[[#This Row],[CustomerID]],Customers[CustomerID],Customers[Gender])</f>
        <v>Female</v>
      </c>
      <c r="P791">
        <f>_xlfn.XLOOKUP(Orders[[#This Row],[CustomerID]],Customers[CustomerID],Customers[CustomerAge])</f>
        <v>29</v>
      </c>
      <c r="Q791" t="str">
        <f>IF(Orders[[#This Row],[Age]]&gt;=35,"older","young")</f>
        <v>young</v>
      </c>
      <c r="R791" t="str">
        <f>_xlfn.XLOOKUP(Orders[[#This Row],[ProductID]],Products[ProductID],Products[ProductName])</f>
        <v>GYM WEARS</v>
      </c>
      <c r="S791" t="str">
        <f>_xlfn.XLOOKUP(Orders[[#This Row],[ProductID]],Products!A:A,Products!C:C)</f>
        <v>Clothing</v>
      </c>
    </row>
    <row r="792" spans="1:19" x14ac:dyDescent="0.2">
      <c r="A792" s="4" t="s">
        <v>981</v>
      </c>
      <c r="B792" s="5">
        <v>46003</v>
      </c>
      <c r="C792" s="15">
        <f>WEEKNUM(Orders[[#This Row],[OrderDate]])</f>
        <v>50</v>
      </c>
      <c r="D792" s="4" t="s">
        <v>282</v>
      </c>
      <c r="E792" s="4" t="s">
        <v>9</v>
      </c>
      <c r="F792" s="4">
        <v>4</v>
      </c>
      <c r="G792" s="4">
        <v>9383.7000000000007</v>
      </c>
      <c r="H792">
        <v>7976.1450000000004</v>
      </c>
      <c r="I792">
        <f>Orders[[#This Row],[Quantity]]*Orders[[#This Row],[Selling Price]]</f>
        <v>37534.800000000003</v>
      </c>
      <c r="J792">
        <f>Orders[[#This Row],[Quantity]]*Orders[[#This Row],[Cost Price]]</f>
        <v>31904.58</v>
      </c>
      <c r="K792">
        <f>Orders[[#This Row],[Revenue]]-Orders[[#This Row],[Expenses]]</f>
        <v>5630.2200000000012</v>
      </c>
      <c r="L792" t="s">
        <v>2217</v>
      </c>
      <c r="M792" t="str">
        <f>_xlfn.XLOOKUP(Orders[[#This Row],[CustomerID]],Customers[CustomerID],Customers[City])</f>
        <v>Texas</v>
      </c>
      <c r="N792" t="str">
        <f>_xlfn.XLOOKUP(Orders[[#This Row],[CustomerID]],Customers[CustomerID],Customers[CustomerName])</f>
        <v>Bisi Ojo</v>
      </c>
      <c r="O792" t="str">
        <f>_xlfn.XLOOKUP(Orders[[#This Row],[CustomerID]],Customers[CustomerID],Customers[Gender])</f>
        <v>Female</v>
      </c>
      <c r="P792">
        <f>_xlfn.XLOOKUP(Orders[[#This Row],[CustomerID]],Customers[CustomerID],Customers[CustomerAge])</f>
        <v>26</v>
      </c>
      <c r="Q792" t="str">
        <f>IF(Orders[[#This Row],[Age]]&gt;=35,"older","young")</f>
        <v>young</v>
      </c>
      <c r="R792" t="str">
        <f>_xlfn.XLOOKUP(Orders[[#This Row],[ProductID]],Products[ProductID],Products[ProductName])</f>
        <v>BEADED EARRINGS AND NECKLACES</v>
      </c>
      <c r="S792" t="str">
        <f>_xlfn.XLOOKUP(Orders[[#This Row],[ProductID]],Products!A:A,Products!C:C)</f>
        <v>Accessories</v>
      </c>
    </row>
    <row r="793" spans="1:19" x14ac:dyDescent="0.2">
      <c r="A793" s="4" t="s">
        <v>982</v>
      </c>
      <c r="B793" s="5">
        <v>46006</v>
      </c>
      <c r="C793" s="15">
        <f>WEEKNUM(Orders[[#This Row],[OrderDate]])</f>
        <v>51</v>
      </c>
      <c r="D793" s="4" t="s">
        <v>180</v>
      </c>
      <c r="E793" s="4" t="s">
        <v>34</v>
      </c>
      <c r="F793" s="4">
        <v>10</v>
      </c>
      <c r="G793" s="4">
        <v>16288.099999999999</v>
      </c>
      <c r="H793">
        <v>13844.884999999998</v>
      </c>
      <c r="I793">
        <f>Orders[[#This Row],[Quantity]]*Orders[[#This Row],[Selling Price]]</f>
        <v>162881</v>
      </c>
      <c r="J793">
        <f>Orders[[#This Row],[Quantity]]*Orders[[#This Row],[Cost Price]]</f>
        <v>138448.84999999998</v>
      </c>
      <c r="K793">
        <f>Orders[[#This Row],[Revenue]]-Orders[[#This Row],[Expenses]]</f>
        <v>24432.150000000023</v>
      </c>
      <c r="L793" t="s">
        <v>2205</v>
      </c>
      <c r="M793" t="str">
        <f>_xlfn.XLOOKUP(Orders[[#This Row],[CustomerID]],Customers[CustomerID],Customers[City])</f>
        <v>Texas</v>
      </c>
      <c r="N793" t="str">
        <f>_xlfn.XLOOKUP(Orders[[#This Row],[CustomerID]],Customers[CustomerID],Customers[CustomerName])</f>
        <v>Jide Okonkwo</v>
      </c>
      <c r="O793" t="str">
        <f>_xlfn.XLOOKUP(Orders[[#This Row],[CustomerID]],Customers[CustomerID],Customers[Gender])</f>
        <v>Male</v>
      </c>
      <c r="P793">
        <f>_xlfn.XLOOKUP(Orders[[#This Row],[CustomerID]],Customers[CustomerID],Customers[CustomerAge])</f>
        <v>25</v>
      </c>
      <c r="Q793" t="str">
        <f>IF(Orders[[#This Row],[Age]]&gt;=35,"older","young")</f>
        <v>young</v>
      </c>
      <c r="R793" t="str">
        <f>_xlfn.XLOOKUP(Orders[[#This Row],[ProductID]],Products[ProductID],Products[ProductName])</f>
        <v>GOLD BRACELETS</v>
      </c>
      <c r="S793" t="str">
        <f>_xlfn.XLOOKUP(Orders[[#This Row],[ProductID]],Products!A:A,Products!C:C)</f>
        <v>Accessories</v>
      </c>
    </row>
    <row r="794" spans="1:19" x14ac:dyDescent="0.2">
      <c r="A794" s="4" t="s">
        <v>983</v>
      </c>
      <c r="B794" s="5">
        <v>45944</v>
      </c>
      <c r="C794" s="15">
        <f>WEEKNUM(Orders[[#This Row],[OrderDate]])</f>
        <v>42</v>
      </c>
      <c r="D794" s="4" t="s">
        <v>134</v>
      </c>
      <c r="E794" s="4" t="s">
        <v>12</v>
      </c>
      <c r="F794" s="4">
        <v>6</v>
      </c>
      <c r="G794" s="4">
        <v>2286.5</v>
      </c>
      <c r="H794">
        <v>1943.5250000000001</v>
      </c>
      <c r="I794">
        <f>Orders[[#This Row],[Quantity]]*Orders[[#This Row],[Selling Price]]</f>
        <v>13719</v>
      </c>
      <c r="J794">
        <f>Orders[[#This Row],[Quantity]]*Orders[[#This Row],[Cost Price]]</f>
        <v>11661.150000000001</v>
      </c>
      <c r="K794">
        <f>Orders[[#This Row],[Revenue]]-Orders[[#This Row],[Expenses]]</f>
        <v>2057.8499999999985</v>
      </c>
      <c r="L794" t="s">
        <v>2199</v>
      </c>
      <c r="M794" t="str">
        <f>_xlfn.XLOOKUP(Orders[[#This Row],[CustomerID]],Customers[CustomerID],Customers[City])</f>
        <v>Florida</v>
      </c>
      <c r="N794" t="str">
        <f>_xlfn.XLOOKUP(Orders[[#This Row],[CustomerID]],Customers[CustomerID],Customers[CustomerName])</f>
        <v>Ngozi Ojo</v>
      </c>
      <c r="O794" t="str">
        <f>_xlfn.XLOOKUP(Orders[[#This Row],[CustomerID]],Customers[CustomerID],Customers[Gender])</f>
        <v>Female</v>
      </c>
      <c r="P794">
        <f>_xlfn.XLOOKUP(Orders[[#This Row],[CustomerID]],Customers[CustomerID],Customers[CustomerAge])</f>
        <v>18</v>
      </c>
      <c r="Q794" t="str">
        <f>IF(Orders[[#This Row],[Age]]&gt;=35,"older","young")</f>
        <v>young</v>
      </c>
      <c r="R794" t="str">
        <f>_xlfn.XLOOKUP(Orders[[#This Row],[ProductID]],Products[ProductID],Products[ProductName])</f>
        <v>BOUBOU</v>
      </c>
      <c r="S794" t="str">
        <f>_xlfn.XLOOKUP(Orders[[#This Row],[ProductID]],Products!A:A,Products!C:C)</f>
        <v>Clothing</v>
      </c>
    </row>
    <row r="795" spans="1:19" x14ac:dyDescent="0.2">
      <c r="A795" s="4" t="s">
        <v>984</v>
      </c>
      <c r="B795" s="5">
        <v>45938</v>
      </c>
      <c r="C795" s="15">
        <f>WEEKNUM(Orders[[#This Row],[OrderDate]])</f>
        <v>41</v>
      </c>
      <c r="D795" s="4" t="s">
        <v>244</v>
      </c>
      <c r="E795" s="4" t="s">
        <v>66</v>
      </c>
      <c r="F795" s="4">
        <v>1</v>
      </c>
      <c r="G795" s="4">
        <v>14319.8</v>
      </c>
      <c r="H795">
        <v>12171.83</v>
      </c>
      <c r="I795">
        <f>Orders[[#This Row],[Quantity]]*Orders[[#This Row],[Selling Price]]</f>
        <v>14319.8</v>
      </c>
      <c r="J795">
        <f>Orders[[#This Row],[Quantity]]*Orders[[#This Row],[Cost Price]]</f>
        <v>12171.83</v>
      </c>
      <c r="K795">
        <f>Orders[[#This Row],[Revenue]]-Orders[[#This Row],[Expenses]]</f>
        <v>2147.9699999999993</v>
      </c>
      <c r="L795" t="s">
        <v>2209</v>
      </c>
      <c r="M795" t="str">
        <f>_xlfn.XLOOKUP(Orders[[#This Row],[CustomerID]],Customers[CustomerID],Customers[City])</f>
        <v>Texas</v>
      </c>
      <c r="N795" t="str">
        <f>_xlfn.XLOOKUP(Orders[[#This Row],[CustomerID]],Customers[CustomerID],Customers[CustomerName])</f>
        <v>Zainab Abubakar</v>
      </c>
      <c r="O795" t="str">
        <f>_xlfn.XLOOKUP(Orders[[#This Row],[CustomerID]],Customers[CustomerID],Customers[Gender])</f>
        <v>Female</v>
      </c>
      <c r="P795">
        <f>_xlfn.XLOOKUP(Orders[[#This Row],[CustomerID]],Customers[CustomerID],Customers[CustomerAge])</f>
        <v>33</v>
      </c>
      <c r="Q795" t="str">
        <f>IF(Orders[[#This Row],[Age]]&gt;=35,"older","young")</f>
        <v>young</v>
      </c>
      <c r="R795" t="str">
        <f>_xlfn.XLOOKUP(Orders[[#This Row],[ProductID]],Products[ProductID],Products[ProductName])</f>
        <v>MICROWAVE</v>
      </c>
      <c r="S795" t="str">
        <f>_xlfn.XLOOKUP(Orders[[#This Row],[ProductID]],Products!A:A,Products!C:C)</f>
        <v>Electronics</v>
      </c>
    </row>
    <row r="796" spans="1:19" x14ac:dyDescent="0.2">
      <c r="A796" s="4" t="s">
        <v>985</v>
      </c>
      <c r="B796" s="5">
        <v>46009</v>
      </c>
      <c r="C796" s="15">
        <f>WEEKNUM(Orders[[#This Row],[OrderDate]])</f>
        <v>51</v>
      </c>
      <c r="D796" s="4" t="s">
        <v>252</v>
      </c>
      <c r="E796" s="4" t="s">
        <v>60</v>
      </c>
      <c r="F796" s="4">
        <v>8</v>
      </c>
      <c r="G796" s="4">
        <v>6289.5</v>
      </c>
      <c r="H796">
        <v>5346.0749999999998</v>
      </c>
      <c r="I796">
        <f>Orders[[#This Row],[Quantity]]*Orders[[#This Row],[Selling Price]]</f>
        <v>50316</v>
      </c>
      <c r="J796">
        <f>Orders[[#This Row],[Quantity]]*Orders[[#This Row],[Cost Price]]</f>
        <v>42768.6</v>
      </c>
      <c r="K796">
        <f>Orders[[#This Row],[Revenue]]-Orders[[#This Row],[Expenses]]</f>
        <v>7547.4000000000015</v>
      </c>
      <c r="L796" t="s">
        <v>2215</v>
      </c>
      <c r="M796" t="str">
        <f>_xlfn.XLOOKUP(Orders[[#This Row],[CustomerID]],Customers[CustomerID],Customers[City])</f>
        <v>Texas</v>
      </c>
      <c r="N796" t="str">
        <f>_xlfn.XLOOKUP(Orders[[#This Row],[CustomerID]],Customers[CustomerID],Customers[CustomerName])</f>
        <v>Chioma Adeyemi</v>
      </c>
      <c r="O796" t="str">
        <f>_xlfn.XLOOKUP(Orders[[#This Row],[CustomerID]],Customers[CustomerID],Customers[Gender])</f>
        <v>Female</v>
      </c>
      <c r="P796">
        <f>_xlfn.XLOOKUP(Orders[[#This Row],[CustomerID]],Customers[CustomerID],Customers[CustomerAge])</f>
        <v>20</v>
      </c>
      <c r="Q796" t="str">
        <f>IF(Orders[[#This Row],[Age]]&gt;=35,"older","young")</f>
        <v>young</v>
      </c>
      <c r="R796" t="str">
        <f>_xlfn.XLOOKUP(Orders[[#This Row],[ProductID]],Products[ProductID],Products[ProductName])</f>
        <v>SILVER RINGS</v>
      </c>
      <c r="S796" t="str">
        <f>_xlfn.XLOOKUP(Orders[[#This Row],[ProductID]],Products!A:A,Products!C:C)</f>
        <v>Accessories</v>
      </c>
    </row>
    <row r="797" spans="1:19" x14ac:dyDescent="0.2">
      <c r="A797" s="4" t="s">
        <v>986</v>
      </c>
      <c r="B797" s="5">
        <v>45975</v>
      </c>
      <c r="C797" s="15">
        <f>WEEKNUM(Orders[[#This Row],[OrderDate]])</f>
        <v>46</v>
      </c>
      <c r="D797" s="4" t="s">
        <v>11</v>
      </c>
      <c r="E797" s="4" t="s">
        <v>208</v>
      </c>
      <c r="F797" s="4">
        <v>5</v>
      </c>
      <c r="G797" s="4">
        <v>15382.7</v>
      </c>
      <c r="H797">
        <v>13075.295</v>
      </c>
      <c r="I797">
        <f>Orders[[#This Row],[Quantity]]*Orders[[#This Row],[Selling Price]]</f>
        <v>76913.5</v>
      </c>
      <c r="J797">
        <f>Orders[[#This Row],[Quantity]]*Orders[[#This Row],[Cost Price]]</f>
        <v>65376.474999999999</v>
      </c>
      <c r="K797">
        <f>Orders[[#This Row],[Revenue]]-Orders[[#This Row],[Expenses]]</f>
        <v>11537.025000000001</v>
      </c>
      <c r="L797" t="s">
        <v>2219</v>
      </c>
      <c r="M797" t="str">
        <f>_xlfn.XLOOKUP(Orders[[#This Row],[CustomerID]],Customers[CustomerID],Customers[City])</f>
        <v>Texas</v>
      </c>
      <c r="N797" t="str">
        <f>_xlfn.XLOOKUP(Orders[[#This Row],[CustomerID]],Customers[CustomerID],Customers[CustomerName])</f>
        <v>Efe Ojo</v>
      </c>
      <c r="O797" t="str">
        <f>_xlfn.XLOOKUP(Orders[[#This Row],[CustomerID]],Customers[CustomerID],Customers[Gender])</f>
        <v>Female</v>
      </c>
      <c r="P797">
        <f>_xlfn.XLOOKUP(Orders[[#This Row],[CustomerID]],Customers[CustomerID],Customers[CustomerAge])</f>
        <v>55</v>
      </c>
      <c r="Q797" t="str">
        <f>IF(Orders[[#This Row],[Age]]&gt;=35,"older","young")</f>
        <v>older</v>
      </c>
      <c r="R797" t="str">
        <f>_xlfn.XLOOKUP(Orders[[#This Row],[ProductID]],Products[ProductID],Products[ProductName])</f>
        <v>SKIPPING ROPE</v>
      </c>
      <c r="S797" t="str">
        <f>_xlfn.XLOOKUP(Orders[[#This Row],[ProductID]],Products!A:A,Products!C:C)</f>
        <v>Sports</v>
      </c>
    </row>
    <row r="798" spans="1:19" x14ac:dyDescent="0.2">
      <c r="A798" s="4" t="s">
        <v>987</v>
      </c>
      <c r="B798" s="5">
        <v>45934</v>
      </c>
      <c r="C798" s="15">
        <f>WEEKNUM(Orders[[#This Row],[OrderDate]])</f>
        <v>40</v>
      </c>
      <c r="D798" s="4" t="s">
        <v>78</v>
      </c>
      <c r="E798" s="4" t="s">
        <v>37</v>
      </c>
      <c r="F798" s="4">
        <v>1</v>
      </c>
      <c r="G798" s="4">
        <v>19465.099999999999</v>
      </c>
      <c r="H798">
        <v>16545.334999999999</v>
      </c>
      <c r="I798">
        <f>Orders[[#This Row],[Quantity]]*Orders[[#This Row],[Selling Price]]</f>
        <v>19465.099999999999</v>
      </c>
      <c r="J798">
        <f>Orders[[#This Row],[Quantity]]*Orders[[#This Row],[Cost Price]]</f>
        <v>16545.334999999999</v>
      </c>
      <c r="K798">
        <f>Orders[[#This Row],[Revenue]]-Orders[[#This Row],[Expenses]]</f>
        <v>2919.7649999999994</v>
      </c>
      <c r="L798" t="s">
        <v>2219</v>
      </c>
      <c r="M798" t="str">
        <f>_xlfn.XLOOKUP(Orders[[#This Row],[CustomerID]],Customers[CustomerID],Customers[City])</f>
        <v>Washington</v>
      </c>
      <c r="N798" t="str">
        <f>_xlfn.XLOOKUP(Orders[[#This Row],[CustomerID]],Customers[CustomerID],Customers[CustomerName])</f>
        <v>Chinedu Obi</v>
      </c>
      <c r="O798" t="str">
        <f>_xlfn.XLOOKUP(Orders[[#This Row],[CustomerID]],Customers[CustomerID],Customers[Gender])</f>
        <v>Male</v>
      </c>
      <c r="P798">
        <f>_xlfn.XLOOKUP(Orders[[#This Row],[CustomerID]],Customers[CustomerID],Customers[CustomerAge])</f>
        <v>38</v>
      </c>
      <c r="Q798" t="str">
        <f>IF(Orders[[#This Row],[Age]]&gt;=35,"older","young")</f>
        <v>older</v>
      </c>
      <c r="R798" t="str">
        <f>_xlfn.XLOOKUP(Orders[[#This Row],[ProductID]],Products[ProductID],Products[ProductName])</f>
        <v>IRON</v>
      </c>
      <c r="S798" t="str">
        <f>_xlfn.XLOOKUP(Orders[[#This Row],[ProductID]],Products!A:A,Products!C:C)</f>
        <v>Electronics</v>
      </c>
    </row>
    <row r="799" spans="1:19" x14ac:dyDescent="0.2">
      <c r="A799" s="4" t="s">
        <v>988</v>
      </c>
      <c r="B799" s="5">
        <v>45938</v>
      </c>
      <c r="C799" s="15">
        <f>WEEKNUM(Orders[[#This Row],[OrderDate]])</f>
        <v>41</v>
      </c>
      <c r="D799" s="4" t="s">
        <v>43</v>
      </c>
      <c r="E799" s="4" t="s">
        <v>28</v>
      </c>
      <c r="F799" s="4">
        <v>1</v>
      </c>
      <c r="G799" s="4">
        <v>15232.8</v>
      </c>
      <c r="H799">
        <v>12947.88</v>
      </c>
      <c r="I799">
        <f>Orders[[#This Row],[Quantity]]*Orders[[#This Row],[Selling Price]]</f>
        <v>15232.8</v>
      </c>
      <c r="J799">
        <f>Orders[[#This Row],[Quantity]]*Orders[[#This Row],[Cost Price]]</f>
        <v>12947.88</v>
      </c>
      <c r="K799">
        <f>Orders[[#This Row],[Revenue]]-Orders[[#This Row],[Expenses]]</f>
        <v>2284.92</v>
      </c>
      <c r="L799" t="s">
        <v>2211</v>
      </c>
      <c r="M799" t="str">
        <f>_xlfn.XLOOKUP(Orders[[#This Row],[CustomerID]],Customers[CustomerID],Customers[City])</f>
        <v>Georgia</v>
      </c>
      <c r="N799" t="str">
        <f>_xlfn.XLOOKUP(Orders[[#This Row],[CustomerID]],Customers[CustomerID],Customers[CustomerName])</f>
        <v>Mustafa Danladi</v>
      </c>
      <c r="O799" t="str">
        <f>_xlfn.XLOOKUP(Orders[[#This Row],[CustomerID]],Customers[CustomerID],Customers[Gender])</f>
        <v>Male</v>
      </c>
      <c r="P799">
        <f>_xlfn.XLOOKUP(Orders[[#This Row],[CustomerID]],Customers[CustomerID],Customers[CustomerAge])</f>
        <v>49</v>
      </c>
      <c r="Q799" t="str">
        <f>IF(Orders[[#This Row],[Age]]&gt;=35,"older","young")</f>
        <v>older</v>
      </c>
      <c r="R799" t="str">
        <f>_xlfn.XLOOKUP(Orders[[#This Row],[ProductID]],Products[ProductID],Products[ProductName])</f>
        <v>SNEAKERS</v>
      </c>
      <c r="S799" t="str">
        <f>_xlfn.XLOOKUP(Orders[[#This Row],[ProductID]],Products!A:A,Products!C:C)</f>
        <v>Sports</v>
      </c>
    </row>
    <row r="800" spans="1:19" x14ac:dyDescent="0.2">
      <c r="A800" s="4" t="s">
        <v>989</v>
      </c>
      <c r="B800" s="5">
        <v>45980</v>
      </c>
      <c r="C800" s="15">
        <f>WEEKNUM(Orders[[#This Row],[OrderDate]])</f>
        <v>47</v>
      </c>
      <c r="D800" s="4" t="s">
        <v>507</v>
      </c>
      <c r="E800" s="4" t="s">
        <v>127</v>
      </c>
      <c r="F800" s="4">
        <v>8</v>
      </c>
      <c r="G800" s="4">
        <v>15892.1</v>
      </c>
      <c r="H800">
        <v>13508.285</v>
      </c>
      <c r="I800">
        <f>Orders[[#This Row],[Quantity]]*Orders[[#This Row],[Selling Price]]</f>
        <v>127136.8</v>
      </c>
      <c r="J800">
        <f>Orders[[#This Row],[Quantity]]*Orders[[#This Row],[Cost Price]]</f>
        <v>108066.28</v>
      </c>
      <c r="K800">
        <f>Orders[[#This Row],[Revenue]]-Orders[[#This Row],[Expenses]]</f>
        <v>19070.520000000004</v>
      </c>
      <c r="L800" t="s">
        <v>2213</v>
      </c>
      <c r="M800" t="str">
        <f>_xlfn.XLOOKUP(Orders[[#This Row],[CustomerID]],Customers[CustomerID],Customers[City])</f>
        <v>Washington</v>
      </c>
      <c r="N800" t="str">
        <f>_xlfn.XLOOKUP(Orders[[#This Row],[CustomerID]],Customers[CustomerID],Customers[CustomerName])</f>
        <v>Temi Okonkwo</v>
      </c>
      <c r="O800" t="str">
        <f>_xlfn.XLOOKUP(Orders[[#This Row],[CustomerID]],Customers[CustomerID],Customers[Gender])</f>
        <v>Female</v>
      </c>
      <c r="P800">
        <f>_xlfn.XLOOKUP(Orders[[#This Row],[CustomerID]],Customers[CustomerID],Customers[CustomerAge])</f>
        <v>35</v>
      </c>
      <c r="Q800" t="str">
        <f>IF(Orders[[#This Row],[Age]]&gt;=35,"older","young")</f>
        <v>older</v>
      </c>
      <c r="R800" t="str">
        <f>_xlfn.XLOOKUP(Orders[[#This Row],[ProductID]],Products[ProductID],Products[ProductName])</f>
        <v>TOPS</v>
      </c>
      <c r="S800" t="str">
        <f>_xlfn.XLOOKUP(Orders[[#This Row],[ProductID]],Products!A:A,Products!C:C)</f>
        <v>Clothing</v>
      </c>
    </row>
    <row r="801" spans="1:19" x14ac:dyDescent="0.2">
      <c r="A801" s="4" t="s">
        <v>990</v>
      </c>
      <c r="B801" s="5">
        <v>45971</v>
      </c>
      <c r="C801" s="15">
        <f>WEEKNUM(Orders[[#This Row],[OrderDate]])</f>
        <v>46</v>
      </c>
      <c r="D801" s="4" t="s">
        <v>45</v>
      </c>
      <c r="E801" s="4" t="s">
        <v>76</v>
      </c>
      <c r="F801" s="4">
        <v>5</v>
      </c>
      <c r="G801" s="4">
        <v>2986.9</v>
      </c>
      <c r="H801">
        <v>2538.8650000000002</v>
      </c>
      <c r="I801">
        <f>Orders[[#This Row],[Quantity]]*Orders[[#This Row],[Selling Price]]</f>
        <v>14934.5</v>
      </c>
      <c r="J801">
        <f>Orders[[#This Row],[Quantity]]*Orders[[#This Row],[Cost Price]]</f>
        <v>12694.325000000001</v>
      </c>
      <c r="K801">
        <f>Orders[[#This Row],[Revenue]]-Orders[[#This Row],[Expenses]]</f>
        <v>2240.1749999999993</v>
      </c>
      <c r="L801" t="s">
        <v>2202</v>
      </c>
      <c r="M801" t="str">
        <f>_xlfn.XLOOKUP(Orders[[#This Row],[CustomerID]],Customers[CustomerID],Customers[City])</f>
        <v>Florida</v>
      </c>
      <c r="N801" t="str">
        <f>_xlfn.XLOOKUP(Orders[[#This Row],[CustomerID]],Customers[CustomerID],Customers[CustomerName])</f>
        <v>Abiola Abubakar</v>
      </c>
      <c r="O801" t="str">
        <f>_xlfn.XLOOKUP(Orders[[#This Row],[CustomerID]],Customers[CustomerID],Customers[Gender])</f>
        <v>Male</v>
      </c>
      <c r="P801">
        <f>_xlfn.XLOOKUP(Orders[[#This Row],[CustomerID]],Customers[CustomerID],Customers[CustomerAge])</f>
        <v>26</v>
      </c>
      <c r="Q801" t="str">
        <f>IF(Orders[[#This Row],[Age]]&gt;=35,"older","young")</f>
        <v>young</v>
      </c>
      <c r="R801" t="str">
        <f>_xlfn.XLOOKUP(Orders[[#This Row],[ProductID]],Products[ProductID],Products[ProductName])</f>
        <v>BLENDER</v>
      </c>
      <c r="S801" t="str">
        <f>_xlfn.XLOOKUP(Orders[[#This Row],[ProductID]],Products!A:A,Products!C:C)</f>
        <v>Electronics</v>
      </c>
    </row>
    <row r="802" spans="1:19" x14ac:dyDescent="0.2">
      <c r="A802" s="4" t="s">
        <v>991</v>
      </c>
      <c r="B802" s="5">
        <v>46019</v>
      </c>
      <c r="C802" s="15">
        <f>WEEKNUM(Orders[[#This Row],[OrderDate]])</f>
        <v>53</v>
      </c>
      <c r="D802" s="4" t="s">
        <v>8</v>
      </c>
      <c r="E802" s="4" t="s">
        <v>130</v>
      </c>
      <c r="F802" s="4">
        <v>6</v>
      </c>
      <c r="G802" s="4">
        <v>4976.2</v>
      </c>
      <c r="H802">
        <v>4229.7699999999995</v>
      </c>
      <c r="I802">
        <f>Orders[[#This Row],[Quantity]]*Orders[[#This Row],[Selling Price]]</f>
        <v>29857.199999999997</v>
      </c>
      <c r="J802">
        <f>Orders[[#This Row],[Quantity]]*Orders[[#This Row],[Cost Price]]</f>
        <v>25378.619999999995</v>
      </c>
      <c r="K802">
        <f>Orders[[#This Row],[Revenue]]-Orders[[#This Row],[Expenses]]</f>
        <v>4478.5800000000017</v>
      </c>
      <c r="L802" t="s">
        <v>2217</v>
      </c>
      <c r="M802" t="str">
        <f>_xlfn.XLOOKUP(Orders[[#This Row],[CustomerID]],Customers[CustomerID],Customers[City])</f>
        <v>Washington</v>
      </c>
      <c r="N802" t="str">
        <f>_xlfn.XLOOKUP(Orders[[#This Row],[CustomerID]],Customers[CustomerID],Customers[CustomerName])</f>
        <v>Bi si Bello</v>
      </c>
      <c r="O802" t="str">
        <f>_xlfn.XLOOKUP(Orders[[#This Row],[CustomerID]],Customers[CustomerID],Customers[Gender])</f>
        <v>Female</v>
      </c>
      <c r="P802">
        <f>_xlfn.XLOOKUP(Orders[[#This Row],[CustomerID]],Customers[CustomerID],Customers[CustomerAge])</f>
        <v>38</v>
      </c>
      <c r="Q802" t="str">
        <f>IF(Orders[[#This Row],[Age]]&gt;=35,"older","young")</f>
        <v>older</v>
      </c>
      <c r="R802" t="str">
        <f>_xlfn.XLOOKUP(Orders[[#This Row],[ProductID]],Products[ProductID],Products[ProductName])</f>
        <v>GOLD EARRINGS AND NECKLACES</v>
      </c>
      <c r="S802" t="str">
        <f>_xlfn.XLOOKUP(Orders[[#This Row],[ProductID]],Products!A:A,Products!C:C)</f>
        <v>Accessories</v>
      </c>
    </row>
    <row r="803" spans="1:19" x14ac:dyDescent="0.2">
      <c r="A803" s="4" t="s">
        <v>992</v>
      </c>
      <c r="B803" s="5">
        <v>45976</v>
      </c>
      <c r="C803" s="15">
        <f>WEEKNUM(Orders[[#This Row],[OrderDate]])</f>
        <v>46</v>
      </c>
      <c r="D803" s="4" t="s">
        <v>178</v>
      </c>
      <c r="E803" s="4" t="s">
        <v>57</v>
      </c>
      <c r="F803" s="4">
        <v>6</v>
      </c>
      <c r="G803" s="4">
        <v>11191.6</v>
      </c>
      <c r="H803">
        <v>9512.86</v>
      </c>
      <c r="I803">
        <f>Orders[[#This Row],[Quantity]]*Orders[[#This Row],[Selling Price]]</f>
        <v>67149.600000000006</v>
      </c>
      <c r="J803">
        <f>Orders[[#This Row],[Quantity]]*Orders[[#This Row],[Cost Price]]</f>
        <v>57077.16</v>
      </c>
      <c r="K803">
        <f>Orders[[#This Row],[Revenue]]-Orders[[#This Row],[Expenses]]</f>
        <v>10072.440000000002</v>
      </c>
      <c r="L803" t="s">
        <v>2205</v>
      </c>
      <c r="M803" t="str">
        <f>_xlfn.XLOOKUP(Orders[[#This Row],[CustomerID]],Customers[CustomerID],Customers[City])</f>
        <v>Florida</v>
      </c>
      <c r="N803" t="str">
        <f>_xlfn.XLOOKUP(Orders[[#This Row],[CustomerID]],Customers[CustomerID],Customers[CustomerName])</f>
        <v>Ibrahim Igwe</v>
      </c>
      <c r="O803" t="str">
        <f>_xlfn.XLOOKUP(Orders[[#This Row],[CustomerID]],Customers[CustomerID],Customers[Gender])</f>
        <v>Male</v>
      </c>
      <c r="P803">
        <f>_xlfn.XLOOKUP(Orders[[#This Row],[CustomerID]],Customers[CustomerID],Customers[CustomerAge])</f>
        <v>19</v>
      </c>
      <c r="Q803" t="str">
        <f>IF(Orders[[#This Row],[Age]]&gt;=35,"older","young")</f>
        <v>young</v>
      </c>
      <c r="R803" t="str">
        <f>_xlfn.XLOOKUP(Orders[[#This Row],[ProductID]],Products[ProductID],Products[ProductName])</f>
        <v>BADMINTON RACKET</v>
      </c>
      <c r="S803" t="str">
        <f>_xlfn.XLOOKUP(Orders[[#This Row],[ProductID]],Products!A:A,Products!C:C)</f>
        <v>Sports</v>
      </c>
    </row>
    <row r="804" spans="1:19" x14ac:dyDescent="0.2">
      <c r="A804" s="4" t="s">
        <v>993</v>
      </c>
      <c r="B804" s="5">
        <v>46013</v>
      </c>
      <c r="C804" s="15">
        <f>WEEKNUM(Orders[[#This Row],[OrderDate]])</f>
        <v>52</v>
      </c>
      <c r="D804" s="4" t="s">
        <v>552</v>
      </c>
      <c r="E804" s="4" t="s">
        <v>9</v>
      </c>
      <c r="F804" s="4">
        <v>3</v>
      </c>
      <c r="G804" s="4">
        <v>18554.599999999999</v>
      </c>
      <c r="H804">
        <v>15771.41</v>
      </c>
      <c r="I804">
        <f>Orders[[#This Row],[Quantity]]*Orders[[#This Row],[Selling Price]]</f>
        <v>55663.799999999996</v>
      </c>
      <c r="J804">
        <f>Orders[[#This Row],[Quantity]]*Orders[[#This Row],[Cost Price]]</f>
        <v>47314.229999999996</v>
      </c>
      <c r="K804">
        <f>Orders[[#This Row],[Revenue]]-Orders[[#This Row],[Expenses]]</f>
        <v>8349.57</v>
      </c>
      <c r="L804" t="s">
        <v>2199</v>
      </c>
      <c r="M804" t="str">
        <f>_xlfn.XLOOKUP(Orders[[#This Row],[CustomerID]],Customers[CustomerID],Customers[City])</f>
        <v>Georgia</v>
      </c>
      <c r="N804" t="str">
        <f>_xlfn.XLOOKUP(Orders[[#This Row],[CustomerID]],Customers[CustomerID],Customers[CustomerName])</f>
        <v>Chioma Eze</v>
      </c>
      <c r="O804" t="str">
        <f>_xlfn.XLOOKUP(Orders[[#This Row],[CustomerID]],Customers[CustomerID],Customers[Gender])</f>
        <v>Female</v>
      </c>
      <c r="P804">
        <f>_xlfn.XLOOKUP(Orders[[#This Row],[CustomerID]],Customers[CustomerID],Customers[CustomerAge])</f>
        <v>40</v>
      </c>
      <c r="Q804" t="str">
        <f>IF(Orders[[#This Row],[Age]]&gt;=35,"older","young")</f>
        <v>older</v>
      </c>
      <c r="R804" t="str">
        <f>_xlfn.XLOOKUP(Orders[[#This Row],[ProductID]],Products[ProductID],Products[ProductName])</f>
        <v>BEADED EARRINGS AND NECKLACES</v>
      </c>
      <c r="S804" t="str">
        <f>_xlfn.XLOOKUP(Orders[[#This Row],[ProductID]],Products!A:A,Products!C:C)</f>
        <v>Accessories</v>
      </c>
    </row>
    <row r="805" spans="1:19" x14ac:dyDescent="0.2">
      <c r="A805" s="4" t="s">
        <v>994</v>
      </c>
      <c r="B805" s="5">
        <v>45951</v>
      </c>
      <c r="C805" s="15">
        <f>WEEKNUM(Orders[[#This Row],[OrderDate]])</f>
        <v>43</v>
      </c>
      <c r="D805" s="4" t="s">
        <v>607</v>
      </c>
      <c r="E805" s="4" t="s">
        <v>353</v>
      </c>
      <c r="F805" s="4">
        <v>3</v>
      </c>
      <c r="G805" s="4">
        <v>8806.4</v>
      </c>
      <c r="H805">
        <v>7485.44</v>
      </c>
      <c r="I805">
        <f>Orders[[#This Row],[Quantity]]*Orders[[#This Row],[Selling Price]]</f>
        <v>26419.199999999997</v>
      </c>
      <c r="J805">
        <f>Orders[[#This Row],[Quantity]]*Orders[[#This Row],[Cost Price]]</f>
        <v>22456.32</v>
      </c>
      <c r="K805">
        <f>Orders[[#This Row],[Revenue]]-Orders[[#This Row],[Expenses]]</f>
        <v>3962.8799999999974</v>
      </c>
      <c r="L805" t="s">
        <v>2217</v>
      </c>
      <c r="M805" t="str">
        <f>_xlfn.XLOOKUP(Orders[[#This Row],[CustomerID]],Customers[CustomerID],Customers[City])</f>
        <v>Texas</v>
      </c>
      <c r="N805" t="str">
        <f>_xlfn.XLOOKUP(Orders[[#This Row],[CustomerID]],Customers[CustomerID],Customers[CustomerName])</f>
        <v>Folasade Ojo</v>
      </c>
      <c r="O805" t="str">
        <f>_xlfn.XLOOKUP(Orders[[#This Row],[CustomerID]],Customers[CustomerID],Customers[Gender])</f>
        <v>Female</v>
      </c>
      <c r="P805">
        <f>_xlfn.XLOOKUP(Orders[[#This Row],[CustomerID]],Customers[CustomerID],Customers[CustomerAge])</f>
        <v>19</v>
      </c>
      <c r="Q805" t="str">
        <f>IF(Orders[[#This Row],[Age]]&gt;=35,"older","young")</f>
        <v>young</v>
      </c>
      <c r="R805" t="str">
        <f>_xlfn.XLOOKUP(Orders[[#This Row],[ProductID]],Products[ProductID],Products[ProductName])</f>
        <v>SILVER EARRINGS AND NECKLACES</v>
      </c>
      <c r="S805" t="str">
        <f>_xlfn.XLOOKUP(Orders[[#This Row],[ProductID]],Products!A:A,Products!C:C)</f>
        <v>Accessories</v>
      </c>
    </row>
    <row r="806" spans="1:19" x14ac:dyDescent="0.2">
      <c r="A806" s="4" t="s">
        <v>995</v>
      </c>
      <c r="B806" s="5">
        <v>45977</v>
      </c>
      <c r="C806" s="15">
        <f>WEEKNUM(Orders[[#This Row],[OrderDate]])</f>
        <v>47</v>
      </c>
      <c r="D806" s="4" t="s">
        <v>305</v>
      </c>
      <c r="E806" s="4" t="s">
        <v>31</v>
      </c>
      <c r="F806" s="4">
        <v>4</v>
      </c>
      <c r="G806" s="4">
        <v>7545.2</v>
      </c>
      <c r="H806">
        <v>6413.42</v>
      </c>
      <c r="I806">
        <f>Orders[[#This Row],[Quantity]]*Orders[[#This Row],[Selling Price]]</f>
        <v>30180.799999999999</v>
      </c>
      <c r="J806">
        <f>Orders[[#This Row],[Quantity]]*Orders[[#This Row],[Cost Price]]</f>
        <v>25653.68</v>
      </c>
      <c r="K806">
        <f>Orders[[#This Row],[Revenue]]-Orders[[#This Row],[Expenses]]</f>
        <v>4527.119999999999</v>
      </c>
      <c r="L806" t="s">
        <v>2208</v>
      </c>
      <c r="M806" t="str">
        <f>_xlfn.XLOOKUP(Orders[[#This Row],[CustomerID]],Customers[CustomerID],Customers[City])</f>
        <v>California</v>
      </c>
      <c r="N806" t="str">
        <f>_xlfn.XLOOKUP(Orders[[#This Row],[CustomerID]],Customers[CustomerID],Customers[CustomerName])</f>
        <v>Tunde Danladi</v>
      </c>
      <c r="O806" t="str">
        <f>_xlfn.XLOOKUP(Orders[[#This Row],[CustomerID]],Customers[CustomerID],Customers[Gender])</f>
        <v>Male</v>
      </c>
      <c r="P806">
        <f>_xlfn.XLOOKUP(Orders[[#This Row],[CustomerID]],Customers[CustomerID],Customers[CustomerAge])</f>
        <v>40</v>
      </c>
      <c r="Q806" t="str">
        <f>IF(Orders[[#This Row],[Age]]&gt;=35,"older","young")</f>
        <v>older</v>
      </c>
      <c r="R806" t="str">
        <f>_xlfn.XLOOKUP(Orders[[#This Row],[ProductID]],Products[ProductID],Products[ProductName])</f>
        <v>KIDS GAMES</v>
      </c>
      <c r="S806" t="str">
        <f>_xlfn.XLOOKUP(Orders[[#This Row],[ProductID]],Products!A:A,Products!C:C)</f>
        <v>Games</v>
      </c>
    </row>
    <row r="807" spans="1:19" x14ac:dyDescent="0.2">
      <c r="A807" s="4" t="s">
        <v>996</v>
      </c>
      <c r="B807" s="5">
        <v>45948</v>
      </c>
      <c r="C807" s="15">
        <f>WEEKNUM(Orders[[#This Row],[OrderDate]])</f>
        <v>42</v>
      </c>
      <c r="D807" s="4" t="s">
        <v>150</v>
      </c>
      <c r="E807" s="4" t="s">
        <v>130</v>
      </c>
      <c r="F807" s="4">
        <v>1</v>
      </c>
      <c r="G807" s="4">
        <v>14154</v>
      </c>
      <c r="H807">
        <v>12030.9</v>
      </c>
      <c r="I807">
        <f>Orders[[#This Row],[Quantity]]*Orders[[#This Row],[Selling Price]]</f>
        <v>14154</v>
      </c>
      <c r="J807">
        <f>Orders[[#This Row],[Quantity]]*Orders[[#This Row],[Cost Price]]</f>
        <v>12030.9</v>
      </c>
      <c r="K807">
        <f>Orders[[#This Row],[Revenue]]-Orders[[#This Row],[Expenses]]</f>
        <v>2123.1000000000004</v>
      </c>
      <c r="L807" t="s">
        <v>2192</v>
      </c>
      <c r="M807" t="str">
        <f>_xlfn.XLOOKUP(Orders[[#This Row],[CustomerID]],Customers[CustomerID],Customers[City])</f>
        <v>Georgia</v>
      </c>
      <c r="N807" t="str">
        <f>_xlfn.XLOOKUP(Orders[[#This Row],[CustomerID]],Customers[CustomerID],Customers[CustomerName])</f>
        <v>Ronke Eze</v>
      </c>
      <c r="O807" t="str">
        <f>_xlfn.XLOOKUP(Orders[[#This Row],[CustomerID]],Customers[CustomerID],Customers[Gender])</f>
        <v>Female</v>
      </c>
      <c r="P807">
        <f>_xlfn.XLOOKUP(Orders[[#This Row],[CustomerID]],Customers[CustomerID],Customers[CustomerAge])</f>
        <v>23</v>
      </c>
      <c r="Q807" t="str">
        <f>IF(Orders[[#This Row],[Age]]&gt;=35,"older","young")</f>
        <v>young</v>
      </c>
      <c r="R807" t="str">
        <f>_xlfn.XLOOKUP(Orders[[#This Row],[ProductID]],Products[ProductID],Products[ProductName])</f>
        <v>GOLD EARRINGS AND NECKLACES</v>
      </c>
      <c r="S807" t="str">
        <f>_xlfn.XLOOKUP(Orders[[#This Row],[ProductID]],Products!A:A,Products!C:C)</f>
        <v>Accessories</v>
      </c>
    </row>
    <row r="808" spans="1:19" x14ac:dyDescent="0.2">
      <c r="A808" s="4" t="s">
        <v>997</v>
      </c>
      <c r="B808" s="5">
        <v>45978</v>
      </c>
      <c r="C808" s="15">
        <f>WEEKNUM(Orders[[#This Row],[OrderDate]])</f>
        <v>47</v>
      </c>
      <c r="D808" s="4" t="s">
        <v>180</v>
      </c>
      <c r="E808" s="4" t="s">
        <v>20</v>
      </c>
      <c r="F808" s="4">
        <v>10</v>
      </c>
      <c r="G808" s="4">
        <v>5149.2999999999993</v>
      </c>
      <c r="H808">
        <v>4376.9049999999997</v>
      </c>
      <c r="I808">
        <f>Orders[[#This Row],[Quantity]]*Orders[[#This Row],[Selling Price]]</f>
        <v>51492.999999999993</v>
      </c>
      <c r="J808">
        <f>Orders[[#This Row],[Quantity]]*Orders[[#This Row],[Cost Price]]</f>
        <v>43769.049999999996</v>
      </c>
      <c r="K808">
        <f>Orders[[#This Row],[Revenue]]-Orders[[#This Row],[Expenses]]</f>
        <v>7723.9499999999971</v>
      </c>
      <c r="L808" t="s">
        <v>2195</v>
      </c>
      <c r="M808" t="str">
        <f>_xlfn.XLOOKUP(Orders[[#This Row],[CustomerID]],Customers[CustomerID],Customers[City])</f>
        <v>Texas</v>
      </c>
      <c r="N808" t="str">
        <f>_xlfn.XLOOKUP(Orders[[#This Row],[CustomerID]],Customers[CustomerID],Customers[CustomerName])</f>
        <v>Jide Okonkwo</v>
      </c>
      <c r="O808" t="str">
        <f>_xlfn.XLOOKUP(Orders[[#This Row],[CustomerID]],Customers[CustomerID],Customers[Gender])</f>
        <v>Male</v>
      </c>
      <c r="P808">
        <f>_xlfn.XLOOKUP(Orders[[#This Row],[CustomerID]],Customers[CustomerID],Customers[CustomerAge])</f>
        <v>25</v>
      </c>
      <c r="Q808" t="str">
        <f>IF(Orders[[#This Row],[Age]]&gt;=35,"older","young")</f>
        <v>young</v>
      </c>
      <c r="R808" t="str">
        <f>_xlfn.XLOOKUP(Orders[[#This Row],[ProductID]],Products[ProductID],Products[ProductName])</f>
        <v>GYM BAG</v>
      </c>
      <c r="S808" t="str">
        <f>_xlfn.XLOOKUP(Orders[[#This Row],[ProductID]],Products!A:A,Products!C:C)</f>
        <v>Gym</v>
      </c>
    </row>
    <row r="809" spans="1:19" x14ac:dyDescent="0.2">
      <c r="A809" s="4" t="s">
        <v>998</v>
      </c>
      <c r="B809" s="5">
        <v>45938</v>
      </c>
      <c r="C809" s="15">
        <f>WEEKNUM(Orders[[#This Row],[OrderDate]])</f>
        <v>41</v>
      </c>
      <c r="D809" s="4" t="s">
        <v>400</v>
      </c>
      <c r="E809" s="4" t="s">
        <v>92</v>
      </c>
      <c r="F809" s="4">
        <v>8</v>
      </c>
      <c r="G809" s="4">
        <v>18910.7</v>
      </c>
      <c r="H809">
        <v>16074.095000000001</v>
      </c>
      <c r="I809">
        <f>Orders[[#This Row],[Quantity]]*Orders[[#This Row],[Selling Price]]</f>
        <v>151285.6</v>
      </c>
      <c r="J809">
        <f>Orders[[#This Row],[Quantity]]*Orders[[#This Row],[Cost Price]]</f>
        <v>128592.76000000001</v>
      </c>
      <c r="K809">
        <f>Orders[[#This Row],[Revenue]]-Orders[[#This Row],[Expenses]]</f>
        <v>22692.839999999997</v>
      </c>
      <c r="L809" t="s">
        <v>2200</v>
      </c>
      <c r="M809" t="str">
        <f>_xlfn.XLOOKUP(Orders[[#This Row],[CustomerID]],Customers[CustomerID],Customers[City])</f>
        <v>Florida</v>
      </c>
      <c r="N809" t="str">
        <f>_xlfn.XLOOKUP(Orders[[#This Row],[CustomerID]],Customers[CustomerID],Customers[CustomerName])</f>
        <v>Obi Igwe</v>
      </c>
      <c r="O809" t="str">
        <f>_xlfn.XLOOKUP(Orders[[#This Row],[CustomerID]],Customers[CustomerID],Customers[Gender])</f>
        <v>Male</v>
      </c>
      <c r="P809">
        <f>_xlfn.XLOOKUP(Orders[[#This Row],[CustomerID]],Customers[CustomerID],Customers[CustomerAge])</f>
        <v>35</v>
      </c>
      <c r="Q809" t="str">
        <f>IF(Orders[[#This Row],[Age]]&gt;=35,"older","young")</f>
        <v>older</v>
      </c>
      <c r="R809" t="str">
        <f>_xlfn.XLOOKUP(Orders[[#This Row],[ProductID]],Products[ProductID],Products[ProductName])</f>
        <v>CHEST EXPANDER</v>
      </c>
      <c r="S809" t="str">
        <f>_xlfn.XLOOKUP(Orders[[#This Row],[ProductID]],Products!A:A,Products!C:C)</f>
        <v>Gym</v>
      </c>
    </row>
    <row r="810" spans="1:19" x14ac:dyDescent="0.2">
      <c r="A810" s="4" t="s">
        <v>999</v>
      </c>
      <c r="B810" s="5">
        <v>46007</v>
      </c>
      <c r="C810" s="15">
        <f>WEEKNUM(Orders[[#This Row],[OrderDate]])</f>
        <v>51</v>
      </c>
      <c r="D810" s="4" t="s">
        <v>383</v>
      </c>
      <c r="E810" s="4" t="s">
        <v>76</v>
      </c>
      <c r="F810" s="4">
        <v>8</v>
      </c>
      <c r="G810" s="4">
        <v>18000.599999999999</v>
      </c>
      <c r="H810">
        <v>15300.509999999998</v>
      </c>
      <c r="I810">
        <f>Orders[[#This Row],[Quantity]]*Orders[[#This Row],[Selling Price]]</f>
        <v>144004.79999999999</v>
      </c>
      <c r="J810">
        <f>Orders[[#This Row],[Quantity]]*Orders[[#This Row],[Cost Price]]</f>
        <v>122404.07999999999</v>
      </c>
      <c r="K810">
        <f>Orders[[#This Row],[Revenue]]-Orders[[#This Row],[Expenses]]</f>
        <v>21600.720000000001</v>
      </c>
      <c r="L810" t="s">
        <v>2215</v>
      </c>
      <c r="M810" t="str">
        <f>_xlfn.XLOOKUP(Orders[[#This Row],[CustomerID]],Customers[CustomerID],Customers[City])</f>
        <v>Florida</v>
      </c>
      <c r="N810" t="str">
        <f>_xlfn.XLOOKUP(Orders[[#This Row],[CustomerID]],Customers[CustomerID],Customers[CustomerName])</f>
        <v>Ibrahim Balogun</v>
      </c>
      <c r="O810" t="str">
        <f>_xlfn.XLOOKUP(Orders[[#This Row],[CustomerID]],Customers[CustomerID],Customers[Gender])</f>
        <v>Male</v>
      </c>
      <c r="P810">
        <f>_xlfn.XLOOKUP(Orders[[#This Row],[CustomerID]],Customers[CustomerID],Customers[CustomerAge])</f>
        <v>27</v>
      </c>
      <c r="Q810" t="str">
        <f>IF(Orders[[#This Row],[Age]]&gt;=35,"older","young")</f>
        <v>young</v>
      </c>
      <c r="R810" t="str">
        <f>_xlfn.XLOOKUP(Orders[[#This Row],[ProductID]],Products[ProductID],Products[ProductName])</f>
        <v>BLENDER</v>
      </c>
      <c r="S810" t="str">
        <f>_xlfn.XLOOKUP(Orders[[#This Row],[ProductID]],Products!A:A,Products!C:C)</f>
        <v>Electronics</v>
      </c>
    </row>
    <row r="811" spans="1:19" x14ac:dyDescent="0.2">
      <c r="A811" s="4" t="s">
        <v>1000</v>
      </c>
      <c r="B811" s="5">
        <v>45960</v>
      </c>
      <c r="C811" s="15">
        <f>WEEKNUM(Orders[[#This Row],[OrderDate]])</f>
        <v>44</v>
      </c>
      <c r="D811" s="4" t="s">
        <v>229</v>
      </c>
      <c r="E811" s="4" t="s">
        <v>70</v>
      </c>
      <c r="F811" s="4">
        <v>2</v>
      </c>
      <c r="G811" s="4">
        <v>19862</v>
      </c>
      <c r="H811">
        <v>16882.7</v>
      </c>
      <c r="I811">
        <f>Orders[[#This Row],[Quantity]]*Orders[[#This Row],[Selling Price]]</f>
        <v>39724</v>
      </c>
      <c r="J811">
        <f>Orders[[#This Row],[Quantity]]*Orders[[#This Row],[Cost Price]]</f>
        <v>33765.4</v>
      </c>
      <c r="K811">
        <f>Orders[[#This Row],[Revenue]]-Orders[[#This Row],[Expenses]]</f>
        <v>5958.5999999999985</v>
      </c>
      <c r="L811" t="s">
        <v>2202</v>
      </c>
      <c r="M811" t="str">
        <f>_xlfn.XLOOKUP(Orders[[#This Row],[CustomerID]],Customers[CustomerID],Customers[City])</f>
        <v>Florida</v>
      </c>
      <c r="N811" t="str">
        <f>_xlfn.XLOOKUP(Orders[[#This Row],[CustomerID]],Customers[CustomerID],Customers[CustomerName])</f>
        <v>Uche Abubakar</v>
      </c>
      <c r="O811" t="str">
        <f>_xlfn.XLOOKUP(Orders[[#This Row],[CustomerID]],Customers[CustomerID],Customers[Gender])</f>
        <v>Male</v>
      </c>
      <c r="P811">
        <f>_xlfn.XLOOKUP(Orders[[#This Row],[CustomerID]],Customers[CustomerID],Customers[CustomerAge])</f>
        <v>43</v>
      </c>
      <c r="Q811" t="str">
        <f>IF(Orders[[#This Row],[Age]]&gt;=35,"older","young")</f>
        <v>older</v>
      </c>
      <c r="R811" t="str">
        <f>_xlfn.XLOOKUP(Orders[[#This Row],[ProductID]],Products[ProductID],Products[ProductName])</f>
        <v>YOGA MAT</v>
      </c>
      <c r="S811" t="str">
        <f>_xlfn.XLOOKUP(Orders[[#This Row],[ProductID]],Products!A:A,Products!C:C)</f>
        <v>Gym</v>
      </c>
    </row>
    <row r="812" spans="1:19" x14ac:dyDescent="0.2">
      <c r="A812" s="4" t="s">
        <v>1001</v>
      </c>
      <c r="B812" s="5">
        <v>46005</v>
      </c>
      <c r="C812" s="15">
        <f>WEEKNUM(Orders[[#This Row],[OrderDate]])</f>
        <v>51</v>
      </c>
      <c r="D812" s="4" t="s">
        <v>346</v>
      </c>
      <c r="E812" s="4" t="s">
        <v>12</v>
      </c>
      <c r="F812" s="4">
        <v>3</v>
      </c>
      <c r="G812" s="4">
        <v>1945.3999999999999</v>
      </c>
      <c r="H812">
        <v>1653.59</v>
      </c>
      <c r="I812">
        <f>Orders[[#This Row],[Quantity]]*Orders[[#This Row],[Selling Price]]</f>
        <v>5836.2</v>
      </c>
      <c r="J812">
        <f>Orders[[#This Row],[Quantity]]*Orders[[#This Row],[Cost Price]]</f>
        <v>4960.7699999999995</v>
      </c>
      <c r="K812">
        <f>Orders[[#This Row],[Revenue]]-Orders[[#This Row],[Expenses]]</f>
        <v>875.43000000000029</v>
      </c>
      <c r="L812" t="s">
        <v>2199</v>
      </c>
      <c r="M812" t="str">
        <f>_xlfn.XLOOKUP(Orders[[#This Row],[CustomerID]],Customers[CustomerID],Customers[City])</f>
        <v>California</v>
      </c>
      <c r="N812" t="str">
        <f>_xlfn.XLOOKUP(Orders[[#This Row],[CustomerID]],Customers[CustomerID],Customers[CustomerName])</f>
        <v>Ngozi Danladi</v>
      </c>
      <c r="O812" t="str">
        <f>_xlfn.XLOOKUP(Orders[[#This Row],[CustomerID]],Customers[CustomerID],Customers[Gender])</f>
        <v>Female</v>
      </c>
      <c r="P812">
        <f>_xlfn.XLOOKUP(Orders[[#This Row],[CustomerID]],Customers[CustomerID],Customers[CustomerAge])</f>
        <v>30</v>
      </c>
      <c r="Q812" t="str">
        <f>IF(Orders[[#This Row],[Age]]&gt;=35,"older","young")</f>
        <v>young</v>
      </c>
      <c r="R812" t="str">
        <f>_xlfn.XLOOKUP(Orders[[#This Row],[ProductID]],Products[ProductID],Products[ProductName])</f>
        <v>BOUBOU</v>
      </c>
      <c r="S812" t="str">
        <f>_xlfn.XLOOKUP(Orders[[#This Row],[ProductID]],Products!A:A,Products!C:C)</f>
        <v>Clothing</v>
      </c>
    </row>
    <row r="813" spans="1:19" x14ac:dyDescent="0.2">
      <c r="A813" s="4" t="s">
        <v>1002</v>
      </c>
      <c r="B813" s="5">
        <v>46004</v>
      </c>
      <c r="C813" s="15">
        <f>WEEKNUM(Orders[[#This Row],[OrderDate]])</f>
        <v>50</v>
      </c>
      <c r="D813" s="4" t="s">
        <v>161</v>
      </c>
      <c r="E813" s="4" t="s">
        <v>57</v>
      </c>
      <c r="F813" s="4">
        <v>4</v>
      </c>
      <c r="G813" s="4">
        <v>2450.4</v>
      </c>
      <c r="H813">
        <v>2082.84</v>
      </c>
      <c r="I813">
        <f>Orders[[#This Row],[Quantity]]*Orders[[#This Row],[Selling Price]]</f>
        <v>9801.6</v>
      </c>
      <c r="J813">
        <f>Orders[[#This Row],[Quantity]]*Orders[[#This Row],[Cost Price]]</f>
        <v>8331.36</v>
      </c>
      <c r="K813">
        <f>Orders[[#This Row],[Revenue]]-Orders[[#This Row],[Expenses]]</f>
        <v>1470.2399999999998</v>
      </c>
      <c r="L813" t="s">
        <v>2213</v>
      </c>
      <c r="M813" t="str">
        <f>_xlfn.XLOOKUP(Orders[[#This Row],[CustomerID]],Customers[CustomerID],Customers[City])</f>
        <v>Georgia</v>
      </c>
      <c r="N813" t="str">
        <f>_xlfn.XLOOKUP(Orders[[#This Row],[CustomerID]],Customers[CustomerID],Customers[CustomerName])</f>
        <v>Okon Adeyemi</v>
      </c>
      <c r="O813" t="str">
        <f>_xlfn.XLOOKUP(Orders[[#This Row],[CustomerID]],Customers[CustomerID],Customers[Gender])</f>
        <v>Male</v>
      </c>
      <c r="P813">
        <f>_xlfn.XLOOKUP(Orders[[#This Row],[CustomerID]],Customers[CustomerID],Customers[CustomerAge])</f>
        <v>31</v>
      </c>
      <c r="Q813" t="str">
        <f>IF(Orders[[#This Row],[Age]]&gt;=35,"older","young")</f>
        <v>young</v>
      </c>
      <c r="R813" t="str">
        <f>_xlfn.XLOOKUP(Orders[[#This Row],[ProductID]],Products[ProductID],Products[ProductName])</f>
        <v>BADMINTON RACKET</v>
      </c>
      <c r="S813" t="str">
        <f>_xlfn.XLOOKUP(Orders[[#This Row],[ProductID]],Products!A:A,Products!C:C)</f>
        <v>Sports</v>
      </c>
    </row>
    <row r="814" spans="1:19" x14ac:dyDescent="0.2">
      <c r="A814" s="4" t="s">
        <v>1003</v>
      </c>
      <c r="B814" s="5">
        <v>45999</v>
      </c>
      <c r="C814" s="15">
        <f>WEEKNUM(Orders[[#This Row],[OrderDate]])</f>
        <v>50</v>
      </c>
      <c r="D814" s="4" t="s">
        <v>574</v>
      </c>
      <c r="E814" s="4" t="s">
        <v>84</v>
      </c>
      <c r="F814" s="4">
        <v>2</v>
      </c>
      <c r="G814" s="4">
        <v>8082.6</v>
      </c>
      <c r="H814">
        <v>6870.21</v>
      </c>
      <c r="I814">
        <f>Orders[[#This Row],[Quantity]]*Orders[[#This Row],[Selling Price]]</f>
        <v>16165.2</v>
      </c>
      <c r="J814">
        <f>Orders[[#This Row],[Quantity]]*Orders[[#This Row],[Cost Price]]</f>
        <v>13740.42</v>
      </c>
      <c r="K814">
        <f>Orders[[#This Row],[Revenue]]-Orders[[#This Row],[Expenses]]</f>
        <v>2424.7800000000007</v>
      </c>
      <c r="L814" t="s">
        <v>2194</v>
      </c>
      <c r="M814" t="str">
        <f>_xlfn.XLOOKUP(Orders[[#This Row],[CustomerID]],Customers[CustomerID],Customers[City])</f>
        <v>Texas</v>
      </c>
      <c r="N814" t="str">
        <f>_xlfn.XLOOKUP(Orders[[#This Row],[CustomerID]],Customers[CustomerID],Customers[CustomerName])</f>
        <v>Adanma Obi</v>
      </c>
      <c r="O814" t="str">
        <f>_xlfn.XLOOKUP(Orders[[#This Row],[CustomerID]],Customers[CustomerID],Customers[Gender])</f>
        <v>Female</v>
      </c>
      <c r="P814">
        <f>_xlfn.XLOOKUP(Orders[[#This Row],[CustomerID]],Customers[CustomerID],Customers[CustomerAge])</f>
        <v>23</v>
      </c>
      <c r="Q814" t="str">
        <f>IF(Orders[[#This Row],[Age]]&gt;=35,"older","young")</f>
        <v>young</v>
      </c>
      <c r="R814" t="str">
        <f>_xlfn.XLOOKUP(Orders[[#This Row],[ProductID]],Products[ProductID],Products[ProductName])</f>
        <v>GYM WEARS</v>
      </c>
      <c r="S814" t="str">
        <f>_xlfn.XLOOKUP(Orders[[#This Row],[ProductID]],Products!A:A,Products!C:C)</f>
        <v>Clothing</v>
      </c>
    </row>
    <row r="815" spans="1:19" x14ac:dyDescent="0.2">
      <c r="A815" s="4" t="s">
        <v>1004</v>
      </c>
      <c r="B815" s="5">
        <v>46017</v>
      </c>
      <c r="C815" s="15">
        <f>WEEKNUM(Orders[[#This Row],[OrderDate]])</f>
        <v>52</v>
      </c>
      <c r="D815" s="4" t="s">
        <v>374</v>
      </c>
      <c r="E815" s="4" t="s">
        <v>70</v>
      </c>
      <c r="F815" s="4">
        <v>5</v>
      </c>
      <c r="G815" s="4">
        <v>2581.1999999999998</v>
      </c>
      <c r="H815">
        <v>2194.02</v>
      </c>
      <c r="I815">
        <f>Orders[[#This Row],[Quantity]]*Orders[[#This Row],[Selling Price]]</f>
        <v>12906</v>
      </c>
      <c r="J815">
        <f>Orders[[#This Row],[Quantity]]*Orders[[#This Row],[Cost Price]]</f>
        <v>10970.1</v>
      </c>
      <c r="K815">
        <f>Orders[[#This Row],[Revenue]]-Orders[[#This Row],[Expenses]]</f>
        <v>1935.8999999999996</v>
      </c>
      <c r="L815" t="s">
        <v>2216</v>
      </c>
      <c r="M815" t="str">
        <f>_xlfn.XLOOKUP(Orders[[#This Row],[CustomerID]],Customers[CustomerID],Customers[City])</f>
        <v>Texas</v>
      </c>
      <c r="N815" t="str">
        <f>_xlfn.XLOOKUP(Orders[[#This Row],[CustomerID]],Customers[CustomerID],Customers[CustomerName])</f>
        <v>Uche Okonkwo</v>
      </c>
      <c r="O815" t="str">
        <f>_xlfn.XLOOKUP(Orders[[#This Row],[CustomerID]],Customers[CustomerID],Customers[Gender])</f>
        <v>Male</v>
      </c>
      <c r="P815">
        <f>_xlfn.XLOOKUP(Orders[[#This Row],[CustomerID]],Customers[CustomerID],Customers[CustomerAge])</f>
        <v>27</v>
      </c>
      <c r="Q815" t="str">
        <f>IF(Orders[[#This Row],[Age]]&gt;=35,"older","young")</f>
        <v>young</v>
      </c>
      <c r="R815" t="str">
        <f>_xlfn.XLOOKUP(Orders[[#This Row],[ProductID]],Products[ProductID],Products[ProductName])</f>
        <v>YOGA MAT</v>
      </c>
      <c r="S815" t="str">
        <f>_xlfn.XLOOKUP(Orders[[#This Row],[ProductID]],Products!A:A,Products!C:C)</f>
        <v>Gym</v>
      </c>
    </row>
    <row r="816" spans="1:19" x14ac:dyDescent="0.2">
      <c r="A816" s="4" t="s">
        <v>1005</v>
      </c>
      <c r="B816" s="5">
        <v>45947</v>
      </c>
      <c r="C816" s="15">
        <f>WEEKNUM(Orders[[#This Row],[OrderDate]])</f>
        <v>42</v>
      </c>
      <c r="D816" s="4" t="s">
        <v>22</v>
      </c>
      <c r="E816" s="4" t="s">
        <v>46</v>
      </c>
      <c r="F816" s="4">
        <v>9</v>
      </c>
      <c r="G816" s="4">
        <v>1987.1000000000001</v>
      </c>
      <c r="H816">
        <v>1689.0350000000001</v>
      </c>
      <c r="I816">
        <f>Orders[[#This Row],[Quantity]]*Orders[[#This Row],[Selling Price]]</f>
        <v>17883.900000000001</v>
      </c>
      <c r="J816">
        <f>Orders[[#This Row],[Quantity]]*Orders[[#This Row],[Cost Price]]</f>
        <v>15201.315000000001</v>
      </c>
      <c r="K816">
        <f>Orders[[#This Row],[Revenue]]-Orders[[#This Row],[Expenses]]</f>
        <v>2682.5850000000009</v>
      </c>
      <c r="L816" t="s">
        <v>2201</v>
      </c>
      <c r="M816" t="str">
        <f>_xlfn.XLOOKUP(Orders[[#This Row],[CustomerID]],Customers[CustomerID],Customers[City])</f>
        <v>Texas</v>
      </c>
      <c r="N816" t="str">
        <f>_xlfn.XLOOKUP(Orders[[#This Row],[CustomerID]],Customers[CustomerID],Customers[CustomerName])</f>
        <v>Temi Bello</v>
      </c>
      <c r="O816" t="str">
        <f>_xlfn.XLOOKUP(Orders[[#This Row],[CustomerID]],Customers[CustomerID],Customers[Gender])</f>
        <v>Female</v>
      </c>
      <c r="P816">
        <f>_xlfn.XLOOKUP(Orders[[#This Row],[CustomerID]],Customers[CustomerID],Customers[CustomerAge])</f>
        <v>52</v>
      </c>
      <c r="Q816" t="str">
        <f>IF(Orders[[#This Row],[Age]]&gt;=35,"older","young")</f>
        <v>older</v>
      </c>
      <c r="R816" t="str">
        <f>_xlfn.XLOOKUP(Orders[[#This Row],[ProductID]],Products[ProductID],Products[ProductName])</f>
        <v>TURTLE NECK</v>
      </c>
      <c r="S816" t="str">
        <f>_xlfn.XLOOKUP(Orders[[#This Row],[ProductID]],Products!A:A,Products!C:C)</f>
        <v>Clothing</v>
      </c>
    </row>
    <row r="817" spans="1:19" x14ac:dyDescent="0.2">
      <c r="A817" s="4" t="s">
        <v>1006</v>
      </c>
      <c r="B817" s="5">
        <v>45944</v>
      </c>
      <c r="C817" s="15">
        <f>WEEKNUM(Orders[[#This Row],[OrderDate]])</f>
        <v>42</v>
      </c>
      <c r="D817" s="4" t="s">
        <v>156</v>
      </c>
      <c r="E817" s="4" t="s">
        <v>63</v>
      </c>
      <c r="F817" s="4">
        <v>9</v>
      </c>
      <c r="G817" s="4">
        <v>12298.199999999999</v>
      </c>
      <c r="H817">
        <v>10453.469999999999</v>
      </c>
      <c r="I817">
        <f>Orders[[#This Row],[Quantity]]*Orders[[#This Row],[Selling Price]]</f>
        <v>110683.79999999999</v>
      </c>
      <c r="J817">
        <f>Orders[[#This Row],[Quantity]]*Orders[[#This Row],[Cost Price]]</f>
        <v>94081.23</v>
      </c>
      <c r="K817">
        <f>Orders[[#This Row],[Revenue]]-Orders[[#This Row],[Expenses]]</f>
        <v>16602.569999999992</v>
      </c>
      <c r="L817" t="s">
        <v>2218</v>
      </c>
      <c r="M817" t="str">
        <f>_xlfn.XLOOKUP(Orders[[#This Row],[CustomerID]],Customers[CustomerID],Customers[City])</f>
        <v>Florida</v>
      </c>
      <c r="N817" t="str">
        <f>_xlfn.XLOOKUP(Orders[[#This Row],[CustomerID]],Customers[CustomerID],Customers[CustomerName])</f>
        <v>Obi Okonkwo</v>
      </c>
      <c r="O817" t="str">
        <f>_xlfn.XLOOKUP(Orders[[#This Row],[CustomerID]],Customers[CustomerID],Customers[Gender])</f>
        <v>Male</v>
      </c>
      <c r="P817">
        <f>_xlfn.XLOOKUP(Orders[[#This Row],[CustomerID]],Customers[CustomerID],Customers[CustomerAge])</f>
        <v>52</v>
      </c>
      <c r="Q817" t="str">
        <f>IF(Orders[[#This Row],[Age]]&gt;=35,"older","young")</f>
        <v>older</v>
      </c>
      <c r="R817" t="str">
        <f>_xlfn.XLOOKUP(Orders[[#This Row],[ProductID]],Products[ProductID],Products[ProductName])</f>
        <v>TENNIS BAT</v>
      </c>
      <c r="S817" t="str">
        <f>_xlfn.XLOOKUP(Orders[[#This Row],[ProductID]],Products!A:A,Products!C:C)</f>
        <v>Sports</v>
      </c>
    </row>
    <row r="818" spans="1:19" x14ac:dyDescent="0.2">
      <c r="A818" s="4" t="s">
        <v>1007</v>
      </c>
      <c r="B818" s="5">
        <v>45940</v>
      </c>
      <c r="C818" s="15">
        <f>WEEKNUM(Orders[[#This Row],[OrderDate]])</f>
        <v>41</v>
      </c>
      <c r="D818" s="4" t="s">
        <v>410</v>
      </c>
      <c r="E818" s="4" t="s">
        <v>168</v>
      </c>
      <c r="F818" s="4">
        <v>1</v>
      </c>
      <c r="G818" s="4">
        <v>1254.0999999999999</v>
      </c>
      <c r="H818">
        <v>1065.9849999999999</v>
      </c>
      <c r="I818">
        <f>Orders[[#This Row],[Quantity]]*Orders[[#This Row],[Selling Price]]</f>
        <v>1254.0999999999999</v>
      </c>
      <c r="J818">
        <f>Orders[[#This Row],[Quantity]]*Orders[[#This Row],[Cost Price]]</f>
        <v>1065.9849999999999</v>
      </c>
      <c r="K818">
        <f>Orders[[#This Row],[Revenue]]-Orders[[#This Row],[Expenses]]</f>
        <v>188.11500000000001</v>
      </c>
      <c r="L818" t="s">
        <v>2219</v>
      </c>
      <c r="M818" t="str">
        <f>_xlfn.XLOOKUP(Orders[[#This Row],[CustomerID]],Customers[CustomerID],Customers[City])</f>
        <v>Texas</v>
      </c>
      <c r="N818" t="str">
        <f>_xlfn.XLOOKUP(Orders[[#This Row],[CustomerID]],Customers[CustomerID],Customers[CustomerName])</f>
        <v>Jane Thomas</v>
      </c>
      <c r="O818" t="str">
        <f>_xlfn.XLOOKUP(Orders[[#This Row],[CustomerID]],Customers[CustomerID],Customers[Gender])</f>
        <v>Male</v>
      </c>
      <c r="P818">
        <f>_xlfn.XLOOKUP(Orders[[#This Row],[CustomerID]],Customers[CustomerID],Customers[CustomerAge])</f>
        <v>21</v>
      </c>
      <c r="Q818" t="str">
        <f>IF(Orders[[#This Row],[Age]]&gt;=35,"older","young")</f>
        <v>young</v>
      </c>
      <c r="R818" t="str">
        <f>_xlfn.XLOOKUP(Orders[[#This Row],[ProductID]],Products[ProductID],Products[ProductName])</f>
        <v>DUMB BELLS</v>
      </c>
      <c r="S818" t="str">
        <f>_xlfn.XLOOKUP(Orders[[#This Row],[ProductID]],Products!A:A,Products!C:C)</f>
        <v>Gym</v>
      </c>
    </row>
    <row r="819" spans="1:19" x14ac:dyDescent="0.2">
      <c r="A819" s="4" t="s">
        <v>1008</v>
      </c>
      <c r="B819" s="5">
        <v>45968</v>
      </c>
      <c r="C819" s="15">
        <f>WEEKNUM(Orders[[#This Row],[OrderDate]])</f>
        <v>45</v>
      </c>
      <c r="D819" s="4" t="s">
        <v>280</v>
      </c>
      <c r="E819" s="4" t="s">
        <v>130</v>
      </c>
      <c r="F819" s="4">
        <v>4</v>
      </c>
      <c r="G819" s="4">
        <v>12418.099999999999</v>
      </c>
      <c r="H819">
        <v>10555.384999999998</v>
      </c>
      <c r="I819">
        <f>Orders[[#This Row],[Quantity]]*Orders[[#This Row],[Selling Price]]</f>
        <v>49672.399999999994</v>
      </c>
      <c r="J819">
        <f>Orders[[#This Row],[Quantity]]*Orders[[#This Row],[Cost Price]]</f>
        <v>42221.539999999994</v>
      </c>
      <c r="K819">
        <f>Orders[[#This Row],[Revenue]]-Orders[[#This Row],[Expenses]]</f>
        <v>7450.8600000000006</v>
      </c>
      <c r="L819" t="s">
        <v>2212</v>
      </c>
      <c r="M819" t="str">
        <f>_xlfn.XLOOKUP(Orders[[#This Row],[CustomerID]],Customers[CustomerID],Customers[City])</f>
        <v>Texas</v>
      </c>
      <c r="N819" t="str">
        <f>_xlfn.XLOOKUP(Orders[[#This Row],[CustomerID]],Customers[CustomerID],Customers[CustomerName])</f>
        <v>Folasade Okonkwo</v>
      </c>
      <c r="O819" t="str">
        <f>_xlfn.XLOOKUP(Orders[[#This Row],[CustomerID]],Customers[CustomerID],Customers[Gender])</f>
        <v>Female</v>
      </c>
      <c r="P819">
        <f>_xlfn.XLOOKUP(Orders[[#This Row],[CustomerID]],Customers[CustomerID],Customers[CustomerAge])</f>
        <v>21</v>
      </c>
      <c r="Q819" t="str">
        <f>IF(Orders[[#This Row],[Age]]&gt;=35,"older","young")</f>
        <v>young</v>
      </c>
      <c r="R819" t="str">
        <f>_xlfn.XLOOKUP(Orders[[#This Row],[ProductID]],Products[ProductID],Products[ProductName])</f>
        <v>GOLD EARRINGS AND NECKLACES</v>
      </c>
      <c r="S819" t="str">
        <f>_xlfn.XLOOKUP(Orders[[#This Row],[ProductID]],Products!A:A,Products!C:C)</f>
        <v>Accessories</v>
      </c>
    </row>
    <row r="820" spans="1:19" x14ac:dyDescent="0.2">
      <c r="A820" s="4" t="s">
        <v>1009</v>
      </c>
      <c r="B820" s="5">
        <v>45978</v>
      </c>
      <c r="C820" s="15">
        <f>WEEKNUM(Orders[[#This Row],[OrderDate]])</f>
        <v>47</v>
      </c>
      <c r="D820" s="4" t="s">
        <v>156</v>
      </c>
      <c r="E820" s="4" t="s">
        <v>168</v>
      </c>
      <c r="F820" s="4">
        <v>9</v>
      </c>
      <c r="G820" s="4">
        <v>15940.1</v>
      </c>
      <c r="H820">
        <v>13549.085000000001</v>
      </c>
      <c r="I820">
        <f>Orders[[#This Row],[Quantity]]*Orders[[#This Row],[Selling Price]]</f>
        <v>143460.9</v>
      </c>
      <c r="J820">
        <f>Orders[[#This Row],[Quantity]]*Orders[[#This Row],[Cost Price]]</f>
        <v>121941.76500000001</v>
      </c>
      <c r="K820">
        <f>Orders[[#This Row],[Revenue]]-Orders[[#This Row],[Expenses]]</f>
        <v>21519.13499999998</v>
      </c>
      <c r="L820" t="s">
        <v>2201</v>
      </c>
      <c r="M820" t="str">
        <f>_xlfn.XLOOKUP(Orders[[#This Row],[CustomerID]],Customers[CustomerID],Customers[City])</f>
        <v>Florida</v>
      </c>
      <c r="N820" t="str">
        <f>_xlfn.XLOOKUP(Orders[[#This Row],[CustomerID]],Customers[CustomerID],Customers[CustomerName])</f>
        <v>Obi Okonkwo</v>
      </c>
      <c r="O820" t="str">
        <f>_xlfn.XLOOKUP(Orders[[#This Row],[CustomerID]],Customers[CustomerID],Customers[Gender])</f>
        <v>Male</v>
      </c>
      <c r="P820">
        <f>_xlfn.XLOOKUP(Orders[[#This Row],[CustomerID]],Customers[CustomerID],Customers[CustomerAge])</f>
        <v>52</v>
      </c>
      <c r="Q820" t="str">
        <f>IF(Orders[[#This Row],[Age]]&gt;=35,"older","young")</f>
        <v>older</v>
      </c>
      <c r="R820" t="str">
        <f>_xlfn.XLOOKUP(Orders[[#This Row],[ProductID]],Products[ProductID],Products[ProductName])</f>
        <v>DUMB BELLS</v>
      </c>
      <c r="S820" t="str">
        <f>_xlfn.XLOOKUP(Orders[[#This Row],[ProductID]],Products!A:A,Products!C:C)</f>
        <v>Gym</v>
      </c>
    </row>
    <row r="821" spans="1:19" x14ac:dyDescent="0.2">
      <c r="A821" s="4" t="s">
        <v>1010</v>
      </c>
      <c r="B821" s="5">
        <v>46013</v>
      </c>
      <c r="C821" s="15">
        <f>WEEKNUM(Orders[[#This Row],[OrderDate]])</f>
        <v>52</v>
      </c>
      <c r="D821" s="4" t="s">
        <v>80</v>
      </c>
      <c r="E821" s="4" t="s">
        <v>189</v>
      </c>
      <c r="F821" s="4">
        <v>9</v>
      </c>
      <c r="G821" s="4">
        <v>3937.7999999999997</v>
      </c>
      <c r="H821">
        <v>3347.1299999999997</v>
      </c>
      <c r="I821">
        <f>Orders[[#This Row],[Quantity]]*Orders[[#This Row],[Selling Price]]</f>
        <v>35440.199999999997</v>
      </c>
      <c r="J821">
        <f>Orders[[#This Row],[Quantity]]*Orders[[#This Row],[Cost Price]]</f>
        <v>30124.17</v>
      </c>
      <c r="K821">
        <f>Orders[[#This Row],[Revenue]]-Orders[[#This Row],[Expenses]]</f>
        <v>5316.0299999999988</v>
      </c>
      <c r="L821" t="s">
        <v>2196</v>
      </c>
      <c r="M821" t="str">
        <f>_xlfn.XLOOKUP(Orders[[#This Row],[CustomerID]],Customers[CustomerID],Customers[City])</f>
        <v>Texas</v>
      </c>
      <c r="N821" t="str">
        <f>_xlfn.XLOOKUP(Orders[[#This Row],[CustomerID]],Customers[CustomerID],Customers[CustomerName])</f>
        <v>Sani Ojo</v>
      </c>
      <c r="O821" t="str">
        <f>_xlfn.XLOOKUP(Orders[[#This Row],[CustomerID]],Customers[CustomerID],Customers[Gender])</f>
        <v>Male</v>
      </c>
      <c r="P821">
        <f>_xlfn.XLOOKUP(Orders[[#This Row],[CustomerID]],Customers[CustomerID],Customers[CustomerAge])</f>
        <v>35</v>
      </c>
      <c r="Q821" t="str">
        <f>IF(Orders[[#This Row],[Age]]&gt;=35,"older","young")</f>
        <v>older</v>
      </c>
      <c r="R821" t="str">
        <f>_xlfn.XLOOKUP(Orders[[#This Row],[ProductID]],Products[ProductID],Products[ProductName])</f>
        <v>SCRABBLE</v>
      </c>
      <c r="S821" t="str">
        <f>_xlfn.XLOOKUP(Orders[[#This Row],[ProductID]],Products!A:A,Products!C:C)</f>
        <v>Games</v>
      </c>
    </row>
    <row r="822" spans="1:19" x14ac:dyDescent="0.2">
      <c r="A822" s="4" t="s">
        <v>1011</v>
      </c>
      <c r="B822" s="5">
        <v>46013</v>
      </c>
      <c r="C822" s="15">
        <f>WEEKNUM(Orders[[#This Row],[OrderDate]])</f>
        <v>52</v>
      </c>
      <c r="D822" s="4" t="s">
        <v>43</v>
      </c>
      <c r="E822" s="4" t="s">
        <v>70</v>
      </c>
      <c r="F822" s="4">
        <v>4</v>
      </c>
      <c r="G822" s="4">
        <v>13935.3</v>
      </c>
      <c r="H822">
        <v>11845.004999999999</v>
      </c>
      <c r="I822">
        <f>Orders[[#This Row],[Quantity]]*Orders[[#This Row],[Selling Price]]</f>
        <v>55741.2</v>
      </c>
      <c r="J822">
        <f>Orders[[#This Row],[Quantity]]*Orders[[#This Row],[Cost Price]]</f>
        <v>47380.02</v>
      </c>
      <c r="K822">
        <f>Orders[[#This Row],[Revenue]]-Orders[[#This Row],[Expenses]]</f>
        <v>8361.18</v>
      </c>
      <c r="L822" t="s">
        <v>2205</v>
      </c>
      <c r="M822" t="str">
        <f>_xlfn.XLOOKUP(Orders[[#This Row],[CustomerID]],Customers[CustomerID],Customers[City])</f>
        <v>Georgia</v>
      </c>
      <c r="N822" t="str">
        <f>_xlfn.XLOOKUP(Orders[[#This Row],[CustomerID]],Customers[CustomerID],Customers[CustomerName])</f>
        <v>Mustafa Danladi</v>
      </c>
      <c r="O822" t="str">
        <f>_xlfn.XLOOKUP(Orders[[#This Row],[CustomerID]],Customers[CustomerID],Customers[Gender])</f>
        <v>Male</v>
      </c>
      <c r="P822">
        <f>_xlfn.XLOOKUP(Orders[[#This Row],[CustomerID]],Customers[CustomerID],Customers[CustomerAge])</f>
        <v>49</v>
      </c>
      <c r="Q822" t="str">
        <f>IF(Orders[[#This Row],[Age]]&gt;=35,"older","young")</f>
        <v>older</v>
      </c>
      <c r="R822" t="str">
        <f>_xlfn.XLOOKUP(Orders[[#This Row],[ProductID]],Products[ProductID],Products[ProductName])</f>
        <v>YOGA MAT</v>
      </c>
      <c r="S822" t="str">
        <f>_xlfn.XLOOKUP(Orders[[#This Row],[ProductID]],Products!A:A,Products!C:C)</f>
        <v>Gym</v>
      </c>
    </row>
    <row r="823" spans="1:19" x14ac:dyDescent="0.2">
      <c r="A823" s="4" t="s">
        <v>1012</v>
      </c>
      <c r="B823" s="5">
        <v>46014</v>
      </c>
      <c r="C823" s="15">
        <f>WEEKNUM(Orders[[#This Row],[OrderDate]])</f>
        <v>52</v>
      </c>
      <c r="D823" s="4" t="s">
        <v>340</v>
      </c>
      <c r="E823" s="4" t="s">
        <v>31</v>
      </c>
      <c r="F823" s="4">
        <v>7</v>
      </c>
      <c r="G823" s="4">
        <v>15809.400000000001</v>
      </c>
      <c r="H823">
        <v>13437.990000000002</v>
      </c>
      <c r="I823">
        <f>Orders[[#This Row],[Quantity]]*Orders[[#This Row],[Selling Price]]</f>
        <v>110665.80000000002</v>
      </c>
      <c r="J823">
        <f>Orders[[#This Row],[Quantity]]*Orders[[#This Row],[Cost Price]]</f>
        <v>94065.930000000008</v>
      </c>
      <c r="K823">
        <f>Orders[[#This Row],[Revenue]]-Orders[[#This Row],[Expenses]]</f>
        <v>16599.87000000001</v>
      </c>
      <c r="L823" t="s">
        <v>2198</v>
      </c>
      <c r="M823" t="str">
        <f>_xlfn.XLOOKUP(Orders[[#This Row],[CustomerID]],Customers[CustomerID],Customers[City])</f>
        <v>Illinois</v>
      </c>
      <c r="N823" t="str">
        <f>_xlfn.XLOOKUP(Orders[[#This Row],[CustomerID]],Customers[CustomerID],Customers[CustomerName])</f>
        <v>Uche Abubakar</v>
      </c>
      <c r="O823" t="str">
        <f>_xlfn.XLOOKUP(Orders[[#This Row],[CustomerID]],Customers[CustomerID],Customers[Gender])</f>
        <v>Male</v>
      </c>
      <c r="P823">
        <f>_xlfn.XLOOKUP(Orders[[#This Row],[CustomerID]],Customers[CustomerID],Customers[CustomerAge])</f>
        <v>18</v>
      </c>
      <c r="Q823" t="str">
        <f>IF(Orders[[#This Row],[Age]]&gt;=35,"older","young")</f>
        <v>young</v>
      </c>
      <c r="R823" t="str">
        <f>_xlfn.XLOOKUP(Orders[[#This Row],[ProductID]],Products[ProductID],Products[ProductName])</f>
        <v>KIDS GAMES</v>
      </c>
      <c r="S823" t="str">
        <f>_xlfn.XLOOKUP(Orders[[#This Row],[ProductID]],Products!A:A,Products!C:C)</f>
        <v>Games</v>
      </c>
    </row>
    <row r="824" spans="1:19" x14ac:dyDescent="0.2">
      <c r="A824" s="4" t="s">
        <v>1013</v>
      </c>
      <c r="B824" s="5">
        <v>45941</v>
      </c>
      <c r="C824" s="15">
        <f>WEEKNUM(Orders[[#This Row],[OrderDate]])</f>
        <v>41</v>
      </c>
      <c r="D824" s="4" t="s">
        <v>203</v>
      </c>
      <c r="E824" s="4" t="s">
        <v>60</v>
      </c>
      <c r="F824" s="4">
        <v>6</v>
      </c>
      <c r="G824" s="4">
        <v>19129.3</v>
      </c>
      <c r="H824">
        <v>16259.904999999999</v>
      </c>
      <c r="I824">
        <f>Orders[[#This Row],[Quantity]]*Orders[[#This Row],[Selling Price]]</f>
        <v>114775.79999999999</v>
      </c>
      <c r="J824">
        <f>Orders[[#This Row],[Quantity]]*Orders[[#This Row],[Cost Price]]</f>
        <v>97559.43</v>
      </c>
      <c r="K824">
        <f>Orders[[#This Row],[Revenue]]-Orders[[#This Row],[Expenses]]</f>
        <v>17216.369999999995</v>
      </c>
      <c r="L824" t="s">
        <v>2212</v>
      </c>
      <c r="M824" t="str">
        <f>_xlfn.XLOOKUP(Orders[[#This Row],[CustomerID]],Customers[CustomerID],Customers[City])</f>
        <v>Texas</v>
      </c>
      <c r="N824" t="str">
        <f>_xlfn.XLOOKUP(Orders[[#This Row],[CustomerID]],Customers[CustomerID],Customers[CustomerName])</f>
        <v>Okon Bello</v>
      </c>
      <c r="O824" t="str">
        <f>_xlfn.XLOOKUP(Orders[[#This Row],[CustomerID]],Customers[CustomerID],Customers[Gender])</f>
        <v>Male</v>
      </c>
      <c r="P824">
        <f>_xlfn.XLOOKUP(Orders[[#This Row],[CustomerID]],Customers[CustomerID],Customers[CustomerAge])</f>
        <v>20</v>
      </c>
      <c r="Q824" t="str">
        <f>IF(Orders[[#This Row],[Age]]&gt;=35,"older","young")</f>
        <v>young</v>
      </c>
      <c r="R824" t="str">
        <f>_xlfn.XLOOKUP(Orders[[#This Row],[ProductID]],Products[ProductID],Products[ProductName])</f>
        <v>SILVER RINGS</v>
      </c>
      <c r="S824" t="str">
        <f>_xlfn.XLOOKUP(Orders[[#This Row],[ProductID]],Products!A:A,Products!C:C)</f>
        <v>Accessories</v>
      </c>
    </row>
    <row r="825" spans="1:19" x14ac:dyDescent="0.2">
      <c r="A825" s="4" t="s">
        <v>1014</v>
      </c>
      <c r="B825" s="5">
        <v>45977</v>
      </c>
      <c r="C825" s="15">
        <f>WEEKNUM(Orders[[#This Row],[OrderDate]])</f>
        <v>47</v>
      </c>
      <c r="D825" s="4" t="s">
        <v>322</v>
      </c>
      <c r="E825" s="4" t="s">
        <v>28</v>
      </c>
      <c r="F825" s="4">
        <v>7</v>
      </c>
      <c r="G825" s="4">
        <v>2867.3</v>
      </c>
      <c r="H825">
        <v>2437.2049999999999</v>
      </c>
      <c r="I825">
        <f>Orders[[#This Row],[Quantity]]*Orders[[#This Row],[Selling Price]]</f>
        <v>20071.100000000002</v>
      </c>
      <c r="J825">
        <f>Orders[[#This Row],[Quantity]]*Orders[[#This Row],[Cost Price]]</f>
        <v>17060.434999999998</v>
      </c>
      <c r="K825">
        <f>Orders[[#This Row],[Revenue]]-Orders[[#This Row],[Expenses]]</f>
        <v>3010.6650000000045</v>
      </c>
      <c r="L825" t="s">
        <v>2215</v>
      </c>
      <c r="M825" t="str">
        <f>_xlfn.XLOOKUP(Orders[[#This Row],[CustomerID]],Customers[CustomerID],Customers[City])</f>
        <v>Washington</v>
      </c>
      <c r="N825" t="str">
        <f>_xlfn.XLOOKUP(Orders[[#This Row],[CustomerID]],Customers[CustomerID],Customers[CustomerName])</f>
        <v>Ngozi Bello</v>
      </c>
      <c r="O825" t="str">
        <f>_xlfn.XLOOKUP(Orders[[#This Row],[CustomerID]],Customers[CustomerID],Customers[Gender])</f>
        <v>Female</v>
      </c>
      <c r="P825">
        <f>_xlfn.XLOOKUP(Orders[[#This Row],[CustomerID]],Customers[CustomerID],Customers[CustomerAge])</f>
        <v>32</v>
      </c>
      <c r="Q825" t="str">
        <f>IF(Orders[[#This Row],[Age]]&gt;=35,"older","young")</f>
        <v>young</v>
      </c>
      <c r="R825" t="str">
        <f>_xlfn.XLOOKUP(Orders[[#This Row],[ProductID]],Products[ProductID],Products[ProductName])</f>
        <v>SNEAKERS</v>
      </c>
      <c r="S825" t="str">
        <f>_xlfn.XLOOKUP(Orders[[#This Row],[ProductID]],Products!A:A,Products!C:C)</f>
        <v>Sports</v>
      </c>
    </row>
    <row r="826" spans="1:19" x14ac:dyDescent="0.2">
      <c r="A826" s="4" t="s">
        <v>1015</v>
      </c>
      <c r="B826" s="5">
        <v>45980</v>
      </c>
      <c r="C826" s="15">
        <f>WEEKNUM(Orders[[#This Row],[OrderDate]])</f>
        <v>47</v>
      </c>
      <c r="D826" s="4" t="s">
        <v>605</v>
      </c>
      <c r="E826" s="4" t="s">
        <v>20</v>
      </c>
      <c r="F826" s="4">
        <v>7</v>
      </c>
      <c r="G826" s="4">
        <v>16762.2</v>
      </c>
      <c r="H826">
        <v>14247.87</v>
      </c>
      <c r="I826">
        <f>Orders[[#This Row],[Quantity]]*Orders[[#This Row],[Selling Price]]</f>
        <v>117335.40000000001</v>
      </c>
      <c r="J826">
        <f>Orders[[#This Row],[Quantity]]*Orders[[#This Row],[Cost Price]]</f>
        <v>99735.090000000011</v>
      </c>
      <c r="K826">
        <f>Orders[[#This Row],[Revenue]]-Orders[[#This Row],[Expenses]]</f>
        <v>17600.309999999998</v>
      </c>
      <c r="L826" t="s">
        <v>2220</v>
      </c>
      <c r="M826" t="str">
        <f>_xlfn.XLOOKUP(Orders[[#This Row],[CustomerID]],Customers[CustomerID],Customers[City])</f>
        <v>Texas</v>
      </c>
      <c r="N826" t="str">
        <f>_xlfn.XLOOKUP(Orders[[#This Row],[CustomerID]],Customers[CustomerID],Customers[CustomerName])</f>
        <v>Blessing Abubakar</v>
      </c>
      <c r="O826" t="str">
        <f>_xlfn.XLOOKUP(Orders[[#This Row],[CustomerID]],Customers[CustomerID],Customers[Gender])</f>
        <v>Female</v>
      </c>
      <c r="P826">
        <f>_xlfn.XLOOKUP(Orders[[#This Row],[CustomerID]],Customers[CustomerID],Customers[CustomerAge])</f>
        <v>44</v>
      </c>
      <c r="Q826" t="str">
        <f>IF(Orders[[#This Row],[Age]]&gt;=35,"older","young")</f>
        <v>older</v>
      </c>
      <c r="R826" t="str">
        <f>_xlfn.XLOOKUP(Orders[[#This Row],[ProductID]],Products[ProductID],Products[ProductName])</f>
        <v>GYM BAG</v>
      </c>
      <c r="S826" t="str">
        <f>_xlfn.XLOOKUP(Orders[[#This Row],[ProductID]],Products!A:A,Products!C:C)</f>
        <v>Gym</v>
      </c>
    </row>
    <row r="827" spans="1:19" x14ac:dyDescent="0.2">
      <c r="A827" s="4" t="s">
        <v>1016</v>
      </c>
      <c r="B827" s="5">
        <v>45942</v>
      </c>
      <c r="C827" s="15">
        <f>WEEKNUM(Orders[[#This Row],[OrderDate]])</f>
        <v>42</v>
      </c>
      <c r="D827" s="4" t="s">
        <v>258</v>
      </c>
      <c r="E827" s="4" t="s">
        <v>81</v>
      </c>
      <c r="F827" s="4">
        <v>2</v>
      </c>
      <c r="G827" s="4">
        <v>16468.3</v>
      </c>
      <c r="H827">
        <v>13998.055</v>
      </c>
      <c r="I827">
        <f>Orders[[#This Row],[Quantity]]*Orders[[#This Row],[Selling Price]]</f>
        <v>32936.6</v>
      </c>
      <c r="J827">
        <f>Orders[[#This Row],[Quantity]]*Orders[[#This Row],[Cost Price]]</f>
        <v>27996.11</v>
      </c>
      <c r="K827">
        <f>Orders[[#This Row],[Revenue]]-Orders[[#This Row],[Expenses]]</f>
        <v>4940.489999999998</v>
      </c>
      <c r="L827" t="s">
        <v>2209</v>
      </c>
      <c r="M827" t="str">
        <f>_xlfn.XLOOKUP(Orders[[#This Row],[CustomerID]],Customers[CustomerID],Customers[City])</f>
        <v>Washington</v>
      </c>
      <c r="N827" t="str">
        <f>_xlfn.XLOOKUP(Orders[[#This Row],[CustomerID]],Customers[CustomerID],Customers[CustomerName])</f>
        <v>Sani Abubakar</v>
      </c>
      <c r="O827" t="str">
        <f>_xlfn.XLOOKUP(Orders[[#This Row],[CustomerID]],Customers[CustomerID],Customers[Gender])</f>
        <v>Male</v>
      </c>
      <c r="P827">
        <f>_xlfn.XLOOKUP(Orders[[#This Row],[CustomerID]],Customers[CustomerID],Customers[CustomerAge])</f>
        <v>37</v>
      </c>
      <c r="Q827" t="str">
        <f>IF(Orders[[#This Row],[Age]]&gt;=35,"older","young")</f>
        <v>older</v>
      </c>
      <c r="R827" t="str">
        <f>_xlfn.XLOOKUP(Orders[[#This Row],[ProductID]],Products[ProductID],Products[ProductName])</f>
        <v>TROUSERS</v>
      </c>
      <c r="S827" t="str">
        <f>_xlfn.XLOOKUP(Orders[[#This Row],[ProductID]],Products!A:A,Products!C:C)</f>
        <v>Clothing</v>
      </c>
    </row>
    <row r="828" spans="1:19" x14ac:dyDescent="0.2">
      <c r="A828" s="4" t="s">
        <v>1017</v>
      </c>
      <c r="B828" s="5">
        <v>45935</v>
      </c>
      <c r="C828" s="15">
        <f>WEEKNUM(Orders[[#This Row],[OrderDate]])</f>
        <v>41</v>
      </c>
      <c r="D828" s="4" t="s">
        <v>324</v>
      </c>
      <c r="E828" s="4" t="s">
        <v>34</v>
      </c>
      <c r="F828" s="4">
        <v>2</v>
      </c>
      <c r="G828" s="4">
        <v>16197</v>
      </c>
      <c r="H828">
        <v>13767.45</v>
      </c>
      <c r="I828">
        <f>Orders[[#This Row],[Quantity]]*Orders[[#This Row],[Selling Price]]</f>
        <v>32394</v>
      </c>
      <c r="J828">
        <f>Orders[[#This Row],[Quantity]]*Orders[[#This Row],[Cost Price]]</f>
        <v>27534.9</v>
      </c>
      <c r="K828">
        <f>Orders[[#This Row],[Revenue]]-Orders[[#This Row],[Expenses]]</f>
        <v>4859.0999999999985</v>
      </c>
      <c r="L828" t="s">
        <v>2216</v>
      </c>
      <c r="M828" t="str">
        <f>_xlfn.XLOOKUP(Orders[[#This Row],[CustomerID]],Customers[CustomerID],Customers[City])</f>
        <v>Texas</v>
      </c>
      <c r="N828" t="str">
        <f>_xlfn.XLOOKUP(Orders[[#This Row],[CustomerID]],Customers[CustomerID],Customers[CustomerName])</f>
        <v>Tunde Okonkwo</v>
      </c>
      <c r="O828" t="str">
        <f>_xlfn.XLOOKUP(Orders[[#This Row],[CustomerID]],Customers[CustomerID],Customers[Gender])</f>
        <v>Male</v>
      </c>
      <c r="P828">
        <f>_xlfn.XLOOKUP(Orders[[#This Row],[CustomerID]],Customers[CustomerID],Customers[CustomerAge])</f>
        <v>25</v>
      </c>
      <c r="Q828" t="str">
        <f>IF(Orders[[#This Row],[Age]]&gt;=35,"older","young")</f>
        <v>young</v>
      </c>
      <c r="R828" t="str">
        <f>_xlfn.XLOOKUP(Orders[[#This Row],[ProductID]],Products[ProductID],Products[ProductName])</f>
        <v>GOLD BRACELETS</v>
      </c>
      <c r="S828" t="str">
        <f>_xlfn.XLOOKUP(Orders[[#This Row],[ProductID]],Products!A:A,Products!C:C)</f>
        <v>Accessories</v>
      </c>
    </row>
    <row r="829" spans="1:19" x14ac:dyDescent="0.2">
      <c r="A829" s="4" t="s">
        <v>1018</v>
      </c>
      <c r="B829" s="5">
        <v>45987</v>
      </c>
      <c r="C829" s="15">
        <f>WEEKNUM(Orders[[#This Row],[OrderDate]])</f>
        <v>48</v>
      </c>
      <c r="D829" s="4" t="s">
        <v>184</v>
      </c>
      <c r="E829" s="4" t="s">
        <v>31</v>
      </c>
      <c r="F829" s="4">
        <v>10</v>
      </c>
      <c r="G829" s="4">
        <v>17352.7</v>
      </c>
      <c r="H829">
        <v>14749.795</v>
      </c>
      <c r="I829">
        <f>Orders[[#This Row],[Quantity]]*Orders[[#This Row],[Selling Price]]</f>
        <v>173527</v>
      </c>
      <c r="J829">
        <f>Orders[[#This Row],[Quantity]]*Orders[[#This Row],[Cost Price]]</f>
        <v>147497.95000000001</v>
      </c>
      <c r="K829">
        <f>Orders[[#This Row],[Revenue]]-Orders[[#This Row],[Expenses]]</f>
        <v>26029.049999999988</v>
      </c>
      <c r="L829" t="s">
        <v>2192</v>
      </c>
      <c r="M829" t="str">
        <f>_xlfn.XLOOKUP(Orders[[#This Row],[CustomerID]],Customers[CustomerID],Customers[City])</f>
        <v>Washington</v>
      </c>
      <c r="N829" t="str">
        <f>_xlfn.XLOOKUP(Orders[[#This Row],[CustomerID]],Customers[CustomerID],Customers[CustomerName])</f>
        <v>Ngozi Obi</v>
      </c>
      <c r="O829" t="str">
        <f>_xlfn.XLOOKUP(Orders[[#This Row],[CustomerID]],Customers[CustomerID],Customers[Gender])</f>
        <v>Female</v>
      </c>
      <c r="P829">
        <f>_xlfn.XLOOKUP(Orders[[#This Row],[CustomerID]],Customers[CustomerID],Customers[CustomerAge])</f>
        <v>32</v>
      </c>
      <c r="Q829" t="str">
        <f>IF(Orders[[#This Row],[Age]]&gt;=35,"older","young")</f>
        <v>young</v>
      </c>
      <c r="R829" t="str">
        <f>_xlfn.XLOOKUP(Orders[[#This Row],[ProductID]],Products[ProductID],Products[ProductName])</f>
        <v>KIDS GAMES</v>
      </c>
      <c r="S829" t="str">
        <f>_xlfn.XLOOKUP(Orders[[#This Row],[ProductID]],Products!A:A,Products!C:C)</f>
        <v>Games</v>
      </c>
    </row>
    <row r="830" spans="1:19" x14ac:dyDescent="0.2">
      <c r="A830" s="4" t="s">
        <v>1019</v>
      </c>
      <c r="B830" s="5">
        <v>46009</v>
      </c>
      <c r="C830" s="15">
        <f>WEEKNUM(Orders[[#This Row],[OrderDate]])</f>
        <v>51</v>
      </c>
      <c r="D830" s="4" t="s">
        <v>605</v>
      </c>
      <c r="E830" s="4" t="s">
        <v>53</v>
      </c>
      <c r="F830" s="4">
        <v>1</v>
      </c>
      <c r="G830" s="4">
        <v>11390.1</v>
      </c>
      <c r="H830">
        <v>9681.5850000000009</v>
      </c>
      <c r="I830">
        <f>Orders[[#This Row],[Quantity]]*Orders[[#This Row],[Selling Price]]</f>
        <v>11390.1</v>
      </c>
      <c r="J830">
        <f>Orders[[#This Row],[Quantity]]*Orders[[#This Row],[Cost Price]]</f>
        <v>9681.5850000000009</v>
      </c>
      <c r="K830">
        <f>Orders[[#This Row],[Revenue]]-Orders[[#This Row],[Expenses]]</f>
        <v>1708.5149999999994</v>
      </c>
      <c r="L830" t="s">
        <v>2196</v>
      </c>
      <c r="M830" t="str">
        <f>_xlfn.XLOOKUP(Orders[[#This Row],[CustomerID]],Customers[CustomerID],Customers[City])</f>
        <v>Texas</v>
      </c>
      <c r="N830" t="str">
        <f>_xlfn.XLOOKUP(Orders[[#This Row],[CustomerID]],Customers[CustomerID],Customers[CustomerName])</f>
        <v>Blessing Abubakar</v>
      </c>
      <c r="O830" t="str">
        <f>_xlfn.XLOOKUP(Orders[[#This Row],[CustomerID]],Customers[CustomerID],Customers[Gender])</f>
        <v>Female</v>
      </c>
      <c r="P830">
        <f>_xlfn.XLOOKUP(Orders[[#This Row],[CustomerID]],Customers[CustomerID],Customers[CustomerAge])</f>
        <v>44</v>
      </c>
      <c r="Q830" t="str">
        <f>IF(Orders[[#This Row],[Age]]&gt;=35,"older","young")</f>
        <v>older</v>
      </c>
      <c r="R830" t="str">
        <f>_xlfn.XLOOKUP(Orders[[#This Row],[ProductID]],Products[ProductID],Products[ProductName])</f>
        <v>SILVER BANGLES</v>
      </c>
      <c r="S830" t="str">
        <f>_xlfn.XLOOKUP(Orders[[#This Row],[ProductID]],Products!A:A,Products!C:C)</f>
        <v>Accessories</v>
      </c>
    </row>
    <row r="831" spans="1:19" x14ac:dyDescent="0.2">
      <c r="A831" s="4" t="s">
        <v>1020</v>
      </c>
      <c r="B831" s="5">
        <v>45986</v>
      </c>
      <c r="C831" s="15">
        <f>WEEKNUM(Orders[[#This Row],[OrderDate]])</f>
        <v>48</v>
      </c>
      <c r="D831" s="4" t="s">
        <v>246</v>
      </c>
      <c r="E831" s="4" t="s">
        <v>60</v>
      </c>
      <c r="F831" s="4">
        <v>2</v>
      </c>
      <c r="G831" s="4">
        <v>12535.9</v>
      </c>
      <c r="H831">
        <v>10655.514999999999</v>
      </c>
      <c r="I831">
        <f>Orders[[#This Row],[Quantity]]*Orders[[#This Row],[Selling Price]]</f>
        <v>25071.8</v>
      </c>
      <c r="J831">
        <f>Orders[[#This Row],[Quantity]]*Orders[[#This Row],[Cost Price]]</f>
        <v>21311.03</v>
      </c>
      <c r="K831">
        <f>Orders[[#This Row],[Revenue]]-Orders[[#This Row],[Expenses]]</f>
        <v>3760.7700000000004</v>
      </c>
      <c r="L831" t="s">
        <v>2206</v>
      </c>
      <c r="M831" t="str">
        <f>_xlfn.XLOOKUP(Orders[[#This Row],[CustomerID]],Customers[CustomerID],Customers[City])</f>
        <v>Florida</v>
      </c>
      <c r="N831" t="str">
        <f>_xlfn.XLOOKUP(Orders[[#This Row],[CustomerID]],Customers[CustomerID],Customers[CustomerName])</f>
        <v>Emeka Abubakar</v>
      </c>
      <c r="O831" t="str">
        <f>_xlfn.XLOOKUP(Orders[[#This Row],[CustomerID]],Customers[CustomerID],Customers[Gender])</f>
        <v>Male</v>
      </c>
      <c r="P831">
        <f>_xlfn.XLOOKUP(Orders[[#This Row],[CustomerID]],Customers[CustomerID],Customers[CustomerAge])</f>
        <v>28</v>
      </c>
      <c r="Q831" t="str">
        <f>IF(Orders[[#This Row],[Age]]&gt;=35,"older","young")</f>
        <v>young</v>
      </c>
      <c r="R831" t="str">
        <f>_xlfn.XLOOKUP(Orders[[#This Row],[ProductID]],Products[ProductID],Products[ProductName])</f>
        <v>SILVER RINGS</v>
      </c>
      <c r="S831" t="str">
        <f>_xlfn.XLOOKUP(Orders[[#This Row],[ProductID]],Products!A:A,Products!C:C)</f>
        <v>Accessories</v>
      </c>
    </row>
    <row r="832" spans="1:19" x14ac:dyDescent="0.2">
      <c r="A832" s="4" t="s">
        <v>1021</v>
      </c>
      <c r="B832" s="5">
        <v>46011</v>
      </c>
      <c r="C832" s="15">
        <f>WEEKNUM(Orders[[#This Row],[OrderDate]])</f>
        <v>51</v>
      </c>
      <c r="D832" s="4" t="s">
        <v>132</v>
      </c>
      <c r="E832" s="4" t="s">
        <v>60</v>
      </c>
      <c r="F832" s="4">
        <v>6</v>
      </c>
      <c r="G832" s="4">
        <v>11469.8</v>
      </c>
      <c r="H832">
        <v>9749.33</v>
      </c>
      <c r="I832">
        <f>Orders[[#This Row],[Quantity]]*Orders[[#This Row],[Selling Price]]</f>
        <v>68818.799999999988</v>
      </c>
      <c r="J832">
        <f>Orders[[#This Row],[Quantity]]*Orders[[#This Row],[Cost Price]]</f>
        <v>58495.979999999996</v>
      </c>
      <c r="K832">
        <f>Orders[[#This Row],[Revenue]]-Orders[[#This Row],[Expenses]]</f>
        <v>10322.819999999992</v>
      </c>
      <c r="L832" t="s">
        <v>2204</v>
      </c>
      <c r="M832" t="str">
        <f>_xlfn.XLOOKUP(Orders[[#This Row],[CustomerID]],Customers[CustomerID],Customers[City])</f>
        <v>Illinois</v>
      </c>
      <c r="N832" t="str">
        <f>_xlfn.XLOOKUP(Orders[[#This Row],[CustomerID]],Customers[CustomerID],Customers[CustomerName])</f>
        <v>Emeka Balogun</v>
      </c>
      <c r="O832" t="str">
        <f>_xlfn.XLOOKUP(Orders[[#This Row],[CustomerID]],Customers[CustomerID],Customers[Gender])</f>
        <v>Male</v>
      </c>
      <c r="P832">
        <f>_xlfn.XLOOKUP(Orders[[#This Row],[CustomerID]],Customers[CustomerID],Customers[CustomerAge])</f>
        <v>36</v>
      </c>
      <c r="Q832" t="str">
        <f>IF(Orders[[#This Row],[Age]]&gt;=35,"older","young")</f>
        <v>older</v>
      </c>
      <c r="R832" t="str">
        <f>_xlfn.XLOOKUP(Orders[[#This Row],[ProductID]],Products[ProductID],Products[ProductName])</f>
        <v>SILVER RINGS</v>
      </c>
      <c r="S832" t="str">
        <f>_xlfn.XLOOKUP(Orders[[#This Row],[ProductID]],Products!A:A,Products!C:C)</f>
        <v>Accessories</v>
      </c>
    </row>
    <row r="833" spans="1:19" x14ac:dyDescent="0.2">
      <c r="A833" s="4" t="s">
        <v>1022</v>
      </c>
      <c r="B833" s="5">
        <v>46009</v>
      </c>
      <c r="C833" s="15">
        <f>WEEKNUM(Orders[[#This Row],[OrderDate]])</f>
        <v>51</v>
      </c>
      <c r="D833" s="4" t="s">
        <v>33</v>
      </c>
      <c r="E833" s="4" t="s">
        <v>60</v>
      </c>
      <c r="F833" s="4">
        <v>5</v>
      </c>
      <c r="G833" s="4">
        <v>8415.5999999999985</v>
      </c>
      <c r="H833">
        <v>7153.2599999999984</v>
      </c>
      <c r="I833">
        <f>Orders[[#This Row],[Quantity]]*Orders[[#This Row],[Selling Price]]</f>
        <v>42077.999999999993</v>
      </c>
      <c r="J833">
        <f>Orders[[#This Row],[Quantity]]*Orders[[#This Row],[Cost Price]]</f>
        <v>35766.299999999988</v>
      </c>
      <c r="K833">
        <f>Orders[[#This Row],[Revenue]]-Orders[[#This Row],[Expenses]]</f>
        <v>6311.7000000000044</v>
      </c>
      <c r="L833" t="s">
        <v>2204</v>
      </c>
      <c r="M833" t="str">
        <f>_xlfn.XLOOKUP(Orders[[#This Row],[CustomerID]],Customers[CustomerID],Customers[City])</f>
        <v>Texas</v>
      </c>
      <c r="N833" t="str">
        <f>_xlfn.XLOOKUP(Orders[[#This Row],[CustomerID]],Customers[CustomerID],Customers[CustomerName])</f>
        <v>Okon Balogun</v>
      </c>
      <c r="O833" t="str">
        <f>_xlfn.XLOOKUP(Orders[[#This Row],[CustomerID]],Customers[CustomerID],Customers[Gender])</f>
        <v>Male</v>
      </c>
      <c r="P833">
        <f>_xlfn.XLOOKUP(Orders[[#This Row],[CustomerID]],Customers[CustomerID],Customers[CustomerAge])</f>
        <v>28</v>
      </c>
      <c r="Q833" t="str">
        <f>IF(Orders[[#This Row],[Age]]&gt;=35,"older","young")</f>
        <v>young</v>
      </c>
      <c r="R833" t="str">
        <f>_xlfn.XLOOKUP(Orders[[#This Row],[ProductID]],Products[ProductID],Products[ProductName])</f>
        <v>SILVER RINGS</v>
      </c>
      <c r="S833" t="str">
        <f>_xlfn.XLOOKUP(Orders[[#This Row],[ProductID]],Products!A:A,Products!C:C)</f>
        <v>Accessories</v>
      </c>
    </row>
    <row r="834" spans="1:19" x14ac:dyDescent="0.2">
      <c r="A834" s="4" t="s">
        <v>1023</v>
      </c>
      <c r="B834" s="5">
        <v>45935</v>
      </c>
      <c r="C834" s="15">
        <f>WEEKNUM(Orders[[#This Row],[OrderDate]])</f>
        <v>41</v>
      </c>
      <c r="D834" s="4" t="s">
        <v>148</v>
      </c>
      <c r="E834" s="4" t="s">
        <v>31</v>
      </c>
      <c r="F834" s="4">
        <v>1</v>
      </c>
      <c r="G834" s="4">
        <v>17410.2</v>
      </c>
      <c r="H834">
        <v>14798.67</v>
      </c>
      <c r="I834">
        <f>Orders[[#This Row],[Quantity]]*Orders[[#This Row],[Selling Price]]</f>
        <v>17410.2</v>
      </c>
      <c r="J834">
        <f>Orders[[#This Row],[Quantity]]*Orders[[#This Row],[Cost Price]]</f>
        <v>14798.67</v>
      </c>
      <c r="K834">
        <f>Orders[[#This Row],[Revenue]]-Orders[[#This Row],[Expenses]]</f>
        <v>2611.5300000000007</v>
      </c>
      <c r="L834" t="s">
        <v>2193</v>
      </c>
      <c r="M834" t="str">
        <f>_xlfn.XLOOKUP(Orders[[#This Row],[CustomerID]],Customers[CustomerID],Customers[City])</f>
        <v>Florida</v>
      </c>
      <c r="N834" t="str">
        <f>_xlfn.XLOOKUP(Orders[[#This Row],[CustomerID]],Customers[CustomerID],Customers[CustomerName])</f>
        <v>Zainab Abubakar</v>
      </c>
      <c r="O834" t="str">
        <f>_xlfn.XLOOKUP(Orders[[#This Row],[CustomerID]],Customers[CustomerID],Customers[Gender])</f>
        <v>Female</v>
      </c>
      <c r="P834">
        <f>_xlfn.XLOOKUP(Orders[[#This Row],[CustomerID]],Customers[CustomerID],Customers[CustomerAge])</f>
        <v>29</v>
      </c>
      <c r="Q834" t="str">
        <f>IF(Orders[[#This Row],[Age]]&gt;=35,"older","young")</f>
        <v>young</v>
      </c>
      <c r="R834" t="str">
        <f>_xlfn.XLOOKUP(Orders[[#This Row],[ProductID]],Products[ProductID],Products[ProductName])</f>
        <v>KIDS GAMES</v>
      </c>
      <c r="S834" t="str">
        <f>_xlfn.XLOOKUP(Orders[[#This Row],[ProductID]],Products!A:A,Products!C:C)</f>
        <v>Games</v>
      </c>
    </row>
    <row r="835" spans="1:19" x14ac:dyDescent="0.2">
      <c r="A835" s="4" t="s">
        <v>1024</v>
      </c>
      <c r="B835" s="5">
        <v>45957</v>
      </c>
      <c r="C835" s="15">
        <f>WEEKNUM(Orders[[#This Row],[OrderDate]])</f>
        <v>44</v>
      </c>
      <c r="D835" s="4" t="s">
        <v>298</v>
      </c>
      <c r="E835" s="4" t="s">
        <v>63</v>
      </c>
      <c r="F835" s="4">
        <v>7</v>
      </c>
      <c r="G835" s="4">
        <v>1880.9</v>
      </c>
      <c r="H835">
        <v>1598.7650000000001</v>
      </c>
      <c r="I835">
        <f>Orders[[#This Row],[Quantity]]*Orders[[#This Row],[Selling Price]]</f>
        <v>13166.300000000001</v>
      </c>
      <c r="J835">
        <f>Orders[[#This Row],[Quantity]]*Orders[[#This Row],[Cost Price]]</f>
        <v>11191.355000000001</v>
      </c>
      <c r="K835">
        <f>Orders[[#This Row],[Revenue]]-Orders[[#This Row],[Expenses]]</f>
        <v>1974.9449999999997</v>
      </c>
      <c r="L835" t="s">
        <v>2213</v>
      </c>
      <c r="M835" t="str">
        <f>_xlfn.XLOOKUP(Orders[[#This Row],[CustomerID]],Customers[CustomerID],Customers[City])</f>
        <v>Florida</v>
      </c>
      <c r="N835" t="str">
        <f>_xlfn.XLOOKUP(Orders[[#This Row],[CustomerID]],Customers[CustomerID],Customers[CustomerName])</f>
        <v>Amina Obi</v>
      </c>
      <c r="O835" t="str">
        <f>_xlfn.XLOOKUP(Orders[[#This Row],[CustomerID]],Customers[CustomerID],Customers[Gender])</f>
        <v>Female</v>
      </c>
      <c r="P835">
        <f>_xlfn.XLOOKUP(Orders[[#This Row],[CustomerID]],Customers[CustomerID],Customers[CustomerAge])</f>
        <v>19</v>
      </c>
      <c r="Q835" t="str">
        <f>IF(Orders[[#This Row],[Age]]&gt;=35,"older","young")</f>
        <v>young</v>
      </c>
      <c r="R835" t="str">
        <f>_xlfn.XLOOKUP(Orders[[#This Row],[ProductID]],Products[ProductID],Products[ProductName])</f>
        <v>TENNIS BAT</v>
      </c>
      <c r="S835" t="str">
        <f>_xlfn.XLOOKUP(Orders[[#This Row],[ProductID]],Products!A:A,Products!C:C)</f>
        <v>Sports</v>
      </c>
    </row>
    <row r="836" spans="1:19" x14ac:dyDescent="0.2">
      <c r="A836" s="4" t="s">
        <v>1025</v>
      </c>
      <c r="B836" s="5">
        <v>46000</v>
      </c>
      <c r="C836" s="15">
        <f>WEEKNUM(Orders[[#This Row],[OrderDate]])</f>
        <v>50</v>
      </c>
      <c r="D836" s="4" t="s">
        <v>78</v>
      </c>
      <c r="E836" s="4" t="s">
        <v>92</v>
      </c>
      <c r="F836" s="4">
        <v>1</v>
      </c>
      <c r="G836" s="4">
        <v>18692.8</v>
      </c>
      <c r="H836">
        <v>15888.88</v>
      </c>
      <c r="I836">
        <f>Orders[[#This Row],[Quantity]]*Orders[[#This Row],[Selling Price]]</f>
        <v>18692.8</v>
      </c>
      <c r="J836">
        <f>Orders[[#This Row],[Quantity]]*Orders[[#This Row],[Cost Price]]</f>
        <v>15888.88</v>
      </c>
      <c r="K836">
        <f>Orders[[#This Row],[Revenue]]-Orders[[#This Row],[Expenses]]</f>
        <v>2803.92</v>
      </c>
      <c r="L836" t="s">
        <v>2196</v>
      </c>
      <c r="M836" t="str">
        <f>_xlfn.XLOOKUP(Orders[[#This Row],[CustomerID]],Customers[CustomerID],Customers[City])</f>
        <v>Washington</v>
      </c>
      <c r="N836" t="str">
        <f>_xlfn.XLOOKUP(Orders[[#This Row],[CustomerID]],Customers[CustomerID],Customers[CustomerName])</f>
        <v>Chinedu Obi</v>
      </c>
      <c r="O836" t="str">
        <f>_xlfn.XLOOKUP(Orders[[#This Row],[CustomerID]],Customers[CustomerID],Customers[Gender])</f>
        <v>Male</v>
      </c>
      <c r="P836">
        <f>_xlfn.XLOOKUP(Orders[[#This Row],[CustomerID]],Customers[CustomerID],Customers[CustomerAge])</f>
        <v>38</v>
      </c>
      <c r="Q836" t="str">
        <f>IF(Orders[[#This Row],[Age]]&gt;=35,"older","young")</f>
        <v>older</v>
      </c>
      <c r="R836" t="str">
        <f>_xlfn.XLOOKUP(Orders[[#This Row],[ProductID]],Products[ProductID],Products[ProductName])</f>
        <v>CHEST EXPANDER</v>
      </c>
      <c r="S836" t="str">
        <f>_xlfn.XLOOKUP(Orders[[#This Row],[ProductID]],Products!A:A,Products!C:C)</f>
        <v>Gym</v>
      </c>
    </row>
    <row r="837" spans="1:19" x14ac:dyDescent="0.2">
      <c r="A837" s="4" t="s">
        <v>1026</v>
      </c>
      <c r="B837" s="5">
        <v>46005</v>
      </c>
      <c r="C837" s="15">
        <f>WEEKNUM(Orders[[#This Row],[OrderDate]])</f>
        <v>51</v>
      </c>
      <c r="D837" s="4" t="s">
        <v>105</v>
      </c>
      <c r="E837" s="4" t="s">
        <v>20</v>
      </c>
      <c r="F837" s="4">
        <v>7</v>
      </c>
      <c r="G837" s="4">
        <v>12076</v>
      </c>
      <c r="H837">
        <v>10264.6</v>
      </c>
      <c r="I837">
        <f>Orders[[#This Row],[Quantity]]*Orders[[#This Row],[Selling Price]]</f>
        <v>84532</v>
      </c>
      <c r="J837">
        <f>Orders[[#This Row],[Quantity]]*Orders[[#This Row],[Cost Price]]</f>
        <v>71852.2</v>
      </c>
      <c r="K837">
        <f>Orders[[#This Row],[Revenue]]-Orders[[#This Row],[Expenses]]</f>
        <v>12679.800000000003</v>
      </c>
      <c r="L837" t="s">
        <v>2194</v>
      </c>
      <c r="M837" t="str">
        <f>_xlfn.XLOOKUP(Orders[[#This Row],[CustomerID]],Customers[CustomerID],Customers[City])</f>
        <v>Georgia</v>
      </c>
      <c r="N837" t="str">
        <f>_xlfn.XLOOKUP(Orders[[#This Row],[CustomerID]],Customers[CustomerID],Customers[CustomerName])</f>
        <v>Folasade Adeyemi</v>
      </c>
      <c r="O837" t="str">
        <f>_xlfn.XLOOKUP(Orders[[#This Row],[CustomerID]],Customers[CustomerID],Customers[Gender])</f>
        <v>Female</v>
      </c>
      <c r="P837">
        <f>_xlfn.XLOOKUP(Orders[[#This Row],[CustomerID]],Customers[CustomerID],Customers[CustomerAge])</f>
        <v>42</v>
      </c>
      <c r="Q837" t="str">
        <f>IF(Orders[[#This Row],[Age]]&gt;=35,"older","young")</f>
        <v>older</v>
      </c>
      <c r="R837" t="str">
        <f>_xlfn.XLOOKUP(Orders[[#This Row],[ProductID]],Products[ProductID],Products[ProductName])</f>
        <v>GYM BAG</v>
      </c>
      <c r="S837" t="str">
        <f>_xlfn.XLOOKUP(Orders[[#This Row],[ProductID]],Products!A:A,Products!C:C)</f>
        <v>Gym</v>
      </c>
    </row>
    <row r="838" spans="1:19" x14ac:dyDescent="0.2">
      <c r="A838" s="4" t="s">
        <v>1027</v>
      </c>
      <c r="B838" s="5">
        <v>45934</v>
      </c>
      <c r="C838" s="15">
        <f>WEEKNUM(Orders[[#This Row],[OrderDate]])</f>
        <v>40</v>
      </c>
      <c r="D838" s="4" t="s">
        <v>33</v>
      </c>
      <c r="E838" s="4" t="s">
        <v>81</v>
      </c>
      <c r="F838" s="4">
        <v>5</v>
      </c>
      <c r="G838" s="4">
        <v>10762.7</v>
      </c>
      <c r="H838">
        <v>9148.2950000000001</v>
      </c>
      <c r="I838">
        <f>Orders[[#This Row],[Quantity]]*Orders[[#This Row],[Selling Price]]</f>
        <v>53813.5</v>
      </c>
      <c r="J838">
        <f>Orders[[#This Row],[Quantity]]*Orders[[#This Row],[Cost Price]]</f>
        <v>45741.474999999999</v>
      </c>
      <c r="K838">
        <f>Orders[[#This Row],[Revenue]]-Orders[[#This Row],[Expenses]]</f>
        <v>8072.0250000000015</v>
      </c>
      <c r="L838" t="s">
        <v>2199</v>
      </c>
      <c r="M838" t="str">
        <f>_xlfn.XLOOKUP(Orders[[#This Row],[CustomerID]],Customers[CustomerID],Customers[City])</f>
        <v>Texas</v>
      </c>
      <c r="N838" t="str">
        <f>_xlfn.XLOOKUP(Orders[[#This Row],[CustomerID]],Customers[CustomerID],Customers[CustomerName])</f>
        <v>Okon Balogun</v>
      </c>
      <c r="O838" t="str">
        <f>_xlfn.XLOOKUP(Orders[[#This Row],[CustomerID]],Customers[CustomerID],Customers[Gender])</f>
        <v>Male</v>
      </c>
      <c r="P838">
        <f>_xlfn.XLOOKUP(Orders[[#This Row],[CustomerID]],Customers[CustomerID],Customers[CustomerAge])</f>
        <v>28</v>
      </c>
      <c r="Q838" t="str">
        <f>IF(Orders[[#This Row],[Age]]&gt;=35,"older","young")</f>
        <v>young</v>
      </c>
      <c r="R838" t="str">
        <f>_xlfn.XLOOKUP(Orders[[#This Row],[ProductID]],Products[ProductID],Products[ProductName])</f>
        <v>TROUSERS</v>
      </c>
      <c r="S838" t="str">
        <f>_xlfn.XLOOKUP(Orders[[#This Row],[ProductID]],Products!A:A,Products!C:C)</f>
        <v>Clothing</v>
      </c>
    </row>
    <row r="839" spans="1:19" x14ac:dyDescent="0.2">
      <c r="A839" s="4" t="s">
        <v>1028</v>
      </c>
      <c r="B839" s="5">
        <v>45962</v>
      </c>
      <c r="C839" s="15">
        <f>WEEKNUM(Orders[[#This Row],[OrderDate]])</f>
        <v>44</v>
      </c>
      <c r="D839" s="4" t="s">
        <v>256</v>
      </c>
      <c r="E839" s="4" t="s">
        <v>53</v>
      </c>
      <c r="F839" s="4">
        <v>2</v>
      </c>
      <c r="G839" s="4">
        <v>10122.200000000001</v>
      </c>
      <c r="H839">
        <v>8603.8700000000008</v>
      </c>
      <c r="I839">
        <f>Orders[[#This Row],[Quantity]]*Orders[[#This Row],[Selling Price]]</f>
        <v>20244.400000000001</v>
      </c>
      <c r="J839">
        <f>Orders[[#This Row],[Quantity]]*Orders[[#This Row],[Cost Price]]</f>
        <v>17207.740000000002</v>
      </c>
      <c r="K839">
        <f>Orders[[#This Row],[Revenue]]-Orders[[#This Row],[Expenses]]</f>
        <v>3036.66</v>
      </c>
      <c r="L839" t="s">
        <v>2208</v>
      </c>
      <c r="M839" t="str">
        <f>_xlfn.XLOOKUP(Orders[[#This Row],[CustomerID]],Customers[CustomerID],Customers[City])</f>
        <v>Georgia</v>
      </c>
      <c r="N839" t="str">
        <f>_xlfn.XLOOKUP(Orders[[#This Row],[CustomerID]],Customers[CustomerID],Customers[CustomerName])</f>
        <v>Efe Ojo</v>
      </c>
      <c r="O839" t="str">
        <f>_xlfn.XLOOKUP(Orders[[#This Row],[CustomerID]],Customers[CustomerID],Customers[Gender])</f>
        <v>Female</v>
      </c>
      <c r="P839">
        <f>_xlfn.XLOOKUP(Orders[[#This Row],[CustomerID]],Customers[CustomerID],Customers[CustomerAge])</f>
        <v>23</v>
      </c>
      <c r="Q839" t="str">
        <f>IF(Orders[[#This Row],[Age]]&gt;=35,"older","young")</f>
        <v>young</v>
      </c>
      <c r="R839" t="str">
        <f>_xlfn.XLOOKUP(Orders[[#This Row],[ProductID]],Products[ProductID],Products[ProductName])</f>
        <v>SILVER BANGLES</v>
      </c>
      <c r="S839" t="str">
        <f>_xlfn.XLOOKUP(Orders[[#This Row],[ProductID]],Products!A:A,Products!C:C)</f>
        <v>Accessories</v>
      </c>
    </row>
    <row r="840" spans="1:19" x14ac:dyDescent="0.2">
      <c r="A840" s="4" t="s">
        <v>1029</v>
      </c>
      <c r="B840" s="5">
        <v>45961</v>
      </c>
      <c r="C840" s="15">
        <f>WEEKNUM(Orders[[#This Row],[OrderDate]])</f>
        <v>44</v>
      </c>
      <c r="D840" s="4" t="s">
        <v>124</v>
      </c>
      <c r="E840" s="4" t="s">
        <v>53</v>
      </c>
      <c r="F840" s="4">
        <v>1</v>
      </c>
      <c r="G840" s="4">
        <v>11766.099999999999</v>
      </c>
      <c r="H840">
        <v>10001.184999999999</v>
      </c>
      <c r="I840">
        <f>Orders[[#This Row],[Quantity]]*Orders[[#This Row],[Selling Price]]</f>
        <v>11766.099999999999</v>
      </c>
      <c r="J840">
        <f>Orders[[#This Row],[Quantity]]*Orders[[#This Row],[Cost Price]]</f>
        <v>10001.184999999999</v>
      </c>
      <c r="K840">
        <f>Orders[[#This Row],[Revenue]]-Orders[[#This Row],[Expenses]]</f>
        <v>1764.9149999999991</v>
      </c>
      <c r="L840" t="s">
        <v>2213</v>
      </c>
      <c r="M840" t="str">
        <f>_xlfn.XLOOKUP(Orders[[#This Row],[CustomerID]],Customers[CustomerID],Customers[City])</f>
        <v>Texas</v>
      </c>
      <c r="N840" t="str">
        <f>_xlfn.XLOOKUP(Orders[[#This Row],[CustomerID]],Customers[CustomerID],Customers[CustomerName])</f>
        <v>Ngozi Ojo</v>
      </c>
      <c r="O840" t="str">
        <f>_xlfn.XLOOKUP(Orders[[#This Row],[CustomerID]],Customers[CustomerID],Customers[Gender])</f>
        <v>Female</v>
      </c>
      <c r="P840">
        <f>_xlfn.XLOOKUP(Orders[[#This Row],[CustomerID]],Customers[CustomerID],Customers[CustomerAge])</f>
        <v>22</v>
      </c>
      <c r="Q840" t="str">
        <f>IF(Orders[[#This Row],[Age]]&gt;=35,"older","young")</f>
        <v>young</v>
      </c>
      <c r="R840" t="str">
        <f>_xlfn.XLOOKUP(Orders[[#This Row],[ProductID]],Products[ProductID],Products[ProductName])</f>
        <v>SILVER BANGLES</v>
      </c>
      <c r="S840" t="str">
        <f>_xlfn.XLOOKUP(Orders[[#This Row],[ProductID]],Products!A:A,Products!C:C)</f>
        <v>Accessories</v>
      </c>
    </row>
    <row r="841" spans="1:19" x14ac:dyDescent="0.2">
      <c r="A841" s="4" t="s">
        <v>1030</v>
      </c>
      <c r="B841" s="5">
        <v>45937</v>
      </c>
      <c r="C841" s="15">
        <f>WEEKNUM(Orders[[#This Row],[OrderDate]])</f>
        <v>41</v>
      </c>
      <c r="D841" s="4" t="s">
        <v>62</v>
      </c>
      <c r="E841" s="4" t="s">
        <v>130</v>
      </c>
      <c r="F841" s="4">
        <v>9</v>
      </c>
      <c r="G841" s="4">
        <v>10332.299999999999</v>
      </c>
      <c r="H841">
        <v>8782.4549999999999</v>
      </c>
      <c r="I841">
        <f>Orders[[#This Row],[Quantity]]*Orders[[#This Row],[Selling Price]]</f>
        <v>92990.7</v>
      </c>
      <c r="J841">
        <f>Orders[[#This Row],[Quantity]]*Orders[[#This Row],[Cost Price]]</f>
        <v>79042.095000000001</v>
      </c>
      <c r="K841">
        <f>Orders[[#This Row],[Revenue]]-Orders[[#This Row],[Expenses]]</f>
        <v>13948.604999999996</v>
      </c>
      <c r="L841" t="s">
        <v>2199</v>
      </c>
      <c r="M841" t="str">
        <f>_xlfn.XLOOKUP(Orders[[#This Row],[CustomerID]],Customers[CustomerID],Customers[City])</f>
        <v>Texas</v>
      </c>
      <c r="N841" t="str">
        <f>_xlfn.XLOOKUP(Orders[[#This Row],[CustomerID]],Customers[CustomerID],Customers[CustomerName])</f>
        <v>Ronke Okonkwo</v>
      </c>
      <c r="O841" t="str">
        <f>_xlfn.XLOOKUP(Orders[[#This Row],[CustomerID]],Customers[CustomerID],Customers[Gender])</f>
        <v>Female</v>
      </c>
      <c r="P841">
        <f>_xlfn.XLOOKUP(Orders[[#This Row],[CustomerID]],Customers[CustomerID],Customers[CustomerAge])</f>
        <v>36</v>
      </c>
      <c r="Q841" t="str">
        <f>IF(Orders[[#This Row],[Age]]&gt;=35,"older","young")</f>
        <v>older</v>
      </c>
      <c r="R841" t="str">
        <f>_xlfn.XLOOKUP(Orders[[#This Row],[ProductID]],Products[ProductID],Products[ProductName])</f>
        <v>GOLD EARRINGS AND NECKLACES</v>
      </c>
      <c r="S841" t="str">
        <f>_xlfn.XLOOKUP(Orders[[#This Row],[ProductID]],Products!A:A,Products!C:C)</f>
        <v>Accessories</v>
      </c>
    </row>
    <row r="842" spans="1:19" x14ac:dyDescent="0.2">
      <c r="A842" s="4" t="s">
        <v>1031</v>
      </c>
      <c r="B842" s="5">
        <v>45951</v>
      </c>
      <c r="C842" s="15">
        <f>WEEKNUM(Orders[[#This Row],[OrderDate]])</f>
        <v>43</v>
      </c>
      <c r="D842" s="4" t="s">
        <v>134</v>
      </c>
      <c r="E842" s="4" t="s">
        <v>208</v>
      </c>
      <c r="F842" s="4">
        <v>8</v>
      </c>
      <c r="G842" s="4">
        <v>10424</v>
      </c>
      <c r="H842">
        <v>8860.4</v>
      </c>
      <c r="I842">
        <f>Orders[[#This Row],[Quantity]]*Orders[[#This Row],[Selling Price]]</f>
        <v>83392</v>
      </c>
      <c r="J842">
        <f>Orders[[#This Row],[Quantity]]*Orders[[#This Row],[Cost Price]]</f>
        <v>70883.199999999997</v>
      </c>
      <c r="K842">
        <f>Orders[[#This Row],[Revenue]]-Orders[[#This Row],[Expenses]]</f>
        <v>12508.800000000003</v>
      </c>
      <c r="L842" t="s">
        <v>2197</v>
      </c>
      <c r="M842" t="str">
        <f>_xlfn.XLOOKUP(Orders[[#This Row],[CustomerID]],Customers[CustomerID],Customers[City])</f>
        <v>Florida</v>
      </c>
      <c r="N842" t="str">
        <f>_xlfn.XLOOKUP(Orders[[#This Row],[CustomerID]],Customers[CustomerID],Customers[CustomerName])</f>
        <v>Ngozi Ojo</v>
      </c>
      <c r="O842" t="str">
        <f>_xlfn.XLOOKUP(Orders[[#This Row],[CustomerID]],Customers[CustomerID],Customers[Gender])</f>
        <v>Female</v>
      </c>
      <c r="P842">
        <f>_xlfn.XLOOKUP(Orders[[#This Row],[CustomerID]],Customers[CustomerID],Customers[CustomerAge])</f>
        <v>18</v>
      </c>
      <c r="Q842" t="str">
        <f>IF(Orders[[#This Row],[Age]]&gt;=35,"older","young")</f>
        <v>young</v>
      </c>
      <c r="R842" t="str">
        <f>_xlfn.XLOOKUP(Orders[[#This Row],[ProductID]],Products[ProductID],Products[ProductName])</f>
        <v>SKIPPING ROPE</v>
      </c>
      <c r="S842" t="str">
        <f>_xlfn.XLOOKUP(Orders[[#This Row],[ProductID]],Products!A:A,Products!C:C)</f>
        <v>Sports</v>
      </c>
    </row>
    <row r="843" spans="1:19" x14ac:dyDescent="0.2">
      <c r="A843" s="4" t="s">
        <v>1032</v>
      </c>
      <c r="B843" s="5">
        <v>45932</v>
      </c>
      <c r="C843" s="15">
        <f>WEEKNUM(Orders[[#This Row],[OrderDate]])</f>
        <v>40</v>
      </c>
      <c r="D843" s="4" t="s">
        <v>174</v>
      </c>
      <c r="E843" s="4" t="s">
        <v>60</v>
      </c>
      <c r="F843" s="4">
        <v>5</v>
      </c>
      <c r="G843" s="4">
        <v>14667.7</v>
      </c>
      <c r="H843">
        <v>12467.545</v>
      </c>
      <c r="I843">
        <f>Orders[[#This Row],[Quantity]]*Orders[[#This Row],[Selling Price]]</f>
        <v>73338.5</v>
      </c>
      <c r="J843">
        <f>Orders[[#This Row],[Quantity]]*Orders[[#This Row],[Cost Price]]</f>
        <v>62337.724999999999</v>
      </c>
      <c r="K843">
        <f>Orders[[#This Row],[Revenue]]-Orders[[#This Row],[Expenses]]</f>
        <v>11000.775000000001</v>
      </c>
      <c r="L843" t="s">
        <v>2220</v>
      </c>
      <c r="M843" t="str">
        <f>_xlfn.XLOOKUP(Orders[[#This Row],[CustomerID]],Customers[CustomerID],Customers[City])</f>
        <v>California</v>
      </c>
      <c r="N843" t="str">
        <f>_xlfn.XLOOKUP(Orders[[#This Row],[CustomerID]],Customers[CustomerID],Customers[CustomerName])</f>
        <v>Zainab Obi</v>
      </c>
      <c r="O843" t="str">
        <f>_xlfn.XLOOKUP(Orders[[#This Row],[CustomerID]],Customers[CustomerID],Customers[Gender])</f>
        <v>Female</v>
      </c>
      <c r="P843">
        <f>_xlfn.XLOOKUP(Orders[[#This Row],[CustomerID]],Customers[CustomerID],Customers[CustomerAge])</f>
        <v>18</v>
      </c>
      <c r="Q843" t="str">
        <f>IF(Orders[[#This Row],[Age]]&gt;=35,"older","young")</f>
        <v>young</v>
      </c>
      <c r="R843" t="str">
        <f>_xlfn.XLOOKUP(Orders[[#This Row],[ProductID]],Products[ProductID],Products[ProductName])</f>
        <v>SILVER RINGS</v>
      </c>
      <c r="S843" t="str">
        <f>_xlfn.XLOOKUP(Orders[[#This Row],[ProductID]],Products!A:A,Products!C:C)</f>
        <v>Accessories</v>
      </c>
    </row>
    <row r="844" spans="1:19" x14ac:dyDescent="0.2">
      <c r="A844" s="4" t="s">
        <v>1033</v>
      </c>
      <c r="B844" s="5">
        <v>46017</v>
      </c>
      <c r="C844" s="15">
        <f>WEEKNUM(Orders[[#This Row],[OrderDate]])</f>
        <v>52</v>
      </c>
      <c r="D844" s="4" t="s">
        <v>161</v>
      </c>
      <c r="E844" s="4" t="s">
        <v>60</v>
      </c>
      <c r="F844" s="4">
        <v>1</v>
      </c>
      <c r="G844" s="4">
        <v>17262.5</v>
      </c>
      <c r="H844">
        <v>14673.125</v>
      </c>
      <c r="I844">
        <f>Orders[[#This Row],[Quantity]]*Orders[[#This Row],[Selling Price]]</f>
        <v>17262.5</v>
      </c>
      <c r="J844">
        <f>Orders[[#This Row],[Quantity]]*Orders[[#This Row],[Cost Price]]</f>
        <v>14673.125</v>
      </c>
      <c r="K844">
        <f>Orders[[#This Row],[Revenue]]-Orders[[#This Row],[Expenses]]</f>
        <v>2589.375</v>
      </c>
      <c r="L844" t="s">
        <v>2211</v>
      </c>
      <c r="M844" t="str">
        <f>_xlfn.XLOOKUP(Orders[[#This Row],[CustomerID]],Customers[CustomerID],Customers[City])</f>
        <v>Georgia</v>
      </c>
      <c r="N844" t="str">
        <f>_xlfn.XLOOKUP(Orders[[#This Row],[CustomerID]],Customers[CustomerID],Customers[CustomerName])</f>
        <v>Okon Adeyemi</v>
      </c>
      <c r="O844" t="str">
        <f>_xlfn.XLOOKUP(Orders[[#This Row],[CustomerID]],Customers[CustomerID],Customers[Gender])</f>
        <v>Male</v>
      </c>
      <c r="P844">
        <f>_xlfn.XLOOKUP(Orders[[#This Row],[CustomerID]],Customers[CustomerID],Customers[CustomerAge])</f>
        <v>31</v>
      </c>
      <c r="Q844" t="str">
        <f>IF(Orders[[#This Row],[Age]]&gt;=35,"older","young")</f>
        <v>young</v>
      </c>
      <c r="R844" t="str">
        <f>_xlfn.XLOOKUP(Orders[[#This Row],[ProductID]],Products[ProductID],Products[ProductName])</f>
        <v>SILVER RINGS</v>
      </c>
      <c r="S844" t="str">
        <f>_xlfn.XLOOKUP(Orders[[#This Row],[ProductID]],Products!A:A,Products!C:C)</f>
        <v>Accessories</v>
      </c>
    </row>
    <row r="845" spans="1:19" x14ac:dyDescent="0.2">
      <c r="A845" s="4" t="s">
        <v>1034</v>
      </c>
      <c r="B845" s="5">
        <v>45963</v>
      </c>
      <c r="C845" s="15">
        <f>WEEKNUM(Orders[[#This Row],[OrderDate]])</f>
        <v>45</v>
      </c>
      <c r="D845" s="4" t="s">
        <v>468</v>
      </c>
      <c r="E845" s="4" t="s">
        <v>34</v>
      </c>
      <c r="F845" s="4">
        <v>8</v>
      </c>
      <c r="G845" s="4">
        <v>3756</v>
      </c>
      <c r="H845">
        <v>3192.6</v>
      </c>
      <c r="I845">
        <f>Orders[[#This Row],[Quantity]]*Orders[[#This Row],[Selling Price]]</f>
        <v>30048</v>
      </c>
      <c r="J845">
        <f>Orders[[#This Row],[Quantity]]*Orders[[#This Row],[Cost Price]]</f>
        <v>25540.799999999999</v>
      </c>
      <c r="K845">
        <f>Orders[[#This Row],[Revenue]]-Orders[[#This Row],[Expenses]]</f>
        <v>4507.2000000000007</v>
      </c>
      <c r="L845" t="s">
        <v>2198</v>
      </c>
      <c r="M845" t="str">
        <f>_xlfn.XLOOKUP(Orders[[#This Row],[CustomerID]],Customers[CustomerID],Customers[City])</f>
        <v>California</v>
      </c>
      <c r="N845" t="str">
        <f>_xlfn.XLOOKUP(Orders[[#This Row],[CustomerID]],Customers[CustomerID],Customers[CustomerName])</f>
        <v>Chioma Adeyemi</v>
      </c>
      <c r="O845" t="str">
        <f>_xlfn.XLOOKUP(Orders[[#This Row],[CustomerID]],Customers[CustomerID],Customers[Gender])</f>
        <v>Female</v>
      </c>
      <c r="P845">
        <f>_xlfn.XLOOKUP(Orders[[#This Row],[CustomerID]],Customers[CustomerID],Customers[CustomerAge])</f>
        <v>23</v>
      </c>
      <c r="Q845" t="str">
        <f>IF(Orders[[#This Row],[Age]]&gt;=35,"older","young")</f>
        <v>young</v>
      </c>
      <c r="R845" t="str">
        <f>_xlfn.XLOOKUP(Orders[[#This Row],[ProductID]],Products[ProductID],Products[ProductName])</f>
        <v>GOLD BRACELETS</v>
      </c>
      <c r="S845" t="str">
        <f>_xlfn.XLOOKUP(Orders[[#This Row],[ProductID]],Products!A:A,Products!C:C)</f>
        <v>Accessories</v>
      </c>
    </row>
    <row r="846" spans="1:19" x14ac:dyDescent="0.2">
      <c r="A846" s="4" t="s">
        <v>1035</v>
      </c>
      <c r="B846" s="5">
        <v>45970</v>
      </c>
      <c r="C846" s="15">
        <f>WEEKNUM(Orders[[#This Row],[OrderDate]])</f>
        <v>46</v>
      </c>
      <c r="D846" s="4" t="s">
        <v>317</v>
      </c>
      <c r="E846" s="4" t="s">
        <v>130</v>
      </c>
      <c r="F846" s="4">
        <v>4</v>
      </c>
      <c r="G846" s="4">
        <v>8306.2999999999993</v>
      </c>
      <c r="H846">
        <v>7060.3549999999996</v>
      </c>
      <c r="I846">
        <f>Orders[[#This Row],[Quantity]]*Orders[[#This Row],[Selling Price]]</f>
        <v>33225.199999999997</v>
      </c>
      <c r="J846">
        <f>Orders[[#This Row],[Quantity]]*Orders[[#This Row],[Cost Price]]</f>
        <v>28241.42</v>
      </c>
      <c r="K846">
        <f>Orders[[#This Row],[Revenue]]-Orders[[#This Row],[Expenses]]</f>
        <v>4983.7799999999988</v>
      </c>
      <c r="L846" t="s">
        <v>2199</v>
      </c>
      <c r="M846" t="str">
        <f>_xlfn.XLOOKUP(Orders[[#This Row],[CustomerID]],Customers[CustomerID],Customers[City])</f>
        <v>Texas</v>
      </c>
      <c r="N846" t="str">
        <f>_xlfn.XLOOKUP(Orders[[#This Row],[CustomerID]],Customers[CustomerID],Customers[CustomerName])</f>
        <v>Folasade Danladi</v>
      </c>
      <c r="O846" t="str">
        <f>_xlfn.XLOOKUP(Orders[[#This Row],[CustomerID]],Customers[CustomerID],Customers[Gender])</f>
        <v>Female</v>
      </c>
      <c r="P846">
        <f>_xlfn.XLOOKUP(Orders[[#This Row],[CustomerID]],Customers[CustomerID],Customers[CustomerAge])</f>
        <v>28</v>
      </c>
      <c r="Q846" t="str">
        <f>IF(Orders[[#This Row],[Age]]&gt;=35,"older","young")</f>
        <v>young</v>
      </c>
      <c r="R846" t="str">
        <f>_xlfn.XLOOKUP(Orders[[#This Row],[ProductID]],Products[ProductID],Products[ProductName])</f>
        <v>GOLD EARRINGS AND NECKLACES</v>
      </c>
      <c r="S846" t="str">
        <f>_xlfn.XLOOKUP(Orders[[#This Row],[ProductID]],Products!A:A,Products!C:C)</f>
        <v>Accessories</v>
      </c>
    </row>
    <row r="847" spans="1:19" x14ac:dyDescent="0.2">
      <c r="A847" s="4" t="s">
        <v>1036</v>
      </c>
      <c r="B847" s="5">
        <v>45959</v>
      </c>
      <c r="C847" s="15">
        <f>WEEKNUM(Orders[[#This Row],[OrderDate]])</f>
        <v>44</v>
      </c>
      <c r="D847" s="4" t="s">
        <v>369</v>
      </c>
      <c r="E847" s="4" t="s">
        <v>157</v>
      </c>
      <c r="F847" s="4">
        <v>5</v>
      </c>
      <c r="G847" s="4">
        <v>12173.599999999999</v>
      </c>
      <c r="H847">
        <v>10347.56</v>
      </c>
      <c r="I847">
        <f>Orders[[#This Row],[Quantity]]*Orders[[#This Row],[Selling Price]]</f>
        <v>60867.999999999993</v>
      </c>
      <c r="J847">
        <f>Orders[[#This Row],[Quantity]]*Orders[[#This Row],[Cost Price]]</f>
        <v>51737.799999999996</v>
      </c>
      <c r="K847">
        <f>Orders[[#This Row],[Revenue]]-Orders[[#This Row],[Expenses]]</f>
        <v>9130.1999999999971</v>
      </c>
      <c r="L847" t="s">
        <v>2219</v>
      </c>
      <c r="M847" t="str">
        <f>_xlfn.XLOOKUP(Orders[[#This Row],[CustomerID]],Customers[CustomerID],Customers[City])</f>
        <v>Washington</v>
      </c>
      <c r="N847" t="str">
        <f>_xlfn.XLOOKUP(Orders[[#This Row],[CustomerID]],Customers[CustomerID],Customers[CustomerName])</f>
        <v>Ibrahim Bello</v>
      </c>
      <c r="O847" t="str">
        <f>_xlfn.XLOOKUP(Orders[[#This Row],[CustomerID]],Customers[CustomerID],Customers[Gender])</f>
        <v>Male</v>
      </c>
      <c r="P847">
        <f>_xlfn.XLOOKUP(Orders[[#This Row],[CustomerID]],Customers[CustomerID],Customers[CustomerAge])</f>
        <v>40</v>
      </c>
      <c r="Q847" t="str">
        <f>IF(Orders[[#This Row],[Age]]&gt;=35,"older","young")</f>
        <v>older</v>
      </c>
      <c r="R847" t="str">
        <f>_xlfn.XLOOKUP(Orders[[#This Row],[ProductID]],Products[ProductID],Products[ProductName])</f>
        <v>FOOTBALL</v>
      </c>
      <c r="S847" t="str">
        <f>_xlfn.XLOOKUP(Orders[[#This Row],[ProductID]],Products!A:A,Products!C:C)</f>
        <v>Sports</v>
      </c>
    </row>
    <row r="848" spans="1:19" x14ac:dyDescent="0.2">
      <c r="A848" s="4" t="s">
        <v>1037</v>
      </c>
      <c r="B848" s="5">
        <v>45988</v>
      </c>
      <c r="C848" s="15">
        <f>WEEKNUM(Orders[[#This Row],[OrderDate]])</f>
        <v>48</v>
      </c>
      <c r="D848" s="4" t="s">
        <v>275</v>
      </c>
      <c r="E848" s="4" t="s">
        <v>84</v>
      </c>
      <c r="F848" s="4">
        <v>9</v>
      </c>
      <c r="G848" s="4">
        <v>2424.9</v>
      </c>
      <c r="H848">
        <v>2061.165</v>
      </c>
      <c r="I848">
        <f>Orders[[#This Row],[Quantity]]*Orders[[#This Row],[Selling Price]]</f>
        <v>21824.100000000002</v>
      </c>
      <c r="J848">
        <f>Orders[[#This Row],[Quantity]]*Orders[[#This Row],[Cost Price]]</f>
        <v>18550.485000000001</v>
      </c>
      <c r="K848">
        <f>Orders[[#This Row],[Revenue]]-Orders[[#This Row],[Expenses]]</f>
        <v>3273.6150000000016</v>
      </c>
      <c r="L848" t="s">
        <v>2196</v>
      </c>
      <c r="M848" t="str">
        <f>_xlfn.XLOOKUP(Orders[[#This Row],[CustomerID]],Customers[CustomerID],Customers[City])</f>
        <v>Texas</v>
      </c>
      <c r="N848" t="str">
        <f>_xlfn.XLOOKUP(Orders[[#This Row],[CustomerID]],Customers[CustomerID],Customers[CustomerName])</f>
        <v>Ngozi Danladi</v>
      </c>
      <c r="O848" t="str">
        <f>_xlfn.XLOOKUP(Orders[[#This Row],[CustomerID]],Customers[CustomerID],Customers[Gender])</f>
        <v>Female</v>
      </c>
      <c r="P848">
        <f>_xlfn.XLOOKUP(Orders[[#This Row],[CustomerID]],Customers[CustomerID],Customers[CustomerAge])</f>
        <v>25</v>
      </c>
      <c r="Q848" t="str">
        <f>IF(Orders[[#This Row],[Age]]&gt;=35,"older","young")</f>
        <v>young</v>
      </c>
      <c r="R848" t="str">
        <f>_xlfn.XLOOKUP(Orders[[#This Row],[ProductID]],Products[ProductID],Products[ProductName])</f>
        <v>GYM WEARS</v>
      </c>
      <c r="S848" t="str">
        <f>_xlfn.XLOOKUP(Orders[[#This Row],[ProductID]],Products!A:A,Products!C:C)</f>
        <v>Clothing</v>
      </c>
    </row>
    <row r="849" spans="1:19" x14ac:dyDescent="0.2">
      <c r="A849" s="4" t="s">
        <v>1038</v>
      </c>
      <c r="B849" s="5">
        <v>45999</v>
      </c>
      <c r="C849" s="15">
        <f>WEEKNUM(Orders[[#This Row],[OrderDate]])</f>
        <v>50</v>
      </c>
      <c r="D849" s="4" t="s">
        <v>320</v>
      </c>
      <c r="E849" s="4" t="s">
        <v>63</v>
      </c>
      <c r="F849" s="4">
        <v>5</v>
      </c>
      <c r="G849" s="4">
        <v>14749</v>
      </c>
      <c r="H849">
        <v>12536.65</v>
      </c>
      <c r="I849">
        <f>Orders[[#This Row],[Quantity]]*Orders[[#This Row],[Selling Price]]</f>
        <v>73745</v>
      </c>
      <c r="J849">
        <f>Orders[[#This Row],[Quantity]]*Orders[[#This Row],[Cost Price]]</f>
        <v>62683.25</v>
      </c>
      <c r="K849">
        <f>Orders[[#This Row],[Revenue]]-Orders[[#This Row],[Expenses]]</f>
        <v>11061.75</v>
      </c>
      <c r="L849" t="s">
        <v>2199</v>
      </c>
      <c r="M849" t="str">
        <f>_xlfn.XLOOKUP(Orders[[#This Row],[CustomerID]],Customers[CustomerID],Customers[City])</f>
        <v>Texas</v>
      </c>
      <c r="N849" t="str">
        <f>_xlfn.XLOOKUP(Orders[[#This Row],[CustomerID]],Customers[CustomerID],Customers[CustomerName])</f>
        <v>Temi Okonkwo</v>
      </c>
      <c r="O849" t="str">
        <f>_xlfn.XLOOKUP(Orders[[#This Row],[CustomerID]],Customers[CustomerID],Customers[Gender])</f>
        <v>Female</v>
      </c>
      <c r="P849">
        <f>_xlfn.XLOOKUP(Orders[[#This Row],[CustomerID]],Customers[CustomerID],Customers[CustomerAge])</f>
        <v>31</v>
      </c>
      <c r="Q849" t="str">
        <f>IF(Orders[[#This Row],[Age]]&gt;=35,"older","young")</f>
        <v>young</v>
      </c>
      <c r="R849" t="str">
        <f>_xlfn.XLOOKUP(Orders[[#This Row],[ProductID]],Products[ProductID],Products[ProductName])</f>
        <v>TENNIS BAT</v>
      </c>
      <c r="S849" t="str">
        <f>_xlfn.XLOOKUP(Orders[[#This Row],[ProductID]],Products!A:A,Products!C:C)</f>
        <v>Sports</v>
      </c>
    </row>
    <row r="850" spans="1:19" x14ac:dyDescent="0.2">
      <c r="A850" s="4" t="s">
        <v>1039</v>
      </c>
      <c r="B850" s="5">
        <v>45945</v>
      </c>
      <c r="C850" s="15">
        <f>WEEKNUM(Orders[[#This Row],[OrderDate]])</f>
        <v>42</v>
      </c>
      <c r="D850" s="4" t="s">
        <v>201</v>
      </c>
      <c r="E850" s="4" t="s">
        <v>15</v>
      </c>
      <c r="F850" s="4">
        <v>7</v>
      </c>
      <c r="G850" s="4">
        <v>16469.7</v>
      </c>
      <c r="H850">
        <v>13999.245000000001</v>
      </c>
      <c r="I850">
        <f>Orders[[#This Row],[Quantity]]*Orders[[#This Row],[Selling Price]]</f>
        <v>115287.90000000001</v>
      </c>
      <c r="J850">
        <f>Orders[[#This Row],[Quantity]]*Orders[[#This Row],[Cost Price]]</f>
        <v>97994.715000000011</v>
      </c>
      <c r="K850">
        <f>Orders[[#This Row],[Revenue]]-Orders[[#This Row],[Expenses]]</f>
        <v>17293.184999999998</v>
      </c>
      <c r="L850" t="s">
        <v>2210</v>
      </c>
      <c r="M850" t="str">
        <f>_xlfn.XLOOKUP(Orders[[#This Row],[CustomerID]],Customers[CustomerID],Customers[City])</f>
        <v>Georgia</v>
      </c>
      <c r="N850" t="str">
        <f>_xlfn.XLOOKUP(Orders[[#This Row],[CustomerID]],Customers[CustomerID],Customers[CustomerName])</f>
        <v>Sani Igwe</v>
      </c>
      <c r="O850" t="str">
        <f>_xlfn.XLOOKUP(Orders[[#This Row],[CustomerID]],Customers[CustomerID],Customers[Gender])</f>
        <v>Male</v>
      </c>
      <c r="P850">
        <f>_xlfn.XLOOKUP(Orders[[#This Row],[CustomerID]],Customers[CustomerID],Customers[CustomerAge])</f>
        <v>20</v>
      </c>
      <c r="Q850" t="str">
        <f>IF(Orders[[#This Row],[Age]]&gt;=35,"older","young")</f>
        <v>young</v>
      </c>
      <c r="R850" t="str">
        <f>_xlfn.XLOOKUP(Orders[[#This Row],[ProductID]],Products[ProductID],Products[ProductName])</f>
        <v>MONOPOLY</v>
      </c>
      <c r="S850" t="str">
        <f>_xlfn.XLOOKUP(Orders[[#This Row],[ProductID]],Products!A:A,Products!C:C)</f>
        <v>Games</v>
      </c>
    </row>
    <row r="851" spans="1:19" x14ac:dyDescent="0.2">
      <c r="A851" s="4" t="s">
        <v>1040</v>
      </c>
      <c r="B851" s="5">
        <v>45983</v>
      </c>
      <c r="C851" s="15">
        <f>WEEKNUM(Orders[[#This Row],[OrderDate]])</f>
        <v>47</v>
      </c>
      <c r="D851" s="4" t="s">
        <v>68</v>
      </c>
      <c r="E851" s="4" t="s">
        <v>63</v>
      </c>
      <c r="F851" s="4">
        <v>3</v>
      </c>
      <c r="G851" s="4">
        <v>6637.6</v>
      </c>
      <c r="H851">
        <v>5641.96</v>
      </c>
      <c r="I851">
        <f>Orders[[#This Row],[Quantity]]*Orders[[#This Row],[Selling Price]]</f>
        <v>19912.800000000003</v>
      </c>
      <c r="J851">
        <f>Orders[[#This Row],[Quantity]]*Orders[[#This Row],[Cost Price]]</f>
        <v>16925.88</v>
      </c>
      <c r="K851">
        <f>Orders[[#This Row],[Revenue]]-Orders[[#This Row],[Expenses]]</f>
        <v>2986.9200000000019</v>
      </c>
      <c r="L851" t="s">
        <v>2220</v>
      </c>
      <c r="M851" t="str">
        <f>_xlfn.XLOOKUP(Orders[[#This Row],[CustomerID]],Customers[CustomerID],Customers[City])</f>
        <v>Texas</v>
      </c>
      <c r="N851" t="str">
        <f>_xlfn.XLOOKUP(Orders[[#This Row],[CustomerID]],Customers[CustomerID],Customers[CustomerName])</f>
        <v>Abiola Balogun</v>
      </c>
      <c r="O851" t="str">
        <f>_xlfn.XLOOKUP(Orders[[#This Row],[CustomerID]],Customers[CustomerID],Customers[Gender])</f>
        <v>Male</v>
      </c>
      <c r="P851">
        <f>_xlfn.XLOOKUP(Orders[[#This Row],[CustomerID]],Customers[CustomerID],Customers[CustomerAge])</f>
        <v>29</v>
      </c>
      <c r="Q851" t="str">
        <f>IF(Orders[[#This Row],[Age]]&gt;=35,"older","young")</f>
        <v>young</v>
      </c>
      <c r="R851" t="str">
        <f>_xlfn.XLOOKUP(Orders[[#This Row],[ProductID]],Products[ProductID],Products[ProductName])</f>
        <v>TENNIS BAT</v>
      </c>
      <c r="S851" t="str">
        <f>_xlfn.XLOOKUP(Orders[[#This Row],[ProductID]],Products!A:A,Products!C:C)</f>
        <v>Sports</v>
      </c>
    </row>
    <row r="852" spans="1:19" x14ac:dyDescent="0.2">
      <c r="A852" s="4" t="s">
        <v>1041</v>
      </c>
      <c r="B852" s="5">
        <v>45943</v>
      </c>
      <c r="C852" s="15">
        <f>WEEKNUM(Orders[[#This Row],[OrderDate]])</f>
        <v>42</v>
      </c>
      <c r="D852" s="4" t="s">
        <v>457</v>
      </c>
      <c r="E852" s="4" t="s">
        <v>37</v>
      </c>
      <c r="F852" s="4">
        <v>2</v>
      </c>
      <c r="G852" s="4">
        <v>11393.099999999999</v>
      </c>
      <c r="H852">
        <v>9684.1349999999984</v>
      </c>
      <c r="I852">
        <f>Orders[[#This Row],[Quantity]]*Orders[[#This Row],[Selling Price]]</f>
        <v>22786.199999999997</v>
      </c>
      <c r="J852">
        <f>Orders[[#This Row],[Quantity]]*Orders[[#This Row],[Cost Price]]</f>
        <v>19368.269999999997</v>
      </c>
      <c r="K852">
        <f>Orders[[#This Row],[Revenue]]-Orders[[#This Row],[Expenses]]</f>
        <v>3417.9300000000003</v>
      </c>
      <c r="L852" t="s">
        <v>2213</v>
      </c>
      <c r="M852" t="str">
        <f>_xlfn.XLOOKUP(Orders[[#This Row],[CustomerID]],Customers[CustomerID],Customers[City])</f>
        <v>Illinois</v>
      </c>
      <c r="N852" t="str">
        <f>_xlfn.XLOOKUP(Orders[[#This Row],[CustomerID]],Customers[CustomerID],Customers[CustomerName])</f>
        <v>Tunde Okonkwo</v>
      </c>
      <c r="O852" t="str">
        <f>_xlfn.XLOOKUP(Orders[[#This Row],[CustomerID]],Customers[CustomerID],Customers[Gender])</f>
        <v>Male</v>
      </c>
      <c r="P852">
        <f>_xlfn.XLOOKUP(Orders[[#This Row],[CustomerID]],Customers[CustomerID],Customers[CustomerAge])</f>
        <v>23</v>
      </c>
      <c r="Q852" t="str">
        <f>IF(Orders[[#This Row],[Age]]&gt;=35,"older","young")</f>
        <v>young</v>
      </c>
      <c r="R852" t="str">
        <f>_xlfn.XLOOKUP(Orders[[#This Row],[ProductID]],Products[ProductID],Products[ProductName])</f>
        <v>IRON</v>
      </c>
      <c r="S852" t="str">
        <f>_xlfn.XLOOKUP(Orders[[#This Row],[ProductID]],Products!A:A,Products!C:C)</f>
        <v>Electronics</v>
      </c>
    </row>
    <row r="853" spans="1:19" x14ac:dyDescent="0.2">
      <c r="A853" s="4" t="s">
        <v>1042</v>
      </c>
      <c r="B853" s="5">
        <v>46010</v>
      </c>
      <c r="C853" s="15">
        <f>WEEKNUM(Orders[[#This Row],[OrderDate]])</f>
        <v>51</v>
      </c>
      <c r="D853" s="4" t="s">
        <v>607</v>
      </c>
      <c r="E853" s="4" t="s">
        <v>130</v>
      </c>
      <c r="F853" s="4">
        <v>7</v>
      </c>
      <c r="G853" s="4">
        <v>13159.300000000001</v>
      </c>
      <c r="H853">
        <v>11185.405000000001</v>
      </c>
      <c r="I853">
        <f>Orders[[#This Row],[Quantity]]*Orders[[#This Row],[Selling Price]]</f>
        <v>92115.1</v>
      </c>
      <c r="J853">
        <f>Orders[[#This Row],[Quantity]]*Orders[[#This Row],[Cost Price]]</f>
        <v>78297.835000000006</v>
      </c>
      <c r="K853">
        <f>Orders[[#This Row],[Revenue]]-Orders[[#This Row],[Expenses]]</f>
        <v>13817.264999999999</v>
      </c>
      <c r="L853" t="s">
        <v>2208</v>
      </c>
      <c r="M853" t="str">
        <f>_xlfn.XLOOKUP(Orders[[#This Row],[CustomerID]],Customers[CustomerID],Customers[City])</f>
        <v>Texas</v>
      </c>
      <c r="N853" t="str">
        <f>_xlfn.XLOOKUP(Orders[[#This Row],[CustomerID]],Customers[CustomerID],Customers[CustomerName])</f>
        <v>Folasade Ojo</v>
      </c>
      <c r="O853" t="str">
        <f>_xlfn.XLOOKUP(Orders[[#This Row],[CustomerID]],Customers[CustomerID],Customers[Gender])</f>
        <v>Female</v>
      </c>
      <c r="P853">
        <f>_xlfn.XLOOKUP(Orders[[#This Row],[CustomerID]],Customers[CustomerID],Customers[CustomerAge])</f>
        <v>19</v>
      </c>
      <c r="Q853" t="str">
        <f>IF(Orders[[#This Row],[Age]]&gt;=35,"older","young")</f>
        <v>young</v>
      </c>
      <c r="R853" t="str">
        <f>_xlfn.XLOOKUP(Orders[[#This Row],[ProductID]],Products[ProductID],Products[ProductName])</f>
        <v>GOLD EARRINGS AND NECKLACES</v>
      </c>
      <c r="S853" t="str">
        <f>_xlfn.XLOOKUP(Orders[[#This Row],[ProductID]],Products!A:A,Products!C:C)</f>
        <v>Accessories</v>
      </c>
    </row>
    <row r="854" spans="1:19" x14ac:dyDescent="0.2">
      <c r="A854" s="4" t="s">
        <v>1043</v>
      </c>
      <c r="B854" s="5">
        <v>46015</v>
      </c>
      <c r="C854" s="15">
        <f>WEEKNUM(Orders[[#This Row],[OrderDate]])</f>
        <v>52</v>
      </c>
      <c r="D854" s="4" t="s">
        <v>435</v>
      </c>
      <c r="E854" s="4" t="s">
        <v>208</v>
      </c>
      <c r="F854" s="4">
        <v>1</v>
      </c>
      <c r="G854" s="4">
        <v>11531.099999999999</v>
      </c>
      <c r="H854">
        <v>9801.4349999999995</v>
      </c>
      <c r="I854">
        <f>Orders[[#This Row],[Quantity]]*Orders[[#This Row],[Selling Price]]</f>
        <v>11531.099999999999</v>
      </c>
      <c r="J854">
        <f>Orders[[#This Row],[Quantity]]*Orders[[#This Row],[Cost Price]]</f>
        <v>9801.4349999999995</v>
      </c>
      <c r="K854">
        <f>Orders[[#This Row],[Revenue]]-Orders[[#This Row],[Expenses]]</f>
        <v>1729.6649999999991</v>
      </c>
      <c r="L854" t="s">
        <v>2219</v>
      </c>
      <c r="M854" t="str">
        <f>_xlfn.XLOOKUP(Orders[[#This Row],[CustomerID]],Customers[CustomerID],Customers[City])</f>
        <v>Texas</v>
      </c>
      <c r="N854" t="str">
        <f>_xlfn.XLOOKUP(Orders[[#This Row],[CustomerID]],Customers[CustomerID],Customers[CustomerName])</f>
        <v>Amina Balogun</v>
      </c>
      <c r="O854" t="str">
        <f>_xlfn.XLOOKUP(Orders[[#This Row],[CustomerID]],Customers[CustomerID],Customers[Gender])</f>
        <v>Female</v>
      </c>
      <c r="P854">
        <f>_xlfn.XLOOKUP(Orders[[#This Row],[CustomerID]],Customers[CustomerID],Customers[CustomerAge])</f>
        <v>32</v>
      </c>
      <c r="Q854" t="str">
        <f>IF(Orders[[#This Row],[Age]]&gt;=35,"older","young")</f>
        <v>young</v>
      </c>
      <c r="R854" t="str">
        <f>_xlfn.XLOOKUP(Orders[[#This Row],[ProductID]],Products[ProductID],Products[ProductName])</f>
        <v>SKIPPING ROPE</v>
      </c>
      <c r="S854" t="str">
        <f>_xlfn.XLOOKUP(Orders[[#This Row],[ProductID]],Products!A:A,Products!C:C)</f>
        <v>Sports</v>
      </c>
    </row>
    <row r="855" spans="1:19" x14ac:dyDescent="0.2">
      <c r="A855" s="4" t="s">
        <v>1044</v>
      </c>
      <c r="B855" s="5">
        <v>45974</v>
      </c>
      <c r="C855" s="15">
        <f>WEEKNUM(Orders[[#This Row],[OrderDate]])</f>
        <v>46</v>
      </c>
      <c r="D855" s="4" t="s">
        <v>264</v>
      </c>
      <c r="E855" s="4" t="s">
        <v>84</v>
      </c>
      <c r="F855" s="4">
        <v>7</v>
      </c>
      <c r="G855" s="4">
        <v>15136.300000000001</v>
      </c>
      <c r="H855">
        <v>12865.855000000001</v>
      </c>
      <c r="I855">
        <f>Orders[[#This Row],[Quantity]]*Orders[[#This Row],[Selling Price]]</f>
        <v>105954.1</v>
      </c>
      <c r="J855">
        <f>Orders[[#This Row],[Quantity]]*Orders[[#This Row],[Cost Price]]</f>
        <v>90060.985000000015</v>
      </c>
      <c r="K855">
        <f>Orders[[#This Row],[Revenue]]-Orders[[#This Row],[Expenses]]</f>
        <v>15893.114999999991</v>
      </c>
      <c r="L855" t="s">
        <v>2194</v>
      </c>
      <c r="M855" t="str">
        <f>_xlfn.XLOOKUP(Orders[[#This Row],[CustomerID]],Customers[CustomerID],Customers[City])</f>
        <v>Georgia</v>
      </c>
      <c r="N855" t="str">
        <f>_xlfn.XLOOKUP(Orders[[#This Row],[CustomerID]],Customers[CustomerID],Customers[CustomerName])</f>
        <v>Ronke Adeyemi</v>
      </c>
      <c r="O855" t="str">
        <f>_xlfn.XLOOKUP(Orders[[#This Row],[CustomerID]],Customers[CustomerID],Customers[Gender])</f>
        <v>Female</v>
      </c>
      <c r="P855">
        <f>_xlfn.XLOOKUP(Orders[[#This Row],[CustomerID]],Customers[CustomerID],Customers[CustomerAge])</f>
        <v>19</v>
      </c>
      <c r="Q855" t="str">
        <f>IF(Orders[[#This Row],[Age]]&gt;=35,"older","young")</f>
        <v>young</v>
      </c>
      <c r="R855" t="str">
        <f>_xlfn.XLOOKUP(Orders[[#This Row],[ProductID]],Products[ProductID],Products[ProductName])</f>
        <v>GYM WEARS</v>
      </c>
      <c r="S855" t="str">
        <f>_xlfn.XLOOKUP(Orders[[#This Row],[ProductID]],Products!A:A,Products!C:C)</f>
        <v>Clothing</v>
      </c>
    </row>
    <row r="856" spans="1:19" x14ac:dyDescent="0.2">
      <c r="A856" s="4" t="s">
        <v>1045</v>
      </c>
      <c r="B856" s="5">
        <v>45938</v>
      </c>
      <c r="C856" s="15">
        <f>WEEKNUM(Orders[[#This Row],[OrderDate]])</f>
        <v>41</v>
      </c>
      <c r="D856" s="4" t="s">
        <v>507</v>
      </c>
      <c r="E856" s="4" t="s">
        <v>208</v>
      </c>
      <c r="F856" s="4">
        <v>6</v>
      </c>
      <c r="G856" s="4">
        <v>5981.5</v>
      </c>
      <c r="H856">
        <v>5084.2749999999996</v>
      </c>
      <c r="I856">
        <f>Orders[[#This Row],[Quantity]]*Orders[[#This Row],[Selling Price]]</f>
        <v>35889</v>
      </c>
      <c r="J856">
        <f>Orders[[#This Row],[Quantity]]*Orders[[#This Row],[Cost Price]]</f>
        <v>30505.649999999998</v>
      </c>
      <c r="K856">
        <f>Orders[[#This Row],[Revenue]]-Orders[[#This Row],[Expenses]]</f>
        <v>5383.3500000000022</v>
      </c>
      <c r="L856" t="s">
        <v>2199</v>
      </c>
      <c r="M856" t="str">
        <f>_xlfn.XLOOKUP(Orders[[#This Row],[CustomerID]],Customers[CustomerID],Customers[City])</f>
        <v>Washington</v>
      </c>
      <c r="N856" t="str">
        <f>_xlfn.XLOOKUP(Orders[[#This Row],[CustomerID]],Customers[CustomerID],Customers[CustomerName])</f>
        <v>Temi Okonkwo</v>
      </c>
      <c r="O856" t="str">
        <f>_xlfn.XLOOKUP(Orders[[#This Row],[CustomerID]],Customers[CustomerID],Customers[Gender])</f>
        <v>Female</v>
      </c>
      <c r="P856">
        <f>_xlfn.XLOOKUP(Orders[[#This Row],[CustomerID]],Customers[CustomerID],Customers[CustomerAge])</f>
        <v>35</v>
      </c>
      <c r="Q856" t="str">
        <f>IF(Orders[[#This Row],[Age]]&gt;=35,"older","young")</f>
        <v>older</v>
      </c>
      <c r="R856" t="str">
        <f>_xlfn.XLOOKUP(Orders[[#This Row],[ProductID]],Products[ProductID],Products[ProductName])</f>
        <v>SKIPPING ROPE</v>
      </c>
      <c r="S856" t="str">
        <f>_xlfn.XLOOKUP(Orders[[#This Row],[ProductID]],Products!A:A,Products!C:C)</f>
        <v>Sports</v>
      </c>
    </row>
    <row r="857" spans="1:19" x14ac:dyDescent="0.2">
      <c r="A857" s="4" t="s">
        <v>1046</v>
      </c>
      <c r="B857" s="5">
        <v>45959</v>
      </c>
      <c r="C857" s="15">
        <f>WEEKNUM(Orders[[#This Row],[OrderDate]])</f>
        <v>44</v>
      </c>
      <c r="D857" s="4" t="s">
        <v>98</v>
      </c>
      <c r="E857" s="4" t="s">
        <v>353</v>
      </c>
      <c r="F857" s="4">
        <v>10</v>
      </c>
      <c r="G857" s="4">
        <v>5234.7000000000007</v>
      </c>
      <c r="H857">
        <v>4449.4950000000008</v>
      </c>
      <c r="I857">
        <f>Orders[[#This Row],[Quantity]]*Orders[[#This Row],[Selling Price]]</f>
        <v>52347.000000000007</v>
      </c>
      <c r="J857">
        <f>Orders[[#This Row],[Quantity]]*Orders[[#This Row],[Cost Price]]</f>
        <v>44494.950000000012</v>
      </c>
      <c r="K857">
        <f>Orders[[#This Row],[Revenue]]-Orders[[#This Row],[Expenses]]</f>
        <v>7852.0499999999956</v>
      </c>
      <c r="L857" t="s">
        <v>2195</v>
      </c>
      <c r="M857" t="str">
        <f>_xlfn.XLOOKUP(Orders[[#This Row],[CustomerID]],Customers[CustomerID],Customers[City])</f>
        <v>Illinois</v>
      </c>
      <c r="N857" t="str">
        <f>_xlfn.XLOOKUP(Orders[[#This Row],[CustomerID]],Customers[CustomerID],Customers[CustomerName])</f>
        <v>Chioma Adeyemi</v>
      </c>
      <c r="O857" t="str">
        <f>_xlfn.XLOOKUP(Orders[[#This Row],[CustomerID]],Customers[CustomerID],Customers[Gender])</f>
        <v>Female</v>
      </c>
      <c r="P857">
        <f>_xlfn.XLOOKUP(Orders[[#This Row],[CustomerID]],Customers[CustomerID],Customers[CustomerAge])</f>
        <v>23</v>
      </c>
      <c r="Q857" t="str">
        <f>IF(Orders[[#This Row],[Age]]&gt;=35,"older","young")</f>
        <v>young</v>
      </c>
      <c r="R857" t="str">
        <f>_xlfn.XLOOKUP(Orders[[#This Row],[ProductID]],Products[ProductID],Products[ProductName])</f>
        <v>SILVER EARRINGS AND NECKLACES</v>
      </c>
      <c r="S857" t="str">
        <f>_xlfn.XLOOKUP(Orders[[#This Row],[ProductID]],Products!A:A,Products!C:C)</f>
        <v>Accessories</v>
      </c>
    </row>
    <row r="858" spans="1:19" x14ac:dyDescent="0.2">
      <c r="A858" s="4" t="s">
        <v>1047</v>
      </c>
      <c r="B858" s="5">
        <v>45975</v>
      </c>
      <c r="C858" s="15">
        <f>WEEKNUM(Orders[[#This Row],[OrderDate]])</f>
        <v>46</v>
      </c>
      <c r="D858" s="4" t="s">
        <v>514</v>
      </c>
      <c r="E858" s="4" t="s">
        <v>60</v>
      </c>
      <c r="F858" s="4">
        <v>7</v>
      </c>
      <c r="G858" s="4">
        <v>15248.3</v>
      </c>
      <c r="H858">
        <v>12961.055</v>
      </c>
      <c r="I858">
        <f>Orders[[#This Row],[Quantity]]*Orders[[#This Row],[Selling Price]]</f>
        <v>106738.09999999999</v>
      </c>
      <c r="J858">
        <f>Orders[[#This Row],[Quantity]]*Orders[[#This Row],[Cost Price]]</f>
        <v>90727.385000000009</v>
      </c>
      <c r="K858">
        <f>Orders[[#This Row],[Revenue]]-Orders[[#This Row],[Expenses]]</f>
        <v>16010.714999999982</v>
      </c>
      <c r="L858" t="s">
        <v>2218</v>
      </c>
      <c r="M858" t="str">
        <f>_xlfn.XLOOKUP(Orders[[#This Row],[CustomerID]],Customers[CustomerID],Customers[City])</f>
        <v>Florida</v>
      </c>
      <c r="N858" t="str">
        <f>_xlfn.XLOOKUP(Orders[[#This Row],[CustomerID]],Customers[CustomerID],Customers[CustomerName])</f>
        <v>Ibrahim Okonkwo</v>
      </c>
      <c r="O858" t="str">
        <f>_xlfn.XLOOKUP(Orders[[#This Row],[CustomerID]],Customers[CustomerID],Customers[Gender])</f>
        <v>Male</v>
      </c>
      <c r="P858">
        <f>_xlfn.XLOOKUP(Orders[[#This Row],[CustomerID]],Customers[CustomerID],Customers[CustomerAge])</f>
        <v>28</v>
      </c>
      <c r="Q858" t="str">
        <f>IF(Orders[[#This Row],[Age]]&gt;=35,"older","young")</f>
        <v>young</v>
      </c>
      <c r="R858" t="str">
        <f>_xlfn.XLOOKUP(Orders[[#This Row],[ProductID]],Products[ProductID],Products[ProductName])</f>
        <v>SILVER RINGS</v>
      </c>
      <c r="S858" t="str">
        <f>_xlfn.XLOOKUP(Orders[[#This Row],[ProductID]],Products!A:A,Products!C:C)</f>
        <v>Accessories</v>
      </c>
    </row>
    <row r="859" spans="1:19" x14ac:dyDescent="0.2">
      <c r="A859" s="4" t="s">
        <v>1048</v>
      </c>
      <c r="B859" s="5">
        <v>46008</v>
      </c>
      <c r="C859" s="15">
        <f>WEEKNUM(Orders[[#This Row],[OrderDate]])</f>
        <v>51</v>
      </c>
      <c r="D859" s="4" t="s">
        <v>649</v>
      </c>
      <c r="E859" s="4" t="s">
        <v>232</v>
      </c>
      <c r="F859" s="4">
        <v>8</v>
      </c>
      <c r="G859" s="4">
        <v>5772.1</v>
      </c>
      <c r="H859">
        <v>4906.2849999999999</v>
      </c>
      <c r="I859">
        <f>Orders[[#This Row],[Quantity]]*Orders[[#This Row],[Selling Price]]</f>
        <v>46176.800000000003</v>
      </c>
      <c r="J859">
        <f>Orders[[#This Row],[Quantity]]*Orders[[#This Row],[Cost Price]]</f>
        <v>39250.28</v>
      </c>
      <c r="K859">
        <f>Orders[[#This Row],[Revenue]]-Orders[[#This Row],[Expenses]]</f>
        <v>6926.5200000000041</v>
      </c>
      <c r="L859" t="s">
        <v>2205</v>
      </c>
      <c r="M859" t="str">
        <f>_xlfn.XLOOKUP(Orders[[#This Row],[CustomerID]],Customers[CustomerID],Customers[City])</f>
        <v>Washington</v>
      </c>
      <c r="N859" t="str">
        <f>_xlfn.XLOOKUP(Orders[[#This Row],[CustomerID]],Customers[CustomerID],Customers[CustomerName])</f>
        <v>Bisi Abubakar</v>
      </c>
      <c r="O859" t="str">
        <f>_xlfn.XLOOKUP(Orders[[#This Row],[CustomerID]],Customers[CustomerID],Customers[Gender])</f>
        <v>Female</v>
      </c>
      <c r="P859">
        <f>_xlfn.XLOOKUP(Orders[[#This Row],[CustomerID]],Customers[CustomerID],Customers[CustomerAge])</f>
        <v>35</v>
      </c>
      <c r="Q859" t="str">
        <f>IF(Orders[[#This Row],[Age]]&gt;=35,"older","young")</f>
        <v>older</v>
      </c>
      <c r="R859" t="str">
        <f>_xlfn.XLOOKUP(Orders[[#This Row],[ProductID]],Products[ProductID],Products[ProductName])</f>
        <v>ANKARA</v>
      </c>
      <c r="S859" t="str">
        <f>_xlfn.XLOOKUP(Orders[[#This Row],[ProductID]],Products!A:A,Products!C:C)</f>
        <v>Clothing</v>
      </c>
    </row>
    <row r="860" spans="1:19" x14ac:dyDescent="0.2">
      <c r="A860" s="4" t="s">
        <v>1049</v>
      </c>
      <c r="B860" s="5">
        <v>45968</v>
      </c>
      <c r="C860" s="15">
        <f>WEEKNUM(Orders[[#This Row],[OrderDate]])</f>
        <v>45</v>
      </c>
      <c r="D860" s="4" t="s">
        <v>55</v>
      </c>
      <c r="E860" s="4" t="s">
        <v>31</v>
      </c>
      <c r="F860" s="4">
        <v>5</v>
      </c>
      <c r="G860" s="4">
        <v>5246.2</v>
      </c>
      <c r="H860">
        <v>4459.2699999999995</v>
      </c>
      <c r="I860">
        <f>Orders[[#This Row],[Quantity]]*Orders[[#This Row],[Selling Price]]</f>
        <v>26231</v>
      </c>
      <c r="J860">
        <f>Orders[[#This Row],[Quantity]]*Orders[[#This Row],[Cost Price]]</f>
        <v>22296.35</v>
      </c>
      <c r="K860">
        <f>Orders[[#This Row],[Revenue]]-Orders[[#This Row],[Expenses]]</f>
        <v>3934.6500000000015</v>
      </c>
      <c r="L860" t="s">
        <v>2199</v>
      </c>
      <c r="M860" t="str">
        <f>_xlfn.XLOOKUP(Orders[[#This Row],[CustomerID]],Customers[CustomerID],Customers[City])</f>
        <v>California</v>
      </c>
      <c r="N860" t="str">
        <f>_xlfn.XLOOKUP(Orders[[#This Row],[CustomerID]],Customers[CustomerID],Customers[CustomerName])</f>
        <v>Adanma Ojo</v>
      </c>
      <c r="O860" t="str">
        <f>_xlfn.XLOOKUP(Orders[[#This Row],[CustomerID]],Customers[CustomerID],Customers[Gender])</f>
        <v>Female</v>
      </c>
      <c r="P860">
        <f>_xlfn.XLOOKUP(Orders[[#This Row],[CustomerID]],Customers[CustomerID],Customers[CustomerAge])</f>
        <v>48</v>
      </c>
      <c r="Q860" t="str">
        <f>IF(Orders[[#This Row],[Age]]&gt;=35,"older","young")</f>
        <v>older</v>
      </c>
      <c r="R860" t="str">
        <f>_xlfn.XLOOKUP(Orders[[#This Row],[ProductID]],Products[ProductID],Products[ProductName])</f>
        <v>KIDS GAMES</v>
      </c>
      <c r="S860" t="str">
        <f>_xlfn.XLOOKUP(Orders[[#This Row],[ProductID]],Products!A:A,Products!C:C)</f>
        <v>Games</v>
      </c>
    </row>
    <row r="861" spans="1:19" x14ac:dyDescent="0.2">
      <c r="A861" s="4" t="s">
        <v>1050</v>
      </c>
      <c r="B861" s="5">
        <v>46019</v>
      </c>
      <c r="C861" s="15">
        <f>WEEKNUM(Orders[[#This Row],[OrderDate]])</f>
        <v>53</v>
      </c>
      <c r="D861" s="4" t="s">
        <v>671</v>
      </c>
      <c r="E861" s="4" t="s">
        <v>189</v>
      </c>
      <c r="F861" s="4">
        <v>8</v>
      </c>
      <c r="G861" s="4">
        <v>16119</v>
      </c>
      <c r="H861">
        <v>13701.15</v>
      </c>
      <c r="I861">
        <f>Orders[[#This Row],[Quantity]]*Orders[[#This Row],[Selling Price]]</f>
        <v>128952</v>
      </c>
      <c r="J861">
        <f>Orders[[#This Row],[Quantity]]*Orders[[#This Row],[Cost Price]]</f>
        <v>109609.2</v>
      </c>
      <c r="K861">
        <f>Orders[[#This Row],[Revenue]]-Orders[[#This Row],[Expenses]]</f>
        <v>19342.800000000003</v>
      </c>
      <c r="L861" t="s">
        <v>2196</v>
      </c>
      <c r="M861" t="str">
        <f>_xlfn.XLOOKUP(Orders[[#This Row],[CustomerID]],Customers[CustomerID],Customers[City])</f>
        <v>Texas</v>
      </c>
      <c r="N861" t="str">
        <f>_xlfn.XLOOKUP(Orders[[#This Row],[CustomerID]],Customers[CustomerID],Customers[CustomerName])</f>
        <v>Tunde Abubakar</v>
      </c>
      <c r="O861" t="str">
        <f>_xlfn.XLOOKUP(Orders[[#This Row],[CustomerID]],Customers[CustomerID],Customers[Gender])</f>
        <v>Male</v>
      </c>
      <c r="P861">
        <f>_xlfn.XLOOKUP(Orders[[#This Row],[CustomerID]],Customers[CustomerID],Customers[CustomerAge])</f>
        <v>26</v>
      </c>
      <c r="Q861" t="str">
        <f>IF(Orders[[#This Row],[Age]]&gt;=35,"older","young")</f>
        <v>young</v>
      </c>
      <c r="R861" t="str">
        <f>_xlfn.XLOOKUP(Orders[[#This Row],[ProductID]],Products[ProductID],Products[ProductName])</f>
        <v>SCRABBLE</v>
      </c>
      <c r="S861" t="str">
        <f>_xlfn.XLOOKUP(Orders[[#This Row],[ProductID]],Products!A:A,Products!C:C)</f>
        <v>Games</v>
      </c>
    </row>
    <row r="862" spans="1:19" x14ac:dyDescent="0.2">
      <c r="A862" s="4" t="s">
        <v>1051</v>
      </c>
      <c r="B862" s="5">
        <v>46014</v>
      </c>
      <c r="C862" s="15">
        <f>WEEKNUM(Orders[[#This Row],[OrderDate]])</f>
        <v>52</v>
      </c>
      <c r="D862" s="4" t="s">
        <v>94</v>
      </c>
      <c r="E862" s="4" t="s">
        <v>120</v>
      </c>
      <c r="F862" s="4">
        <v>4</v>
      </c>
      <c r="G862" s="4">
        <v>18554.100000000002</v>
      </c>
      <c r="H862">
        <v>15770.985000000002</v>
      </c>
      <c r="I862">
        <f>Orders[[#This Row],[Quantity]]*Orders[[#This Row],[Selling Price]]</f>
        <v>74216.400000000009</v>
      </c>
      <c r="J862">
        <f>Orders[[#This Row],[Quantity]]*Orders[[#This Row],[Cost Price]]</f>
        <v>63083.94000000001</v>
      </c>
      <c r="K862">
        <f>Orders[[#This Row],[Revenue]]-Orders[[#This Row],[Expenses]]</f>
        <v>11132.46</v>
      </c>
      <c r="L862" t="s">
        <v>2217</v>
      </c>
      <c r="M862" t="str">
        <f>_xlfn.XLOOKUP(Orders[[#This Row],[CustomerID]],Customers[CustomerID],Customers[City])</f>
        <v>Texas</v>
      </c>
      <c r="N862" t="str">
        <f>_xlfn.XLOOKUP(Orders[[#This Row],[CustomerID]],Customers[CustomerID],Customers[CustomerName])</f>
        <v>Uche Abubakar</v>
      </c>
      <c r="O862" t="str">
        <f>_xlfn.XLOOKUP(Orders[[#This Row],[CustomerID]],Customers[CustomerID],Customers[Gender])</f>
        <v>Male</v>
      </c>
      <c r="P862">
        <f>_xlfn.XLOOKUP(Orders[[#This Row],[CustomerID]],Customers[CustomerID],Customers[CustomerAge])</f>
        <v>26</v>
      </c>
      <c r="Q862" t="str">
        <f>IF(Orders[[#This Row],[Age]]&gt;=35,"older","young")</f>
        <v>young</v>
      </c>
      <c r="R862" t="str">
        <f>_xlfn.XLOOKUP(Orders[[#This Row],[ProductID]],Products[ProductID],Products[ProductName])</f>
        <v>CHESS</v>
      </c>
      <c r="S862" t="str">
        <f>_xlfn.XLOOKUP(Orders[[#This Row],[ProductID]],Products!A:A,Products!C:C)</f>
        <v>Games</v>
      </c>
    </row>
    <row r="863" spans="1:19" x14ac:dyDescent="0.2">
      <c r="A863" s="4" t="s">
        <v>1052</v>
      </c>
      <c r="B863" s="5">
        <v>45965</v>
      </c>
      <c r="C863" s="15">
        <f>WEEKNUM(Orders[[#This Row],[OrderDate]])</f>
        <v>45</v>
      </c>
      <c r="D863" s="4" t="s">
        <v>833</v>
      </c>
      <c r="E863" s="4" t="s">
        <v>31</v>
      </c>
      <c r="F863" s="4">
        <v>10</v>
      </c>
      <c r="G863" s="4">
        <v>3818.6000000000004</v>
      </c>
      <c r="H863">
        <v>3245.8100000000004</v>
      </c>
      <c r="I863">
        <f>Orders[[#This Row],[Quantity]]*Orders[[#This Row],[Selling Price]]</f>
        <v>38186</v>
      </c>
      <c r="J863">
        <f>Orders[[#This Row],[Quantity]]*Orders[[#This Row],[Cost Price]]</f>
        <v>32458.100000000006</v>
      </c>
      <c r="K863">
        <f>Orders[[#This Row],[Revenue]]-Orders[[#This Row],[Expenses]]</f>
        <v>5727.8999999999942</v>
      </c>
      <c r="L863" t="s">
        <v>2198</v>
      </c>
      <c r="M863" t="str">
        <f>_xlfn.XLOOKUP(Orders[[#This Row],[CustomerID]],Customers[CustomerID],Customers[City])</f>
        <v>Washington</v>
      </c>
      <c r="N863" t="str">
        <f>_xlfn.XLOOKUP(Orders[[#This Row],[CustomerID]],Customers[CustomerID],Customers[CustomerName])</f>
        <v>Abiola Adeyemi</v>
      </c>
      <c r="O863" t="str">
        <f>_xlfn.XLOOKUP(Orders[[#This Row],[CustomerID]],Customers[CustomerID],Customers[Gender])</f>
        <v>Male</v>
      </c>
      <c r="P863">
        <f>_xlfn.XLOOKUP(Orders[[#This Row],[CustomerID]],Customers[CustomerID],Customers[CustomerAge])</f>
        <v>53</v>
      </c>
      <c r="Q863" t="str">
        <f>IF(Orders[[#This Row],[Age]]&gt;=35,"older","young")</f>
        <v>older</v>
      </c>
      <c r="R863" t="str">
        <f>_xlfn.XLOOKUP(Orders[[#This Row],[ProductID]],Products[ProductID],Products[ProductName])</f>
        <v>KIDS GAMES</v>
      </c>
      <c r="S863" t="str">
        <f>_xlfn.XLOOKUP(Orders[[#This Row],[ProductID]],Products!A:A,Products!C:C)</f>
        <v>Games</v>
      </c>
    </row>
    <row r="864" spans="1:19" x14ac:dyDescent="0.2">
      <c r="A864" s="4" t="s">
        <v>1053</v>
      </c>
      <c r="B864" s="5">
        <v>46004</v>
      </c>
      <c r="C864" s="15">
        <f>WEEKNUM(Orders[[#This Row],[OrderDate]])</f>
        <v>50</v>
      </c>
      <c r="D864" s="4" t="s">
        <v>305</v>
      </c>
      <c r="E864" s="4" t="s">
        <v>70</v>
      </c>
      <c r="F864" s="4">
        <v>8</v>
      </c>
      <c r="G864" s="4">
        <v>17353.3</v>
      </c>
      <c r="H864">
        <v>14750.305</v>
      </c>
      <c r="I864">
        <f>Orders[[#This Row],[Quantity]]*Orders[[#This Row],[Selling Price]]</f>
        <v>138826.4</v>
      </c>
      <c r="J864">
        <f>Orders[[#This Row],[Quantity]]*Orders[[#This Row],[Cost Price]]</f>
        <v>118002.44</v>
      </c>
      <c r="K864">
        <f>Orders[[#This Row],[Revenue]]-Orders[[#This Row],[Expenses]]</f>
        <v>20823.959999999992</v>
      </c>
      <c r="L864" t="s">
        <v>2215</v>
      </c>
      <c r="M864" t="str">
        <f>_xlfn.XLOOKUP(Orders[[#This Row],[CustomerID]],Customers[CustomerID],Customers[City])</f>
        <v>California</v>
      </c>
      <c r="N864" t="str">
        <f>_xlfn.XLOOKUP(Orders[[#This Row],[CustomerID]],Customers[CustomerID],Customers[CustomerName])</f>
        <v>Tunde Danladi</v>
      </c>
      <c r="O864" t="str">
        <f>_xlfn.XLOOKUP(Orders[[#This Row],[CustomerID]],Customers[CustomerID],Customers[Gender])</f>
        <v>Male</v>
      </c>
      <c r="P864">
        <f>_xlfn.XLOOKUP(Orders[[#This Row],[CustomerID]],Customers[CustomerID],Customers[CustomerAge])</f>
        <v>40</v>
      </c>
      <c r="Q864" t="str">
        <f>IF(Orders[[#This Row],[Age]]&gt;=35,"older","young")</f>
        <v>older</v>
      </c>
      <c r="R864" t="str">
        <f>_xlfn.XLOOKUP(Orders[[#This Row],[ProductID]],Products[ProductID],Products[ProductName])</f>
        <v>YOGA MAT</v>
      </c>
      <c r="S864" t="str">
        <f>_xlfn.XLOOKUP(Orders[[#This Row],[ProductID]],Products!A:A,Products!C:C)</f>
        <v>Gym</v>
      </c>
    </row>
    <row r="865" spans="1:19" x14ac:dyDescent="0.2">
      <c r="A865" s="4" t="s">
        <v>1054</v>
      </c>
      <c r="B865" s="5">
        <v>45983</v>
      </c>
      <c r="C865" s="15">
        <f>WEEKNUM(Orders[[#This Row],[OrderDate]])</f>
        <v>47</v>
      </c>
      <c r="D865" s="4" t="s">
        <v>320</v>
      </c>
      <c r="E865" s="4" t="s">
        <v>46</v>
      </c>
      <c r="F865" s="4">
        <v>9</v>
      </c>
      <c r="G865" s="4">
        <v>5621.2</v>
      </c>
      <c r="H865">
        <v>4778.0199999999995</v>
      </c>
      <c r="I865">
        <f>Orders[[#This Row],[Quantity]]*Orders[[#This Row],[Selling Price]]</f>
        <v>50590.799999999996</v>
      </c>
      <c r="J865">
        <f>Orders[[#This Row],[Quantity]]*Orders[[#This Row],[Cost Price]]</f>
        <v>43002.179999999993</v>
      </c>
      <c r="K865">
        <f>Orders[[#This Row],[Revenue]]-Orders[[#This Row],[Expenses]]</f>
        <v>7588.6200000000026</v>
      </c>
      <c r="L865" t="s">
        <v>2216</v>
      </c>
      <c r="M865" t="str">
        <f>_xlfn.XLOOKUP(Orders[[#This Row],[CustomerID]],Customers[CustomerID],Customers[City])</f>
        <v>Texas</v>
      </c>
      <c r="N865" t="str">
        <f>_xlfn.XLOOKUP(Orders[[#This Row],[CustomerID]],Customers[CustomerID],Customers[CustomerName])</f>
        <v>Temi Okonkwo</v>
      </c>
      <c r="O865" t="str">
        <f>_xlfn.XLOOKUP(Orders[[#This Row],[CustomerID]],Customers[CustomerID],Customers[Gender])</f>
        <v>Female</v>
      </c>
      <c r="P865">
        <f>_xlfn.XLOOKUP(Orders[[#This Row],[CustomerID]],Customers[CustomerID],Customers[CustomerAge])</f>
        <v>31</v>
      </c>
      <c r="Q865" t="str">
        <f>IF(Orders[[#This Row],[Age]]&gt;=35,"older","young")</f>
        <v>young</v>
      </c>
      <c r="R865" t="str">
        <f>_xlfn.XLOOKUP(Orders[[#This Row],[ProductID]],Products[ProductID],Products[ProductName])</f>
        <v>TURTLE NECK</v>
      </c>
      <c r="S865" t="str">
        <f>_xlfn.XLOOKUP(Orders[[#This Row],[ProductID]],Products!A:A,Products!C:C)</f>
        <v>Clothing</v>
      </c>
    </row>
    <row r="866" spans="1:19" x14ac:dyDescent="0.2">
      <c r="A866" s="4" t="s">
        <v>1055</v>
      </c>
      <c r="B866" s="5">
        <v>46021</v>
      </c>
      <c r="C866" s="15">
        <f>WEEKNUM(Orders[[#This Row],[OrderDate]])</f>
        <v>53</v>
      </c>
      <c r="D866" s="4" t="s">
        <v>194</v>
      </c>
      <c r="E866" s="4" t="s">
        <v>125</v>
      </c>
      <c r="F866" s="4">
        <v>6</v>
      </c>
      <c r="G866" s="4">
        <v>19642.8</v>
      </c>
      <c r="H866">
        <v>16696.38</v>
      </c>
      <c r="I866">
        <f>Orders[[#This Row],[Quantity]]*Orders[[#This Row],[Selling Price]]</f>
        <v>117856.79999999999</v>
      </c>
      <c r="J866">
        <f>Orders[[#This Row],[Quantity]]*Orders[[#This Row],[Cost Price]]</f>
        <v>100178.28</v>
      </c>
      <c r="K866">
        <f>Orders[[#This Row],[Revenue]]-Orders[[#This Row],[Expenses]]</f>
        <v>17678.51999999999</v>
      </c>
      <c r="L866" t="s">
        <v>2213</v>
      </c>
      <c r="M866" t="str">
        <f>_xlfn.XLOOKUP(Orders[[#This Row],[CustomerID]],Customers[CustomerID],Customers[City])</f>
        <v>Washington</v>
      </c>
      <c r="N866" t="str">
        <f>_xlfn.XLOOKUP(Orders[[#This Row],[CustomerID]],Customers[CustomerID],Customers[CustomerName])</f>
        <v>Adanma Adeyemi</v>
      </c>
      <c r="O866" t="str">
        <f>_xlfn.XLOOKUP(Orders[[#This Row],[CustomerID]],Customers[CustomerID],Customers[Gender])</f>
        <v>Female</v>
      </c>
      <c r="P866">
        <f>_xlfn.XLOOKUP(Orders[[#This Row],[CustomerID]],Customers[CustomerID],Customers[CustomerAge])</f>
        <v>45</v>
      </c>
      <c r="Q866" t="str">
        <f>IF(Orders[[#This Row],[Age]]&gt;=35,"older","young")</f>
        <v>older</v>
      </c>
      <c r="R866" t="str">
        <f>_xlfn.XLOOKUP(Orders[[#This Row],[ProductID]],Products[ProductID],Products[ProductName])</f>
        <v>EARRINGS</v>
      </c>
      <c r="S866" t="str">
        <f>_xlfn.XLOOKUP(Orders[[#This Row],[ProductID]],Products!A:A,Products!C:C)</f>
        <v>Accessories</v>
      </c>
    </row>
    <row r="867" spans="1:19" x14ac:dyDescent="0.2">
      <c r="A867" s="4" t="s">
        <v>1056</v>
      </c>
      <c r="B867" s="5">
        <v>46008</v>
      </c>
      <c r="C867" s="15">
        <f>WEEKNUM(Orders[[#This Row],[OrderDate]])</f>
        <v>51</v>
      </c>
      <c r="D867" s="4" t="s">
        <v>252</v>
      </c>
      <c r="E867" s="4" t="s">
        <v>120</v>
      </c>
      <c r="F867" s="4">
        <v>2</v>
      </c>
      <c r="G867" s="4">
        <v>11157.8</v>
      </c>
      <c r="H867">
        <v>9484.1299999999992</v>
      </c>
      <c r="I867">
        <f>Orders[[#This Row],[Quantity]]*Orders[[#This Row],[Selling Price]]</f>
        <v>22315.599999999999</v>
      </c>
      <c r="J867">
        <f>Orders[[#This Row],[Quantity]]*Orders[[#This Row],[Cost Price]]</f>
        <v>18968.259999999998</v>
      </c>
      <c r="K867">
        <f>Orders[[#This Row],[Revenue]]-Orders[[#This Row],[Expenses]]</f>
        <v>3347.34</v>
      </c>
      <c r="L867" t="s">
        <v>2220</v>
      </c>
      <c r="M867" t="str">
        <f>_xlfn.XLOOKUP(Orders[[#This Row],[CustomerID]],Customers[CustomerID],Customers[City])</f>
        <v>Texas</v>
      </c>
      <c r="N867" t="str">
        <f>_xlfn.XLOOKUP(Orders[[#This Row],[CustomerID]],Customers[CustomerID],Customers[CustomerName])</f>
        <v>Chioma Adeyemi</v>
      </c>
      <c r="O867" t="str">
        <f>_xlfn.XLOOKUP(Orders[[#This Row],[CustomerID]],Customers[CustomerID],Customers[Gender])</f>
        <v>Female</v>
      </c>
      <c r="P867">
        <f>_xlfn.XLOOKUP(Orders[[#This Row],[CustomerID]],Customers[CustomerID],Customers[CustomerAge])</f>
        <v>20</v>
      </c>
      <c r="Q867" t="str">
        <f>IF(Orders[[#This Row],[Age]]&gt;=35,"older","young")</f>
        <v>young</v>
      </c>
      <c r="R867" t="str">
        <f>_xlfn.XLOOKUP(Orders[[#This Row],[ProductID]],Products[ProductID],Products[ProductName])</f>
        <v>CHESS</v>
      </c>
      <c r="S867" t="str">
        <f>_xlfn.XLOOKUP(Orders[[#This Row],[ProductID]],Products!A:A,Products!C:C)</f>
        <v>Games</v>
      </c>
    </row>
    <row r="868" spans="1:19" x14ac:dyDescent="0.2">
      <c r="A868" s="4" t="s">
        <v>1057</v>
      </c>
      <c r="B868" s="5">
        <v>46001</v>
      </c>
      <c r="C868" s="15">
        <f>WEEKNUM(Orders[[#This Row],[OrderDate]])</f>
        <v>50</v>
      </c>
      <c r="D868" s="4" t="s">
        <v>107</v>
      </c>
      <c r="E868" s="4" t="s">
        <v>125</v>
      </c>
      <c r="F868" s="4">
        <v>7</v>
      </c>
      <c r="G868" s="4">
        <v>2479.6999999999998</v>
      </c>
      <c r="H868">
        <v>2107.7449999999999</v>
      </c>
      <c r="I868">
        <f>Orders[[#This Row],[Quantity]]*Orders[[#This Row],[Selling Price]]</f>
        <v>17357.899999999998</v>
      </c>
      <c r="J868">
        <f>Orders[[#This Row],[Quantity]]*Orders[[#This Row],[Cost Price]]</f>
        <v>14754.215</v>
      </c>
      <c r="K868">
        <f>Orders[[#This Row],[Revenue]]-Orders[[#This Row],[Expenses]]</f>
        <v>2603.6849999999977</v>
      </c>
      <c r="L868" t="s">
        <v>2207</v>
      </c>
      <c r="M868" t="str">
        <f>_xlfn.XLOOKUP(Orders[[#This Row],[CustomerID]],Customers[CustomerID],Customers[City])</f>
        <v>Texas</v>
      </c>
      <c r="N868" t="str">
        <f>_xlfn.XLOOKUP(Orders[[#This Row],[CustomerID]],Customers[CustomerID],Customers[CustomerName])</f>
        <v>Blessing Eze</v>
      </c>
      <c r="O868" t="str">
        <f>_xlfn.XLOOKUP(Orders[[#This Row],[CustomerID]],Customers[CustomerID],Customers[Gender])</f>
        <v>Female</v>
      </c>
      <c r="P868">
        <f>_xlfn.XLOOKUP(Orders[[#This Row],[CustomerID]],Customers[CustomerID],Customers[CustomerAge])</f>
        <v>44</v>
      </c>
      <c r="Q868" t="str">
        <f>IF(Orders[[#This Row],[Age]]&gt;=35,"older","young")</f>
        <v>older</v>
      </c>
      <c r="R868" t="str">
        <f>_xlfn.XLOOKUP(Orders[[#This Row],[ProductID]],Products[ProductID],Products[ProductName])</f>
        <v>EARRINGS</v>
      </c>
      <c r="S868" t="str">
        <f>_xlfn.XLOOKUP(Orders[[#This Row],[ProductID]],Products!A:A,Products!C:C)</f>
        <v>Accessories</v>
      </c>
    </row>
    <row r="869" spans="1:19" x14ac:dyDescent="0.2">
      <c r="A869" s="4" t="s">
        <v>1058</v>
      </c>
      <c r="B869" s="5">
        <v>45942</v>
      </c>
      <c r="C869" s="15">
        <f>WEEKNUM(Orders[[#This Row],[OrderDate]])</f>
        <v>42</v>
      </c>
      <c r="D869" s="4" t="s">
        <v>426</v>
      </c>
      <c r="E869" s="4" t="s">
        <v>76</v>
      </c>
      <c r="F869" s="4">
        <v>2</v>
      </c>
      <c r="G869" s="4">
        <v>11450.1</v>
      </c>
      <c r="H869">
        <v>9732.5850000000009</v>
      </c>
      <c r="I869">
        <f>Orders[[#This Row],[Quantity]]*Orders[[#This Row],[Selling Price]]</f>
        <v>22900.2</v>
      </c>
      <c r="J869">
        <f>Orders[[#This Row],[Quantity]]*Orders[[#This Row],[Cost Price]]</f>
        <v>19465.170000000002</v>
      </c>
      <c r="K869">
        <f>Orders[[#This Row],[Revenue]]-Orders[[#This Row],[Expenses]]</f>
        <v>3435.0299999999988</v>
      </c>
      <c r="L869" t="s">
        <v>2199</v>
      </c>
      <c r="M869" t="str">
        <f>_xlfn.XLOOKUP(Orders[[#This Row],[CustomerID]],Customers[CustomerID],Customers[City])</f>
        <v>Washington</v>
      </c>
      <c r="N869" t="str">
        <f>_xlfn.XLOOKUP(Orders[[#This Row],[CustomerID]],Customers[CustomerID],Customers[CustomerName])</f>
        <v>Chinedu Ojo</v>
      </c>
      <c r="O869" t="str">
        <f>_xlfn.XLOOKUP(Orders[[#This Row],[CustomerID]],Customers[CustomerID],Customers[Gender])</f>
        <v>Male</v>
      </c>
      <c r="P869">
        <f>_xlfn.XLOOKUP(Orders[[#This Row],[CustomerID]],Customers[CustomerID],Customers[CustomerAge])</f>
        <v>18</v>
      </c>
      <c r="Q869" t="str">
        <f>IF(Orders[[#This Row],[Age]]&gt;=35,"older","young")</f>
        <v>young</v>
      </c>
      <c r="R869" t="str">
        <f>_xlfn.XLOOKUP(Orders[[#This Row],[ProductID]],Products[ProductID],Products[ProductName])</f>
        <v>BLENDER</v>
      </c>
      <c r="S869" t="str">
        <f>_xlfn.XLOOKUP(Orders[[#This Row],[ProductID]],Products!A:A,Products!C:C)</f>
        <v>Electronics</v>
      </c>
    </row>
    <row r="870" spans="1:19" x14ac:dyDescent="0.2">
      <c r="A870" s="4" t="s">
        <v>1059</v>
      </c>
      <c r="B870" s="5">
        <v>46003</v>
      </c>
      <c r="C870" s="15">
        <f>WEEKNUM(Orders[[#This Row],[OrderDate]])</f>
        <v>50</v>
      </c>
      <c r="D870" s="4" t="s">
        <v>73</v>
      </c>
      <c r="E870" s="4" t="s">
        <v>63</v>
      </c>
      <c r="F870" s="4">
        <v>8</v>
      </c>
      <c r="G870" s="4">
        <v>2135.1</v>
      </c>
      <c r="H870">
        <v>1814.835</v>
      </c>
      <c r="I870">
        <f>Orders[[#This Row],[Quantity]]*Orders[[#This Row],[Selling Price]]</f>
        <v>17080.8</v>
      </c>
      <c r="J870">
        <f>Orders[[#This Row],[Quantity]]*Orders[[#This Row],[Cost Price]]</f>
        <v>14518.68</v>
      </c>
      <c r="K870">
        <f>Orders[[#This Row],[Revenue]]-Orders[[#This Row],[Expenses]]</f>
        <v>2562.119999999999</v>
      </c>
      <c r="L870" t="s">
        <v>2207</v>
      </c>
      <c r="M870" t="str">
        <f>_xlfn.XLOOKUP(Orders[[#This Row],[CustomerID]],Customers[CustomerID],Customers[City])</f>
        <v>California</v>
      </c>
      <c r="N870" t="str">
        <f>_xlfn.XLOOKUP(Orders[[#This Row],[CustomerID]],Customers[CustomerID],Customers[CustomerName])</f>
        <v>Ronke Okonkwo</v>
      </c>
      <c r="O870" t="str">
        <f>_xlfn.XLOOKUP(Orders[[#This Row],[CustomerID]],Customers[CustomerID],Customers[Gender])</f>
        <v>Female</v>
      </c>
      <c r="P870">
        <f>_xlfn.XLOOKUP(Orders[[#This Row],[CustomerID]],Customers[CustomerID],Customers[CustomerAge])</f>
        <v>20</v>
      </c>
      <c r="Q870" t="str">
        <f>IF(Orders[[#This Row],[Age]]&gt;=35,"older","young")</f>
        <v>young</v>
      </c>
      <c r="R870" t="str">
        <f>_xlfn.XLOOKUP(Orders[[#This Row],[ProductID]],Products[ProductID],Products[ProductName])</f>
        <v>TENNIS BAT</v>
      </c>
      <c r="S870" t="str">
        <f>_xlfn.XLOOKUP(Orders[[#This Row],[ProductID]],Products!A:A,Products!C:C)</f>
        <v>Sports</v>
      </c>
    </row>
    <row r="871" spans="1:19" x14ac:dyDescent="0.2">
      <c r="A871" s="4" t="s">
        <v>1060</v>
      </c>
      <c r="B871" s="5">
        <v>45953</v>
      </c>
      <c r="C871" s="15">
        <f>WEEKNUM(Orders[[#This Row],[OrderDate]])</f>
        <v>43</v>
      </c>
      <c r="D871" s="4" t="s">
        <v>101</v>
      </c>
      <c r="E871" s="4" t="s">
        <v>111</v>
      </c>
      <c r="F871" s="4">
        <v>5</v>
      </c>
      <c r="G871" s="4">
        <v>2250.4</v>
      </c>
      <c r="H871">
        <v>1912.8400000000001</v>
      </c>
      <c r="I871">
        <f>Orders[[#This Row],[Quantity]]*Orders[[#This Row],[Selling Price]]</f>
        <v>11252</v>
      </c>
      <c r="J871">
        <f>Orders[[#This Row],[Quantity]]*Orders[[#This Row],[Cost Price]]</f>
        <v>9564.2000000000007</v>
      </c>
      <c r="K871">
        <f>Orders[[#This Row],[Revenue]]-Orders[[#This Row],[Expenses]]</f>
        <v>1687.7999999999993</v>
      </c>
      <c r="L871" t="s">
        <v>2219</v>
      </c>
      <c r="M871" t="str">
        <f>_xlfn.XLOOKUP(Orders[[#This Row],[CustomerID]],Customers[CustomerID],Customers[City])</f>
        <v>Texas</v>
      </c>
      <c r="N871" t="str">
        <f>_xlfn.XLOOKUP(Orders[[#This Row],[CustomerID]],Customers[CustomerID],Customers[CustomerName])</f>
        <v>Blessing Eze</v>
      </c>
      <c r="O871" t="str">
        <f>_xlfn.XLOOKUP(Orders[[#This Row],[CustomerID]],Customers[CustomerID],Customers[Gender])</f>
        <v>Female</v>
      </c>
      <c r="P871">
        <f>_xlfn.XLOOKUP(Orders[[#This Row],[CustomerID]],Customers[CustomerID],Customers[CustomerAge])</f>
        <v>55</v>
      </c>
      <c r="Q871" t="str">
        <f>IF(Orders[[#This Row],[Age]]&gt;=35,"older","young")</f>
        <v>older</v>
      </c>
      <c r="R871" t="str">
        <f>_xlfn.XLOOKUP(Orders[[#This Row],[ProductID]],Products[ProductID],Products[ProductName])</f>
        <v>REFRIGERATOR</v>
      </c>
      <c r="S871" t="str">
        <f>_xlfn.XLOOKUP(Orders[[#This Row],[ProductID]],Products!A:A,Products!C:C)</f>
        <v>Electronics</v>
      </c>
    </row>
    <row r="872" spans="1:19" x14ac:dyDescent="0.2">
      <c r="A872" s="4" t="s">
        <v>1061</v>
      </c>
      <c r="B872" s="5">
        <v>45940</v>
      </c>
      <c r="C872" s="15">
        <f>WEEKNUM(Orders[[#This Row],[OrderDate]])</f>
        <v>41</v>
      </c>
      <c r="D872" s="4" t="s">
        <v>596</v>
      </c>
      <c r="E872" s="4" t="s">
        <v>12</v>
      </c>
      <c r="F872" s="4">
        <v>5</v>
      </c>
      <c r="G872" s="4">
        <v>10030.700000000001</v>
      </c>
      <c r="H872">
        <v>8526.0950000000012</v>
      </c>
      <c r="I872">
        <f>Orders[[#This Row],[Quantity]]*Orders[[#This Row],[Selling Price]]</f>
        <v>50153.5</v>
      </c>
      <c r="J872">
        <f>Orders[[#This Row],[Quantity]]*Orders[[#This Row],[Cost Price]]</f>
        <v>42630.475000000006</v>
      </c>
      <c r="K872">
        <f>Orders[[#This Row],[Revenue]]-Orders[[#This Row],[Expenses]]</f>
        <v>7523.0249999999942</v>
      </c>
      <c r="L872" t="s">
        <v>2210</v>
      </c>
      <c r="M872" t="str">
        <f>_xlfn.XLOOKUP(Orders[[#This Row],[CustomerID]],Customers[CustomerID],Customers[City])</f>
        <v>Texas</v>
      </c>
      <c r="N872" t="str">
        <f>_xlfn.XLOOKUP(Orders[[#This Row],[CustomerID]],Customers[CustomerID],Customers[CustomerName])</f>
        <v>Blessing Balogun</v>
      </c>
      <c r="O872" t="str">
        <f>_xlfn.XLOOKUP(Orders[[#This Row],[CustomerID]],Customers[CustomerID],Customers[Gender])</f>
        <v>Female</v>
      </c>
      <c r="P872">
        <f>_xlfn.XLOOKUP(Orders[[#This Row],[CustomerID]],Customers[CustomerID],Customers[CustomerAge])</f>
        <v>26</v>
      </c>
      <c r="Q872" t="str">
        <f>IF(Orders[[#This Row],[Age]]&gt;=35,"older","young")</f>
        <v>young</v>
      </c>
      <c r="R872" t="str">
        <f>_xlfn.XLOOKUP(Orders[[#This Row],[ProductID]],Products[ProductID],Products[ProductName])</f>
        <v>BOUBOU</v>
      </c>
      <c r="S872" t="str">
        <f>_xlfn.XLOOKUP(Orders[[#This Row],[ProductID]],Products!A:A,Products!C:C)</f>
        <v>Clothing</v>
      </c>
    </row>
    <row r="873" spans="1:19" x14ac:dyDescent="0.2">
      <c r="A873" s="4" t="s">
        <v>1062</v>
      </c>
      <c r="B873" s="5">
        <v>46006</v>
      </c>
      <c r="C873" s="15">
        <f>WEEKNUM(Orders[[#This Row],[OrderDate]])</f>
        <v>51</v>
      </c>
      <c r="D873" s="4" t="s">
        <v>83</v>
      </c>
      <c r="E873" s="4" t="s">
        <v>253</v>
      </c>
      <c r="F873" s="4">
        <v>2</v>
      </c>
      <c r="G873" s="4">
        <v>6532</v>
      </c>
      <c r="H873">
        <v>5552.2</v>
      </c>
      <c r="I873">
        <f>Orders[[#This Row],[Quantity]]*Orders[[#This Row],[Selling Price]]</f>
        <v>13064</v>
      </c>
      <c r="J873">
        <f>Orders[[#This Row],[Quantity]]*Orders[[#This Row],[Cost Price]]</f>
        <v>11104.4</v>
      </c>
      <c r="K873">
        <f>Orders[[#This Row],[Revenue]]-Orders[[#This Row],[Expenses]]</f>
        <v>1959.6000000000004</v>
      </c>
      <c r="L873" t="s">
        <v>2214</v>
      </c>
      <c r="M873" t="str">
        <f>_xlfn.XLOOKUP(Orders[[#This Row],[CustomerID]],Customers[CustomerID],Customers[City])</f>
        <v>Florida</v>
      </c>
      <c r="N873" t="str">
        <f>_xlfn.XLOOKUP(Orders[[#This Row],[CustomerID]],Customers[CustomerID],Customers[CustomerName])</f>
        <v>Funke Danladi</v>
      </c>
      <c r="O873" t="str">
        <f>_xlfn.XLOOKUP(Orders[[#This Row],[CustomerID]],Customers[CustomerID],Customers[Gender])</f>
        <v>Female</v>
      </c>
      <c r="P873">
        <f>_xlfn.XLOOKUP(Orders[[#This Row],[CustomerID]],Customers[CustomerID],Customers[CustomerAge])</f>
        <v>26</v>
      </c>
      <c r="Q873" t="str">
        <f>IF(Orders[[#This Row],[Age]]&gt;=35,"older","young")</f>
        <v>young</v>
      </c>
      <c r="R873" t="str">
        <f>_xlfn.XLOOKUP(Orders[[#This Row],[ProductID]],Products[ProductID],Products[ProductName])</f>
        <v>NOSE RINGS</v>
      </c>
      <c r="S873" t="str">
        <f>_xlfn.XLOOKUP(Orders[[#This Row],[ProductID]],Products!A:A,Products!C:C)</f>
        <v>Accessories</v>
      </c>
    </row>
    <row r="874" spans="1:19" x14ac:dyDescent="0.2">
      <c r="A874" s="4" t="s">
        <v>1063</v>
      </c>
      <c r="B874" s="5">
        <v>45997</v>
      </c>
      <c r="C874" s="15">
        <f>WEEKNUM(Orders[[#This Row],[OrderDate]])</f>
        <v>49</v>
      </c>
      <c r="D874" s="4" t="s">
        <v>309</v>
      </c>
      <c r="E874" s="4" t="s">
        <v>189</v>
      </c>
      <c r="F874" s="4">
        <v>8</v>
      </c>
      <c r="G874" s="4">
        <v>4895.5</v>
      </c>
      <c r="H874">
        <v>4161.1750000000002</v>
      </c>
      <c r="I874">
        <f>Orders[[#This Row],[Quantity]]*Orders[[#This Row],[Selling Price]]</f>
        <v>39164</v>
      </c>
      <c r="J874">
        <f>Orders[[#This Row],[Quantity]]*Orders[[#This Row],[Cost Price]]</f>
        <v>33289.4</v>
      </c>
      <c r="K874">
        <f>Orders[[#This Row],[Revenue]]-Orders[[#This Row],[Expenses]]</f>
        <v>5874.5999999999985</v>
      </c>
      <c r="L874" t="s">
        <v>2197</v>
      </c>
      <c r="M874" t="str">
        <f>_xlfn.XLOOKUP(Orders[[#This Row],[CustomerID]],Customers[CustomerID],Customers[City])</f>
        <v>Washington</v>
      </c>
      <c r="N874" t="str">
        <f>_xlfn.XLOOKUP(Orders[[#This Row],[CustomerID]],Customers[CustomerID],Customers[CustomerName])</f>
        <v>Temi Ojo</v>
      </c>
      <c r="O874" t="str">
        <f>_xlfn.XLOOKUP(Orders[[#This Row],[CustomerID]],Customers[CustomerID],Customers[Gender])</f>
        <v>Female</v>
      </c>
      <c r="P874">
        <f>_xlfn.XLOOKUP(Orders[[#This Row],[CustomerID]],Customers[CustomerID],Customers[CustomerAge])</f>
        <v>36</v>
      </c>
      <c r="Q874" t="str">
        <f>IF(Orders[[#This Row],[Age]]&gt;=35,"older","young")</f>
        <v>older</v>
      </c>
      <c r="R874" t="str">
        <f>_xlfn.XLOOKUP(Orders[[#This Row],[ProductID]],Products[ProductID],Products[ProductName])</f>
        <v>SCRABBLE</v>
      </c>
      <c r="S874" t="str">
        <f>_xlfn.XLOOKUP(Orders[[#This Row],[ProductID]],Products!A:A,Products!C:C)</f>
        <v>Games</v>
      </c>
    </row>
    <row r="875" spans="1:19" x14ac:dyDescent="0.2">
      <c r="A875" s="4" t="s">
        <v>1064</v>
      </c>
      <c r="B875" s="5">
        <v>45931</v>
      </c>
      <c r="C875" s="15">
        <f>WEEKNUM(Orders[[#This Row],[OrderDate]])</f>
        <v>40</v>
      </c>
      <c r="D875" s="4" t="s">
        <v>161</v>
      </c>
      <c r="E875" s="4" t="s">
        <v>57</v>
      </c>
      <c r="F875" s="4">
        <v>3</v>
      </c>
      <c r="G875" s="4">
        <v>9928.2000000000007</v>
      </c>
      <c r="H875">
        <v>8438.9700000000012</v>
      </c>
      <c r="I875">
        <f>Orders[[#This Row],[Quantity]]*Orders[[#This Row],[Selling Price]]</f>
        <v>29784.600000000002</v>
      </c>
      <c r="J875">
        <f>Orders[[#This Row],[Quantity]]*Orders[[#This Row],[Cost Price]]</f>
        <v>25316.910000000003</v>
      </c>
      <c r="K875">
        <f>Orders[[#This Row],[Revenue]]-Orders[[#This Row],[Expenses]]</f>
        <v>4467.6899999999987</v>
      </c>
      <c r="L875" t="s">
        <v>2199</v>
      </c>
      <c r="M875" t="str">
        <f>_xlfn.XLOOKUP(Orders[[#This Row],[CustomerID]],Customers[CustomerID],Customers[City])</f>
        <v>Georgia</v>
      </c>
      <c r="N875" t="str">
        <f>_xlfn.XLOOKUP(Orders[[#This Row],[CustomerID]],Customers[CustomerID],Customers[CustomerName])</f>
        <v>Okon Adeyemi</v>
      </c>
      <c r="O875" t="str">
        <f>_xlfn.XLOOKUP(Orders[[#This Row],[CustomerID]],Customers[CustomerID],Customers[Gender])</f>
        <v>Male</v>
      </c>
      <c r="P875">
        <f>_xlfn.XLOOKUP(Orders[[#This Row],[CustomerID]],Customers[CustomerID],Customers[CustomerAge])</f>
        <v>31</v>
      </c>
      <c r="Q875" t="str">
        <f>IF(Orders[[#This Row],[Age]]&gt;=35,"older","young")</f>
        <v>young</v>
      </c>
      <c r="R875" t="str">
        <f>_xlfn.XLOOKUP(Orders[[#This Row],[ProductID]],Products[ProductID],Products[ProductName])</f>
        <v>BADMINTON RACKET</v>
      </c>
      <c r="S875" t="str">
        <f>_xlfn.XLOOKUP(Orders[[#This Row],[ProductID]],Products!A:A,Products!C:C)</f>
        <v>Sports</v>
      </c>
    </row>
    <row r="876" spans="1:19" x14ac:dyDescent="0.2">
      <c r="A876" s="4" t="s">
        <v>1065</v>
      </c>
      <c r="B876" s="5">
        <v>45932</v>
      </c>
      <c r="C876" s="15">
        <f>WEEKNUM(Orders[[#This Row],[OrderDate]])</f>
        <v>40</v>
      </c>
      <c r="D876" s="4" t="s">
        <v>55</v>
      </c>
      <c r="E876" s="4" t="s">
        <v>151</v>
      </c>
      <c r="F876" s="4">
        <v>9</v>
      </c>
      <c r="G876" s="4">
        <v>7019.2999999999993</v>
      </c>
      <c r="H876">
        <v>5966.4049999999997</v>
      </c>
      <c r="I876">
        <f>Orders[[#This Row],[Quantity]]*Orders[[#This Row],[Selling Price]]</f>
        <v>63173.7</v>
      </c>
      <c r="J876">
        <f>Orders[[#This Row],[Quantity]]*Orders[[#This Row],[Cost Price]]</f>
        <v>53697.644999999997</v>
      </c>
      <c r="K876">
        <f>Orders[[#This Row],[Revenue]]-Orders[[#This Row],[Expenses]]</f>
        <v>9476.0550000000003</v>
      </c>
      <c r="L876" t="s">
        <v>2215</v>
      </c>
      <c r="M876" t="str">
        <f>_xlfn.XLOOKUP(Orders[[#This Row],[CustomerID]],Customers[CustomerID],Customers[City])</f>
        <v>California</v>
      </c>
      <c r="N876" t="str">
        <f>_xlfn.XLOOKUP(Orders[[#This Row],[CustomerID]],Customers[CustomerID],Customers[CustomerName])</f>
        <v>Adanma Ojo</v>
      </c>
      <c r="O876" t="str">
        <f>_xlfn.XLOOKUP(Orders[[#This Row],[CustomerID]],Customers[CustomerID],Customers[Gender])</f>
        <v>Female</v>
      </c>
      <c r="P876">
        <f>_xlfn.XLOOKUP(Orders[[#This Row],[CustomerID]],Customers[CustomerID],Customers[CustomerAge])</f>
        <v>48</v>
      </c>
      <c r="Q876" t="str">
        <f>IF(Orders[[#This Row],[Age]]&gt;=35,"older","young")</f>
        <v>older</v>
      </c>
      <c r="R876" t="str">
        <f>_xlfn.XLOOKUP(Orders[[#This Row],[ProductID]],Products[ProductID],Products[ProductName])</f>
        <v>CHECKERS</v>
      </c>
      <c r="S876" t="str">
        <f>_xlfn.XLOOKUP(Orders[[#This Row],[ProductID]],Products!A:A,Products!C:C)</f>
        <v>Games</v>
      </c>
    </row>
    <row r="877" spans="1:19" x14ac:dyDescent="0.2">
      <c r="A877" s="4" t="s">
        <v>1066</v>
      </c>
      <c r="B877" s="5">
        <v>45986</v>
      </c>
      <c r="C877" s="15">
        <f>WEEKNUM(Orders[[#This Row],[OrderDate]])</f>
        <v>48</v>
      </c>
      <c r="D877" s="4" t="s">
        <v>605</v>
      </c>
      <c r="E877" s="4" t="s">
        <v>232</v>
      </c>
      <c r="F877" s="4">
        <v>10</v>
      </c>
      <c r="G877" s="4">
        <v>12427.7</v>
      </c>
      <c r="H877">
        <v>10563.545</v>
      </c>
      <c r="I877">
        <f>Orders[[#This Row],[Quantity]]*Orders[[#This Row],[Selling Price]]</f>
        <v>124277</v>
      </c>
      <c r="J877">
        <f>Orders[[#This Row],[Quantity]]*Orders[[#This Row],[Cost Price]]</f>
        <v>105635.45</v>
      </c>
      <c r="K877">
        <f>Orders[[#This Row],[Revenue]]-Orders[[#This Row],[Expenses]]</f>
        <v>18641.550000000003</v>
      </c>
      <c r="L877" t="s">
        <v>2208</v>
      </c>
      <c r="M877" t="str">
        <f>_xlfn.XLOOKUP(Orders[[#This Row],[CustomerID]],Customers[CustomerID],Customers[City])</f>
        <v>Texas</v>
      </c>
      <c r="N877" t="str">
        <f>_xlfn.XLOOKUP(Orders[[#This Row],[CustomerID]],Customers[CustomerID],Customers[CustomerName])</f>
        <v>Blessing Abubakar</v>
      </c>
      <c r="O877" t="str">
        <f>_xlfn.XLOOKUP(Orders[[#This Row],[CustomerID]],Customers[CustomerID],Customers[Gender])</f>
        <v>Female</v>
      </c>
      <c r="P877">
        <f>_xlfn.XLOOKUP(Orders[[#This Row],[CustomerID]],Customers[CustomerID],Customers[CustomerAge])</f>
        <v>44</v>
      </c>
      <c r="Q877" t="str">
        <f>IF(Orders[[#This Row],[Age]]&gt;=35,"older","young")</f>
        <v>older</v>
      </c>
      <c r="R877" t="str">
        <f>_xlfn.XLOOKUP(Orders[[#This Row],[ProductID]],Products[ProductID],Products[ProductName])</f>
        <v>ANKARA</v>
      </c>
      <c r="S877" t="str">
        <f>_xlfn.XLOOKUP(Orders[[#This Row],[ProductID]],Products!A:A,Products!C:C)</f>
        <v>Clothing</v>
      </c>
    </row>
    <row r="878" spans="1:19" x14ac:dyDescent="0.2">
      <c r="A878" s="4" t="s">
        <v>1067</v>
      </c>
      <c r="B878" s="5">
        <v>46014</v>
      </c>
      <c r="C878" s="15">
        <f>WEEKNUM(Orders[[#This Row],[OrderDate]])</f>
        <v>52</v>
      </c>
      <c r="D878" s="4" t="s">
        <v>83</v>
      </c>
      <c r="E878" s="4" t="s">
        <v>84</v>
      </c>
      <c r="F878" s="4">
        <v>8</v>
      </c>
      <c r="G878" s="4">
        <v>18572.099999999999</v>
      </c>
      <c r="H878">
        <v>15786.285</v>
      </c>
      <c r="I878">
        <f>Orders[[#This Row],[Quantity]]*Orders[[#This Row],[Selling Price]]</f>
        <v>148576.79999999999</v>
      </c>
      <c r="J878">
        <f>Orders[[#This Row],[Quantity]]*Orders[[#This Row],[Cost Price]]</f>
        <v>126290.28</v>
      </c>
      <c r="K878">
        <f>Orders[[#This Row],[Revenue]]-Orders[[#This Row],[Expenses]]</f>
        <v>22286.51999999999</v>
      </c>
      <c r="L878" t="s">
        <v>2200</v>
      </c>
      <c r="M878" t="str">
        <f>_xlfn.XLOOKUP(Orders[[#This Row],[CustomerID]],Customers[CustomerID],Customers[City])</f>
        <v>Florida</v>
      </c>
      <c r="N878" t="str">
        <f>_xlfn.XLOOKUP(Orders[[#This Row],[CustomerID]],Customers[CustomerID],Customers[CustomerName])</f>
        <v>Funke Danladi</v>
      </c>
      <c r="O878" t="str">
        <f>_xlfn.XLOOKUP(Orders[[#This Row],[CustomerID]],Customers[CustomerID],Customers[Gender])</f>
        <v>Female</v>
      </c>
      <c r="P878">
        <f>_xlfn.XLOOKUP(Orders[[#This Row],[CustomerID]],Customers[CustomerID],Customers[CustomerAge])</f>
        <v>26</v>
      </c>
      <c r="Q878" t="str">
        <f>IF(Orders[[#This Row],[Age]]&gt;=35,"older","young")</f>
        <v>young</v>
      </c>
      <c r="R878" t="str">
        <f>_xlfn.XLOOKUP(Orders[[#This Row],[ProductID]],Products[ProductID],Products[ProductName])</f>
        <v>GYM WEARS</v>
      </c>
      <c r="S878" t="str">
        <f>_xlfn.XLOOKUP(Orders[[#This Row],[ProductID]],Products!A:A,Products!C:C)</f>
        <v>Clothing</v>
      </c>
    </row>
    <row r="879" spans="1:19" x14ac:dyDescent="0.2">
      <c r="A879" s="4" t="s">
        <v>1068</v>
      </c>
      <c r="B879" s="5">
        <v>45943</v>
      </c>
      <c r="C879" s="15">
        <f>WEEKNUM(Orders[[#This Row],[OrderDate]])</f>
        <v>42</v>
      </c>
      <c r="D879" s="4" t="s">
        <v>107</v>
      </c>
      <c r="E879" s="4" t="s">
        <v>34</v>
      </c>
      <c r="F879" s="4">
        <v>8</v>
      </c>
      <c r="G879" s="4">
        <v>6080.1</v>
      </c>
      <c r="H879">
        <v>5168.085</v>
      </c>
      <c r="I879">
        <f>Orders[[#This Row],[Quantity]]*Orders[[#This Row],[Selling Price]]</f>
        <v>48640.800000000003</v>
      </c>
      <c r="J879">
        <f>Orders[[#This Row],[Quantity]]*Orders[[#This Row],[Cost Price]]</f>
        <v>41344.68</v>
      </c>
      <c r="K879">
        <f>Orders[[#This Row],[Revenue]]-Orders[[#This Row],[Expenses]]</f>
        <v>7296.1200000000026</v>
      </c>
      <c r="L879" t="s">
        <v>2193</v>
      </c>
      <c r="M879" t="str">
        <f>_xlfn.XLOOKUP(Orders[[#This Row],[CustomerID]],Customers[CustomerID],Customers[City])</f>
        <v>Texas</v>
      </c>
      <c r="N879" t="str">
        <f>_xlfn.XLOOKUP(Orders[[#This Row],[CustomerID]],Customers[CustomerID],Customers[CustomerName])</f>
        <v>Blessing Eze</v>
      </c>
      <c r="O879" t="str">
        <f>_xlfn.XLOOKUP(Orders[[#This Row],[CustomerID]],Customers[CustomerID],Customers[Gender])</f>
        <v>Female</v>
      </c>
      <c r="P879">
        <f>_xlfn.XLOOKUP(Orders[[#This Row],[CustomerID]],Customers[CustomerID],Customers[CustomerAge])</f>
        <v>44</v>
      </c>
      <c r="Q879" t="str">
        <f>IF(Orders[[#This Row],[Age]]&gt;=35,"older","young")</f>
        <v>older</v>
      </c>
      <c r="R879" t="str">
        <f>_xlfn.XLOOKUP(Orders[[#This Row],[ProductID]],Products[ProductID],Products[ProductName])</f>
        <v>GOLD BRACELETS</v>
      </c>
      <c r="S879" t="str">
        <f>_xlfn.XLOOKUP(Orders[[#This Row],[ProductID]],Products!A:A,Products!C:C)</f>
        <v>Accessories</v>
      </c>
    </row>
    <row r="880" spans="1:19" x14ac:dyDescent="0.2">
      <c r="A880" s="4" t="s">
        <v>1069</v>
      </c>
      <c r="B880" s="5">
        <v>45975</v>
      </c>
      <c r="C880" s="15">
        <f>WEEKNUM(Orders[[#This Row],[OrderDate]])</f>
        <v>46</v>
      </c>
      <c r="D880" s="4" t="s">
        <v>87</v>
      </c>
      <c r="E880" s="4" t="s">
        <v>46</v>
      </c>
      <c r="F880" s="4">
        <v>3</v>
      </c>
      <c r="G880" s="4">
        <v>3446.6000000000004</v>
      </c>
      <c r="H880">
        <v>2929.6100000000006</v>
      </c>
      <c r="I880">
        <f>Orders[[#This Row],[Quantity]]*Orders[[#This Row],[Selling Price]]</f>
        <v>10339.800000000001</v>
      </c>
      <c r="J880">
        <f>Orders[[#This Row],[Quantity]]*Orders[[#This Row],[Cost Price]]</f>
        <v>8788.8300000000017</v>
      </c>
      <c r="K880">
        <f>Orders[[#This Row],[Revenue]]-Orders[[#This Row],[Expenses]]</f>
        <v>1550.9699999999993</v>
      </c>
      <c r="L880" t="s">
        <v>2199</v>
      </c>
      <c r="M880" t="str">
        <f>_xlfn.XLOOKUP(Orders[[#This Row],[CustomerID]],Customers[CustomerID],Customers[City])</f>
        <v>Illinois</v>
      </c>
      <c r="N880" t="str">
        <f>_xlfn.XLOOKUP(Orders[[#This Row],[CustomerID]],Customers[CustomerID],Customers[CustomerName])</f>
        <v>Efe Igwe</v>
      </c>
      <c r="O880" t="str">
        <f>_xlfn.XLOOKUP(Orders[[#This Row],[CustomerID]],Customers[CustomerID],Customers[Gender])</f>
        <v>Female</v>
      </c>
      <c r="P880">
        <f>_xlfn.XLOOKUP(Orders[[#This Row],[CustomerID]],Customers[CustomerID],Customers[CustomerAge])</f>
        <v>34</v>
      </c>
      <c r="Q880" t="str">
        <f>IF(Orders[[#This Row],[Age]]&gt;=35,"older","young")</f>
        <v>young</v>
      </c>
      <c r="R880" t="str">
        <f>_xlfn.XLOOKUP(Orders[[#This Row],[ProductID]],Products[ProductID],Products[ProductName])</f>
        <v>TURTLE NECK</v>
      </c>
      <c r="S880" t="str">
        <f>_xlfn.XLOOKUP(Orders[[#This Row],[ProductID]],Products!A:A,Products!C:C)</f>
        <v>Clothing</v>
      </c>
    </row>
    <row r="881" spans="1:19" x14ac:dyDescent="0.2">
      <c r="A881" s="4" t="s">
        <v>1070</v>
      </c>
      <c r="B881" s="5">
        <v>45955</v>
      </c>
      <c r="C881" s="15">
        <f>WEEKNUM(Orders[[#This Row],[OrderDate]])</f>
        <v>43</v>
      </c>
      <c r="D881" s="4" t="s">
        <v>103</v>
      </c>
      <c r="E881" s="4" t="s">
        <v>34</v>
      </c>
      <c r="F881" s="4">
        <v>6</v>
      </c>
      <c r="G881" s="4">
        <v>3155.7999999999997</v>
      </c>
      <c r="H881">
        <v>2682.43</v>
      </c>
      <c r="I881">
        <f>Orders[[#This Row],[Quantity]]*Orders[[#This Row],[Selling Price]]</f>
        <v>18934.8</v>
      </c>
      <c r="J881">
        <f>Orders[[#This Row],[Quantity]]*Orders[[#This Row],[Cost Price]]</f>
        <v>16094.579999999998</v>
      </c>
      <c r="K881">
        <f>Orders[[#This Row],[Revenue]]-Orders[[#This Row],[Expenses]]</f>
        <v>2840.2200000000012</v>
      </c>
      <c r="L881" t="s">
        <v>2193</v>
      </c>
      <c r="M881" t="str">
        <f>_xlfn.XLOOKUP(Orders[[#This Row],[CustomerID]],Customers[CustomerID],Customers[City])</f>
        <v>Georgia</v>
      </c>
      <c r="N881" t="str">
        <f>_xlfn.XLOOKUP(Orders[[#This Row],[CustomerID]],Customers[CustomerID],Customers[CustomerName])</f>
        <v>Chioma Adeyemi</v>
      </c>
      <c r="O881" t="str">
        <f>_xlfn.XLOOKUP(Orders[[#This Row],[CustomerID]],Customers[CustomerID],Customers[Gender])</f>
        <v>Female</v>
      </c>
      <c r="P881">
        <f>_xlfn.XLOOKUP(Orders[[#This Row],[CustomerID]],Customers[CustomerID],Customers[CustomerAge])</f>
        <v>31</v>
      </c>
      <c r="Q881" t="str">
        <f>IF(Orders[[#This Row],[Age]]&gt;=35,"older","young")</f>
        <v>young</v>
      </c>
      <c r="R881" t="str">
        <f>_xlfn.XLOOKUP(Orders[[#This Row],[ProductID]],Products[ProductID],Products[ProductName])</f>
        <v>GOLD BRACELETS</v>
      </c>
      <c r="S881" t="str">
        <f>_xlfn.XLOOKUP(Orders[[#This Row],[ProductID]],Products!A:A,Products!C:C)</f>
        <v>Accessories</v>
      </c>
    </row>
    <row r="882" spans="1:19" x14ac:dyDescent="0.2">
      <c r="A882" s="4" t="s">
        <v>1071</v>
      </c>
      <c r="B882" s="5">
        <v>46004</v>
      </c>
      <c r="C882" s="15">
        <f>WEEKNUM(Orders[[#This Row],[OrderDate]])</f>
        <v>50</v>
      </c>
      <c r="D882" s="4" t="s">
        <v>333</v>
      </c>
      <c r="E882" s="4" t="s">
        <v>151</v>
      </c>
      <c r="F882" s="4">
        <v>5</v>
      </c>
      <c r="G882" s="4">
        <v>7243.7</v>
      </c>
      <c r="H882">
        <v>6157.1450000000004</v>
      </c>
      <c r="I882">
        <f>Orders[[#This Row],[Quantity]]*Orders[[#This Row],[Selling Price]]</f>
        <v>36218.5</v>
      </c>
      <c r="J882">
        <f>Orders[[#This Row],[Quantity]]*Orders[[#This Row],[Cost Price]]</f>
        <v>30785.725000000002</v>
      </c>
      <c r="K882">
        <f>Orders[[#This Row],[Revenue]]-Orders[[#This Row],[Expenses]]</f>
        <v>5432.7749999999978</v>
      </c>
      <c r="L882" t="s">
        <v>2216</v>
      </c>
      <c r="M882" t="str">
        <f>_xlfn.XLOOKUP(Orders[[#This Row],[CustomerID]],Customers[CustomerID],Customers[City])</f>
        <v>Washington</v>
      </c>
      <c r="N882" t="str">
        <f>_xlfn.XLOOKUP(Orders[[#This Row],[CustomerID]],Customers[CustomerID],Customers[CustomerName])</f>
        <v>Emeka Obi</v>
      </c>
      <c r="O882" t="str">
        <f>_xlfn.XLOOKUP(Orders[[#This Row],[CustomerID]],Customers[CustomerID],Customers[Gender])</f>
        <v>Male</v>
      </c>
      <c r="P882">
        <f>_xlfn.XLOOKUP(Orders[[#This Row],[CustomerID]],Customers[CustomerID],Customers[CustomerAge])</f>
        <v>44</v>
      </c>
      <c r="Q882" t="str">
        <f>IF(Orders[[#This Row],[Age]]&gt;=35,"older","young")</f>
        <v>older</v>
      </c>
      <c r="R882" t="str">
        <f>_xlfn.XLOOKUP(Orders[[#This Row],[ProductID]],Products[ProductID],Products[ProductName])</f>
        <v>CHECKERS</v>
      </c>
      <c r="S882" t="str">
        <f>_xlfn.XLOOKUP(Orders[[#This Row],[ProductID]],Products!A:A,Products!C:C)</f>
        <v>Games</v>
      </c>
    </row>
    <row r="883" spans="1:19" x14ac:dyDescent="0.2">
      <c r="A883" s="4" t="s">
        <v>1072</v>
      </c>
      <c r="B883" s="5">
        <v>45979</v>
      </c>
      <c r="C883" s="15">
        <f>WEEKNUM(Orders[[#This Row],[OrderDate]])</f>
        <v>47</v>
      </c>
      <c r="D883" s="4" t="s">
        <v>124</v>
      </c>
      <c r="E883" s="4" t="s">
        <v>130</v>
      </c>
      <c r="F883" s="4">
        <v>10</v>
      </c>
      <c r="G883" s="4">
        <v>16884.900000000001</v>
      </c>
      <c r="H883">
        <v>14352.165000000001</v>
      </c>
      <c r="I883">
        <f>Orders[[#This Row],[Quantity]]*Orders[[#This Row],[Selling Price]]</f>
        <v>168849</v>
      </c>
      <c r="J883">
        <f>Orders[[#This Row],[Quantity]]*Orders[[#This Row],[Cost Price]]</f>
        <v>143521.65000000002</v>
      </c>
      <c r="K883">
        <f>Orders[[#This Row],[Revenue]]-Orders[[#This Row],[Expenses]]</f>
        <v>25327.349999999977</v>
      </c>
      <c r="L883" t="s">
        <v>2217</v>
      </c>
      <c r="M883" t="str">
        <f>_xlfn.XLOOKUP(Orders[[#This Row],[CustomerID]],Customers[CustomerID],Customers[City])</f>
        <v>Texas</v>
      </c>
      <c r="N883" t="str">
        <f>_xlfn.XLOOKUP(Orders[[#This Row],[CustomerID]],Customers[CustomerID],Customers[CustomerName])</f>
        <v>Ngozi Ojo</v>
      </c>
      <c r="O883" t="str">
        <f>_xlfn.XLOOKUP(Orders[[#This Row],[CustomerID]],Customers[CustomerID],Customers[Gender])</f>
        <v>Female</v>
      </c>
      <c r="P883">
        <f>_xlfn.XLOOKUP(Orders[[#This Row],[CustomerID]],Customers[CustomerID],Customers[CustomerAge])</f>
        <v>22</v>
      </c>
      <c r="Q883" t="str">
        <f>IF(Orders[[#This Row],[Age]]&gt;=35,"older","young")</f>
        <v>young</v>
      </c>
      <c r="R883" t="str">
        <f>_xlfn.XLOOKUP(Orders[[#This Row],[ProductID]],Products[ProductID],Products[ProductName])</f>
        <v>GOLD EARRINGS AND NECKLACES</v>
      </c>
      <c r="S883" t="str">
        <f>_xlfn.XLOOKUP(Orders[[#This Row],[ProductID]],Products!A:A,Products!C:C)</f>
        <v>Accessories</v>
      </c>
    </row>
    <row r="884" spans="1:19" x14ac:dyDescent="0.2">
      <c r="A884" s="4" t="s">
        <v>1073</v>
      </c>
      <c r="B884" s="5">
        <v>45955</v>
      </c>
      <c r="C884" s="15">
        <f>WEEKNUM(Orders[[#This Row],[OrderDate]])</f>
        <v>43</v>
      </c>
      <c r="D884" s="4" t="s">
        <v>118</v>
      </c>
      <c r="E884" s="4" t="s">
        <v>63</v>
      </c>
      <c r="F884" s="4">
        <v>2</v>
      </c>
      <c r="G884" s="4">
        <v>7339.0999999999995</v>
      </c>
      <c r="H884">
        <v>6238.2349999999997</v>
      </c>
      <c r="I884">
        <f>Orders[[#This Row],[Quantity]]*Orders[[#This Row],[Selling Price]]</f>
        <v>14678.199999999999</v>
      </c>
      <c r="J884">
        <f>Orders[[#This Row],[Quantity]]*Orders[[#This Row],[Cost Price]]</f>
        <v>12476.47</v>
      </c>
      <c r="K884">
        <f>Orders[[#This Row],[Revenue]]-Orders[[#This Row],[Expenses]]</f>
        <v>2201.7299999999996</v>
      </c>
      <c r="L884" t="s">
        <v>2217</v>
      </c>
      <c r="M884" t="str">
        <f>_xlfn.XLOOKUP(Orders[[#This Row],[CustomerID]],Customers[CustomerID],Customers[City])</f>
        <v>Georgia</v>
      </c>
      <c r="N884" t="str">
        <f>_xlfn.XLOOKUP(Orders[[#This Row],[CustomerID]],Customers[CustomerID],Customers[CustomerName])</f>
        <v>Ibrahim Balogun</v>
      </c>
      <c r="O884" t="str">
        <f>_xlfn.XLOOKUP(Orders[[#This Row],[CustomerID]],Customers[CustomerID],Customers[Gender])</f>
        <v>Male</v>
      </c>
      <c r="P884">
        <f>_xlfn.XLOOKUP(Orders[[#This Row],[CustomerID]],Customers[CustomerID],Customers[CustomerAge])</f>
        <v>55</v>
      </c>
      <c r="Q884" t="str">
        <f>IF(Orders[[#This Row],[Age]]&gt;=35,"older","young")</f>
        <v>older</v>
      </c>
      <c r="R884" t="str">
        <f>_xlfn.XLOOKUP(Orders[[#This Row],[ProductID]],Products[ProductID],Products[ProductName])</f>
        <v>TENNIS BAT</v>
      </c>
      <c r="S884" t="str">
        <f>_xlfn.XLOOKUP(Orders[[#This Row],[ProductID]],Products!A:A,Products!C:C)</f>
        <v>Sports</v>
      </c>
    </row>
    <row r="885" spans="1:19" x14ac:dyDescent="0.2">
      <c r="A885" s="4" t="s">
        <v>1074</v>
      </c>
      <c r="B885" s="5">
        <v>45983</v>
      </c>
      <c r="C885" s="15">
        <f>WEEKNUM(Orders[[#This Row],[OrderDate]])</f>
        <v>47</v>
      </c>
      <c r="D885" s="4" t="s">
        <v>293</v>
      </c>
      <c r="E885" s="4" t="s">
        <v>189</v>
      </c>
      <c r="F885" s="4">
        <v>4</v>
      </c>
      <c r="G885" s="4">
        <v>8112.2000000000007</v>
      </c>
      <c r="H885">
        <v>6895.3700000000008</v>
      </c>
      <c r="I885">
        <f>Orders[[#This Row],[Quantity]]*Orders[[#This Row],[Selling Price]]</f>
        <v>32448.800000000003</v>
      </c>
      <c r="J885">
        <f>Orders[[#This Row],[Quantity]]*Orders[[#This Row],[Cost Price]]</f>
        <v>27581.480000000003</v>
      </c>
      <c r="K885">
        <f>Orders[[#This Row],[Revenue]]-Orders[[#This Row],[Expenses]]</f>
        <v>4867.32</v>
      </c>
      <c r="L885" t="s">
        <v>2200</v>
      </c>
      <c r="M885" t="str">
        <f>_xlfn.XLOOKUP(Orders[[#This Row],[CustomerID]],Customers[CustomerID],Customers[City])</f>
        <v>Florida</v>
      </c>
      <c r="N885" t="str">
        <f>_xlfn.XLOOKUP(Orders[[#This Row],[CustomerID]],Customers[CustomerID],Customers[CustomerName])</f>
        <v>Tunde Eze</v>
      </c>
      <c r="O885" t="str">
        <f>_xlfn.XLOOKUP(Orders[[#This Row],[CustomerID]],Customers[CustomerID],Customers[Gender])</f>
        <v>Male</v>
      </c>
      <c r="P885">
        <f>_xlfn.XLOOKUP(Orders[[#This Row],[CustomerID]],Customers[CustomerID],Customers[CustomerAge])</f>
        <v>46</v>
      </c>
      <c r="Q885" t="str">
        <f>IF(Orders[[#This Row],[Age]]&gt;=35,"older","young")</f>
        <v>older</v>
      </c>
      <c r="R885" t="str">
        <f>_xlfn.XLOOKUP(Orders[[#This Row],[ProductID]],Products[ProductID],Products[ProductName])</f>
        <v>SCRABBLE</v>
      </c>
      <c r="S885" t="str">
        <f>_xlfn.XLOOKUP(Orders[[#This Row],[ProductID]],Products!A:A,Products!C:C)</f>
        <v>Games</v>
      </c>
    </row>
    <row r="886" spans="1:19" x14ac:dyDescent="0.2">
      <c r="A886" s="4" t="s">
        <v>1075</v>
      </c>
      <c r="B886" s="5">
        <v>46013</v>
      </c>
      <c r="C886" s="15">
        <f>WEEKNUM(Orders[[#This Row],[OrderDate]])</f>
        <v>52</v>
      </c>
      <c r="D886" s="4" t="s">
        <v>186</v>
      </c>
      <c r="E886" s="4" t="s">
        <v>31</v>
      </c>
      <c r="F886" s="4">
        <v>8</v>
      </c>
      <c r="G886" s="4">
        <v>5157.3</v>
      </c>
      <c r="H886">
        <v>4383.7049999999999</v>
      </c>
      <c r="I886">
        <f>Orders[[#This Row],[Quantity]]*Orders[[#This Row],[Selling Price]]</f>
        <v>41258.400000000001</v>
      </c>
      <c r="J886">
        <f>Orders[[#This Row],[Quantity]]*Orders[[#This Row],[Cost Price]]</f>
        <v>35069.64</v>
      </c>
      <c r="K886">
        <f>Orders[[#This Row],[Revenue]]-Orders[[#This Row],[Expenses]]</f>
        <v>6188.760000000002</v>
      </c>
      <c r="L886" t="s">
        <v>2196</v>
      </c>
      <c r="M886" t="str">
        <f>_xlfn.XLOOKUP(Orders[[#This Row],[CustomerID]],Customers[CustomerID],Customers[City])</f>
        <v>Texas</v>
      </c>
      <c r="N886" t="str">
        <f>_xlfn.XLOOKUP(Orders[[#This Row],[CustomerID]],Customers[CustomerID],Customers[CustomerName])</f>
        <v>Ronke Eze</v>
      </c>
      <c r="O886" t="str">
        <f>_xlfn.XLOOKUP(Orders[[#This Row],[CustomerID]],Customers[CustomerID],Customers[Gender])</f>
        <v>Female</v>
      </c>
      <c r="P886">
        <f>_xlfn.XLOOKUP(Orders[[#This Row],[CustomerID]],Customers[CustomerID],Customers[CustomerAge])</f>
        <v>37</v>
      </c>
      <c r="Q886" t="str">
        <f>IF(Orders[[#This Row],[Age]]&gt;=35,"older","young")</f>
        <v>older</v>
      </c>
      <c r="R886" t="str">
        <f>_xlfn.XLOOKUP(Orders[[#This Row],[ProductID]],Products[ProductID],Products[ProductName])</f>
        <v>KIDS GAMES</v>
      </c>
      <c r="S886" t="str">
        <f>_xlfn.XLOOKUP(Orders[[#This Row],[ProductID]],Products!A:A,Products!C:C)</f>
        <v>Games</v>
      </c>
    </row>
    <row r="887" spans="1:19" x14ac:dyDescent="0.2">
      <c r="A887" s="4" t="s">
        <v>1076</v>
      </c>
      <c r="B887" s="5">
        <v>46012</v>
      </c>
      <c r="C887" s="15">
        <f>WEEKNUM(Orders[[#This Row],[OrderDate]])</f>
        <v>52</v>
      </c>
      <c r="D887" s="4" t="s">
        <v>113</v>
      </c>
      <c r="E887" s="4" t="s">
        <v>81</v>
      </c>
      <c r="F887" s="4">
        <v>3</v>
      </c>
      <c r="G887" s="4">
        <v>11418.800000000001</v>
      </c>
      <c r="H887">
        <v>9705.9800000000014</v>
      </c>
      <c r="I887">
        <f>Orders[[#This Row],[Quantity]]*Orders[[#This Row],[Selling Price]]</f>
        <v>34256.400000000001</v>
      </c>
      <c r="J887">
        <f>Orders[[#This Row],[Quantity]]*Orders[[#This Row],[Cost Price]]</f>
        <v>29117.940000000002</v>
      </c>
      <c r="K887">
        <f>Orders[[#This Row],[Revenue]]-Orders[[#This Row],[Expenses]]</f>
        <v>5138.4599999999991</v>
      </c>
      <c r="L887" t="s">
        <v>2204</v>
      </c>
      <c r="M887" t="str">
        <f>_xlfn.XLOOKUP(Orders[[#This Row],[CustomerID]],Customers[CustomerID],Customers[City])</f>
        <v>Texas</v>
      </c>
      <c r="N887" t="str">
        <f>_xlfn.XLOOKUP(Orders[[#This Row],[CustomerID]],Customers[CustomerID],Customers[CustomerName])</f>
        <v>Uche Igwe</v>
      </c>
      <c r="O887" t="str">
        <f>_xlfn.XLOOKUP(Orders[[#This Row],[CustomerID]],Customers[CustomerID],Customers[Gender])</f>
        <v>Male</v>
      </c>
      <c r="P887">
        <f>_xlfn.XLOOKUP(Orders[[#This Row],[CustomerID]],Customers[CustomerID],Customers[CustomerAge])</f>
        <v>35</v>
      </c>
      <c r="Q887" t="str">
        <f>IF(Orders[[#This Row],[Age]]&gt;=35,"older","young")</f>
        <v>older</v>
      </c>
      <c r="R887" t="str">
        <f>_xlfn.XLOOKUP(Orders[[#This Row],[ProductID]],Products[ProductID],Products[ProductName])</f>
        <v>TROUSERS</v>
      </c>
      <c r="S887" t="str">
        <f>_xlfn.XLOOKUP(Orders[[#This Row],[ProductID]],Products!A:A,Products!C:C)</f>
        <v>Clothing</v>
      </c>
    </row>
    <row r="888" spans="1:19" x14ac:dyDescent="0.2">
      <c r="A888" s="4" t="s">
        <v>1077</v>
      </c>
      <c r="B888" s="5">
        <v>46018</v>
      </c>
      <c r="C888" s="15">
        <f>WEEKNUM(Orders[[#This Row],[OrderDate]])</f>
        <v>52</v>
      </c>
      <c r="D888" s="4" t="s">
        <v>22</v>
      </c>
      <c r="E888" s="4" t="s">
        <v>66</v>
      </c>
      <c r="F888" s="4">
        <v>3</v>
      </c>
      <c r="G888" s="4">
        <v>16835.400000000001</v>
      </c>
      <c r="H888">
        <v>14310.090000000002</v>
      </c>
      <c r="I888">
        <f>Orders[[#This Row],[Quantity]]*Orders[[#This Row],[Selling Price]]</f>
        <v>50506.200000000004</v>
      </c>
      <c r="J888">
        <f>Orders[[#This Row],[Quantity]]*Orders[[#This Row],[Cost Price]]</f>
        <v>42930.270000000004</v>
      </c>
      <c r="K888">
        <f>Orders[[#This Row],[Revenue]]-Orders[[#This Row],[Expenses]]</f>
        <v>7575.93</v>
      </c>
      <c r="L888" t="s">
        <v>2204</v>
      </c>
      <c r="M888" t="str">
        <f>_xlfn.XLOOKUP(Orders[[#This Row],[CustomerID]],Customers[CustomerID],Customers[City])</f>
        <v>Texas</v>
      </c>
      <c r="N888" t="str">
        <f>_xlfn.XLOOKUP(Orders[[#This Row],[CustomerID]],Customers[CustomerID],Customers[CustomerName])</f>
        <v>Temi Bello</v>
      </c>
      <c r="O888" t="str">
        <f>_xlfn.XLOOKUP(Orders[[#This Row],[CustomerID]],Customers[CustomerID],Customers[Gender])</f>
        <v>Female</v>
      </c>
      <c r="P888">
        <f>_xlfn.XLOOKUP(Orders[[#This Row],[CustomerID]],Customers[CustomerID],Customers[CustomerAge])</f>
        <v>52</v>
      </c>
      <c r="Q888" t="str">
        <f>IF(Orders[[#This Row],[Age]]&gt;=35,"older","young")</f>
        <v>older</v>
      </c>
      <c r="R888" t="str">
        <f>_xlfn.XLOOKUP(Orders[[#This Row],[ProductID]],Products[ProductID],Products[ProductName])</f>
        <v>MICROWAVE</v>
      </c>
      <c r="S888" t="str">
        <f>_xlfn.XLOOKUP(Orders[[#This Row],[ProductID]],Products!A:A,Products!C:C)</f>
        <v>Electronics</v>
      </c>
    </row>
    <row r="889" spans="1:19" x14ac:dyDescent="0.2">
      <c r="A889" s="4" t="s">
        <v>1078</v>
      </c>
      <c r="B889" s="5">
        <v>45972</v>
      </c>
      <c r="C889" s="15">
        <f>WEEKNUM(Orders[[#This Row],[OrderDate]])</f>
        <v>46</v>
      </c>
      <c r="D889" s="4" t="s">
        <v>275</v>
      </c>
      <c r="E889" s="4" t="s">
        <v>253</v>
      </c>
      <c r="F889" s="4">
        <v>9</v>
      </c>
      <c r="G889" s="4">
        <v>5465.4</v>
      </c>
      <c r="H889">
        <v>4645.59</v>
      </c>
      <c r="I889">
        <f>Orders[[#This Row],[Quantity]]*Orders[[#This Row],[Selling Price]]</f>
        <v>49188.6</v>
      </c>
      <c r="J889">
        <f>Orders[[#This Row],[Quantity]]*Orders[[#This Row],[Cost Price]]</f>
        <v>41810.31</v>
      </c>
      <c r="K889">
        <f>Orders[[#This Row],[Revenue]]-Orders[[#This Row],[Expenses]]</f>
        <v>7378.2900000000009</v>
      </c>
      <c r="L889" t="s">
        <v>2208</v>
      </c>
      <c r="M889" t="str">
        <f>_xlfn.XLOOKUP(Orders[[#This Row],[CustomerID]],Customers[CustomerID],Customers[City])</f>
        <v>Texas</v>
      </c>
      <c r="N889" t="str">
        <f>_xlfn.XLOOKUP(Orders[[#This Row],[CustomerID]],Customers[CustomerID],Customers[CustomerName])</f>
        <v>Ngozi Danladi</v>
      </c>
      <c r="O889" t="str">
        <f>_xlfn.XLOOKUP(Orders[[#This Row],[CustomerID]],Customers[CustomerID],Customers[Gender])</f>
        <v>Female</v>
      </c>
      <c r="P889">
        <f>_xlfn.XLOOKUP(Orders[[#This Row],[CustomerID]],Customers[CustomerID],Customers[CustomerAge])</f>
        <v>25</v>
      </c>
      <c r="Q889" t="str">
        <f>IF(Orders[[#This Row],[Age]]&gt;=35,"older","young")</f>
        <v>young</v>
      </c>
      <c r="R889" t="str">
        <f>_xlfn.XLOOKUP(Orders[[#This Row],[ProductID]],Products[ProductID],Products[ProductName])</f>
        <v>NOSE RINGS</v>
      </c>
      <c r="S889" t="str">
        <f>_xlfn.XLOOKUP(Orders[[#This Row],[ProductID]],Products!A:A,Products!C:C)</f>
        <v>Accessories</v>
      </c>
    </row>
    <row r="890" spans="1:19" x14ac:dyDescent="0.2">
      <c r="A890" s="4" t="s">
        <v>1079</v>
      </c>
      <c r="B890" s="5">
        <v>45998</v>
      </c>
      <c r="C890" s="15">
        <f>WEEKNUM(Orders[[#This Row],[OrderDate]])</f>
        <v>50</v>
      </c>
      <c r="D890" s="4" t="s">
        <v>314</v>
      </c>
      <c r="E890" s="4" t="s">
        <v>20</v>
      </c>
      <c r="F890" s="4">
        <v>3</v>
      </c>
      <c r="G890" s="4">
        <v>6131.4</v>
      </c>
      <c r="H890">
        <v>5211.6899999999996</v>
      </c>
      <c r="I890">
        <f>Orders[[#This Row],[Quantity]]*Orders[[#This Row],[Selling Price]]</f>
        <v>18394.199999999997</v>
      </c>
      <c r="J890">
        <f>Orders[[#This Row],[Quantity]]*Orders[[#This Row],[Cost Price]]</f>
        <v>15635.07</v>
      </c>
      <c r="K890">
        <f>Orders[[#This Row],[Revenue]]-Orders[[#This Row],[Expenses]]</f>
        <v>2759.1299999999974</v>
      </c>
      <c r="L890" t="s">
        <v>2212</v>
      </c>
      <c r="M890" t="str">
        <f>_xlfn.XLOOKUP(Orders[[#This Row],[CustomerID]],Customers[CustomerID],Customers[City])</f>
        <v>Washington</v>
      </c>
      <c r="N890" t="str">
        <f>_xlfn.XLOOKUP(Orders[[#This Row],[CustomerID]],Customers[CustomerID],Customers[CustomerName])</f>
        <v>Bisi Ojo</v>
      </c>
      <c r="O890" t="str">
        <f>_xlfn.XLOOKUP(Orders[[#This Row],[CustomerID]],Customers[CustomerID],Customers[Gender])</f>
        <v>Female</v>
      </c>
      <c r="P890">
        <f>_xlfn.XLOOKUP(Orders[[#This Row],[CustomerID]],Customers[CustomerID],Customers[CustomerAge])</f>
        <v>18</v>
      </c>
      <c r="Q890" t="str">
        <f>IF(Orders[[#This Row],[Age]]&gt;=35,"older","young")</f>
        <v>young</v>
      </c>
      <c r="R890" t="str">
        <f>_xlfn.XLOOKUP(Orders[[#This Row],[ProductID]],Products[ProductID],Products[ProductName])</f>
        <v>GYM BAG</v>
      </c>
      <c r="S890" t="str">
        <f>_xlfn.XLOOKUP(Orders[[#This Row],[ProductID]],Products!A:A,Products!C:C)</f>
        <v>Gym</v>
      </c>
    </row>
    <row r="891" spans="1:19" x14ac:dyDescent="0.2">
      <c r="A891" s="4" t="s">
        <v>1080</v>
      </c>
      <c r="B891" s="5">
        <v>46000</v>
      </c>
      <c r="C891" s="15">
        <f>WEEKNUM(Orders[[#This Row],[OrderDate]])</f>
        <v>50</v>
      </c>
      <c r="D891" s="4" t="s">
        <v>285</v>
      </c>
      <c r="E891" s="4" t="s">
        <v>76</v>
      </c>
      <c r="F891" s="4">
        <v>3</v>
      </c>
      <c r="G891" s="4">
        <v>14233.800000000001</v>
      </c>
      <c r="H891">
        <v>12098.730000000001</v>
      </c>
      <c r="I891">
        <f>Orders[[#This Row],[Quantity]]*Orders[[#This Row],[Selling Price]]</f>
        <v>42701.4</v>
      </c>
      <c r="J891">
        <f>Orders[[#This Row],[Quantity]]*Orders[[#This Row],[Cost Price]]</f>
        <v>36296.19</v>
      </c>
      <c r="K891">
        <f>Orders[[#This Row],[Revenue]]-Orders[[#This Row],[Expenses]]</f>
        <v>6405.2099999999991</v>
      </c>
      <c r="L891" t="s">
        <v>2210</v>
      </c>
      <c r="M891" t="str">
        <f>_xlfn.XLOOKUP(Orders[[#This Row],[CustomerID]],Customers[CustomerID],Customers[City])</f>
        <v>California</v>
      </c>
      <c r="N891" t="str">
        <f>_xlfn.XLOOKUP(Orders[[#This Row],[CustomerID]],Customers[CustomerID],Customers[CustomerName])</f>
        <v>Sani Balogun</v>
      </c>
      <c r="O891" t="str">
        <f>_xlfn.XLOOKUP(Orders[[#This Row],[CustomerID]],Customers[CustomerID],Customers[Gender])</f>
        <v>Male</v>
      </c>
      <c r="P891">
        <f>_xlfn.XLOOKUP(Orders[[#This Row],[CustomerID]],Customers[CustomerID],Customers[CustomerAge])</f>
        <v>27</v>
      </c>
      <c r="Q891" t="str">
        <f>IF(Orders[[#This Row],[Age]]&gt;=35,"older","young")</f>
        <v>young</v>
      </c>
      <c r="R891" t="str">
        <f>_xlfn.XLOOKUP(Orders[[#This Row],[ProductID]],Products[ProductID],Products[ProductName])</f>
        <v>BLENDER</v>
      </c>
      <c r="S891" t="str">
        <f>_xlfn.XLOOKUP(Orders[[#This Row],[ProductID]],Products!A:A,Products!C:C)</f>
        <v>Electronics</v>
      </c>
    </row>
    <row r="892" spans="1:19" x14ac:dyDescent="0.2">
      <c r="A892" s="4" t="s">
        <v>1081</v>
      </c>
      <c r="B892" s="5">
        <v>46012</v>
      </c>
      <c r="C892" s="15">
        <f>WEEKNUM(Orders[[#This Row],[OrderDate]])</f>
        <v>52</v>
      </c>
      <c r="D892" s="4" t="s">
        <v>237</v>
      </c>
      <c r="E892" s="4" t="s">
        <v>125</v>
      </c>
      <c r="F892" s="4">
        <v>8</v>
      </c>
      <c r="G892" s="4">
        <v>3694.1000000000004</v>
      </c>
      <c r="H892">
        <v>3139.9850000000006</v>
      </c>
      <c r="I892">
        <f>Orders[[#This Row],[Quantity]]*Orders[[#This Row],[Selling Price]]</f>
        <v>29552.800000000003</v>
      </c>
      <c r="J892">
        <f>Orders[[#This Row],[Quantity]]*Orders[[#This Row],[Cost Price]]</f>
        <v>25119.880000000005</v>
      </c>
      <c r="K892">
        <f>Orders[[#This Row],[Revenue]]-Orders[[#This Row],[Expenses]]</f>
        <v>4432.9199999999983</v>
      </c>
      <c r="L892" t="s">
        <v>2217</v>
      </c>
      <c r="M892" t="str">
        <f>_xlfn.XLOOKUP(Orders[[#This Row],[CustomerID]],Customers[CustomerID],Customers[City])</f>
        <v>Florida</v>
      </c>
      <c r="N892" t="str">
        <f>_xlfn.XLOOKUP(Orders[[#This Row],[CustomerID]],Customers[CustomerID],Customers[CustomerName])</f>
        <v>Ronke Danladi</v>
      </c>
      <c r="O892" t="str">
        <f>_xlfn.XLOOKUP(Orders[[#This Row],[CustomerID]],Customers[CustomerID],Customers[Gender])</f>
        <v>Female</v>
      </c>
      <c r="P892">
        <f>_xlfn.XLOOKUP(Orders[[#This Row],[CustomerID]],Customers[CustomerID],Customers[CustomerAge])</f>
        <v>25</v>
      </c>
      <c r="Q892" t="str">
        <f>IF(Orders[[#This Row],[Age]]&gt;=35,"older","young")</f>
        <v>young</v>
      </c>
      <c r="R892" t="str">
        <f>_xlfn.XLOOKUP(Orders[[#This Row],[ProductID]],Products[ProductID],Products[ProductName])</f>
        <v>EARRINGS</v>
      </c>
      <c r="S892" t="str">
        <f>_xlfn.XLOOKUP(Orders[[#This Row],[ProductID]],Products!A:A,Products!C:C)</f>
        <v>Accessories</v>
      </c>
    </row>
    <row r="893" spans="1:19" x14ac:dyDescent="0.2">
      <c r="A893" s="4" t="s">
        <v>1082</v>
      </c>
      <c r="B893" s="5">
        <v>45934</v>
      </c>
      <c r="C893" s="15">
        <f>WEEKNUM(Orders[[#This Row],[OrderDate]])</f>
        <v>40</v>
      </c>
      <c r="D893" s="4" t="s">
        <v>96</v>
      </c>
      <c r="E893" s="4" t="s">
        <v>25</v>
      </c>
      <c r="F893" s="4">
        <v>1</v>
      </c>
      <c r="G893" s="4">
        <v>7974.2</v>
      </c>
      <c r="H893">
        <v>6778.07</v>
      </c>
      <c r="I893">
        <f>Orders[[#This Row],[Quantity]]*Orders[[#This Row],[Selling Price]]</f>
        <v>7974.2</v>
      </c>
      <c r="J893">
        <f>Orders[[#This Row],[Quantity]]*Orders[[#This Row],[Cost Price]]</f>
        <v>6778.07</v>
      </c>
      <c r="K893">
        <f>Orders[[#This Row],[Revenue]]-Orders[[#This Row],[Expenses]]</f>
        <v>1196.1300000000001</v>
      </c>
      <c r="L893" t="s">
        <v>2211</v>
      </c>
      <c r="M893" t="str">
        <f>_xlfn.XLOOKUP(Orders[[#This Row],[CustomerID]],Customers[CustomerID],Customers[City])</f>
        <v>Texas</v>
      </c>
      <c r="N893" t="str">
        <f>_xlfn.XLOOKUP(Orders[[#This Row],[CustomerID]],Customers[CustomerID],Customers[CustomerName])</f>
        <v>Amina Abubakar</v>
      </c>
      <c r="O893" t="str">
        <f>_xlfn.XLOOKUP(Orders[[#This Row],[CustomerID]],Customers[CustomerID],Customers[Gender])</f>
        <v>Female</v>
      </c>
      <c r="P893">
        <f>_xlfn.XLOOKUP(Orders[[#This Row],[CustomerID]],Customers[CustomerID],Customers[CustomerAge])</f>
        <v>35</v>
      </c>
      <c r="Q893" t="str">
        <f>IF(Orders[[#This Row],[Age]]&gt;=35,"older","young")</f>
        <v>older</v>
      </c>
      <c r="R893" t="str">
        <f>_xlfn.XLOOKUP(Orders[[#This Row],[ProductID]],Products[ProductID],Products[ProductName])</f>
        <v>GOLD RINGS</v>
      </c>
      <c r="S893" t="str">
        <f>_xlfn.XLOOKUP(Orders[[#This Row],[ProductID]],Products!A:A,Products!C:C)</f>
        <v>Accessories</v>
      </c>
    </row>
    <row r="894" spans="1:19" x14ac:dyDescent="0.2">
      <c r="A894" s="4" t="s">
        <v>1083</v>
      </c>
      <c r="B894" s="5">
        <v>45999</v>
      </c>
      <c r="C894" s="15">
        <f>WEEKNUM(Orders[[#This Row],[OrderDate]])</f>
        <v>50</v>
      </c>
      <c r="D894" s="4" t="s">
        <v>184</v>
      </c>
      <c r="E894" s="4" t="s">
        <v>127</v>
      </c>
      <c r="F894" s="4">
        <v>9</v>
      </c>
      <c r="G894" s="4">
        <v>891.7</v>
      </c>
      <c r="H894">
        <v>757.94500000000005</v>
      </c>
      <c r="I894">
        <f>Orders[[#This Row],[Quantity]]*Orders[[#This Row],[Selling Price]]</f>
        <v>8025.3</v>
      </c>
      <c r="J894">
        <f>Orders[[#This Row],[Quantity]]*Orders[[#This Row],[Cost Price]]</f>
        <v>6821.5050000000001</v>
      </c>
      <c r="K894">
        <f>Orders[[#This Row],[Revenue]]-Orders[[#This Row],[Expenses]]</f>
        <v>1203.7950000000001</v>
      </c>
      <c r="L894" t="s">
        <v>2212</v>
      </c>
      <c r="M894" t="str">
        <f>_xlfn.XLOOKUP(Orders[[#This Row],[CustomerID]],Customers[CustomerID],Customers[City])</f>
        <v>Washington</v>
      </c>
      <c r="N894" t="str">
        <f>_xlfn.XLOOKUP(Orders[[#This Row],[CustomerID]],Customers[CustomerID],Customers[CustomerName])</f>
        <v>Ngozi Obi</v>
      </c>
      <c r="O894" t="str">
        <f>_xlfn.XLOOKUP(Orders[[#This Row],[CustomerID]],Customers[CustomerID],Customers[Gender])</f>
        <v>Female</v>
      </c>
      <c r="P894">
        <f>_xlfn.XLOOKUP(Orders[[#This Row],[CustomerID]],Customers[CustomerID],Customers[CustomerAge])</f>
        <v>32</v>
      </c>
      <c r="Q894" t="str">
        <f>IF(Orders[[#This Row],[Age]]&gt;=35,"older","young")</f>
        <v>young</v>
      </c>
      <c r="R894" t="str">
        <f>_xlfn.XLOOKUP(Orders[[#This Row],[ProductID]],Products[ProductID],Products[ProductName])</f>
        <v>TOPS</v>
      </c>
      <c r="S894" t="str">
        <f>_xlfn.XLOOKUP(Orders[[#This Row],[ProductID]],Products!A:A,Products!C:C)</f>
        <v>Clothing</v>
      </c>
    </row>
    <row r="895" spans="1:19" x14ac:dyDescent="0.2">
      <c r="A895" s="4" t="s">
        <v>1084</v>
      </c>
      <c r="B895" s="5">
        <v>45970</v>
      </c>
      <c r="C895" s="15">
        <f>WEEKNUM(Orders[[#This Row],[OrderDate]])</f>
        <v>46</v>
      </c>
      <c r="D895" s="4" t="s">
        <v>671</v>
      </c>
      <c r="E895" s="4" t="s">
        <v>34</v>
      </c>
      <c r="F895" s="4">
        <v>8</v>
      </c>
      <c r="G895" s="4">
        <v>15228.5</v>
      </c>
      <c r="H895">
        <v>12944.225</v>
      </c>
      <c r="I895">
        <f>Orders[[#This Row],[Quantity]]*Orders[[#This Row],[Selling Price]]</f>
        <v>121828</v>
      </c>
      <c r="J895">
        <f>Orders[[#This Row],[Quantity]]*Orders[[#This Row],[Cost Price]]</f>
        <v>103553.8</v>
      </c>
      <c r="K895">
        <f>Orders[[#This Row],[Revenue]]-Orders[[#This Row],[Expenses]]</f>
        <v>18274.199999999997</v>
      </c>
      <c r="L895" t="s">
        <v>2201</v>
      </c>
      <c r="M895" t="str">
        <f>_xlfn.XLOOKUP(Orders[[#This Row],[CustomerID]],Customers[CustomerID],Customers[City])</f>
        <v>Texas</v>
      </c>
      <c r="N895" t="str">
        <f>_xlfn.XLOOKUP(Orders[[#This Row],[CustomerID]],Customers[CustomerID],Customers[CustomerName])</f>
        <v>Tunde Abubakar</v>
      </c>
      <c r="O895" t="str">
        <f>_xlfn.XLOOKUP(Orders[[#This Row],[CustomerID]],Customers[CustomerID],Customers[Gender])</f>
        <v>Male</v>
      </c>
      <c r="P895">
        <f>_xlfn.XLOOKUP(Orders[[#This Row],[CustomerID]],Customers[CustomerID],Customers[CustomerAge])</f>
        <v>26</v>
      </c>
      <c r="Q895" t="str">
        <f>IF(Orders[[#This Row],[Age]]&gt;=35,"older","young")</f>
        <v>young</v>
      </c>
      <c r="R895" t="str">
        <f>_xlfn.XLOOKUP(Orders[[#This Row],[ProductID]],Products[ProductID],Products[ProductName])</f>
        <v>GOLD BRACELETS</v>
      </c>
      <c r="S895" t="str">
        <f>_xlfn.XLOOKUP(Orders[[#This Row],[ProductID]],Products!A:A,Products!C:C)</f>
        <v>Accessories</v>
      </c>
    </row>
    <row r="896" spans="1:19" x14ac:dyDescent="0.2">
      <c r="A896" s="4" t="s">
        <v>1085</v>
      </c>
      <c r="B896" s="5">
        <v>46001</v>
      </c>
      <c r="C896" s="15">
        <f>WEEKNUM(Orders[[#This Row],[OrderDate]])</f>
        <v>50</v>
      </c>
      <c r="D896" s="4" t="s">
        <v>346</v>
      </c>
      <c r="E896" s="4" t="s">
        <v>253</v>
      </c>
      <c r="F896" s="4">
        <v>8</v>
      </c>
      <c r="G896" s="4">
        <v>5045</v>
      </c>
      <c r="H896">
        <v>4288.25</v>
      </c>
      <c r="I896">
        <f>Orders[[#This Row],[Quantity]]*Orders[[#This Row],[Selling Price]]</f>
        <v>40360</v>
      </c>
      <c r="J896">
        <f>Orders[[#This Row],[Quantity]]*Orders[[#This Row],[Cost Price]]</f>
        <v>34306</v>
      </c>
      <c r="K896">
        <f>Orders[[#This Row],[Revenue]]-Orders[[#This Row],[Expenses]]</f>
        <v>6054</v>
      </c>
      <c r="L896" t="s">
        <v>2211</v>
      </c>
      <c r="M896" t="str">
        <f>_xlfn.XLOOKUP(Orders[[#This Row],[CustomerID]],Customers[CustomerID],Customers[City])</f>
        <v>California</v>
      </c>
      <c r="N896" t="str">
        <f>_xlfn.XLOOKUP(Orders[[#This Row],[CustomerID]],Customers[CustomerID],Customers[CustomerName])</f>
        <v>Ngozi Danladi</v>
      </c>
      <c r="O896" t="str">
        <f>_xlfn.XLOOKUP(Orders[[#This Row],[CustomerID]],Customers[CustomerID],Customers[Gender])</f>
        <v>Female</v>
      </c>
      <c r="P896">
        <f>_xlfn.XLOOKUP(Orders[[#This Row],[CustomerID]],Customers[CustomerID],Customers[CustomerAge])</f>
        <v>30</v>
      </c>
      <c r="Q896" t="str">
        <f>IF(Orders[[#This Row],[Age]]&gt;=35,"older","young")</f>
        <v>young</v>
      </c>
      <c r="R896" t="str">
        <f>_xlfn.XLOOKUP(Orders[[#This Row],[ProductID]],Products[ProductID],Products[ProductName])</f>
        <v>NOSE RINGS</v>
      </c>
      <c r="S896" t="str">
        <f>_xlfn.XLOOKUP(Orders[[#This Row],[ProductID]],Products!A:A,Products!C:C)</f>
        <v>Accessories</v>
      </c>
    </row>
    <row r="897" spans="1:19" x14ac:dyDescent="0.2">
      <c r="A897" s="4" t="s">
        <v>1086</v>
      </c>
      <c r="B897" s="5">
        <v>45951</v>
      </c>
      <c r="C897" s="15">
        <f>WEEKNUM(Orders[[#This Row],[OrderDate]])</f>
        <v>43</v>
      </c>
      <c r="D897" s="4" t="s">
        <v>75</v>
      </c>
      <c r="E897" s="4" t="s">
        <v>70</v>
      </c>
      <c r="F897" s="4">
        <v>5</v>
      </c>
      <c r="G897" s="4">
        <v>9978.5</v>
      </c>
      <c r="H897">
        <v>8481.7250000000004</v>
      </c>
      <c r="I897">
        <f>Orders[[#This Row],[Quantity]]*Orders[[#This Row],[Selling Price]]</f>
        <v>49892.5</v>
      </c>
      <c r="J897">
        <f>Orders[[#This Row],[Quantity]]*Orders[[#This Row],[Cost Price]]</f>
        <v>42408.625</v>
      </c>
      <c r="K897">
        <f>Orders[[#This Row],[Revenue]]-Orders[[#This Row],[Expenses]]</f>
        <v>7483.875</v>
      </c>
      <c r="L897" t="s">
        <v>2194</v>
      </c>
      <c r="M897" t="str">
        <f>_xlfn.XLOOKUP(Orders[[#This Row],[CustomerID]],Customers[CustomerID],Customers[City])</f>
        <v>Texas</v>
      </c>
      <c r="N897" t="str">
        <f>_xlfn.XLOOKUP(Orders[[#This Row],[CustomerID]],Customers[CustomerID],Customers[CustomerName])</f>
        <v>Tunde Danladi</v>
      </c>
      <c r="O897" t="str">
        <f>_xlfn.XLOOKUP(Orders[[#This Row],[CustomerID]],Customers[CustomerID],Customers[Gender])</f>
        <v>Male</v>
      </c>
      <c r="P897">
        <f>_xlfn.XLOOKUP(Orders[[#This Row],[CustomerID]],Customers[CustomerID],Customers[CustomerAge])</f>
        <v>47</v>
      </c>
      <c r="Q897" t="str">
        <f>IF(Orders[[#This Row],[Age]]&gt;=35,"older","young")</f>
        <v>older</v>
      </c>
      <c r="R897" t="str">
        <f>_xlfn.XLOOKUP(Orders[[#This Row],[ProductID]],Products[ProductID],Products[ProductName])</f>
        <v>YOGA MAT</v>
      </c>
      <c r="S897" t="str">
        <f>_xlfn.XLOOKUP(Orders[[#This Row],[ProductID]],Products!A:A,Products!C:C)</f>
        <v>Gym</v>
      </c>
    </row>
    <row r="898" spans="1:19" x14ac:dyDescent="0.2">
      <c r="A898" s="4" t="s">
        <v>1087</v>
      </c>
      <c r="B898" s="5">
        <v>45955</v>
      </c>
      <c r="C898" s="15">
        <f>WEEKNUM(Orders[[#This Row],[OrderDate]])</f>
        <v>43</v>
      </c>
      <c r="D898" s="4" t="s">
        <v>148</v>
      </c>
      <c r="E898" s="4" t="s">
        <v>189</v>
      </c>
      <c r="F898" s="4">
        <v>6</v>
      </c>
      <c r="G898" s="4">
        <v>14754.8</v>
      </c>
      <c r="H898">
        <v>12541.58</v>
      </c>
      <c r="I898">
        <f>Orders[[#This Row],[Quantity]]*Orders[[#This Row],[Selling Price]]</f>
        <v>88528.799999999988</v>
      </c>
      <c r="J898">
        <f>Orders[[#This Row],[Quantity]]*Orders[[#This Row],[Cost Price]]</f>
        <v>75249.48</v>
      </c>
      <c r="K898">
        <f>Orders[[#This Row],[Revenue]]-Orders[[#This Row],[Expenses]]</f>
        <v>13279.319999999992</v>
      </c>
      <c r="L898" t="s">
        <v>2196</v>
      </c>
      <c r="M898" t="str">
        <f>_xlfn.XLOOKUP(Orders[[#This Row],[CustomerID]],Customers[CustomerID],Customers[City])</f>
        <v>Florida</v>
      </c>
      <c r="N898" t="str">
        <f>_xlfn.XLOOKUP(Orders[[#This Row],[CustomerID]],Customers[CustomerID],Customers[CustomerName])</f>
        <v>Zainab Abubakar</v>
      </c>
      <c r="O898" t="str">
        <f>_xlfn.XLOOKUP(Orders[[#This Row],[CustomerID]],Customers[CustomerID],Customers[Gender])</f>
        <v>Female</v>
      </c>
      <c r="P898">
        <f>_xlfn.XLOOKUP(Orders[[#This Row],[CustomerID]],Customers[CustomerID],Customers[CustomerAge])</f>
        <v>29</v>
      </c>
      <c r="Q898" t="str">
        <f>IF(Orders[[#This Row],[Age]]&gt;=35,"older","young")</f>
        <v>young</v>
      </c>
      <c r="R898" t="str">
        <f>_xlfn.XLOOKUP(Orders[[#This Row],[ProductID]],Products[ProductID],Products[ProductName])</f>
        <v>SCRABBLE</v>
      </c>
      <c r="S898" t="str">
        <f>_xlfn.XLOOKUP(Orders[[#This Row],[ProductID]],Products!A:A,Products!C:C)</f>
        <v>Games</v>
      </c>
    </row>
    <row r="899" spans="1:19" x14ac:dyDescent="0.2">
      <c r="A899" s="4" t="s">
        <v>1088</v>
      </c>
      <c r="B899" s="5">
        <v>45985</v>
      </c>
      <c r="C899" s="15">
        <f>WEEKNUM(Orders[[#This Row],[OrderDate]])</f>
        <v>48</v>
      </c>
      <c r="D899" s="4" t="s">
        <v>388</v>
      </c>
      <c r="E899" s="4" t="s">
        <v>66</v>
      </c>
      <c r="F899" s="4">
        <v>1</v>
      </c>
      <c r="G899" s="4">
        <v>2783.3999999999996</v>
      </c>
      <c r="H899">
        <v>2365.89</v>
      </c>
      <c r="I899">
        <f>Orders[[#This Row],[Quantity]]*Orders[[#This Row],[Selling Price]]</f>
        <v>2783.3999999999996</v>
      </c>
      <c r="J899">
        <f>Orders[[#This Row],[Quantity]]*Orders[[#This Row],[Cost Price]]</f>
        <v>2365.89</v>
      </c>
      <c r="K899">
        <f>Orders[[#This Row],[Revenue]]-Orders[[#This Row],[Expenses]]</f>
        <v>417.50999999999976</v>
      </c>
      <c r="L899" t="s">
        <v>2213</v>
      </c>
      <c r="M899" t="str">
        <f>_xlfn.XLOOKUP(Orders[[#This Row],[CustomerID]],Customers[CustomerID],Customers[City])</f>
        <v>Washington</v>
      </c>
      <c r="N899" t="str">
        <f>_xlfn.XLOOKUP(Orders[[#This Row],[CustomerID]],Customers[CustomerID],Customers[CustomerName])</f>
        <v>Folasade Okonkwo</v>
      </c>
      <c r="O899" t="str">
        <f>_xlfn.XLOOKUP(Orders[[#This Row],[CustomerID]],Customers[CustomerID],Customers[Gender])</f>
        <v>Female</v>
      </c>
      <c r="P899">
        <f>_xlfn.XLOOKUP(Orders[[#This Row],[CustomerID]],Customers[CustomerID],Customers[CustomerAge])</f>
        <v>52</v>
      </c>
      <c r="Q899" t="str">
        <f>IF(Orders[[#This Row],[Age]]&gt;=35,"older","young")</f>
        <v>older</v>
      </c>
      <c r="R899" t="str">
        <f>_xlfn.XLOOKUP(Orders[[#This Row],[ProductID]],Products[ProductID],Products[ProductName])</f>
        <v>MICROWAVE</v>
      </c>
      <c r="S899" t="str">
        <f>_xlfn.XLOOKUP(Orders[[#This Row],[ProductID]],Products!A:A,Products!C:C)</f>
        <v>Electronics</v>
      </c>
    </row>
    <row r="900" spans="1:19" x14ac:dyDescent="0.2">
      <c r="A900" s="4" t="s">
        <v>1089</v>
      </c>
      <c r="B900" s="5">
        <v>45968</v>
      </c>
      <c r="C900" s="15">
        <f>WEEKNUM(Orders[[#This Row],[OrderDate]])</f>
        <v>45</v>
      </c>
      <c r="D900" s="4" t="s">
        <v>17</v>
      </c>
      <c r="E900" s="4" t="s">
        <v>127</v>
      </c>
      <c r="F900" s="4">
        <v>10</v>
      </c>
      <c r="G900" s="4">
        <v>10175.1</v>
      </c>
      <c r="H900">
        <v>8648.8350000000009</v>
      </c>
      <c r="I900">
        <f>Orders[[#This Row],[Quantity]]*Orders[[#This Row],[Selling Price]]</f>
        <v>101751</v>
      </c>
      <c r="J900">
        <f>Orders[[#This Row],[Quantity]]*Orders[[#This Row],[Cost Price]]</f>
        <v>86488.35</v>
      </c>
      <c r="K900">
        <f>Orders[[#This Row],[Revenue]]-Orders[[#This Row],[Expenses]]</f>
        <v>15262.649999999994</v>
      </c>
      <c r="L900" t="s">
        <v>2220</v>
      </c>
      <c r="M900" t="str">
        <f>_xlfn.XLOOKUP(Orders[[#This Row],[CustomerID]],Customers[CustomerID],Customers[City])</f>
        <v>Illinois</v>
      </c>
      <c r="N900" t="str">
        <f>_xlfn.XLOOKUP(Orders[[#This Row],[CustomerID]],Customers[CustomerID],Customers[CustomerName])</f>
        <v>Bisi Adeyemi</v>
      </c>
      <c r="O900" t="str">
        <f>_xlfn.XLOOKUP(Orders[[#This Row],[CustomerID]],Customers[CustomerID],Customers[Gender])</f>
        <v>Female</v>
      </c>
      <c r="P900">
        <f>_xlfn.XLOOKUP(Orders[[#This Row],[CustomerID]],Customers[CustomerID],Customers[CustomerAge])</f>
        <v>48</v>
      </c>
      <c r="Q900" t="str">
        <f>IF(Orders[[#This Row],[Age]]&gt;=35,"older","young")</f>
        <v>older</v>
      </c>
      <c r="R900" t="str">
        <f>_xlfn.XLOOKUP(Orders[[#This Row],[ProductID]],Products[ProductID],Products[ProductName])</f>
        <v>TOPS</v>
      </c>
      <c r="S900" t="str">
        <f>_xlfn.XLOOKUP(Orders[[#This Row],[ProductID]],Products!A:A,Products!C:C)</f>
        <v>Clothing</v>
      </c>
    </row>
    <row r="901" spans="1:19" x14ac:dyDescent="0.2">
      <c r="A901" s="4" t="s">
        <v>1090</v>
      </c>
      <c r="B901" s="5">
        <v>45935</v>
      </c>
      <c r="C901" s="15">
        <f>WEEKNUM(Orders[[#This Row],[OrderDate]])</f>
        <v>41</v>
      </c>
      <c r="D901" s="4" t="s">
        <v>285</v>
      </c>
      <c r="E901" s="4" t="s">
        <v>120</v>
      </c>
      <c r="F901" s="4">
        <v>7</v>
      </c>
      <c r="G901" s="4">
        <v>4168.7</v>
      </c>
      <c r="H901">
        <v>3543.395</v>
      </c>
      <c r="I901">
        <f>Orders[[#This Row],[Quantity]]*Orders[[#This Row],[Selling Price]]</f>
        <v>29180.899999999998</v>
      </c>
      <c r="J901">
        <f>Orders[[#This Row],[Quantity]]*Orders[[#This Row],[Cost Price]]</f>
        <v>24803.764999999999</v>
      </c>
      <c r="K901">
        <f>Orders[[#This Row],[Revenue]]-Orders[[#This Row],[Expenses]]</f>
        <v>4377.1349999999984</v>
      </c>
      <c r="L901" t="s">
        <v>2199</v>
      </c>
      <c r="M901" t="str">
        <f>_xlfn.XLOOKUP(Orders[[#This Row],[CustomerID]],Customers[CustomerID],Customers[City])</f>
        <v>California</v>
      </c>
      <c r="N901" t="str">
        <f>_xlfn.XLOOKUP(Orders[[#This Row],[CustomerID]],Customers[CustomerID],Customers[CustomerName])</f>
        <v>Sani Balogun</v>
      </c>
      <c r="O901" t="str">
        <f>_xlfn.XLOOKUP(Orders[[#This Row],[CustomerID]],Customers[CustomerID],Customers[Gender])</f>
        <v>Male</v>
      </c>
      <c r="P901">
        <f>_xlfn.XLOOKUP(Orders[[#This Row],[CustomerID]],Customers[CustomerID],Customers[CustomerAge])</f>
        <v>27</v>
      </c>
      <c r="Q901" t="str">
        <f>IF(Orders[[#This Row],[Age]]&gt;=35,"older","young")</f>
        <v>young</v>
      </c>
      <c r="R901" t="str">
        <f>_xlfn.XLOOKUP(Orders[[#This Row],[ProductID]],Products[ProductID],Products[ProductName])</f>
        <v>CHESS</v>
      </c>
      <c r="S901" t="str">
        <f>_xlfn.XLOOKUP(Orders[[#This Row],[ProductID]],Products!A:A,Products!C:C)</f>
        <v>Games</v>
      </c>
    </row>
    <row r="902" spans="1:19" x14ac:dyDescent="0.2">
      <c r="A902" s="4" t="s">
        <v>1091</v>
      </c>
      <c r="B902" s="5">
        <v>45952</v>
      </c>
      <c r="C902" s="15">
        <f>WEEKNUM(Orders[[#This Row],[OrderDate]])</f>
        <v>43</v>
      </c>
      <c r="D902" s="4" t="s">
        <v>134</v>
      </c>
      <c r="E902" s="4" t="s">
        <v>125</v>
      </c>
      <c r="F902" s="4">
        <v>1</v>
      </c>
      <c r="G902" s="4">
        <v>4630</v>
      </c>
      <c r="H902">
        <v>3935.5</v>
      </c>
      <c r="I902">
        <f>Orders[[#This Row],[Quantity]]*Orders[[#This Row],[Selling Price]]</f>
        <v>4630</v>
      </c>
      <c r="J902">
        <f>Orders[[#This Row],[Quantity]]*Orders[[#This Row],[Cost Price]]</f>
        <v>3935.5</v>
      </c>
      <c r="K902">
        <f>Orders[[#This Row],[Revenue]]-Orders[[#This Row],[Expenses]]</f>
        <v>694.5</v>
      </c>
      <c r="L902" t="s">
        <v>2200</v>
      </c>
      <c r="M902" t="str">
        <f>_xlfn.XLOOKUP(Orders[[#This Row],[CustomerID]],Customers[CustomerID],Customers[City])</f>
        <v>Florida</v>
      </c>
      <c r="N902" t="str">
        <f>_xlfn.XLOOKUP(Orders[[#This Row],[CustomerID]],Customers[CustomerID],Customers[CustomerName])</f>
        <v>Ngozi Ojo</v>
      </c>
      <c r="O902" t="str">
        <f>_xlfn.XLOOKUP(Orders[[#This Row],[CustomerID]],Customers[CustomerID],Customers[Gender])</f>
        <v>Female</v>
      </c>
      <c r="P902">
        <f>_xlfn.XLOOKUP(Orders[[#This Row],[CustomerID]],Customers[CustomerID],Customers[CustomerAge])</f>
        <v>18</v>
      </c>
      <c r="Q902" t="str">
        <f>IF(Orders[[#This Row],[Age]]&gt;=35,"older","young")</f>
        <v>young</v>
      </c>
      <c r="R902" t="str">
        <f>_xlfn.XLOOKUP(Orders[[#This Row],[ProductID]],Products[ProductID],Products[ProductName])</f>
        <v>EARRINGS</v>
      </c>
      <c r="S902" t="str">
        <f>_xlfn.XLOOKUP(Orders[[#This Row],[ProductID]],Products!A:A,Products!C:C)</f>
        <v>Accessories</v>
      </c>
    </row>
    <row r="903" spans="1:19" x14ac:dyDescent="0.2">
      <c r="A903" s="4" t="s">
        <v>1092</v>
      </c>
      <c r="B903" s="5">
        <v>45945</v>
      </c>
      <c r="C903" s="15">
        <f>WEEKNUM(Orders[[#This Row],[OrderDate]])</f>
        <v>42</v>
      </c>
      <c r="D903" s="4" t="s">
        <v>159</v>
      </c>
      <c r="E903" s="4" t="s">
        <v>31</v>
      </c>
      <c r="F903" s="4">
        <v>10</v>
      </c>
      <c r="G903" s="4">
        <v>12078.4</v>
      </c>
      <c r="H903">
        <v>10266.64</v>
      </c>
      <c r="I903">
        <f>Orders[[#This Row],[Quantity]]*Orders[[#This Row],[Selling Price]]</f>
        <v>120784</v>
      </c>
      <c r="J903">
        <f>Orders[[#This Row],[Quantity]]*Orders[[#This Row],[Cost Price]]</f>
        <v>102666.4</v>
      </c>
      <c r="K903">
        <f>Orders[[#This Row],[Revenue]]-Orders[[#This Row],[Expenses]]</f>
        <v>18117.600000000006</v>
      </c>
      <c r="L903" t="s">
        <v>2209</v>
      </c>
      <c r="M903" t="str">
        <f>_xlfn.XLOOKUP(Orders[[#This Row],[CustomerID]],Customers[CustomerID],Customers[City])</f>
        <v>Florida</v>
      </c>
      <c r="N903" t="str">
        <f>_xlfn.XLOOKUP(Orders[[#This Row],[CustomerID]],Customers[CustomerID],Customers[CustomerName])</f>
        <v>Ibrahim Okonkwo</v>
      </c>
      <c r="O903" t="str">
        <f>_xlfn.XLOOKUP(Orders[[#This Row],[CustomerID]],Customers[CustomerID],Customers[Gender])</f>
        <v>Male</v>
      </c>
      <c r="P903">
        <f>_xlfn.XLOOKUP(Orders[[#This Row],[CustomerID]],Customers[CustomerID],Customers[CustomerAge])</f>
        <v>49</v>
      </c>
      <c r="Q903" t="str">
        <f>IF(Orders[[#This Row],[Age]]&gt;=35,"older","young")</f>
        <v>older</v>
      </c>
      <c r="R903" t="str">
        <f>_xlfn.XLOOKUP(Orders[[#This Row],[ProductID]],Products[ProductID],Products[ProductName])</f>
        <v>KIDS GAMES</v>
      </c>
      <c r="S903" t="str">
        <f>_xlfn.XLOOKUP(Orders[[#This Row],[ProductID]],Products!A:A,Products!C:C)</f>
        <v>Games</v>
      </c>
    </row>
    <row r="904" spans="1:19" x14ac:dyDescent="0.2">
      <c r="A904" s="4" t="s">
        <v>1093</v>
      </c>
      <c r="B904" s="5">
        <v>46002</v>
      </c>
      <c r="C904" s="15">
        <f>WEEKNUM(Orders[[#This Row],[OrderDate]])</f>
        <v>50</v>
      </c>
      <c r="D904" s="4" t="s">
        <v>229</v>
      </c>
      <c r="E904" s="4" t="s">
        <v>46</v>
      </c>
      <c r="F904" s="4">
        <v>10</v>
      </c>
      <c r="G904" s="4">
        <v>16717.7</v>
      </c>
      <c r="H904">
        <v>14210.045</v>
      </c>
      <c r="I904">
        <f>Orders[[#This Row],[Quantity]]*Orders[[#This Row],[Selling Price]]</f>
        <v>167177</v>
      </c>
      <c r="J904">
        <f>Orders[[#This Row],[Quantity]]*Orders[[#This Row],[Cost Price]]</f>
        <v>142100.45000000001</v>
      </c>
      <c r="K904">
        <f>Orders[[#This Row],[Revenue]]-Orders[[#This Row],[Expenses]]</f>
        <v>25076.549999999988</v>
      </c>
      <c r="L904" t="s">
        <v>2208</v>
      </c>
      <c r="M904" t="str">
        <f>_xlfn.XLOOKUP(Orders[[#This Row],[CustomerID]],Customers[CustomerID],Customers[City])</f>
        <v>Florida</v>
      </c>
      <c r="N904" t="str">
        <f>_xlfn.XLOOKUP(Orders[[#This Row],[CustomerID]],Customers[CustomerID],Customers[CustomerName])</f>
        <v>Uche Abubakar</v>
      </c>
      <c r="O904" t="str">
        <f>_xlfn.XLOOKUP(Orders[[#This Row],[CustomerID]],Customers[CustomerID],Customers[Gender])</f>
        <v>Male</v>
      </c>
      <c r="P904">
        <f>_xlfn.XLOOKUP(Orders[[#This Row],[CustomerID]],Customers[CustomerID],Customers[CustomerAge])</f>
        <v>43</v>
      </c>
      <c r="Q904" t="str">
        <f>IF(Orders[[#This Row],[Age]]&gt;=35,"older","young")</f>
        <v>older</v>
      </c>
      <c r="R904" t="str">
        <f>_xlfn.XLOOKUP(Orders[[#This Row],[ProductID]],Products[ProductID],Products[ProductName])</f>
        <v>TURTLE NECK</v>
      </c>
      <c r="S904" t="str">
        <f>_xlfn.XLOOKUP(Orders[[#This Row],[ProductID]],Products!A:A,Products!C:C)</f>
        <v>Clothing</v>
      </c>
    </row>
    <row r="905" spans="1:19" x14ac:dyDescent="0.2">
      <c r="A905" s="4" t="s">
        <v>1094</v>
      </c>
      <c r="B905" s="5">
        <v>45997</v>
      </c>
      <c r="C905" s="15">
        <f>WEEKNUM(Orders[[#This Row],[OrderDate]])</f>
        <v>49</v>
      </c>
      <c r="D905" s="4" t="s">
        <v>343</v>
      </c>
      <c r="E905" s="4" t="s">
        <v>208</v>
      </c>
      <c r="F905" s="4">
        <v>7</v>
      </c>
      <c r="G905" s="4">
        <v>13637.4</v>
      </c>
      <c r="H905">
        <v>11591.789999999999</v>
      </c>
      <c r="I905">
        <f>Orders[[#This Row],[Quantity]]*Orders[[#This Row],[Selling Price]]</f>
        <v>95461.8</v>
      </c>
      <c r="J905">
        <f>Orders[[#This Row],[Quantity]]*Orders[[#This Row],[Cost Price]]</f>
        <v>81142.53</v>
      </c>
      <c r="K905">
        <f>Orders[[#This Row],[Revenue]]-Orders[[#This Row],[Expenses]]</f>
        <v>14319.270000000004</v>
      </c>
      <c r="L905" t="s">
        <v>2207</v>
      </c>
      <c r="M905" t="str">
        <f>_xlfn.XLOOKUP(Orders[[#This Row],[CustomerID]],Customers[CustomerID],Customers[City])</f>
        <v>Washington</v>
      </c>
      <c r="N905" t="str">
        <f>_xlfn.XLOOKUP(Orders[[#This Row],[CustomerID]],Customers[CustomerID],Customers[CustomerName])</f>
        <v>Ronke Obi</v>
      </c>
      <c r="O905" t="str">
        <f>_xlfn.XLOOKUP(Orders[[#This Row],[CustomerID]],Customers[CustomerID],Customers[Gender])</f>
        <v>Female</v>
      </c>
      <c r="P905">
        <f>_xlfn.XLOOKUP(Orders[[#This Row],[CustomerID]],Customers[CustomerID],Customers[CustomerAge])</f>
        <v>31</v>
      </c>
      <c r="Q905" t="str">
        <f>IF(Orders[[#This Row],[Age]]&gt;=35,"older","young")</f>
        <v>young</v>
      </c>
      <c r="R905" t="str">
        <f>_xlfn.XLOOKUP(Orders[[#This Row],[ProductID]],Products[ProductID],Products[ProductName])</f>
        <v>SKIPPING ROPE</v>
      </c>
      <c r="S905" t="str">
        <f>_xlfn.XLOOKUP(Orders[[#This Row],[ProductID]],Products!A:A,Products!C:C)</f>
        <v>Sports</v>
      </c>
    </row>
    <row r="906" spans="1:19" x14ac:dyDescent="0.2">
      <c r="A906" s="4" t="s">
        <v>1095</v>
      </c>
      <c r="B906" s="5">
        <v>45973</v>
      </c>
      <c r="C906" s="15">
        <f>WEEKNUM(Orders[[#This Row],[OrderDate]])</f>
        <v>46</v>
      </c>
      <c r="D906" s="4" t="s">
        <v>116</v>
      </c>
      <c r="E906" s="4" t="s">
        <v>189</v>
      </c>
      <c r="F906" s="4">
        <v>1</v>
      </c>
      <c r="G906" s="4">
        <v>14068.800000000001</v>
      </c>
      <c r="H906">
        <v>11958.480000000001</v>
      </c>
      <c r="I906">
        <f>Orders[[#This Row],[Quantity]]*Orders[[#This Row],[Selling Price]]</f>
        <v>14068.800000000001</v>
      </c>
      <c r="J906">
        <f>Orders[[#This Row],[Quantity]]*Orders[[#This Row],[Cost Price]]</f>
        <v>11958.480000000001</v>
      </c>
      <c r="K906">
        <f>Orders[[#This Row],[Revenue]]-Orders[[#This Row],[Expenses]]</f>
        <v>2110.3199999999997</v>
      </c>
      <c r="L906" t="s">
        <v>2220</v>
      </c>
      <c r="M906" t="str">
        <f>_xlfn.XLOOKUP(Orders[[#This Row],[CustomerID]],Customers[CustomerID],Customers[City])</f>
        <v>Texas</v>
      </c>
      <c r="N906" t="str">
        <f>_xlfn.XLOOKUP(Orders[[#This Row],[CustomerID]],Customers[CustomerID],Customers[CustomerName])</f>
        <v>Uche Bello</v>
      </c>
      <c r="O906" t="str">
        <f>_xlfn.XLOOKUP(Orders[[#This Row],[CustomerID]],Customers[CustomerID],Customers[Gender])</f>
        <v>Male</v>
      </c>
      <c r="P906">
        <f>_xlfn.XLOOKUP(Orders[[#This Row],[CustomerID]],Customers[CustomerID],Customers[CustomerAge])</f>
        <v>21</v>
      </c>
      <c r="Q906" t="str">
        <f>IF(Orders[[#This Row],[Age]]&gt;=35,"older","young")</f>
        <v>young</v>
      </c>
      <c r="R906" t="str">
        <f>_xlfn.XLOOKUP(Orders[[#This Row],[ProductID]],Products[ProductID],Products[ProductName])</f>
        <v>SCRABBLE</v>
      </c>
      <c r="S906" t="str">
        <f>_xlfn.XLOOKUP(Orders[[#This Row],[ProductID]],Products!A:A,Products!C:C)</f>
        <v>Games</v>
      </c>
    </row>
    <row r="907" spans="1:19" x14ac:dyDescent="0.2">
      <c r="A907" s="4" t="s">
        <v>1096</v>
      </c>
      <c r="B907" s="5">
        <v>45941</v>
      </c>
      <c r="C907" s="15">
        <f>WEEKNUM(Orders[[#This Row],[OrderDate]])</f>
        <v>41</v>
      </c>
      <c r="D907" s="4" t="s">
        <v>552</v>
      </c>
      <c r="E907" s="4" t="s">
        <v>66</v>
      </c>
      <c r="F907" s="4">
        <v>9</v>
      </c>
      <c r="G907" s="4">
        <v>6935.9000000000005</v>
      </c>
      <c r="H907">
        <v>5895.5150000000003</v>
      </c>
      <c r="I907">
        <f>Orders[[#This Row],[Quantity]]*Orders[[#This Row],[Selling Price]]</f>
        <v>62423.100000000006</v>
      </c>
      <c r="J907">
        <f>Orders[[#This Row],[Quantity]]*Orders[[#This Row],[Cost Price]]</f>
        <v>53059.635000000002</v>
      </c>
      <c r="K907">
        <f>Orders[[#This Row],[Revenue]]-Orders[[#This Row],[Expenses]]</f>
        <v>9363.4650000000038</v>
      </c>
      <c r="L907" t="s">
        <v>2210</v>
      </c>
      <c r="M907" t="str">
        <f>_xlfn.XLOOKUP(Orders[[#This Row],[CustomerID]],Customers[CustomerID],Customers[City])</f>
        <v>Georgia</v>
      </c>
      <c r="N907" t="str">
        <f>_xlfn.XLOOKUP(Orders[[#This Row],[CustomerID]],Customers[CustomerID],Customers[CustomerName])</f>
        <v>Chioma Eze</v>
      </c>
      <c r="O907" t="str">
        <f>_xlfn.XLOOKUP(Orders[[#This Row],[CustomerID]],Customers[CustomerID],Customers[Gender])</f>
        <v>Female</v>
      </c>
      <c r="P907">
        <f>_xlfn.XLOOKUP(Orders[[#This Row],[CustomerID]],Customers[CustomerID],Customers[CustomerAge])</f>
        <v>40</v>
      </c>
      <c r="Q907" t="str">
        <f>IF(Orders[[#This Row],[Age]]&gt;=35,"older","young")</f>
        <v>older</v>
      </c>
      <c r="R907" t="str">
        <f>_xlfn.XLOOKUP(Orders[[#This Row],[ProductID]],Products[ProductID],Products[ProductName])</f>
        <v>MICROWAVE</v>
      </c>
      <c r="S907" t="str">
        <f>_xlfn.XLOOKUP(Orders[[#This Row],[ProductID]],Products!A:A,Products!C:C)</f>
        <v>Electronics</v>
      </c>
    </row>
    <row r="908" spans="1:19" x14ac:dyDescent="0.2">
      <c r="A908" s="4" t="s">
        <v>1097</v>
      </c>
      <c r="B908" s="5">
        <v>46013</v>
      </c>
      <c r="C908" s="15">
        <f>WEEKNUM(Orders[[#This Row],[OrderDate]])</f>
        <v>52</v>
      </c>
      <c r="D908" s="4" t="s">
        <v>757</v>
      </c>
      <c r="E908" s="4" t="s">
        <v>31</v>
      </c>
      <c r="F908" s="4">
        <v>10</v>
      </c>
      <c r="G908" s="4">
        <v>13043.699999999999</v>
      </c>
      <c r="H908">
        <v>11087.144999999999</v>
      </c>
      <c r="I908">
        <f>Orders[[#This Row],[Quantity]]*Orders[[#This Row],[Selling Price]]</f>
        <v>130436.99999999999</v>
      </c>
      <c r="J908">
        <f>Orders[[#This Row],[Quantity]]*Orders[[#This Row],[Cost Price]]</f>
        <v>110871.44999999998</v>
      </c>
      <c r="K908">
        <f>Orders[[#This Row],[Revenue]]-Orders[[#This Row],[Expenses]]</f>
        <v>19565.550000000003</v>
      </c>
      <c r="L908" t="s">
        <v>2197</v>
      </c>
      <c r="M908" t="str">
        <f>_xlfn.XLOOKUP(Orders[[#This Row],[CustomerID]],Customers[CustomerID],Customers[City])</f>
        <v>Texas</v>
      </c>
      <c r="N908" t="str">
        <f>_xlfn.XLOOKUP(Orders[[#This Row],[CustomerID]],Customers[CustomerID],Customers[CustomerName])</f>
        <v>Okon Balogun</v>
      </c>
      <c r="O908" t="str">
        <f>_xlfn.XLOOKUP(Orders[[#This Row],[CustomerID]],Customers[CustomerID],Customers[Gender])</f>
        <v>Male</v>
      </c>
      <c r="P908">
        <f>_xlfn.XLOOKUP(Orders[[#This Row],[CustomerID]],Customers[CustomerID],Customers[CustomerAge])</f>
        <v>20</v>
      </c>
      <c r="Q908" t="str">
        <f>IF(Orders[[#This Row],[Age]]&gt;=35,"older","young")</f>
        <v>young</v>
      </c>
      <c r="R908" t="str">
        <f>_xlfn.XLOOKUP(Orders[[#This Row],[ProductID]],Products[ProductID],Products[ProductName])</f>
        <v>KIDS GAMES</v>
      </c>
      <c r="S908" t="str">
        <f>_xlfn.XLOOKUP(Orders[[#This Row],[ProductID]],Products!A:A,Products!C:C)</f>
        <v>Games</v>
      </c>
    </row>
    <row r="909" spans="1:19" x14ac:dyDescent="0.2">
      <c r="A909" s="4" t="s">
        <v>1098</v>
      </c>
      <c r="B909" s="5">
        <v>45962</v>
      </c>
      <c r="C909" s="15">
        <f>WEEKNUM(Orders[[#This Row],[OrderDate]])</f>
        <v>44</v>
      </c>
      <c r="D909" s="4" t="s">
        <v>457</v>
      </c>
      <c r="E909" s="4" t="s">
        <v>168</v>
      </c>
      <c r="F909" s="4">
        <v>8</v>
      </c>
      <c r="G909" s="4">
        <v>16172.2</v>
      </c>
      <c r="H909">
        <v>13746.37</v>
      </c>
      <c r="I909">
        <f>Orders[[#This Row],[Quantity]]*Orders[[#This Row],[Selling Price]]</f>
        <v>129377.60000000001</v>
      </c>
      <c r="J909">
        <f>Orders[[#This Row],[Quantity]]*Orders[[#This Row],[Cost Price]]</f>
        <v>109970.96</v>
      </c>
      <c r="K909">
        <f>Orders[[#This Row],[Revenue]]-Orders[[#This Row],[Expenses]]</f>
        <v>19406.64</v>
      </c>
      <c r="L909" t="s">
        <v>2213</v>
      </c>
      <c r="M909" t="str">
        <f>_xlfn.XLOOKUP(Orders[[#This Row],[CustomerID]],Customers[CustomerID],Customers[City])</f>
        <v>Illinois</v>
      </c>
      <c r="N909" t="str">
        <f>_xlfn.XLOOKUP(Orders[[#This Row],[CustomerID]],Customers[CustomerID],Customers[CustomerName])</f>
        <v>Tunde Okonkwo</v>
      </c>
      <c r="O909" t="str">
        <f>_xlfn.XLOOKUP(Orders[[#This Row],[CustomerID]],Customers[CustomerID],Customers[Gender])</f>
        <v>Male</v>
      </c>
      <c r="P909">
        <f>_xlfn.XLOOKUP(Orders[[#This Row],[CustomerID]],Customers[CustomerID],Customers[CustomerAge])</f>
        <v>23</v>
      </c>
      <c r="Q909" t="str">
        <f>IF(Orders[[#This Row],[Age]]&gt;=35,"older","young")</f>
        <v>young</v>
      </c>
      <c r="R909" t="str">
        <f>_xlfn.XLOOKUP(Orders[[#This Row],[ProductID]],Products[ProductID],Products[ProductName])</f>
        <v>DUMB BELLS</v>
      </c>
      <c r="S909" t="str">
        <f>_xlfn.XLOOKUP(Orders[[#This Row],[ProductID]],Products!A:A,Products!C:C)</f>
        <v>Gym</v>
      </c>
    </row>
    <row r="910" spans="1:19" x14ac:dyDescent="0.2">
      <c r="A910" s="4" t="s">
        <v>1099</v>
      </c>
      <c r="B910" s="5">
        <v>46009</v>
      </c>
      <c r="C910" s="15">
        <f>WEEKNUM(Orders[[#This Row],[OrderDate]])</f>
        <v>51</v>
      </c>
      <c r="D910" s="4" t="s">
        <v>374</v>
      </c>
      <c r="E910" s="4" t="s">
        <v>46</v>
      </c>
      <c r="F910" s="4">
        <v>8</v>
      </c>
      <c r="G910" s="4">
        <v>4955.5</v>
      </c>
      <c r="H910">
        <v>4212.1750000000002</v>
      </c>
      <c r="I910">
        <f>Orders[[#This Row],[Quantity]]*Orders[[#This Row],[Selling Price]]</f>
        <v>39644</v>
      </c>
      <c r="J910">
        <f>Orders[[#This Row],[Quantity]]*Orders[[#This Row],[Cost Price]]</f>
        <v>33697.4</v>
      </c>
      <c r="K910">
        <f>Orders[[#This Row],[Revenue]]-Orders[[#This Row],[Expenses]]</f>
        <v>5946.5999999999985</v>
      </c>
      <c r="L910" t="s">
        <v>2213</v>
      </c>
      <c r="M910" t="str">
        <f>_xlfn.XLOOKUP(Orders[[#This Row],[CustomerID]],Customers[CustomerID],Customers[City])</f>
        <v>Texas</v>
      </c>
      <c r="N910" t="str">
        <f>_xlfn.XLOOKUP(Orders[[#This Row],[CustomerID]],Customers[CustomerID],Customers[CustomerName])</f>
        <v>Uche Okonkwo</v>
      </c>
      <c r="O910" t="str">
        <f>_xlfn.XLOOKUP(Orders[[#This Row],[CustomerID]],Customers[CustomerID],Customers[Gender])</f>
        <v>Male</v>
      </c>
      <c r="P910">
        <f>_xlfn.XLOOKUP(Orders[[#This Row],[CustomerID]],Customers[CustomerID],Customers[CustomerAge])</f>
        <v>27</v>
      </c>
      <c r="Q910" t="str">
        <f>IF(Orders[[#This Row],[Age]]&gt;=35,"older","young")</f>
        <v>young</v>
      </c>
      <c r="R910" t="str">
        <f>_xlfn.XLOOKUP(Orders[[#This Row],[ProductID]],Products[ProductID],Products[ProductName])</f>
        <v>TURTLE NECK</v>
      </c>
      <c r="S910" t="str">
        <f>_xlfn.XLOOKUP(Orders[[#This Row],[ProductID]],Products!A:A,Products!C:C)</f>
        <v>Clothing</v>
      </c>
    </row>
    <row r="911" spans="1:19" x14ac:dyDescent="0.2">
      <c r="A911" s="4" t="s">
        <v>1100</v>
      </c>
      <c r="B911" s="5">
        <v>45988</v>
      </c>
      <c r="C911" s="15">
        <f>WEEKNUM(Orders[[#This Row],[OrderDate]])</f>
        <v>48</v>
      </c>
      <c r="D911" s="4" t="s">
        <v>19</v>
      </c>
      <c r="E911" s="4" t="s">
        <v>34</v>
      </c>
      <c r="F911" s="4">
        <v>1</v>
      </c>
      <c r="G911" s="4">
        <v>14485.4</v>
      </c>
      <c r="H911">
        <v>12312.59</v>
      </c>
      <c r="I911">
        <f>Orders[[#This Row],[Quantity]]*Orders[[#This Row],[Selling Price]]</f>
        <v>14485.4</v>
      </c>
      <c r="J911">
        <f>Orders[[#This Row],[Quantity]]*Orders[[#This Row],[Cost Price]]</f>
        <v>12312.59</v>
      </c>
      <c r="K911">
        <f>Orders[[#This Row],[Revenue]]-Orders[[#This Row],[Expenses]]</f>
        <v>2172.8099999999995</v>
      </c>
      <c r="L911" t="s">
        <v>2202</v>
      </c>
      <c r="M911" t="str">
        <f>_xlfn.XLOOKUP(Orders[[#This Row],[CustomerID]],Customers[CustomerID],Customers[City])</f>
        <v>California</v>
      </c>
      <c r="N911" t="str">
        <f>_xlfn.XLOOKUP(Orders[[#This Row],[CustomerID]],Customers[CustomerID],Customers[CustomerName])</f>
        <v>Obi Adeyemi</v>
      </c>
      <c r="O911" t="str">
        <f>_xlfn.XLOOKUP(Orders[[#This Row],[CustomerID]],Customers[CustomerID],Customers[Gender])</f>
        <v>Male</v>
      </c>
      <c r="P911">
        <f>_xlfn.XLOOKUP(Orders[[#This Row],[CustomerID]],Customers[CustomerID],Customers[CustomerAge])</f>
        <v>24</v>
      </c>
      <c r="Q911" t="str">
        <f>IF(Orders[[#This Row],[Age]]&gt;=35,"older","young")</f>
        <v>young</v>
      </c>
      <c r="R911" t="str">
        <f>_xlfn.XLOOKUP(Orders[[#This Row],[ProductID]],Products[ProductID],Products[ProductName])</f>
        <v>GOLD BRACELETS</v>
      </c>
      <c r="S911" t="str">
        <f>_xlfn.XLOOKUP(Orders[[#This Row],[ProductID]],Products!A:A,Products!C:C)</f>
        <v>Accessories</v>
      </c>
    </row>
    <row r="912" spans="1:19" x14ac:dyDescent="0.2">
      <c r="A912" s="4" t="s">
        <v>1101</v>
      </c>
      <c r="B912" s="5">
        <v>45972</v>
      </c>
      <c r="C912" s="15">
        <f>WEEKNUM(Orders[[#This Row],[OrderDate]])</f>
        <v>46</v>
      </c>
      <c r="D912" s="4" t="s">
        <v>142</v>
      </c>
      <c r="E912" s="4" t="s">
        <v>168</v>
      </c>
      <c r="F912" s="4">
        <v>6</v>
      </c>
      <c r="G912" s="4">
        <v>5814.7000000000007</v>
      </c>
      <c r="H912">
        <v>4942.4950000000008</v>
      </c>
      <c r="I912">
        <f>Orders[[#This Row],[Quantity]]*Orders[[#This Row],[Selling Price]]</f>
        <v>34888.200000000004</v>
      </c>
      <c r="J912">
        <f>Orders[[#This Row],[Quantity]]*Orders[[#This Row],[Cost Price]]</f>
        <v>29654.970000000005</v>
      </c>
      <c r="K912">
        <f>Orders[[#This Row],[Revenue]]-Orders[[#This Row],[Expenses]]</f>
        <v>5233.2299999999996</v>
      </c>
      <c r="L912" t="s">
        <v>2193</v>
      </c>
      <c r="M912" t="str">
        <f>_xlfn.XLOOKUP(Orders[[#This Row],[CustomerID]],Customers[CustomerID],Customers[City])</f>
        <v>Florida</v>
      </c>
      <c r="N912" t="str">
        <f>_xlfn.XLOOKUP(Orders[[#This Row],[CustomerID]],Customers[CustomerID],Customers[CustomerName])</f>
        <v>Obi Adeyemi</v>
      </c>
      <c r="O912" t="str">
        <f>_xlfn.XLOOKUP(Orders[[#This Row],[CustomerID]],Customers[CustomerID],Customers[Gender])</f>
        <v>Male</v>
      </c>
      <c r="P912">
        <f>_xlfn.XLOOKUP(Orders[[#This Row],[CustomerID]],Customers[CustomerID],Customers[CustomerAge])</f>
        <v>31</v>
      </c>
      <c r="Q912" t="str">
        <f>IF(Orders[[#This Row],[Age]]&gt;=35,"older","young")</f>
        <v>young</v>
      </c>
      <c r="R912" t="str">
        <f>_xlfn.XLOOKUP(Orders[[#This Row],[ProductID]],Products[ProductID],Products[ProductName])</f>
        <v>DUMB BELLS</v>
      </c>
      <c r="S912" t="str">
        <f>_xlfn.XLOOKUP(Orders[[#This Row],[ProductID]],Products!A:A,Products!C:C)</f>
        <v>Gym</v>
      </c>
    </row>
    <row r="913" spans="1:19" x14ac:dyDescent="0.2">
      <c r="A913" s="4" t="s">
        <v>1102</v>
      </c>
      <c r="B913" s="5">
        <v>45948</v>
      </c>
      <c r="C913" s="15">
        <f>WEEKNUM(Orders[[#This Row],[OrderDate]])</f>
        <v>42</v>
      </c>
      <c r="D913" s="4" t="s">
        <v>174</v>
      </c>
      <c r="E913" s="4" t="s">
        <v>253</v>
      </c>
      <c r="F913" s="4">
        <v>9</v>
      </c>
      <c r="G913" s="4">
        <v>13772.7</v>
      </c>
      <c r="H913">
        <v>11706.795</v>
      </c>
      <c r="I913">
        <f>Orders[[#This Row],[Quantity]]*Orders[[#This Row],[Selling Price]]</f>
        <v>123954.3</v>
      </c>
      <c r="J913">
        <f>Orders[[#This Row],[Quantity]]*Orders[[#This Row],[Cost Price]]</f>
        <v>105361.155</v>
      </c>
      <c r="K913">
        <f>Orders[[#This Row],[Revenue]]-Orders[[#This Row],[Expenses]]</f>
        <v>18593.145000000004</v>
      </c>
      <c r="L913" t="s">
        <v>2212</v>
      </c>
      <c r="M913" t="str">
        <f>_xlfn.XLOOKUP(Orders[[#This Row],[CustomerID]],Customers[CustomerID],Customers[City])</f>
        <v>California</v>
      </c>
      <c r="N913" t="str">
        <f>_xlfn.XLOOKUP(Orders[[#This Row],[CustomerID]],Customers[CustomerID],Customers[CustomerName])</f>
        <v>Zainab Obi</v>
      </c>
      <c r="O913" t="str">
        <f>_xlfn.XLOOKUP(Orders[[#This Row],[CustomerID]],Customers[CustomerID],Customers[Gender])</f>
        <v>Female</v>
      </c>
      <c r="P913">
        <f>_xlfn.XLOOKUP(Orders[[#This Row],[CustomerID]],Customers[CustomerID],Customers[CustomerAge])</f>
        <v>18</v>
      </c>
      <c r="Q913" t="str">
        <f>IF(Orders[[#This Row],[Age]]&gt;=35,"older","young")</f>
        <v>young</v>
      </c>
      <c r="R913" t="str">
        <f>_xlfn.XLOOKUP(Orders[[#This Row],[ProductID]],Products[ProductID],Products[ProductName])</f>
        <v>NOSE RINGS</v>
      </c>
      <c r="S913" t="str">
        <f>_xlfn.XLOOKUP(Orders[[#This Row],[ProductID]],Products!A:A,Products!C:C)</f>
        <v>Accessories</v>
      </c>
    </row>
    <row r="914" spans="1:19" x14ac:dyDescent="0.2">
      <c r="A914" s="4" t="s">
        <v>1103</v>
      </c>
      <c r="B914" s="5">
        <v>45977</v>
      </c>
      <c r="C914" s="15">
        <f>WEEKNUM(Orders[[#This Row],[OrderDate]])</f>
        <v>47</v>
      </c>
      <c r="D914" s="4" t="s">
        <v>369</v>
      </c>
      <c r="E914" s="4" t="s">
        <v>25</v>
      </c>
      <c r="F914" s="4">
        <v>9</v>
      </c>
      <c r="G914" s="4">
        <v>18995.599999999999</v>
      </c>
      <c r="H914">
        <v>16146.259999999998</v>
      </c>
      <c r="I914">
        <f>Orders[[#This Row],[Quantity]]*Orders[[#This Row],[Selling Price]]</f>
        <v>170960.4</v>
      </c>
      <c r="J914">
        <f>Orders[[#This Row],[Quantity]]*Orders[[#This Row],[Cost Price]]</f>
        <v>145316.34</v>
      </c>
      <c r="K914">
        <f>Orders[[#This Row],[Revenue]]-Orders[[#This Row],[Expenses]]</f>
        <v>25644.059999999998</v>
      </c>
      <c r="L914" t="s">
        <v>2220</v>
      </c>
      <c r="M914" t="str">
        <f>_xlfn.XLOOKUP(Orders[[#This Row],[CustomerID]],Customers[CustomerID],Customers[City])</f>
        <v>Washington</v>
      </c>
      <c r="N914" t="str">
        <f>_xlfn.XLOOKUP(Orders[[#This Row],[CustomerID]],Customers[CustomerID],Customers[CustomerName])</f>
        <v>Ibrahim Bello</v>
      </c>
      <c r="O914" t="str">
        <f>_xlfn.XLOOKUP(Orders[[#This Row],[CustomerID]],Customers[CustomerID],Customers[Gender])</f>
        <v>Male</v>
      </c>
      <c r="P914">
        <f>_xlfn.XLOOKUP(Orders[[#This Row],[CustomerID]],Customers[CustomerID],Customers[CustomerAge])</f>
        <v>40</v>
      </c>
      <c r="Q914" t="str">
        <f>IF(Orders[[#This Row],[Age]]&gt;=35,"older","young")</f>
        <v>older</v>
      </c>
      <c r="R914" t="str">
        <f>_xlfn.XLOOKUP(Orders[[#This Row],[ProductID]],Products[ProductID],Products[ProductName])</f>
        <v>GOLD RINGS</v>
      </c>
      <c r="S914" t="str">
        <f>_xlfn.XLOOKUP(Orders[[#This Row],[ProductID]],Products!A:A,Products!C:C)</f>
        <v>Accessories</v>
      </c>
    </row>
    <row r="915" spans="1:19" x14ac:dyDescent="0.2">
      <c r="A915" s="4" t="s">
        <v>1104</v>
      </c>
      <c r="B915" s="5">
        <v>45943</v>
      </c>
      <c r="C915" s="15">
        <f>WEEKNUM(Orders[[#This Row],[OrderDate]])</f>
        <v>42</v>
      </c>
      <c r="D915" s="4" t="s">
        <v>214</v>
      </c>
      <c r="E915" s="4" t="s">
        <v>84</v>
      </c>
      <c r="F915" s="4">
        <v>10</v>
      </c>
      <c r="G915" s="4">
        <v>18485.899999999998</v>
      </c>
      <c r="H915">
        <v>15713.014999999998</v>
      </c>
      <c r="I915">
        <f>Orders[[#This Row],[Quantity]]*Orders[[#This Row],[Selling Price]]</f>
        <v>184858.99999999997</v>
      </c>
      <c r="J915">
        <f>Orders[[#This Row],[Quantity]]*Orders[[#This Row],[Cost Price]]</f>
        <v>157130.14999999997</v>
      </c>
      <c r="K915">
        <f>Orders[[#This Row],[Revenue]]-Orders[[#This Row],[Expenses]]</f>
        <v>27728.850000000006</v>
      </c>
      <c r="L915" t="s">
        <v>2220</v>
      </c>
      <c r="M915" t="str">
        <f>_xlfn.XLOOKUP(Orders[[#This Row],[CustomerID]],Customers[CustomerID],Customers[City])</f>
        <v>California</v>
      </c>
      <c r="N915" t="str">
        <f>_xlfn.XLOOKUP(Orders[[#This Row],[CustomerID]],Customers[CustomerID],Customers[CustomerName])</f>
        <v>Adanma Okonkwo</v>
      </c>
      <c r="O915" t="str">
        <f>_xlfn.XLOOKUP(Orders[[#This Row],[CustomerID]],Customers[CustomerID],Customers[Gender])</f>
        <v>Female</v>
      </c>
      <c r="P915">
        <f>_xlfn.XLOOKUP(Orders[[#This Row],[CustomerID]],Customers[CustomerID],Customers[CustomerAge])</f>
        <v>20</v>
      </c>
      <c r="Q915" t="str">
        <f>IF(Orders[[#This Row],[Age]]&gt;=35,"older","young")</f>
        <v>young</v>
      </c>
      <c r="R915" t="str">
        <f>_xlfn.XLOOKUP(Orders[[#This Row],[ProductID]],Products[ProductID],Products[ProductName])</f>
        <v>GYM WEARS</v>
      </c>
      <c r="S915" t="str">
        <f>_xlfn.XLOOKUP(Orders[[#This Row],[ProductID]],Products!A:A,Products!C:C)</f>
        <v>Clothing</v>
      </c>
    </row>
    <row r="916" spans="1:19" x14ac:dyDescent="0.2">
      <c r="A916" s="4" t="s">
        <v>1105</v>
      </c>
      <c r="B916" s="5">
        <v>46006</v>
      </c>
      <c r="C916" s="15">
        <f>WEEKNUM(Orders[[#This Row],[OrderDate]])</f>
        <v>51</v>
      </c>
      <c r="D916" s="4" t="s">
        <v>52</v>
      </c>
      <c r="E916" s="4" t="s">
        <v>151</v>
      </c>
      <c r="F916" s="4">
        <v>9</v>
      </c>
      <c r="G916" s="4">
        <v>7420.9000000000005</v>
      </c>
      <c r="H916">
        <v>6307.7650000000003</v>
      </c>
      <c r="I916">
        <f>Orders[[#This Row],[Quantity]]*Orders[[#This Row],[Selling Price]]</f>
        <v>66788.100000000006</v>
      </c>
      <c r="J916">
        <f>Orders[[#This Row],[Quantity]]*Orders[[#This Row],[Cost Price]]</f>
        <v>56769.885000000002</v>
      </c>
      <c r="K916">
        <f>Orders[[#This Row],[Revenue]]-Orders[[#This Row],[Expenses]]</f>
        <v>10018.215000000004</v>
      </c>
      <c r="L916" t="s">
        <v>2220</v>
      </c>
      <c r="M916" t="str">
        <f>_xlfn.XLOOKUP(Orders[[#This Row],[CustomerID]],Customers[CustomerID],Customers[City])</f>
        <v>Texas</v>
      </c>
      <c r="N916" t="str">
        <f>_xlfn.XLOOKUP(Orders[[#This Row],[CustomerID]],Customers[CustomerID],Customers[CustomerName])</f>
        <v>Folasade Ojo</v>
      </c>
      <c r="O916" t="str">
        <f>_xlfn.XLOOKUP(Orders[[#This Row],[CustomerID]],Customers[CustomerID],Customers[Gender])</f>
        <v>Female</v>
      </c>
      <c r="P916">
        <f>_xlfn.XLOOKUP(Orders[[#This Row],[CustomerID]],Customers[CustomerID],Customers[CustomerAge])</f>
        <v>29</v>
      </c>
      <c r="Q916" t="str">
        <f>IF(Orders[[#This Row],[Age]]&gt;=35,"older","young")</f>
        <v>young</v>
      </c>
      <c r="R916" t="str">
        <f>_xlfn.XLOOKUP(Orders[[#This Row],[ProductID]],Products[ProductID],Products[ProductName])</f>
        <v>CHECKERS</v>
      </c>
      <c r="S916" t="str">
        <f>_xlfn.XLOOKUP(Orders[[#This Row],[ProductID]],Products!A:A,Products!C:C)</f>
        <v>Games</v>
      </c>
    </row>
    <row r="917" spans="1:19" x14ac:dyDescent="0.2">
      <c r="A917" s="4" t="s">
        <v>1106</v>
      </c>
      <c r="B917" s="5">
        <v>46002</v>
      </c>
      <c r="C917" s="15">
        <f>WEEKNUM(Orders[[#This Row],[OrderDate]])</f>
        <v>50</v>
      </c>
      <c r="D917" s="4" t="s">
        <v>180</v>
      </c>
      <c r="E917" s="4" t="s">
        <v>28</v>
      </c>
      <c r="F917" s="4">
        <v>1</v>
      </c>
      <c r="G917" s="4">
        <v>18895.599999999999</v>
      </c>
      <c r="H917">
        <v>16061.259999999998</v>
      </c>
      <c r="I917">
        <f>Orders[[#This Row],[Quantity]]*Orders[[#This Row],[Selling Price]]</f>
        <v>18895.599999999999</v>
      </c>
      <c r="J917">
        <f>Orders[[#This Row],[Quantity]]*Orders[[#This Row],[Cost Price]]</f>
        <v>16061.259999999998</v>
      </c>
      <c r="K917">
        <f>Orders[[#This Row],[Revenue]]-Orders[[#This Row],[Expenses]]</f>
        <v>2834.34</v>
      </c>
      <c r="L917" t="s">
        <v>2198</v>
      </c>
      <c r="M917" t="str">
        <f>_xlfn.XLOOKUP(Orders[[#This Row],[CustomerID]],Customers[CustomerID],Customers[City])</f>
        <v>Texas</v>
      </c>
      <c r="N917" t="str">
        <f>_xlfn.XLOOKUP(Orders[[#This Row],[CustomerID]],Customers[CustomerID],Customers[CustomerName])</f>
        <v>Jide Okonkwo</v>
      </c>
      <c r="O917" t="str">
        <f>_xlfn.XLOOKUP(Orders[[#This Row],[CustomerID]],Customers[CustomerID],Customers[Gender])</f>
        <v>Male</v>
      </c>
      <c r="P917">
        <f>_xlfn.XLOOKUP(Orders[[#This Row],[CustomerID]],Customers[CustomerID],Customers[CustomerAge])</f>
        <v>25</v>
      </c>
      <c r="Q917" t="str">
        <f>IF(Orders[[#This Row],[Age]]&gt;=35,"older","young")</f>
        <v>young</v>
      </c>
      <c r="R917" t="str">
        <f>_xlfn.XLOOKUP(Orders[[#This Row],[ProductID]],Products[ProductID],Products[ProductName])</f>
        <v>SNEAKERS</v>
      </c>
      <c r="S917" t="str">
        <f>_xlfn.XLOOKUP(Orders[[#This Row],[ProductID]],Products!A:A,Products!C:C)</f>
        <v>Sports</v>
      </c>
    </row>
    <row r="918" spans="1:19" x14ac:dyDescent="0.2">
      <c r="A918" s="4" t="s">
        <v>1107</v>
      </c>
      <c r="B918" s="5">
        <v>46001</v>
      </c>
      <c r="C918" s="15">
        <f>WEEKNUM(Orders[[#This Row],[OrderDate]])</f>
        <v>50</v>
      </c>
      <c r="D918" s="4" t="s">
        <v>596</v>
      </c>
      <c r="E918" s="4" t="s">
        <v>12</v>
      </c>
      <c r="F918" s="4">
        <v>6</v>
      </c>
      <c r="G918" s="4">
        <v>8601.4</v>
      </c>
      <c r="H918">
        <v>7311.19</v>
      </c>
      <c r="I918">
        <f>Orders[[#This Row],[Quantity]]*Orders[[#This Row],[Selling Price]]</f>
        <v>51608.399999999994</v>
      </c>
      <c r="J918">
        <f>Orders[[#This Row],[Quantity]]*Orders[[#This Row],[Cost Price]]</f>
        <v>43867.14</v>
      </c>
      <c r="K918">
        <f>Orders[[#This Row],[Revenue]]-Orders[[#This Row],[Expenses]]</f>
        <v>7741.2599999999948</v>
      </c>
      <c r="L918" t="s">
        <v>2199</v>
      </c>
      <c r="M918" t="str">
        <f>_xlfn.XLOOKUP(Orders[[#This Row],[CustomerID]],Customers[CustomerID],Customers[City])</f>
        <v>Texas</v>
      </c>
      <c r="N918" t="str">
        <f>_xlfn.XLOOKUP(Orders[[#This Row],[CustomerID]],Customers[CustomerID],Customers[CustomerName])</f>
        <v>Blessing Balogun</v>
      </c>
      <c r="O918" t="str">
        <f>_xlfn.XLOOKUP(Orders[[#This Row],[CustomerID]],Customers[CustomerID],Customers[Gender])</f>
        <v>Female</v>
      </c>
      <c r="P918">
        <f>_xlfn.XLOOKUP(Orders[[#This Row],[CustomerID]],Customers[CustomerID],Customers[CustomerAge])</f>
        <v>26</v>
      </c>
      <c r="Q918" t="str">
        <f>IF(Orders[[#This Row],[Age]]&gt;=35,"older","young")</f>
        <v>young</v>
      </c>
      <c r="R918" t="str">
        <f>_xlfn.XLOOKUP(Orders[[#This Row],[ProductID]],Products[ProductID],Products[ProductName])</f>
        <v>BOUBOU</v>
      </c>
      <c r="S918" t="str">
        <f>_xlfn.XLOOKUP(Orders[[#This Row],[ProductID]],Products!A:A,Products!C:C)</f>
        <v>Clothing</v>
      </c>
    </row>
    <row r="919" spans="1:19" x14ac:dyDescent="0.2">
      <c r="A919" s="4" t="s">
        <v>1108</v>
      </c>
      <c r="B919" s="5">
        <v>46019</v>
      </c>
      <c r="C919" s="15">
        <f>WEEKNUM(Orders[[#This Row],[OrderDate]])</f>
        <v>53</v>
      </c>
      <c r="D919" s="4" t="s">
        <v>388</v>
      </c>
      <c r="E919" s="4" t="s">
        <v>127</v>
      </c>
      <c r="F919" s="4">
        <v>4</v>
      </c>
      <c r="G919" s="4">
        <v>12475.3</v>
      </c>
      <c r="H919">
        <v>10604.004999999999</v>
      </c>
      <c r="I919">
        <f>Orders[[#This Row],[Quantity]]*Orders[[#This Row],[Selling Price]]</f>
        <v>49901.2</v>
      </c>
      <c r="J919">
        <f>Orders[[#This Row],[Quantity]]*Orders[[#This Row],[Cost Price]]</f>
        <v>42416.02</v>
      </c>
      <c r="K919">
        <f>Orders[[#This Row],[Revenue]]-Orders[[#This Row],[Expenses]]</f>
        <v>7485.18</v>
      </c>
      <c r="L919" t="s">
        <v>2194</v>
      </c>
      <c r="M919" t="str">
        <f>_xlfn.XLOOKUP(Orders[[#This Row],[CustomerID]],Customers[CustomerID],Customers[City])</f>
        <v>Washington</v>
      </c>
      <c r="N919" t="str">
        <f>_xlfn.XLOOKUP(Orders[[#This Row],[CustomerID]],Customers[CustomerID],Customers[CustomerName])</f>
        <v>Folasade Okonkwo</v>
      </c>
      <c r="O919" t="str">
        <f>_xlfn.XLOOKUP(Orders[[#This Row],[CustomerID]],Customers[CustomerID],Customers[Gender])</f>
        <v>Female</v>
      </c>
      <c r="P919">
        <f>_xlfn.XLOOKUP(Orders[[#This Row],[CustomerID]],Customers[CustomerID],Customers[CustomerAge])</f>
        <v>52</v>
      </c>
      <c r="Q919" t="str">
        <f>IF(Orders[[#This Row],[Age]]&gt;=35,"older","young")</f>
        <v>older</v>
      </c>
      <c r="R919" t="str">
        <f>_xlfn.XLOOKUP(Orders[[#This Row],[ProductID]],Products[ProductID],Products[ProductName])</f>
        <v>TOPS</v>
      </c>
      <c r="S919" t="str">
        <f>_xlfn.XLOOKUP(Orders[[#This Row],[ProductID]],Products!A:A,Products!C:C)</f>
        <v>Clothing</v>
      </c>
    </row>
    <row r="920" spans="1:19" x14ac:dyDescent="0.2">
      <c r="A920" s="4" t="s">
        <v>1109</v>
      </c>
      <c r="B920" s="5">
        <v>45944</v>
      </c>
      <c r="C920" s="15">
        <f>WEEKNUM(Orders[[#This Row],[OrderDate]])</f>
        <v>42</v>
      </c>
      <c r="D920" s="4" t="s">
        <v>201</v>
      </c>
      <c r="E920" s="4" t="s">
        <v>111</v>
      </c>
      <c r="F920" s="4">
        <v>4</v>
      </c>
      <c r="G920" s="4">
        <v>10387.299999999999</v>
      </c>
      <c r="H920">
        <v>8829.2049999999999</v>
      </c>
      <c r="I920">
        <f>Orders[[#This Row],[Quantity]]*Orders[[#This Row],[Selling Price]]</f>
        <v>41549.199999999997</v>
      </c>
      <c r="J920">
        <f>Orders[[#This Row],[Quantity]]*Orders[[#This Row],[Cost Price]]</f>
        <v>35316.82</v>
      </c>
      <c r="K920">
        <f>Orders[[#This Row],[Revenue]]-Orders[[#This Row],[Expenses]]</f>
        <v>6232.3799999999974</v>
      </c>
      <c r="L920" t="s">
        <v>2197</v>
      </c>
      <c r="M920" t="str">
        <f>_xlfn.XLOOKUP(Orders[[#This Row],[CustomerID]],Customers[CustomerID],Customers[City])</f>
        <v>Georgia</v>
      </c>
      <c r="N920" t="str">
        <f>_xlfn.XLOOKUP(Orders[[#This Row],[CustomerID]],Customers[CustomerID],Customers[CustomerName])</f>
        <v>Sani Igwe</v>
      </c>
      <c r="O920" t="str">
        <f>_xlfn.XLOOKUP(Orders[[#This Row],[CustomerID]],Customers[CustomerID],Customers[Gender])</f>
        <v>Male</v>
      </c>
      <c r="P920">
        <f>_xlfn.XLOOKUP(Orders[[#This Row],[CustomerID]],Customers[CustomerID],Customers[CustomerAge])</f>
        <v>20</v>
      </c>
      <c r="Q920" t="str">
        <f>IF(Orders[[#This Row],[Age]]&gt;=35,"older","young")</f>
        <v>young</v>
      </c>
      <c r="R920" t="str">
        <f>_xlfn.XLOOKUP(Orders[[#This Row],[ProductID]],Products[ProductID],Products[ProductName])</f>
        <v>REFRIGERATOR</v>
      </c>
      <c r="S920" t="str">
        <f>_xlfn.XLOOKUP(Orders[[#This Row],[ProductID]],Products!A:A,Products!C:C)</f>
        <v>Electronics</v>
      </c>
    </row>
    <row r="921" spans="1:19" x14ac:dyDescent="0.2">
      <c r="A921" s="4" t="s">
        <v>1110</v>
      </c>
      <c r="B921" s="5">
        <v>45986</v>
      </c>
      <c r="C921" s="15">
        <f>WEEKNUM(Orders[[#This Row],[OrderDate]])</f>
        <v>48</v>
      </c>
      <c r="D921" s="4" t="s">
        <v>124</v>
      </c>
      <c r="E921" s="4" t="s">
        <v>60</v>
      </c>
      <c r="F921" s="4">
        <v>5</v>
      </c>
      <c r="G921" s="4">
        <v>7710</v>
      </c>
      <c r="H921">
        <v>6553.5</v>
      </c>
      <c r="I921">
        <f>Orders[[#This Row],[Quantity]]*Orders[[#This Row],[Selling Price]]</f>
        <v>38550</v>
      </c>
      <c r="J921">
        <f>Orders[[#This Row],[Quantity]]*Orders[[#This Row],[Cost Price]]</f>
        <v>32767.5</v>
      </c>
      <c r="K921">
        <f>Orders[[#This Row],[Revenue]]-Orders[[#This Row],[Expenses]]</f>
        <v>5782.5</v>
      </c>
      <c r="L921" t="s">
        <v>2209</v>
      </c>
      <c r="M921" t="str">
        <f>_xlfn.XLOOKUP(Orders[[#This Row],[CustomerID]],Customers[CustomerID],Customers[City])</f>
        <v>Texas</v>
      </c>
      <c r="N921" t="str">
        <f>_xlfn.XLOOKUP(Orders[[#This Row],[CustomerID]],Customers[CustomerID],Customers[CustomerName])</f>
        <v>Ngozi Ojo</v>
      </c>
      <c r="O921" t="str">
        <f>_xlfn.XLOOKUP(Orders[[#This Row],[CustomerID]],Customers[CustomerID],Customers[Gender])</f>
        <v>Female</v>
      </c>
      <c r="P921">
        <f>_xlfn.XLOOKUP(Orders[[#This Row],[CustomerID]],Customers[CustomerID],Customers[CustomerAge])</f>
        <v>22</v>
      </c>
      <c r="Q921" t="str">
        <f>IF(Orders[[#This Row],[Age]]&gt;=35,"older","young")</f>
        <v>young</v>
      </c>
      <c r="R921" t="str">
        <f>_xlfn.XLOOKUP(Orders[[#This Row],[ProductID]],Products[ProductID],Products[ProductName])</f>
        <v>SILVER RINGS</v>
      </c>
      <c r="S921" t="str">
        <f>_xlfn.XLOOKUP(Orders[[#This Row],[ProductID]],Products!A:A,Products!C:C)</f>
        <v>Accessories</v>
      </c>
    </row>
    <row r="922" spans="1:19" x14ac:dyDescent="0.2">
      <c r="A922" s="4" t="s">
        <v>1111</v>
      </c>
      <c r="B922" s="5">
        <v>45967</v>
      </c>
      <c r="C922" s="15">
        <f>WEEKNUM(Orders[[#This Row],[OrderDate]])</f>
        <v>45</v>
      </c>
      <c r="D922" s="4" t="s">
        <v>91</v>
      </c>
      <c r="E922" s="4" t="s">
        <v>76</v>
      </c>
      <c r="F922" s="4">
        <v>8</v>
      </c>
      <c r="G922" s="4">
        <v>5868.9</v>
      </c>
      <c r="H922">
        <v>4988.5649999999996</v>
      </c>
      <c r="I922">
        <f>Orders[[#This Row],[Quantity]]*Orders[[#This Row],[Selling Price]]</f>
        <v>46951.199999999997</v>
      </c>
      <c r="J922">
        <f>Orders[[#This Row],[Quantity]]*Orders[[#This Row],[Cost Price]]</f>
        <v>39908.519999999997</v>
      </c>
      <c r="K922">
        <f>Orders[[#This Row],[Revenue]]-Orders[[#This Row],[Expenses]]</f>
        <v>7042.68</v>
      </c>
      <c r="L922" t="s">
        <v>2217</v>
      </c>
      <c r="M922" t="str">
        <f>_xlfn.XLOOKUP(Orders[[#This Row],[CustomerID]],Customers[CustomerID],Customers[City])</f>
        <v>Florida</v>
      </c>
      <c r="N922" t="str">
        <f>_xlfn.XLOOKUP(Orders[[#This Row],[CustomerID]],Customers[CustomerID],Customers[CustomerName])</f>
        <v>Uche Abubakar</v>
      </c>
      <c r="O922" t="str">
        <f>_xlfn.XLOOKUP(Orders[[#This Row],[CustomerID]],Customers[CustomerID],Customers[Gender])</f>
        <v>Male</v>
      </c>
      <c r="P922">
        <f>_xlfn.XLOOKUP(Orders[[#This Row],[CustomerID]],Customers[CustomerID],Customers[CustomerAge])</f>
        <v>28</v>
      </c>
      <c r="Q922" t="str">
        <f>IF(Orders[[#This Row],[Age]]&gt;=35,"older","young")</f>
        <v>young</v>
      </c>
      <c r="R922" t="str">
        <f>_xlfn.XLOOKUP(Orders[[#This Row],[ProductID]],Products[ProductID],Products[ProductName])</f>
        <v>BLENDER</v>
      </c>
      <c r="S922" t="str">
        <f>_xlfn.XLOOKUP(Orders[[#This Row],[ProductID]],Products!A:A,Products!C:C)</f>
        <v>Electronics</v>
      </c>
    </row>
    <row r="923" spans="1:19" x14ac:dyDescent="0.2">
      <c r="A923" s="4" t="s">
        <v>1112</v>
      </c>
      <c r="B923" s="5">
        <v>45948</v>
      </c>
      <c r="C923" s="15">
        <f>WEEKNUM(Orders[[#This Row],[OrderDate]])</f>
        <v>42</v>
      </c>
      <c r="D923" s="4" t="s">
        <v>305</v>
      </c>
      <c r="E923" s="4" t="s">
        <v>70</v>
      </c>
      <c r="F923" s="4">
        <v>4</v>
      </c>
      <c r="G923" s="4">
        <v>16778</v>
      </c>
      <c r="H923">
        <v>14261.3</v>
      </c>
      <c r="I923">
        <f>Orders[[#This Row],[Quantity]]*Orders[[#This Row],[Selling Price]]</f>
        <v>67112</v>
      </c>
      <c r="J923">
        <f>Orders[[#This Row],[Quantity]]*Orders[[#This Row],[Cost Price]]</f>
        <v>57045.2</v>
      </c>
      <c r="K923">
        <f>Orders[[#This Row],[Revenue]]-Orders[[#This Row],[Expenses]]</f>
        <v>10066.800000000003</v>
      </c>
      <c r="L923" t="s">
        <v>2200</v>
      </c>
      <c r="M923" t="str">
        <f>_xlfn.XLOOKUP(Orders[[#This Row],[CustomerID]],Customers[CustomerID],Customers[City])</f>
        <v>California</v>
      </c>
      <c r="N923" t="str">
        <f>_xlfn.XLOOKUP(Orders[[#This Row],[CustomerID]],Customers[CustomerID],Customers[CustomerName])</f>
        <v>Tunde Danladi</v>
      </c>
      <c r="O923" t="str">
        <f>_xlfn.XLOOKUP(Orders[[#This Row],[CustomerID]],Customers[CustomerID],Customers[Gender])</f>
        <v>Male</v>
      </c>
      <c r="P923">
        <f>_xlfn.XLOOKUP(Orders[[#This Row],[CustomerID]],Customers[CustomerID],Customers[CustomerAge])</f>
        <v>40</v>
      </c>
      <c r="Q923" t="str">
        <f>IF(Orders[[#This Row],[Age]]&gt;=35,"older","young")</f>
        <v>older</v>
      </c>
      <c r="R923" t="str">
        <f>_xlfn.XLOOKUP(Orders[[#This Row],[ProductID]],Products[ProductID],Products[ProductName])</f>
        <v>YOGA MAT</v>
      </c>
      <c r="S923" t="str">
        <f>_xlfn.XLOOKUP(Orders[[#This Row],[ProductID]],Products!A:A,Products!C:C)</f>
        <v>Gym</v>
      </c>
    </row>
    <row r="924" spans="1:19" x14ac:dyDescent="0.2">
      <c r="A924" s="4" t="s">
        <v>1113</v>
      </c>
      <c r="B924" s="5">
        <v>45995</v>
      </c>
      <c r="C924" s="15">
        <f>WEEKNUM(Orders[[#This Row],[OrderDate]])</f>
        <v>49</v>
      </c>
      <c r="D924" s="4" t="s">
        <v>524</v>
      </c>
      <c r="E924" s="4" t="s">
        <v>63</v>
      </c>
      <c r="F924" s="4">
        <v>6</v>
      </c>
      <c r="G924" s="4">
        <v>15304.300000000001</v>
      </c>
      <c r="H924">
        <v>13008.655000000001</v>
      </c>
      <c r="I924">
        <f>Orders[[#This Row],[Quantity]]*Orders[[#This Row],[Selling Price]]</f>
        <v>91825.8</v>
      </c>
      <c r="J924">
        <f>Orders[[#This Row],[Quantity]]*Orders[[#This Row],[Cost Price]]</f>
        <v>78051.930000000008</v>
      </c>
      <c r="K924">
        <f>Orders[[#This Row],[Revenue]]-Orders[[#This Row],[Expenses]]</f>
        <v>13773.869999999995</v>
      </c>
      <c r="L924" t="s">
        <v>2203</v>
      </c>
      <c r="M924" t="str">
        <f>_xlfn.XLOOKUP(Orders[[#This Row],[CustomerID]],Customers[CustomerID],Customers[City])</f>
        <v>Florida</v>
      </c>
      <c r="N924" t="str">
        <f>_xlfn.XLOOKUP(Orders[[#This Row],[CustomerID]],Customers[CustomerID],Customers[CustomerName])</f>
        <v>Chinedu Igwe</v>
      </c>
      <c r="O924" t="str">
        <f>_xlfn.XLOOKUP(Orders[[#This Row],[CustomerID]],Customers[CustomerID],Customers[Gender])</f>
        <v>Male</v>
      </c>
      <c r="P924">
        <f>_xlfn.XLOOKUP(Orders[[#This Row],[CustomerID]],Customers[CustomerID],Customers[CustomerAge])</f>
        <v>21</v>
      </c>
      <c r="Q924" t="str">
        <f>IF(Orders[[#This Row],[Age]]&gt;=35,"older","young")</f>
        <v>young</v>
      </c>
      <c r="R924" t="str">
        <f>_xlfn.XLOOKUP(Orders[[#This Row],[ProductID]],Products[ProductID],Products[ProductName])</f>
        <v>TENNIS BAT</v>
      </c>
      <c r="S924" t="str">
        <f>_xlfn.XLOOKUP(Orders[[#This Row],[ProductID]],Products!A:A,Products!C:C)</f>
        <v>Sports</v>
      </c>
    </row>
    <row r="925" spans="1:19" x14ac:dyDescent="0.2">
      <c r="A925" s="4" t="s">
        <v>1114</v>
      </c>
      <c r="B925" s="5">
        <v>45979</v>
      </c>
      <c r="C925" s="15">
        <f>WEEKNUM(Orders[[#This Row],[OrderDate]])</f>
        <v>47</v>
      </c>
      <c r="D925" s="4" t="s">
        <v>517</v>
      </c>
      <c r="E925" s="4" t="s">
        <v>9</v>
      </c>
      <c r="F925" s="4">
        <v>5</v>
      </c>
      <c r="G925" s="4">
        <v>12575.699999999999</v>
      </c>
      <c r="H925">
        <v>10689.344999999999</v>
      </c>
      <c r="I925">
        <f>Orders[[#This Row],[Quantity]]*Orders[[#This Row],[Selling Price]]</f>
        <v>62878.499999999993</v>
      </c>
      <c r="J925">
        <f>Orders[[#This Row],[Quantity]]*Orders[[#This Row],[Cost Price]]</f>
        <v>53446.724999999999</v>
      </c>
      <c r="K925">
        <f>Orders[[#This Row],[Revenue]]-Orders[[#This Row],[Expenses]]</f>
        <v>9431.7749999999942</v>
      </c>
      <c r="L925" t="s">
        <v>2203</v>
      </c>
      <c r="M925" t="str">
        <f>_xlfn.XLOOKUP(Orders[[#This Row],[CustomerID]],Customers[CustomerID],Customers[City])</f>
        <v>Florida</v>
      </c>
      <c r="N925" t="str">
        <f>_xlfn.XLOOKUP(Orders[[#This Row],[CustomerID]],Customers[CustomerID],Customers[CustomerName])</f>
        <v>Efe Adeyemi</v>
      </c>
      <c r="O925" t="str">
        <f>_xlfn.XLOOKUP(Orders[[#This Row],[CustomerID]],Customers[CustomerID],Customers[Gender])</f>
        <v>Female</v>
      </c>
      <c r="P925">
        <f>_xlfn.XLOOKUP(Orders[[#This Row],[CustomerID]],Customers[CustomerID],Customers[CustomerAge])</f>
        <v>25</v>
      </c>
      <c r="Q925" t="str">
        <f>IF(Orders[[#This Row],[Age]]&gt;=35,"older","young")</f>
        <v>young</v>
      </c>
      <c r="R925" t="str">
        <f>_xlfn.XLOOKUP(Orders[[#This Row],[ProductID]],Products[ProductID],Products[ProductName])</f>
        <v>BEADED EARRINGS AND NECKLACES</v>
      </c>
      <c r="S925" t="str">
        <f>_xlfn.XLOOKUP(Orders[[#This Row],[ProductID]],Products!A:A,Products!C:C)</f>
        <v>Accessories</v>
      </c>
    </row>
    <row r="926" spans="1:19" x14ac:dyDescent="0.2">
      <c r="A926" s="4" t="s">
        <v>1115</v>
      </c>
      <c r="B926" s="5">
        <v>45993</v>
      </c>
      <c r="C926" s="15">
        <f>WEEKNUM(Orders[[#This Row],[OrderDate]])</f>
        <v>49</v>
      </c>
      <c r="D926" s="4" t="s">
        <v>546</v>
      </c>
      <c r="E926" s="4" t="s">
        <v>34</v>
      </c>
      <c r="F926" s="4">
        <v>6</v>
      </c>
      <c r="G926" s="4">
        <v>3900.7</v>
      </c>
      <c r="H926">
        <v>3315.5949999999998</v>
      </c>
      <c r="I926">
        <f>Orders[[#This Row],[Quantity]]*Orders[[#This Row],[Selling Price]]</f>
        <v>23404.199999999997</v>
      </c>
      <c r="J926">
        <f>Orders[[#This Row],[Quantity]]*Orders[[#This Row],[Cost Price]]</f>
        <v>19893.57</v>
      </c>
      <c r="K926">
        <f>Orders[[#This Row],[Revenue]]-Orders[[#This Row],[Expenses]]</f>
        <v>3510.6299999999974</v>
      </c>
      <c r="L926" t="s">
        <v>2199</v>
      </c>
      <c r="M926" t="str">
        <f>_xlfn.XLOOKUP(Orders[[#This Row],[CustomerID]],Customers[CustomerID],Customers[City])</f>
        <v>Texas</v>
      </c>
      <c r="N926" t="str">
        <f>_xlfn.XLOOKUP(Orders[[#This Row],[CustomerID]],Customers[CustomerID],Customers[CustomerName])</f>
        <v>Bisi Eze</v>
      </c>
      <c r="O926" t="str">
        <f>_xlfn.XLOOKUP(Orders[[#This Row],[CustomerID]],Customers[CustomerID],Customers[Gender])</f>
        <v>Female</v>
      </c>
      <c r="P926">
        <f>_xlfn.XLOOKUP(Orders[[#This Row],[CustomerID]],Customers[CustomerID],Customers[CustomerAge])</f>
        <v>32</v>
      </c>
      <c r="Q926" t="str">
        <f>IF(Orders[[#This Row],[Age]]&gt;=35,"older","young")</f>
        <v>young</v>
      </c>
      <c r="R926" t="str">
        <f>_xlfn.XLOOKUP(Orders[[#This Row],[ProductID]],Products[ProductID],Products[ProductName])</f>
        <v>GOLD BRACELETS</v>
      </c>
      <c r="S926" t="str">
        <f>_xlfn.XLOOKUP(Orders[[#This Row],[ProductID]],Products!A:A,Products!C:C)</f>
        <v>Accessories</v>
      </c>
    </row>
    <row r="927" spans="1:19" x14ac:dyDescent="0.2">
      <c r="A927" s="4" t="s">
        <v>1116</v>
      </c>
      <c r="B927" s="5">
        <v>46013</v>
      </c>
      <c r="C927" s="15">
        <f>WEEKNUM(Orders[[#This Row],[OrderDate]])</f>
        <v>52</v>
      </c>
      <c r="D927" s="4" t="s">
        <v>239</v>
      </c>
      <c r="E927" s="4" t="s">
        <v>92</v>
      </c>
      <c r="F927" s="4">
        <v>9</v>
      </c>
      <c r="G927" s="4">
        <v>19464.7</v>
      </c>
      <c r="H927">
        <v>16544.995000000003</v>
      </c>
      <c r="I927">
        <f>Orders[[#This Row],[Quantity]]*Orders[[#This Row],[Selling Price]]</f>
        <v>175182.30000000002</v>
      </c>
      <c r="J927">
        <f>Orders[[#This Row],[Quantity]]*Orders[[#This Row],[Cost Price]]</f>
        <v>148904.95500000002</v>
      </c>
      <c r="K927">
        <f>Orders[[#This Row],[Revenue]]-Orders[[#This Row],[Expenses]]</f>
        <v>26277.345000000001</v>
      </c>
      <c r="L927" t="s">
        <v>2218</v>
      </c>
      <c r="M927" t="str">
        <f>_xlfn.XLOOKUP(Orders[[#This Row],[CustomerID]],Customers[CustomerID],Customers[City])</f>
        <v>Florida</v>
      </c>
      <c r="N927" t="str">
        <f>_xlfn.XLOOKUP(Orders[[#This Row],[CustomerID]],Customers[CustomerID],Customers[CustomerName])</f>
        <v>Emeka Danladi</v>
      </c>
      <c r="O927" t="str">
        <f>_xlfn.XLOOKUP(Orders[[#This Row],[CustomerID]],Customers[CustomerID],Customers[Gender])</f>
        <v>Male</v>
      </c>
      <c r="P927">
        <f>_xlfn.XLOOKUP(Orders[[#This Row],[CustomerID]],Customers[CustomerID],Customers[CustomerAge])</f>
        <v>23</v>
      </c>
      <c r="Q927" t="str">
        <f>IF(Orders[[#This Row],[Age]]&gt;=35,"older","young")</f>
        <v>young</v>
      </c>
      <c r="R927" t="str">
        <f>_xlfn.XLOOKUP(Orders[[#This Row],[ProductID]],Products[ProductID],Products[ProductName])</f>
        <v>CHEST EXPANDER</v>
      </c>
      <c r="S927" t="str">
        <f>_xlfn.XLOOKUP(Orders[[#This Row],[ProductID]],Products!A:A,Products!C:C)</f>
        <v>Gym</v>
      </c>
    </row>
    <row r="928" spans="1:19" x14ac:dyDescent="0.2">
      <c r="A928" s="4" t="s">
        <v>1117</v>
      </c>
      <c r="B928" s="5">
        <v>45959</v>
      </c>
      <c r="C928" s="15">
        <f>WEEKNUM(Orders[[#This Row],[OrderDate]])</f>
        <v>44</v>
      </c>
      <c r="D928" s="4" t="s">
        <v>33</v>
      </c>
      <c r="E928" s="4" t="s">
        <v>25</v>
      </c>
      <c r="F928" s="4">
        <v>6</v>
      </c>
      <c r="G928" s="4">
        <v>17328.699999999997</v>
      </c>
      <c r="H928">
        <v>14729.394999999997</v>
      </c>
      <c r="I928">
        <f>Orders[[#This Row],[Quantity]]*Orders[[#This Row],[Selling Price]]</f>
        <v>103972.19999999998</v>
      </c>
      <c r="J928">
        <f>Orders[[#This Row],[Quantity]]*Orders[[#This Row],[Cost Price]]</f>
        <v>88376.369999999981</v>
      </c>
      <c r="K928">
        <f>Orders[[#This Row],[Revenue]]-Orders[[#This Row],[Expenses]]</f>
        <v>15595.830000000002</v>
      </c>
      <c r="L928" t="s">
        <v>2208</v>
      </c>
      <c r="M928" t="str">
        <f>_xlfn.XLOOKUP(Orders[[#This Row],[CustomerID]],Customers[CustomerID],Customers[City])</f>
        <v>Texas</v>
      </c>
      <c r="N928" t="str">
        <f>_xlfn.XLOOKUP(Orders[[#This Row],[CustomerID]],Customers[CustomerID],Customers[CustomerName])</f>
        <v>Okon Balogun</v>
      </c>
      <c r="O928" t="str">
        <f>_xlfn.XLOOKUP(Orders[[#This Row],[CustomerID]],Customers[CustomerID],Customers[Gender])</f>
        <v>Male</v>
      </c>
      <c r="P928">
        <f>_xlfn.XLOOKUP(Orders[[#This Row],[CustomerID]],Customers[CustomerID],Customers[CustomerAge])</f>
        <v>28</v>
      </c>
      <c r="Q928" t="str">
        <f>IF(Orders[[#This Row],[Age]]&gt;=35,"older","young")</f>
        <v>young</v>
      </c>
      <c r="R928" t="str">
        <f>_xlfn.XLOOKUP(Orders[[#This Row],[ProductID]],Products[ProductID],Products[ProductName])</f>
        <v>GOLD RINGS</v>
      </c>
      <c r="S928" t="str">
        <f>_xlfn.XLOOKUP(Orders[[#This Row],[ProductID]],Products!A:A,Products!C:C)</f>
        <v>Accessories</v>
      </c>
    </row>
    <row r="929" spans="1:19" x14ac:dyDescent="0.2">
      <c r="A929" s="4" t="s">
        <v>1118</v>
      </c>
      <c r="B929" s="5">
        <v>45934</v>
      </c>
      <c r="C929" s="15">
        <f>WEEKNUM(Orders[[#This Row],[OrderDate]])</f>
        <v>40</v>
      </c>
      <c r="D929" s="4" t="s">
        <v>198</v>
      </c>
      <c r="E929" s="4" t="s">
        <v>125</v>
      </c>
      <c r="F929" s="4">
        <v>9</v>
      </c>
      <c r="G929" s="4">
        <v>3051.3999999999996</v>
      </c>
      <c r="H929">
        <v>2593.6899999999996</v>
      </c>
      <c r="I929">
        <f>Orders[[#This Row],[Quantity]]*Orders[[#This Row],[Selling Price]]</f>
        <v>27462.6</v>
      </c>
      <c r="J929">
        <f>Orders[[#This Row],[Quantity]]*Orders[[#This Row],[Cost Price]]</f>
        <v>23343.209999999995</v>
      </c>
      <c r="K929">
        <f>Orders[[#This Row],[Revenue]]-Orders[[#This Row],[Expenses]]</f>
        <v>4119.3900000000031</v>
      </c>
      <c r="L929" t="s">
        <v>2198</v>
      </c>
      <c r="M929" t="str">
        <f>_xlfn.XLOOKUP(Orders[[#This Row],[CustomerID]],Customers[CustomerID],Customers[City])</f>
        <v>Texas</v>
      </c>
      <c r="N929" t="str">
        <f>_xlfn.XLOOKUP(Orders[[#This Row],[CustomerID]],Customers[CustomerID],Customers[CustomerName])</f>
        <v>Blessing Danladi</v>
      </c>
      <c r="O929" t="str">
        <f>_xlfn.XLOOKUP(Orders[[#This Row],[CustomerID]],Customers[CustomerID],Customers[Gender])</f>
        <v>Female</v>
      </c>
      <c r="P929">
        <f>_xlfn.XLOOKUP(Orders[[#This Row],[CustomerID]],Customers[CustomerID],Customers[CustomerAge])</f>
        <v>19</v>
      </c>
      <c r="Q929" t="str">
        <f>IF(Orders[[#This Row],[Age]]&gt;=35,"older","young")</f>
        <v>young</v>
      </c>
      <c r="R929" t="str">
        <f>_xlfn.XLOOKUP(Orders[[#This Row],[ProductID]],Products[ProductID],Products[ProductName])</f>
        <v>EARRINGS</v>
      </c>
      <c r="S929" t="str">
        <f>_xlfn.XLOOKUP(Orders[[#This Row],[ProductID]],Products!A:A,Products!C:C)</f>
        <v>Accessories</v>
      </c>
    </row>
    <row r="930" spans="1:19" x14ac:dyDescent="0.2">
      <c r="A930" s="4" t="s">
        <v>1119</v>
      </c>
      <c r="B930" s="5">
        <v>45992</v>
      </c>
      <c r="C930" s="15">
        <f>WEEKNUM(Orders[[#This Row],[OrderDate]])</f>
        <v>49</v>
      </c>
      <c r="D930" s="4" t="s">
        <v>374</v>
      </c>
      <c r="E930" s="4" t="s">
        <v>31</v>
      </c>
      <c r="F930" s="4">
        <v>8</v>
      </c>
      <c r="G930" s="4">
        <v>2786.3</v>
      </c>
      <c r="H930">
        <v>2368.355</v>
      </c>
      <c r="I930">
        <f>Orders[[#This Row],[Quantity]]*Orders[[#This Row],[Selling Price]]</f>
        <v>22290.400000000001</v>
      </c>
      <c r="J930">
        <f>Orders[[#This Row],[Quantity]]*Orders[[#This Row],[Cost Price]]</f>
        <v>18946.84</v>
      </c>
      <c r="K930">
        <f>Orders[[#This Row],[Revenue]]-Orders[[#This Row],[Expenses]]</f>
        <v>3343.5600000000013</v>
      </c>
      <c r="L930" t="s">
        <v>2195</v>
      </c>
      <c r="M930" t="str">
        <f>_xlfn.XLOOKUP(Orders[[#This Row],[CustomerID]],Customers[CustomerID],Customers[City])</f>
        <v>Texas</v>
      </c>
      <c r="N930" t="str">
        <f>_xlfn.XLOOKUP(Orders[[#This Row],[CustomerID]],Customers[CustomerID],Customers[CustomerName])</f>
        <v>Uche Okonkwo</v>
      </c>
      <c r="O930" t="str">
        <f>_xlfn.XLOOKUP(Orders[[#This Row],[CustomerID]],Customers[CustomerID],Customers[Gender])</f>
        <v>Male</v>
      </c>
      <c r="P930">
        <f>_xlfn.XLOOKUP(Orders[[#This Row],[CustomerID]],Customers[CustomerID],Customers[CustomerAge])</f>
        <v>27</v>
      </c>
      <c r="Q930" t="str">
        <f>IF(Orders[[#This Row],[Age]]&gt;=35,"older","young")</f>
        <v>young</v>
      </c>
      <c r="R930" t="str">
        <f>_xlfn.XLOOKUP(Orders[[#This Row],[ProductID]],Products[ProductID],Products[ProductName])</f>
        <v>KIDS GAMES</v>
      </c>
      <c r="S930" t="str">
        <f>_xlfn.XLOOKUP(Orders[[#This Row],[ProductID]],Products!A:A,Products!C:C)</f>
        <v>Games</v>
      </c>
    </row>
    <row r="931" spans="1:19" x14ac:dyDescent="0.2">
      <c r="A931" s="4" t="s">
        <v>1120</v>
      </c>
      <c r="B931" s="5">
        <v>45931</v>
      </c>
      <c r="C931" s="15">
        <f>WEEKNUM(Orders[[#This Row],[OrderDate]])</f>
        <v>40</v>
      </c>
      <c r="D931" s="4" t="s">
        <v>48</v>
      </c>
      <c r="E931" s="4" t="s">
        <v>120</v>
      </c>
      <c r="F931" s="4">
        <v>8</v>
      </c>
      <c r="G931" s="4">
        <v>18932.400000000001</v>
      </c>
      <c r="H931">
        <v>16092.54</v>
      </c>
      <c r="I931">
        <f>Orders[[#This Row],[Quantity]]*Orders[[#This Row],[Selling Price]]</f>
        <v>151459.20000000001</v>
      </c>
      <c r="J931">
        <f>Orders[[#This Row],[Quantity]]*Orders[[#This Row],[Cost Price]]</f>
        <v>128740.32</v>
      </c>
      <c r="K931">
        <f>Orders[[#This Row],[Revenue]]-Orders[[#This Row],[Expenses]]</f>
        <v>22718.880000000005</v>
      </c>
      <c r="L931" t="s">
        <v>2208</v>
      </c>
      <c r="M931" t="str">
        <f>_xlfn.XLOOKUP(Orders[[#This Row],[CustomerID]],Customers[CustomerID],Customers[City])</f>
        <v>California</v>
      </c>
      <c r="N931" t="str">
        <f>_xlfn.XLOOKUP(Orders[[#This Row],[CustomerID]],Customers[CustomerID],Customers[CustomerName])</f>
        <v>Mustafa Obi</v>
      </c>
      <c r="O931" t="str">
        <f>_xlfn.XLOOKUP(Orders[[#This Row],[CustomerID]],Customers[CustomerID],Customers[Gender])</f>
        <v>Male</v>
      </c>
      <c r="P931">
        <f>_xlfn.XLOOKUP(Orders[[#This Row],[CustomerID]],Customers[CustomerID],Customers[CustomerAge])</f>
        <v>23</v>
      </c>
      <c r="Q931" t="str">
        <f>IF(Orders[[#This Row],[Age]]&gt;=35,"older","young")</f>
        <v>young</v>
      </c>
      <c r="R931" t="str">
        <f>_xlfn.XLOOKUP(Orders[[#This Row],[ProductID]],Products[ProductID],Products[ProductName])</f>
        <v>CHESS</v>
      </c>
      <c r="S931" t="str">
        <f>_xlfn.XLOOKUP(Orders[[#This Row],[ProductID]],Products!A:A,Products!C:C)</f>
        <v>Games</v>
      </c>
    </row>
    <row r="932" spans="1:19" x14ac:dyDescent="0.2">
      <c r="A932" s="4" t="s">
        <v>1121</v>
      </c>
      <c r="B932" s="5">
        <v>45936</v>
      </c>
      <c r="C932" s="15">
        <f>WEEKNUM(Orders[[#This Row],[OrderDate]])</f>
        <v>41</v>
      </c>
      <c r="D932" s="4" t="s">
        <v>75</v>
      </c>
      <c r="E932" s="4" t="s">
        <v>34</v>
      </c>
      <c r="F932" s="4">
        <v>8</v>
      </c>
      <c r="G932" s="4">
        <v>16414.3</v>
      </c>
      <c r="H932">
        <v>13952.154999999999</v>
      </c>
      <c r="I932">
        <f>Orders[[#This Row],[Quantity]]*Orders[[#This Row],[Selling Price]]</f>
        <v>131314.4</v>
      </c>
      <c r="J932">
        <f>Orders[[#This Row],[Quantity]]*Orders[[#This Row],[Cost Price]]</f>
        <v>111617.23999999999</v>
      </c>
      <c r="K932">
        <f>Orders[[#This Row],[Revenue]]-Orders[[#This Row],[Expenses]]</f>
        <v>19697.160000000003</v>
      </c>
      <c r="L932" t="s">
        <v>2198</v>
      </c>
      <c r="M932" t="str">
        <f>_xlfn.XLOOKUP(Orders[[#This Row],[CustomerID]],Customers[CustomerID],Customers[City])</f>
        <v>Texas</v>
      </c>
      <c r="N932" t="str">
        <f>_xlfn.XLOOKUP(Orders[[#This Row],[CustomerID]],Customers[CustomerID],Customers[CustomerName])</f>
        <v>Tunde Danladi</v>
      </c>
      <c r="O932" t="str">
        <f>_xlfn.XLOOKUP(Orders[[#This Row],[CustomerID]],Customers[CustomerID],Customers[Gender])</f>
        <v>Male</v>
      </c>
      <c r="P932">
        <f>_xlfn.XLOOKUP(Orders[[#This Row],[CustomerID]],Customers[CustomerID],Customers[CustomerAge])</f>
        <v>47</v>
      </c>
      <c r="Q932" t="str">
        <f>IF(Orders[[#This Row],[Age]]&gt;=35,"older","young")</f>
        <v>older</v>
      </c>
      <c r="R932" t="str">
        <f>_xlfn.XLOOKUP(Orders[[#This Row],[ProductID]],Products[ProductID],Products[ProductName])</f>
        <v>GOLD BRACELETS</v>
      </c>
      <c r="S932" t="str">
        <f>_xlfn.XLOOKUP(Orders[[#This Row],[ProductID]],Products!A:A,Products!C:C)</f>
        <v>Accessories</v>
      </c>
    </row>
    <row r="933" spans="1:19" x14ac:dyDescent="0.2">
      <c r="A933" s="4" t="s">
        <v>1122</v>
      </c>
      <c r="B933" s="5">
        <v>45983</v>
      </c>
      <c r="C933" s="15">
        <f>WEEKNUM(Orders[[#This Row],[OrderDate]])</f>
        <v>47</v>
      </c>
      <c r="D933" s="4" t="s">
        <v>227</v>
      </c>
      <c r="E933" s="4" t="s">
        <v>120</v>
      </c>
      <c r="F933" s="4">
        <v>4</v>
      </c>
      <c r="G933" s="4">
        <v>3607.2000000000003</v>
      </c>
      <c r="H933">
        <v>3066.1200000000003</v>
      </c>
      <c r="I933">
        <f>Orders[[#This Row],[Quantity]]*Orders[[#This Row],[Selling Price]]</f>
        <v>14428.800000000001</v>
      </c>
      <c r="J933">
        <f>Orders[[#This Row],[Quantity]]*Orders[[#This Row],[Cost Price]]</f>
        <v>12264.480000000001</v>
      </c>
      <c r="K933">
        <f>Orders[[#This Row],[Revenue]]-Orders[[#This Row],[Expenses]]</f>
        <v>2164.3199999999997</v>
      </c>
      <c r="L933" t="s">
        <v>2208</v>
      </c>
      <c r="M933" t="str">
        <f>_xlfn.XLOOKUP(Orders[[#This Row],[CustomerID]],Customers[CustomerID],Customers[City])</f>
        <v>Washington</v>
      </c>
      <c r="N933" t="str">
        <f>_xlfn.XLOOKUP(Orders[[#This Row],[CustomerID]],Customers[CustomerID],Customers[CustomerName])</f>
        <v>Emmanuel Victor</v>
      </c>
      <c r="O933" t="str">
        <f>_xlfn.XLOOKUP(Orders[[#This Row],[CustomerID]],Customers[CustomerID],Customers[Gender])</f>
        <v>Male</v>
      </c>
      <c r="P933">
        <f>_xlfn.XLOOKUP(Orders[[#This Row],[CustomerID]],Customers[CustomerID],Customers[CustomerAge])</f>
        <v>35</v>
      </c>
      <c r="Q933" t="str">
        <f>IF(Orders[[#This Row],[Age]]&gt;=35,"older","young")</f>
        <v>older</v>
      </c>
      <c r="R933" t="str">
        <f>_xlfn.XLOOKUP(Orders[[#This Row],[ProductID]],Products[ProductID],Products[ProductName])</f>
        <v>CHESS</v>
      </c>
      <c r="S933" t="str">
        <f>_xlfn.XLOOKUP(Orders[[#This Row],[ProductID]],Products!A:A,Products!C:C)</f>
        <v>Games</v>
      </c>
    </row>
    <row r="934" spans="1:19" x14ac:dyDescent="0.2">
      <c r="A934" s="4" t="s">
        <v>1123</v>
      </c>
      <c r="B934" s="5">
        <v>45959</v>
      </c>
      <c r="C934" s="15">
        <f>WEEKNUM(Orders[[#This Row],[OrderDate]])</f>
        <v>44</v>
      </c>
      <c r="D934" s="4" t="s">
        <v>132</v>
      </c>
      <c r="E934" s="4" t="s">
        <v>70</v>
      </c>
      <c r="F934" s="4">
        <v>4</v>
      </c>
      <c r="G934" s="4">
        <v>2124.5</v>
      </c>
      <c r="H934">
        <v>1805.825</v>
      </c>
      <c r="I934">
        <f>Orders[[#This Row],[Quantity]]*Orders[[#This Row],[Selling Price]]</f>
        <v>8498</v>
      </c>
      <c r="J934">
        <f>Orders[[#This Row],[Quantity]]*Orders[[#This Row],[Cost Price]]</f>
        <v>7223.3</v>
      </c>
      <c r="K934">
        <f>Orders[[#This Row],[Revenue]]-Orders[[#This Row],[Expenses]]</f>
        <v>1274.6999999999998</v>
      </c>
      <c r="L934" t="s">
        <v>2201</v>
      </c>
      <c r="M934" t="str">
        <f>_xlfn.XLOOKUP(Orders[[#This Row],[CustomerID]],Customers[CustomerID],Customers[City])</f>
        <v>Illinois</v>
      </c>
      <c r="N934" t="str">
        <f>_xlfn.XLOOKUP(Orders[[#This Row],[CustomerID]],Customers[CustomerID],Customers[CustomerName])</f>
        <v>Emeka Balogun</v>
      </c>
      <c r="O934" t="str">
        <f>_xlfn.XLOOKUP(Orders[[#This Row],[CustomerID]],Customers[CustomerID],Customers[Gender])</f>
        <v>Male</v>
      </c>
      <c r="P934">
        <f>_xlfn.XLOOKUP(Orders[[#This Row],[CustomerID]],Customers[CustomerID],Customers[CustomerAge])</f>
        <v>36</v>
      </c>
      <c r="Q934" t="str">
        <f>IF(Orders[[#This Row],[Age]]&gt;=35,"older","young")</f>
        <v>older</v>
      </c>
      <c r="R934" t="str">
        <f>_xlfn.XLOOKUP(Orders[[#This Row],[ProductID]],Products[ProductID],Products[ProductName])</f>
        <v>YOGA MAT</v>
      </c>
      <c r="S934" t="str">
        <f>_xlfn.XLOOKUP(Orders[[#This Row],[ProductID]],Products!A:A,Products!C:C)</f>
        <v>Gym</v>
      </c>
    </row>
    <row r="935" spans="1:19" x14ac:dyDescent="0.2">
      <c r="A935" s="4" t="s">
        <v>1124</v>
      </c>
      <c r="B935" s="5">
        <v>45943</v>
      </c>
      <c r="C935" s="15">
        <f>WEEKNUM(Orders[[#This Row],[OrderDate]])</f>
        <v>42</v>
      </c>
      <c r="D935" s="4" t="s">
        <v>198</v>
      </c>
      <c r="E935" s="4" t="s">
        <v>25</v>
      </c>
      <c r="F935" s="4">
        <v>7</v>
      </c>
      <c r="G935" s="4">
        <v>10191.200000000001</v>
      </c>
      <c r="H935">
        <v>8662.52</v>
      </c>
      <c r="I935">
        <f>Orders[[#This Row],[Quantity]]*Orders[[#This Row],[Selling Price]]</f>
        <v>71338.400000000009</v>
      </c>
      <c r="J935">
        <f>Orders[[#This Row],[Quantity]]*Orders[[#This Row],[Cost Price]]</f>
        <v>60637.64</v>
      </c>
      <c r="K935">
        <f>Orders[[#This Row],[Revenue]]-Orders[[#This Row],[Expenses]]</f>
        <v>10700.760000000009</v>
      </c>
      <c r="L935" t="s">
        <v>2213</v>
      </c>
      <c r="M935" t="str">
        <f>_xlfn.XLOOKUP(Orders[[#This Row],[CustomerID]],Customers[CustomerID],Customers[City])</f>
        <v>Texas</v>
      </c>
      <c r="N935" t="str">
        <f>_xlfn.XLOOKUP(Orders[[#This Row],[CustomerID]],Customers[CustomerID],Customers[CustomerName])</f>
        <v>Blessing Danladi</v>
      </c>
      <c r="O935" t="str">
        <f>_xlfn.XLOOKUP(Orders[[#This Row],[CustomerID]],Customers[CustomerID],Customers[Gender])</f>
        <v>Female</v>
      </c>
      <c r="P935">
        <f>_xlfn.XLOOKUP(Orders[[#This Row],[CustomerID]],Customers[CustomerID],Customers[CustomerAge])</f>
        <v>19</v>
      </c>
      <c r="Q935" t="str">
        <f>IF(Orders[[#This Row],[Age]]&gt;=35,"older","young")</f>
        <v>young</v>
      </c>
      <c r="R935" t="str">
        <f>_xlfn.XLOOKUP(Orders[[#This Row],[ProductID]],Products[ProductID],Products[ProductName])</f>
        <v>GOLD RINGS</v>
      </c>
      <c r="S935" t="str">
        <f>_xlfn.XLOOKUP(Orders[[#This Row],[ProductID]],Products!A:A,Products!C:C)</f>
        <v>Accessories</v>
      </c>
    </row>
    <row r="936" spans="1:19" x14ac:dyDescent="0.2">
      <c r="A936" s="4" t="s">
        <v>1125</v>
      </c>
      <c r="B936" s="5">
        <v>45963</v>
      </c>
      <c r="C936" s="15">
        <f>WEEKNUM(Orders[[#This Row],[OrderDate]])</f>
        <v>45</v>
      </c>
      <c r="D936" s="4" t="s">
        <v>340</v>
      </c>
      <c r="E936" s="4" t="s">
        <v>84</v>
      </c>
      <c r="F936" s="4">
        <v>8</v>
      </c>
      <c r="G936" s="4">
        <v>14698.5</v>
      </c>
      <c r="H936">
        <v>12493.725</v>
      </c>
      <c r="I936">
        <f>Orders[[#This Row],[Quantity]]*Orders[[#This Row],[Selling Price]]</f>
        <v>117588</v>
      </c>
      <c r="J936">
        <f>Orders[[#This Row],[Quantity]]*Orders[[#This Row],[Cost Price]]</f>
        <v>99949.8</v>
      </c>
      <c r="K936">
        <f>Orders[[#This Row],[Revenue]]-Orders[[#This Row],[Expenses]]</f>
        <v>17638.199999999997</v>
      </c>
      <c r="L936" t="s">
        <v>2199</v>
      </c>
      <c r="M936" t="str">
        <f>_xlfn.XLOOKUP(Orders[[#This Row],[CustomerID]],Customers[CustomerID],Customers[City])</f>
        <v>Illinois</v>
      </c>
      <c r="N936" t="str">
        <f>_xlfn.XLOOKUP(Orders[[#This Row],[CustomerID]],Customers[CustomerID],Customers[CustomerName])</f>
        <v>Uche Abubakar</v>
      </c>
      <c r="O936" t="str">
        <f>_xlfn.XLOOKUP(Orders[[#This Row],[CustomerID]],Customers[CustomerID],Customers[Gender])</f>
        <v>Male</v>
      </c>
      <c r="P936">
        <f>_xlfn.XLOOKUP(Orders[[#This Row],[CustomerID]],Customers[CustomerID],Customers[CustomerAge])</f>
        <v>18</v>
      </c>
      <c r="Q936" t="str">
        <f>IF(Orders[[#This Row],[Age]]&gt;=35,"older","young")</f>
        <v>young</v>
      </c>
      <c r="R936" t="str">
        <f>_xlfn.XLOOKUP(Orders[[#This Row],[ProductID]],Products[ProductID],Products[ProductName])</f>
        <v>GYM WEARS</v>
      </c>
      <c r="S936" t="str">
        <f>_xlfn.XLOOKUP(Orders[[#This Row],[ProductID]],Products!A:A,Products!C:C)</f>
        <v>Clothing</v>
      </c>
    </row>
    <row r="937" spans="1:19" x14ac:dyDescent="0.2">
      <c r="A937" s="4" t="s">
        <v>1126</v>
      </c>
      <c r="B937" s="5">
        <v>45966</v>
      </c>
      <c r="C937" s="15">
        <f>WEEKNUM(Orders[[#This Row],[OrderDate]])</f>
        <v>45</v>
      </c>
      <c r="D937" s="4" t="s">
        <v>346</v>
      </c>
      <c r="E937" s="4" t="s">
        <v>353</v>
      </c>
      <c r="F937" s="4">
        <v>1</v>
      </c>
      <c r="G937" s="4">
        <v>866.1</v>
      </c>
      <c r="H937">
        <v>736.18500000000006</v>
      </c>
      <c r="I937">
        <f>Orders[[#This Row],[Quantity]]*Orders[[#This Row],[Selling Price]]</f>
        <v>866.1</v>
      </c>
      <c r="J937">
        <f>Orders[[#This Row],[Quantity]]*Orders[[#This Row],[Cost Price]]</f>
        <v>736.18500000000006</v>
      </c>
      <c r="K937">
        <f>Orders[[#This Row],[Revenue]]-Orders[[#This Row],[Expenses]]</f>
        <v>129.91499999999996</v>
      </c>
      <c r="L937" t="s">
        <v>2213</v>
      </c>
      <c r="M937" t="str">
        <f>_xlfn.XLOOKUP(Orders[[#This Row],[CustomerID]],Customers[CustomerID],Customers[City])</f>
        <v>California</v>
      </c>
      <c r="N937" t="str">
        <f>_xlfn.XLOOKUP(Orders[[#This Row],[CustomerID]],Customers[CustomerID],Customers[CustomerName])</f>
        <v>Ngozi Danladi</v>
      </c>
      <c r="O937" t="str">
        <f>_xlfn.XLOOKUP(Orders[[#This Row],[CustomerID]],Customers[CustomerID],Customers[Gender])</f>
        <v>Female</v>
      </c>
      <c r="P937">
        <f>_xlfn.XLOOKUP(Orders[[#This Row],[CustomerID]],Customers[CustomerID],Customers[CustomerAge])</f>
        <v>30</v>
      </c>
      <c r="Q937" t="str">
        <f>IF(Orders[[#This Row],[Age]]&gt;=35,"older","young")</f>
        <v>young</v>
      </c>
      <c r="R937" t="str">
        <f>_xlfn.XLOOKUP(Orders[[#This Row],[ProductID]],Products[ProductID],Products[ProductName])</f>
        <v>SILVER EARRINGS AND NECKLACES</v>
      </c>
      <c r="S937" t="str">
        <f>_xlfn.XLOOKUP(Orders[[#This Row],[ProductID]],Products!A:A,Products!C:C)</f>
        <v>Accessories</v>
      </c>
    </row>
    <row r="938" spans="1:19" x14ac:dyDescent="0.2">
      <c r="A938" s="4" t="s">
        <v>1127</v>
      </c>
      <c r="B938" s="5">
        <v>45981</v>
      </c>
      <c r="C938" s="15">
        <f>WEEKNUM(Orders[[#This Row],[OrderDate]])</f>
        <v>47</v>
      </c>
      <c r="D938" s="4" t="s">
        <v>14</v>
      </c>
      <c r="E938" s="4" t="s">
        <v>23</v>
      </c>
      <c r="F938" s="4">
        <v>7</v>
      </c>
      <c r="G938" s="4">
        <v>14248.800000000001</v>
      </c>
      <c r="H938">
        <v>12111.480000000001</v>
      </c>
      <c r="I938">
        <f>Orders[[#This Row],[Quantity]]*Orders[[#This Row],[Selling Price]]</f>
        <v>99741.6</v>
      </c>
      <c r="J938">
        <f>Orders[[#This Row],[Quantity]]*Orders[[#This Row],[Cost Price]]</f>
        <v>84780.360000000015</v>
      </c>
      <c r="K938">
        <f>Orders[[#This Row],[Revenue]]-Orders[[#This Row],[Expenses]]</f>
        <v>14961.239999999991</v>
      </c>
      <c r="L938" t="s">
        <v>2213</v>
      </c>
      <c r="M938" t="str">
        <f>_xlfn.XLOOKUP(Orders[[#This Row],[CustomerID]],Customers[CustomerID],Customers[City])</f>
        <v>Texas</v>
      </c>
      <c r="N938" t="str">
        <f>_xlfn.XLOOKUP(Orders[[#This Row],[CustomerID]],Customers[CustomerID],Customers[CustomerName])</f>
        <v>Abiola Igwe</v>
      </c>
      <c r="O938" t="str">
        <f>_xlfn.XLOOKUP(Orders[[#This Row],[CustomerID]],Customers[CustomerID],Customers[Gender])</f>
        <v>Male</v>
      </c>
      <c r="P938">
        <f>_xlfn.XLOOKUP(Orders[[#This Row],[CustomerID]],Customers[CustomerID],Customers[CustomerAge])</f>
        <v>39</v>
      </c>
      <c r="Q938" t="str">
        <f>IF(Orders[[#This Row],[Age]]&gt;=35,"older","young")</f>
        <v>older</v>
      </c>
      <c r="R938" t="str">
        <f>_xlfn.XLOOKUP(Orders[[#This Row],[ProductID]],Products[ProductID],Products[ProductName])</f>
        <v>GYM GLOVES</v>
      </c>
      <c r="S938" t="str">
        <f>_xlfn.XLOOKUP(Orders[[#This Row],[ProductID]],Products!A:A,Products!C:C)</f>
        <v>Gym</v>
      </c>
    </row>
    <row r="939" spans="1:19" x14ac:dyDescent="0.2">
      <c r="A939" s="4" t="s">
        <v>1128</v>
      </c>
      <c r="B939" s="5">
        <v>45967</v>
      </c>
      <c r="C939" s="15">
        <f>WEEKNUM(Orders[[#This Row],[OrderDate]])</f>
        <v>45</v>
      </c>
      <c r="D939" s="4" t="s">
        <v>564</v>
      </c>
      <c r="E939" s="4" t="s">
        <v>53</v>
      </c>
      <c r="F939" s="4">
        <v>6</v>
      </c>
      <c r="G939" s="4">
        <v>19817.7</v>
      </c>
      <c r="H939">
        <v>16845.045000000002</v>
      </c>
      <c r="I939">
        <f>Orders[[#This Row],[Quantity]]*Orders[[#This Row],[Selling Price]]</f>
        <v>118906.20000000001</v>
      </c>
      <c r="J939">
        <f>Orders[[#This Row],[Quantity]]*Orders[[#This Row],[Cost Price]]</f>
        <v>101070.27000000002</v>
      </c>
      <c r="K939">
        <f>Orders[[#This Row],[Revenue]]-Orders[[#This Row],[Expenses]]</f>
        <v>17835.929999999993</v>
      </c>
      <c r="L939" t="s">
        <v>2199</v>
      </c>
      <c r="M939" t="str">
        <f>_xlfn.XLOOKUP(Orders[[#This Row],[CustomerID]],Customers[CustomerID],Customers[City])</f>
        <v>Georgia</v>
      </c>
      <c r="N939" t="str">
        <f>_xlfn.XLOOKUP(Orders[[#This Row],[CustomerID]],Customers[CustomerID],Customers[CustomerName])</f>
        <v>Blessing Eze</v>
      </c>
      <c r="O939" t="str">
        <f>_xlfn.XLOOKUP(Orders[[#This Row],[CustomerID]],Customers[CustomerID],Customers[Gender])</f>
        <v>Female</v>
      </c>
      <c r="P939">
        <f>_xlfn.XLOOKUP(Orders[[#This Row],[CustomerID]],Customers[CustomerID],Customers[CustomerAge])</f>
        <v>19</v>
      </c>
      <c r="Q939" t="str">
        <f>IF(Orders[[#This Row],[Age]]&gt;=35,"older","young")</f>
        <v>young</v>
      </c>
      <c r="R939" t="str">
        <f>_xlfn.XLOOKUP(Orders[[#This Row],[ProductID]],Products[ProductID],Products[ProductName])</f>
        <v>SILVER BANGLES</v>
      </c>
      <c r="S939" t="str">
        <f>_xlfn.XLOOKUP(Orders[[#This Row],[ProductID]],Products!A:A,Products!C:C)</f>
        <v>Accessories</v>
      </c>
    </row>
    <row r="940" spans="1:19" x14ac:dyDescent="0.2">
      <c r="A940" s="4" t="s">
        <v>1129</v>
      </c>
      <c r="B940" s="5">
        <v>45938</v>
      </c>
      <c r="C940" s="15">
        <f>WEEKNUM(Orders[[#This Row],[OrderDate]])</f>
        <v>41</v>
      </c>
      <c r="D940" s="4" t="s">
        <v>346</v>
      </c>
      <c r="E940" s="4" t="s">
        <v>28</v>
      </c>
      <c r="F940" s="4">
        <v>1</v>
      </c>
      <c r="G940" s="4">
        <v>9947.1</v>
      </c>
      <c r="H940">
        <v>8455.0349999999999</v>
      </c>
      <c r="I940">
        <f>Orders[[#This Row],[Quantity]]*Orders[[#This Row],[Selling Price]]</f>
        <v>9947.1</v>
      </c>
      <c r="J940">
        <f>Orders[[#This Row],[Quantity]]*Orders[[#This Row],[Cost Price]]</f>
        <v>8455.0349999999999</v>
      </c>
      <c r="K940">
        <f>Orders[[#This Row],[Revenue]]-Orders[[#This Row],[Expenses]]</f>
        <v>1492.0650000000005</v>
      </c>
      <c r="L940" t="s">
        <v>2205</v>
      </c>
      <c r="M940" t="str">
        <f>_xlfn.XLOOKUP(Orders[[#This Row],[CustomerID]],Customers[CustomerID],Customers[City])</f>
        <v>California</v>
      </c>
      <c r="N940" t="str">
        <f>_xlfn.XLOOKUP(Orders[[#This Row],[CustomerID]],Customers[CustomerID],Customers[CustomerName])</f>
        <v>Ngozi Danladi</v>
      </c>
      <c r="O940" t="str">
        <f>_xlfn.XLOOKUP(Orders[[#This Row],[CustomerID]],Customers[CustomerID],Customers[Gender])</f>
        <v>Female</v>
      </c>
      <c r="P940">
        <f>_xlfn.XLOOKUP(Orders[[#This Row],[CustomerID]],Customers[CustomerID],Customers[CustomerAge])</f>
        <v>30</v>
      </c>
      <c r="Q940" t="str">
        <f>IF(Orders[[#This Row],[Age]]&gt;=35,"older","young")</f>
        <v>young</v>
      </c>
      <c r="R940" t="str">
        <f>_xlfn.XLOOKUP(Orders[[#This Row],[ProductID]],Products[ProductID],Products[ProductName])</f>
        <v>SNEAKERS</v>
      </c>
      <c r="S940" t="str">
        <f>_xlfn.XLOOKUP(Orders[[#This Row],[ProductID]],Products!A:A,Products!C:C)</f>
        <v>Sports</v>
      </c>
    </row>
    <row r="941" spans="1:19" x14ac:dyDescent="0.2">
      <c r="A941" s="4" t="s">
        <v>1130</v>
      </c>
      <c r="B941" s="5">
        <v>45977</v>
      </c>
      <c r="C941" s="15">
        <f>WEEKNUM(Orders[[#This Row],[OrderDate]])</f>
        <v>47</v>
      </c>
      <c r="D941" s="4" t="s">
        <v>244</v>
      </c>
      <c r="E941" s="4" t="s">
        <v>76</v>
      </c>
      <c r="F941" s="4">
        <v>8</v>
      </c>
      <c r="G941" s="4">
        <v>1858.6000000000001</v>
      </c>
      <c r="H941">
        <v>1579.8100000000002</v>
      </c>
      <c r="I941">
        <f>Orders[[#This Row],[Quantity]]*Orders[[#This Row],[Selling Price]]</f>
        <v>14868.800000000001</v>
      </c>
      <c r="J941">
        <f>Orders[[#This Row],[Quantity]]*Orders[[#This Row],[Cost Price]]</f>
        <v>12638.480000000001</v>
      </c>
      <c r="K941">
        <f>Orders[[#This Row],[Revenue]]-Orders[[#This Row],[Expenses]]</f>
        <v>2230.3199999999997</v>
      </c>
      <c r="L941" t="s">
        <v>2203</v>
      </c>
      <c r="M941" t="str">
        <f>_xlfn.XLOOKUP(Orders[[#This Row],[CustomerID]],Customers[CustomerID],Customers[City])</f>
        <v>Texas</v>
      </c>
      <c r="N941" t="str">
        <f>_xlfn.XLOOKUP(Orders[[#This Row],[CustomerID]],Customers[CustomerID],Customers[CustomerName])</f>
        <v>Zainab Abubakar</v>
      </c>
      <c r="O941" t="str">
        <f>_xlfn.XLOOKUP(Orders[[#This Row],[CustomerID]],Customers[CustomerID],Customers[Gender])</f>
        <v>Female</v>
      </c>
      <c r="P941">
        <f>_xlfn.XLOOKUP(Orders[[#This Row],[CustomerID]],Customers[CustomerID],Customers[CustomerAge])</f>
        <v>33</v>
      </c>
      <c r="Q941" t="str">
        <f>IF(Orders[[#This Row],[Age]]&gt;=35,"older","young")</f>
        <v>young</v>
      </c>
      <c r="R941" t="str">
        <f>_xlfn.XLOOKUP(Orders[[#This Row],[ProductID]],Products[ProductID],Products[ProductName])</f>
        <v>BLENDER</v>
      </c>
      <c r="S941" t="str">
        <f>_xlfn.XLOOKUP(Orders[[#This Row],[ProductID]],Products!A:A,Products!C:C)</f>
        <v>Electronics</v>
      </c>
    </row>
    <row r="942" spans="1:19" x14ac:dyDescent="0.2">
      <c r="A942" s="4" t="s">
        <v>1131</v>
      </c>
      <c r="B942" s="5">
        <v>46006</v>
      </c>
      <c r="C942" s="15">
        <f>WEEKNUM(Orders[[#This Row],[OrderDate]])</f>
        <v>51</v>
      </c>
      <c r="D942" s="4" t="s">
        <v>246</v>
      </c>
      <c r="E942" s="4" t="s">
        <v>76</v>
      </c>
      <c r="F942" s="4">
        <v>9</v>
      </c>
      <c r="G942" s="4">
        <v>11584.2</v>
      </c>
      <c r="H942">
        <v>9846.57</v>
      </c>
      <c r="I942">
        <f>Orders[[#This Row],[Quantity]]*Orders[[#This Row],[Selling Price]]</f>
        <v>104257.8</v>
      </c>
      <c r="J942">
        <f>Orders[[#This Row],[Quantity]]*Orders[[#This Row],[Cost Price]]</f>
        <v>88619.13</v>
      </c>
      <c r="K942">
        <f>Orders[[#This Row],[Revenue]]-Orders[[#This Row],[Expenses]]</f>
        <v>15638.669999999998</v>
      </c>
      <c r="L942" t="s">
        <v>2207</v>
      </c>
      <c r="M942" t="str">
        <f>_xlfn.XLOOKUP(Orders[[#This Row],[CustomerID]],Customers[CustomerID],Customers[City])</f>
        <v>Florida</v>
      </c>
      <c r="N942" t="str">
        <f>_xlfn.XLOOKUP(Orders[[#This Row],[CustomerID]],Customers[CustomerID],Customers[CustomerName])</f>
        <v>Emeka Abubakar</v>
      </c>
      <c r="O942" t="str">
        <f>_xlfn.XLOOKUP(Orders[[#This Row],[CustomerID]],Customers[CustomerID],Customers[Gender])</f>
        <v>Male</v>
      </c>
      <c r="P942">
        <f>_xlfn.XLOOKUP(Orders[[#This Row],[CustomerID]],Customers[CustomerID],Customers[CustomerAge])</f>
        <v>28</v>
      </c>
      <c r="Q942" t="str">
        <f>IF(Orders[[#This Row],[Age]]&gt;=35,"older","young")</f>
        <v>young</v>
      </c>
      <c r="R942" t="str">
        <f>_xlfn.XLOOKUP(Orders[[#This Row],[ProductID]],Products[ProductID],Products[ProductName])</f>
        <v>BLENDER</v>
      </c>
      <c r="S942" t="str">
        <f>_xlfn.XLOOKUP(Orders[[#This Row],[ProductID]],Products!A:A,Products!C:C)</f>
        <v>Electronics</v>
      </c>
    </row>
    <row r="943" spans="1:19" x14ac:dyDescent="0.2">
      <c r="A943" s="4" t="s">
        <v>1132</v>
      </c>
      <c r="B943" s="5">
        <v>45961</v>
      </c>
      <c r="C943" s="15">
        <f>WEEKNUM(Orders[[#This Row],[OrderDate]])</f>
        <v>44</v>
      </c>
      <c r="D943" s="4" t="s">
        <v>45</v>
      </c>
      <c r="E943" s="4" t="s">
        <v>57</v>
      </c>
      <c r="F943" s="4">
        <v>1</v>
      </c>
      <c r="G943" s="4">
        <v>19570.2</v>
      </c>
      <c r="H943">
        <v>16634.670000000002</v>
      </c>
      <c r="I943">
        <f>Orders[[#This Row],[Quantity]]*Orders[[#This Row],[Selling Price]]</f>
        <v>19570.2</v>
      </c>
      <c r="J943">
        <f>Orders[[#This Row],[Quantity]]*Orders[[#This Row],[Cost Price]]</f>
        <v>16634.670000000002</v>
      </c>
      <c r="K943">
        <f>Orders[[#This Row],[Revenue]]-Orders[[#This Row],[Expenses]]</f>
        <v>2935.5299999999988</v>
      </c>
      <c r="L943" t="s">
        <v>2204</v>
      </c>
      <c r="M943" t="str">
        <f>_xlfn.XLOOKUP(Orders[[#This Row],[CustomerID]],Customers[CustomerID],Customers[City])</f>
        <v>Florida</v>
      </c>
      <c r="N943" t="str">
        <f>_xlfn.XLOOKUP(Orders[[#This Row],[CustomerID]],Customers[CustomerID],Customers[CustomerName])</f>
        <v>Abiola Abubakar</v>
      </c>
      <c r="O943" t="str">
        <f>_xlfn.XLOOKUP(Orders[[#This Row],[CustomerID]],Customers[CustomerID],Customers[Gender])</f>
        <v>Male</v>
      </c>
      <c r="P943">
        <f>_xlfn.XLOOKUP(Orders[[#This Row],[CustomerID]],Customers[CustomerID],Customers[CustomerAge])</f>
        <v>26</v>
      </c>
      <c r="Q943" t="str">
        <f>IF(Orders[[#This Row],[Age]]&gt;=35,"older","young")</f>
        <v>young</v>
      </c>
      <c r="R943" t="str">
        <f>_xlfn.XLOOKUP(Orders[[#This Row],[ProductID]],Products[ProductID],Products[ProductName])</f>
        <v>BADMINTON RACKET</v>
      </c>
      <c r="S943" t="str">
        <f>_xlfn.XLOOKUP(Orders[[#This Row],[ProductID]],Products!A:A,Products!C:C)</f>
        <v>Sports</v>
      </c>
    </row>
    <row r="944" spans="1:19" x14ac:dyDescent="0.2">
      <c r="A944" s="4" t="s">
        <v>1133</v>
      </c>
      <c r="B944" s="5">
        <v>46009</v>
      </c>
      <c r="C944" s="15">
        <f>WEEKNUM(Orders[[#This Row],[OrderDate]])</f>
        <v>51</v>
      </c>
      <c r="D944" s="4" t="s">
        <v>260</v>
      </c>
      <c r="E944" s="4" t="s">
        <v>232</v>
      </c>
      <c r="F944" s="4">
        <v>4</v>
      </c>
      <c r="G944" s="4">
        <v>15035.599999999999</v>
      </c>
      <c r="H944">
        <v>12780.259999999998</v>
      </c>
      <c r="I944">
        <f>Orders[[#This Row],[Quantity]]*Orders[[#This Row],[Selling Price]]</f>
        <v>60142.399999999994</v>
      </c>
      <c r="J944">
        <f>Orders[[#This Row],[Quantity]]*Orders[[#This Row],[Cost Price]]</f>
        <v>51121.039999999994</v>
      </c>
      <c r="K944">
        <f>Orders[[#This Row],[Revenue]]-Orders[[#This Row],[Expenses]]</f>
        <v>9021.36</v>
      </c>
      <c r="L944" t="s">
        <v>2203</v>
      </c>
      <c r="M944" t="str">
        <f>_xlfn.XLOOKUP(Orders[[#This Row],[CustomerID]],Customers[CustomerID],Customers[City])</f>
        <v>Florida</v>
      </c>
      <c r="N944" t="str">
        <f>_xlfn.XLOOKUP(Orders[[#This Row],[CustomerID]],Customers[CustomerID],Customers[CustomerName])</f>
        <v>Amina Obi</v>
      </c>
      <c r="O944" t="str">
        <f>_xlfn.XLOOKUP(Orders[[#This Row],[CustomerID]],Customers[CustomerID],Customers[Gender])</f>
        <v>Female</v>
      </c>
      <c r="P944">
        <f>_xlfn.XLOOKUP(Orders[[#This Row],[CustomerID]],Customers[CustomerID],Customers[CustomerAge])</f>
        <v>29</v>
      </c>
      <c r="Q944" t="str">
        <f>IF(Orders[[#This Row],[Age]]&gt;=35,"older","young")</f>
        <v>young</v>
      </c>
      <c r="R944" t="str">
        <f>_xlfn.XLOOKUP(Orders[[#This Row],[ProductID]],Products[ProductID],Products[ProductName])</f>
        <v>ANKARA</v>
      </c>
      <c r="S944" t="str">
        <f>_xlfn.XLOOKUP(Orders[[#This Row],[ProductID]],Products!A:A,Products!C:C)</f>
        <v>Clothing</v>
      </c>
    </row>
    <row r="945" spans="1:19" x14ac:dyDescent="0.2">
      <c r="A945" s="4" t="s">
        <v>1134</v>
      </c>
      <c r="B945" s="5">
        <v>45959</v>
      </c>
      <c r="C945" s="15">
        <f>WEEKNUM(Orders[[#This Row],[OrderDate]])</f>
        <v>44</v>
      </c>
      <c r="D945" s="4" t="s">
        <v>116</v>
      </c>
      <c r="E945" s="4" t="s">
        <v>57</v>
      </c>
      <c r="F945" s="4">
        <v>9</v>
      </c>
      <c r="G945" s="4">
        <v>8707.7999999999993</v>
      </c>
      <c r="H945">
        <v>7401.6299999999992</v>
      </c>
      <c r="I945">
        <f>Orders[[#This Row],[Quantity]]*Orders[[#This Row],[Selling Price]]</f>
        <v>78370.2</v>
      </c>
      <c r="J945">
        <f>Orders[[#This Row],[Quantity]]*Orders[[#This Row],[Cost Price]]</f>
        <v>66614.67</v>
      </c>
      <c r="K945">
        <f>Orders[[#This Row],[Revenue]]-Orders[[#This Row],[Expenses]]</f>
        <v>11755.529999999999</v>
      </c>
      <c r="L945" t="s">
        <v>2214</v>
      </c>
      <c r="M945" t="str">
        <f>_xlfn.XLOOKUP(Orders[[#This Row],[CustomerID]],Customers[CustomerID],Customers[City])</f>
        <v>Texas</v>
      </c>
      <c r="N945" t="str">
        <f>_xlfn.XLOOKUP(Orders[[#This Row],[CustomerID]],Customers[CustomerID],Customers[CustomerName])</f>
        <v>Uche Bello</v>
      </c>
      <c r="O945" t="str">
        <f>_xlfn.XLOOKUP(Orders[[#This Row],[CustomerID]],Customers[CustomerID],Customers[Gender])</f>
        <v>Male</v>
      </c>
      <c r="P945">
        <f>_xlfn.XLOOKUP(Orders[[#This Row],[CustomerID]],Customers[CustomerID],Customers[CustomerAge])</f>
        <v>21</v>
      </c>
      <c r="Q945" t="str">
        <f>IF(Orders[[#This Row],[Age]]&gt;=35,"older","young")</f>
        <v>young</v>
      </c>
      <c r="R945" t="str">
        <f>_xlfn.XLOOKUP(Orders[[#This Row],[ProductID]],Products[ProductID],Products[ProductName])</f>
        <v>BADMINTON RACKET</v>
      </c>
      <c r="S945" t="str">
        <f>_xlfn.XLOOKUP(Orders[[#This Row],[ProductID]],Products!A:A,Products!C:C)</f>
        <v>Sports</v>
      </c>
    </row>
    <row r="946" spans="1:19" x14ac:dyDescent="0.2">
      <c r="A946" s="4" t="s">
        <v>1135</v>
      </c>
      <c r="B946" s="5">
        <v>45997</v>
      </c>
      <c r="C946" s="15">
        <f>WEEKNUM(Orders[[#This Row],[OrderDate]])</f>
        <v>49</v>
      </c>
      <c r="D946" s="4" t="s">
        <v>207</v>
      </c>
      <c r="E946" s="4" t="s">
        <v>46</v>
      </c>
      <c r="F946" s="4">
        <v>9</v>
      </c>
      <c r="G946" s="4">
        <v>11151.5</v>
      </c>
      <c r="H946">
        <v>9478.7749999999996</v>
      </c>
      <c r="I946">
        <f>Orders[[#This Row],[Quantity]]*Orders[[#This Row],[Selling Price]]</f>
        <v>100363.5</v>
      </c>
      <c r="J946">
        <f>Orders[[#This Row],[Quantity]]*Orders[[#This Row],[Cost Price]]</f>
        <v>85308.974999999991</v>
      </c>
      <c r="K946">
        <f>Orders[[#This Row],[Revenue]]-Orders[[#This Row],[Expenses]]</f>
        <v>15054.525000000009</v>
      </c>
      <c r="L946" t="s">
        <v>2201</v>
      </c>
      <c r="M946" t="str">
        <f>_xlfn.XLOOKUP(Orders[[#This Row],[CustomerID]],Customers[CustomerID],Customers[City])</f>
        <v>Florida</v>
      </c>
      <c r="N946" t="str">
        <f>_xlfn.XLOOKUP(Orders[[#This Row],[CustomerID]],Customers[CustomerID],Customers[CustomerName])</f>
        <v>Bisi Eze</v>
      </c>
      <c r="O946" t="str">
        <f>_xlfn.XLOOKUP(Orders[[#This Row],[CustomerID]],Customers[CustomerID],Customers[Gender])</f>
        <v>Female</v>
      </c>
      <c r="P946">
        <f>_xlfn.XLOOKUP(Orders[[#This Row],[CustomerID]],Customers[CustomerID],Customers[CustomerAge])</f>
        <v>37</v>
      </c>
      <c r="Q946" t="str">
        <f>IF(Orders[[#This Row],[Age]]&gt;=35,"older","young")</f>
        <v>older</v>
      </c>
      <c r="R946" t="str">
        <f>_xlfn.XLOOKUP(Orders[[#This Row],[ProductID]],Products[ProductID],Products[ProductName])</f>
        <v>TURTLE NECK</v>
      </c>
      <c r="S946" t="str">
        <f>_xlfn.XLOOKUP(Orders[[#This Row],[ProductID]],Products!A:A,Products!C:C)</f>
        <v>Clothing</v>
      </c>
    </row>
    <row r="947" spans="1:19" x14ac:dyDescent="0.2">
      <c r="A947" s="4" t="s">
        <v>1136</v>
      </c>
      <c r="B947" s="5">
        <v>45991</v>
      </c>
      <c r="C947" s="15">
        <f>WEEKNUM(Orders[[#This Row],[OrderDate]])</f>
        <v>49</v>
      </c>
      <c r="D947" s="4" t="s">
        <v>311</v>
      </c>
      <c r="E947" s="4" t="s">
        <v>28</v>
      </c>
      <c r="F947" s="4">
        <v>8</v>
      </c>
      <c r="G947" s="4">
        <v>6002.7999999999993</v>
      </c>
      <c r="H947">
        <v>5102.3799999999992</v>
      </c>
      <c r="I947">
        <f>Orders[[#This Row],[Quantity]]*Orders[[#This Row],[Selling Price]]</f>
        <v>48022.399999999994</v>
      </c>
      <c r="J947">
        <f>Orders[[#This Row],[Quantity]]*Orders[[#This Row],[Cost Price]]</f>
        <v>40819.039999999994</v>
      </c>
      <c r="K947">
        <f>Orders[[#This Row],[Revenue]]-Orders[[#This Row],[Expenses]]</f>
        <v>7203.3600000000006</v>
      </c>
      <c r="L947" t="s">
        <v>2201</v>
      </c>
      <c r="M947" t="str">
        <f>_xlfn.XLOOKUP(Orders[[#This Row],[CustomerID]],Customers[CustomerID],Customers[City])</f>
        <v>Georgia</v>
      </c>
      <c r="N947" t="str">
        <f>_xlfn.XLOOKUP(Orders[[#This Row],[CustomerID]],Customers[CustomerID],Customers[CustomerName])</f>
        <v>Bisi Bello</v>
      </c>
      <c r="O947" t="str">
        <f>_xlfn.XLOOKUP(Orders[[#This Row],[CustomerID]],Customers[CustomerID],Customers[Gender])</f>
        <v>Female</v>
      </c>
      <c r="P947">
        <f>_xlfn.XLOOKUP(Orders[[#This Row],[CustomerID]],Customers[CustomerID],Customers[CustomerAge])</f>
        <v>31</v>
      </c>
      <c r="Q947" t="str">
        <f>IF(Orders[[#This Row],[Age]]&gt;=35,"older","young")</f>
        <v>young</v>
      </c>
      <c r="R947" t="str">
        <f>_xlfn.XLOOKUP(Orders[[#This Row],[ProductID]],Products[ProductID],Products[ProductName])</f>
        <v>SNEAKERS</v>
      </c>
      <c r="S947" t="str">
        <f>_xlfn.XLOOKUP(Orders[[#This Row],[ProductID]],Products!A:A,Products!C:C)</f>
        <v>Sports</v>
      </c>
    </row>
    <row r="948" spans="1:19" x14ac:dyDescent="0.2">
      <c r="A948" s="4" t="s">
        <v>1137</v>
      </c>
      <c r="B948" s="5">
        <v>45932</v>
      </c>
      <c r="C948" s="15">
        <f>WEEKNUM(Orders[[#This Row],[OrderDate]])</f>
        <v>40</v>
      </c>
      <c r="D948" s="4" t="s">
        <v>68</v>
      </c>
      <c r="E948" s="4" t="s">
        <v>84</v>
      </c>
      <c r="F948" s="4">
        <v>9</v>
      </c>
      <c r="G948" s="4">
        <v>14793.099999999999</v>
      </c>
      <c r="H948">
        <v>12574.134999999998</v>
      </c>
      <c r="I948">
        <f>Orders[[#This Row],[Quantity]]*Orders[[#This Row],[Selling Price]]</f>
        <v>133137.9</v>
      </c>
      <c r="J948">
        <f>Orders[[#This Row],[Quantity]]*Orders[[#This Row],[Cost Price]]</f>
        <v>113167.21499999998</v>
      </c>
      <c r="K948">
        <f>Orders[[#This Row],[Revenue]]-Orders[[#This Row],[Expenses]]</f>
        <v>19970.685000000012</v>
      </c>
      <c r="L948" t="s">
        <v>2195</v>
      </c>
      <c r="M948" t="str">
        <f>_xlfn.XLOOKUP(Orders[[#This Row],[CustomerID]],Customers[CustomerID],Customers[City])</f>
        <v>Texas</v>
      </c>
      <c r="N948" t="str">
        <f>_xlfn.XLOOKUP(Orders[[#This Row],[CustomerID]],Customers[CustomerID],Customers[CustomerName])</f>
        <v>Abiola Balogun</v>
      </c>
      <c r="O948" t="str">
        <f>_xlfn.XLOOKUP(Orders[[#This Row],[CustomerID]],Customers[CustomerID],Customers[Gender])</f>
        <v>Male</v>
      </c>
      <c r="P948">
        <f>_xlfn.XLOOKUP(Orders[[#This Row],[CustomerID]],Customers[CustomerID],Customers[CustomerAge])</f>
        <v>29</v>
      </c>
      <c r="Q948" t="str">
        <f>IF(Orders[[#This Row],[Age]]&gt;=35,"older","young")</f>
        <v>young</v>
      </c>
      <c r="R948" t="str">
        <f>_xlfn.XLOOKUP(Orders[[#This Row],[ProductID]],Products[ProductID],Products[ProductName])</f>
        <v>GYM WEARS</v>
      </c>
      <c r="S948" t="str">
        <f>_xlfn.XLOOKUP(Orders[[#This Row],[ProductID]],Products!A:A,Products!C:C)</f>
        <v>Clothing</v>
      </c>
    </row>
    <row r="949" spans="1:19" x14ac:dyDescent="0.2">
      <c r="A949" s="4" t="s">
        <v>1138</v>
      </c>
      <c r="B949" s="5">
        <v>45949</v>
      </c>
      <c r="C949" s="15">
        <f>WEEKNUM(Orders[[#This Row],[OrderDate]])</f>
        <v>43</v>
      </c>
      <c r="D949" s="4" t="s">
        <v>184</v>
      </c>
      <c r="E949" s="4" t="s">
        <v>120</v>
      </c>
      <c r="F949" s="4">
        <v>5</v>
      </c>
      <c r="G949" s="4">
        <v>8099.4000000000005</v>
      </c>
      <c r="H949">
        <v>6884.4900000000007</v>
      </c>
      <c r="I949">
        <f>Orders[[#This Row],[Quantity]]*Orders[[#This Row],[Selling Price]]</f>
        <v>40497</v>
      </c>
      <c r="J949">
        <f>Orders[[#This Row],[Quantity]]*Orders[[#This Row],[Cost Price]]</f>
        <v>34422.450000000004</v>
      </c>
      <c r="K949">
        <f>Orders[[#This Row],[Revenue]]-Orders[[#This Row],[Expenses]]</f>
        <v>6074.5499999999956</v>
      </c>
      <c r="L949" t="s">
        <v>2218</v>
      </c>
      <c r="M949" t="str">
        <f>_xlfn.XLOOKUP(Orders[[#This Row],[CustomerID]],Customers[CustomerID],Customers[City])</f>
        <v>Washington</v>
      </c>
      <c r="N949" t="str">
        <f>_xlfn.XLOOKUP(Orders[[#This Row],[CustomerID]],Customers[CustomerID],Customers[CustomerName])</f>
        <v>Ngozi Obi</v>
      </c>
      <c r="O949" t="str">
        <f>_xlfn.XLOOKUP(Orders[[#This Row],[CustomerID]],Customers[CustomerID],Customers[Gender])</f>
        <v>Female</v>
      </c>
      <c r="P949">
        <f>_xlfn.XLOOKUP(Orders[[#This Row],[CustomerID]],Customers[CustomerID],Customers[CustomerAge])</f>
        <v>32</v>
      </c>
      <c r="Q949" t="str">
        <f>IF(Orders[[#This Row],[Age]]&gt;=35,"older","young")</f>
        <v>young</v>
      </c>
      <c r="R949" t="str">
        <f>_xlfn.XLOOKUP(Orders[[#This Row],[ProductID]],Products[ProductID],Products[ProductName])</f>
        <v>CHESS</v>
      </c>
      <c r="S949" t="str">
        <f>_xlfn.XLOOKUP(Orders[[#This Row],[ProductID]],Products!A:A,Products!C:C)</f>
        <v>Games</v>
      </c>
    </row>
    <row r="950" spans="1:19" x14ac:dyDescent="0.2">
      <c r="A950" s="4" t="s">
        <v>1139</v>
      </c>
      <c r="B950" s="5">
        <v>45966</v>
      </c>
      <c r="C950" s="15">
        <f>WEEKNUM(Orders[[#This Row],[OrderDate]])</f>
        <v>45</v>
      </c>
      <c r="D950" s="4" t="s">
        <v>68</v>
      </c>
      <c r="E950" s="4" t="s">
        <v>151</v>
      </c>
      <c r="F950" s="4">
        <v>5</v>
      </c>
      <c r="G950" s="4">
        <v>8514.9</v>
      </c>
      <c r="H950">
        <v>7237.665</v>
      </c>
      <c r="I950">
        <f>Orders[[#This Row],[Quantity]]*Orders[[#This Row],[Selling Price]]</f>
        <v>42574.5</v>
      </c>
      <c r="J950">
        <f>Orders[[#This Row],[Quantity]]*Orders[[#This Row],[Cost Price]]</f>
        <v>36188.324999999997</v>
      </c>
      <c r="K950">
        <f>Orders[[#This Row],[Revenue]]-Orders[[#This Row],[Expenses]]</f>
        <v>6386.1750000000029</v>
      </c>
      <c r="L950" t="s">
        <v>2193</v>
      </c>
      <c r="M950" t="str">
        <f>_xlfn.XLOOKUP(Orders[[#This Row],[CustomerID]],Customers[CustomerID],Customers[City])</f>
        <v>Texas</v>
      </c>
      <c r="N950" t="str">
        <f>_xlfn.XLOOKUP(Orders[[#This Row],[CustomerID]],Customers[CustomerID],Customers[CustomerName])</f>
        <v>Abiola Balogun</v>
      </c>
      <c r="O950" t="str">
        <f>_xlfn.XLOOKUP(Orders[[#This Row],[CustomerID]],Customers[CustomerID],Customers[Gender])</f>
        <v>Male</v>
      </c>
      <c r="P950">
        <f>_xlfn.XLOOKUP(Orders[[#This Row],[CustomerID]],Customers[CustomerID],Customers[CustomerAge])</f>
        <v>29</v>
      </c>
      <c r="Q950" t="str">
        <f>IF(Orders[[#This Row],[Age]]&gt;=35,"older","young")</f>
        <v>young</v>
      </c>
      <c r="R950" t="str">
        <f>_xlfn.XLOOKUP(Orders[[#This Row],[ProductID]],Products[ProductID],Products[ProductName])</f>
        <v>CHECKERS</v>
      </c>
      <c r="S950" t="str">
        <f>_xlfn.XLOOKUP(Orders[[#This Row],[ProductID]],Products!A:A,Products!C:C)</f>
        <v>Games</v>
      </c>
    </row>
    <row r="951" spans="1:19" x14ac:dyDescent="0.2">
      <c r="A951" s="4" t="s">
        <v>1140</v>
      </c>
      <c r="B951" s="5">
        <v>45939</v>
      </c>
      <c r="C951" s="15">
        <f>WEEKNUM(Orders[[#This Row],[OrderDate]])</f>
        <v>41</v>
      </c>
      <c r="D951" s="4" t="s">
        <v>50</v>
      </c>
      <c r="E951" s="4" t="s">
        <v>60</v>
      </c>
      <c r="F951" s="4">
        <v>1</v>
      </c>
      <c r="G951" s="4">
        <v>15229.7</v>
      </c>
      <c r="H951">
        <v>12945.245000000001</v>
      </c>
      <c r="I951">
        <f>Orders[[#This Row],[Quantity]]*Orders[[#This Row],[Selling Price]]</f>
        <v>15229.7</v>
      </c>
      <c r="J951">
        <f>Orders[[#This Row],[Quantity]]*Orders[[#This Row],[Cost Price]]</f>
        <v>12945.245000000001</v>
      </c>
      <c r="K951">
        <f>Orders[[#This Row],[Revenue]]-Orders[[#This Row],[Expenses]]</f>
        <v>2284.4549999999999</v>
      </c>
      <c r="L951" t="s">
        <v>2215</v>
      </c>
      <c r="M951" t="str">
        <f>_xlfn.XLOOKUP(Orders[[#This Row],[CustomerID]],Customers[CustomerID],Customers[City])</f>
        <v>California</v>
      </c>
      <c r="N951" t="str">
        <f>_xlfn.XLOOKUP(Orders[[#This Row],[CustomerID]],Customers[CustomerID],Customers[CustomerName])</f>
        <v>Funke Danladi</v>
      </c>
      <c r="O951" t="str">
        <f>_xlfn.XLOOKUP(Orders[[#This Row],[CustomerID]],Customers[CustomerID],Customers[Gender])</f>
        <v>Female</v>
      </c>
      <c r="P951">
        <f>_xlfn.XLOOKUP(Orders[[#This Row],[CustomerID]],Customers[CustomerID],Customers[CustomerAge])</f>
        <v>31</v>
      </c>
      <c r="Q951" t="str">
        <f>IF(Orders[[#This Row],[Age]]&gt;=35,"older","young")</f>
        <v>young</v>
      </c>
      <c r="R951" t="str">
        <f>_xlfn.XLOOKUP(Orders[[#This Row],[ProductID]],Products[ProductID],Products[ProductName])</f>
        <v>SILVER RINGS</v>
      </c>
      <c r="S951" t="str">
        <f>_xlfn.XLOOKUP(Orders[[#This Row],[ProductID]],Products!A:A,Products!C:C)</f>
        <v>Accessories</v>
      </c>
    </row>
    <row r="952" spans="1:19" x14ac:dyDescent="0.2">
      <c r="A952" s="4" t="s">
        <v>1141</v>
      </c>
      <c r="B952" s="5">
        <v>45947</v>
      </c>
      <c r="C952" s="15">
        <f>WEEKNUM(Orders[[#This Row],[OrderDate]])</f>
        <v>42</v>
      </c>
      <c r="D952" s="4" t="s">
        <v>205</v>
      </c>
      <c r="E952" s="4" t="s">
        <v>60</v>
      </c>
      <c r="F952" s="4">
        <v>4</v>
      </c>
      <c r="G952" s="4">
        <v>15314</v>
      </c>
      <c r="H952">
        <v>13016.9</v>
      </c>
      <c r="I952">
        <f>Orders[[#This Row],[Quantity]]*Orders[[#This Row],[Selling Price]]</f>
        <v>61256</v>
      </c>
      <c r="J952">
        <f>Orders[[#This Row],[Quantity]]*Orders[[#This Row],[Cost Price]]</f>
        <v>52067.6</v>
      </c>
      <c r="K952">
        <f>Orders[[#This Row],[Revenue]]-Orders[[#This Row],[Expenses]]</f>
        <v>9188.4000000000015</v>
      </c>
      <c r="L952" t="s">
        <v>2200</v>
      </c>
      <c r="M952" t="str">
        <f>_xlfn.XLOOKUP(Orders[[#This Row],[CustomerID]],Customers[CustomerID],Customers[City])</f>
        <v>Washington</v>
      </c>
      <c r="N952" t="str">
        <f>_xlfn.XLOOKUP(Orders[[#This Row],[CustomerID]],Customers[CustomerID],Customers[CustomerName])</f>
        <v>Jide Adeyemi</v>
      </c>
      <c r="O952" t="str">
        <f>_xlfn.XLOOKUP(Orders[[#This Row],[CustomerID]],Customers[CustomerID],Customers[Gender])</f>
        <v>Male</v>
      </c>
      <c r="P952">
        <f>_xlfn.XLOOKUP(Orders[[#This Row],[CustomerID]],Customers[CustomerID],Customers[CustomerAge])</f>
        <v>19</v>
      </c>
      <c r="Q952" t="str">
        <f>IF(Orders[[#This Row],[Age]]&gt;=35,"older","young")</f>
        <v>young</v>
      </c>
      <c r="R952" t="str">
        <f>_xlfn.XLOOKUP(Orders[[#This Row],[ProductID]],Products[ProductID],Products[ProductName])</f>
        <v>SILVER RINGS</v>
      </c>
      <c r="S952" t="str">
        <f>_xlfn.XLOOKUP(Orders[[#This Row],[ProductID]],Products!A:A,Products!C:C)</f>
        <v>Accessories</v>
      </c>
    </row>
    <row r="953" spans="1:19" x14ac:dyDescent="0.2">
      <c r="A953" s="4" t="s">
        <v>1142</v>
      </c>
      <c r="B953" s="5">
        <v>45951</v>
      </c>
      <c r="C953" s="15">
        <f>WEEKNUM(Orders[[#This Row],[OrderDate]])</f>
        <v>43</v>
      </c>
      <c r="D953" s="4" t="s">
        <v>287</v>
      </c>
      <c r="E953" s="4" t="s">
        <v>157</v>
      </c>
      <c r="F953" s="4">
        <v>6</v>
      </c>
      <c r="G953" s="4">
        <v>3831.3</v>
      </c>
      <c r="H953">
        <v>3256.605</v>
      </c>
      <c r="I953">
        <f>Orders[[#This Row],[Quantity]]*Orders[[#This Row],[Selling Price]]</f>
        <v>22987.800000000003</v>
      </c>
      <c r="J953">
        <f>Orders[[#This Row],[Quantity]]*Orders[[#This Row],[Cost Price]]</f>
        <v>19539.63</v>
      </c>
      <c r="K953">
        <f>Orders[[#This Row],[Revenue]]-Orders[[#This Row],[Expenses]]</f>
        <v>3448.1700000000019</v>
      </c>
      <c r="L953" t="s">
        <v>2218</v>
      </c>
      <c r="M953" t="str">
        <f>_xlfn.XLOOKUP(Orders[[#This Row],[CustomerID]],Customers[CustomerID],Customers[City])</f>
        <v>Texas</v>
      </c>
      <c r="N953" t="str">
        <f>_xlfn.XLOOKUP(Orders[[#This Row],[CustomerID]],Customers[CustomerID],Customers[CustomerName])</f>
        <v>Okon Obi</v>
      </c>
      <c r="O953" t="str">
        <f>_xlfn.XLOOKUP(Orders[[#This Row],[CustomerID]],Customers[CustomerID],Customers[Gender])</f>
        <v>Male</v>
      </c>
      <c r="P953">
        <f>_xlfn.XLOOKUP(Orders[[#This Row],[CustomerID]],Customers[CustomerID],Customers[CustomerAge])</f>
        <v>55</v>
      </c>
      <c r="Q953" t="str">
        <f>IF(Orders[[#This Row],[Age]]&gt;=35,"older","young")</f>
        <v>older</v>
      </c>
      <c r="R953" t="str">
        <f>_xlfn.XLOOKUP(Orders[[#This Row],[ProductID]],Products[ProductID],Products[ProductName])</f>
        <v>FOOTBALL</v>
      </c>
      <c r="S953" t="str">
        <f>_xlfn.XLOOKUP(Orders[[#This Row],[ProductID]],Products!A:A,Products!C:C)</f>
        <v>Sports</v>
      </c>
    </row>
    <row r="954" spans="1:19" x14ac:dyDescent="0.2">
      <c r="A954" s="4" t="s">
        <v>1143</v>
      </c>
      <c r="B954" s="5">
        <v>45995</v>
      </c>
      <c r="C954" s="15">
        <f>WEEKNUM(Orders[[#This Row],[OrderDate]])</f>
        <v>49</v>
      </c>
      <c r="D954" s="4" t="s">
        <v>150</v>
      </c>
      <c r="E954" s="4" t="s">
        <v>15</v>
      </c>
      <c r="F954" s="4">
        <v>1</v>
      </c>
      <c r="G954" s="4">
        <v>5852.5</v>
      </c>
      <c r="H954">
        <v>4974.625</v>
      </c>
      <c r="I954">
        <f>Orders[[#This Row],[Quantity]]*Orders[[#This Row],[Selling Price]]</f>
        <v>5852.5</v>
      </c>
      <c r="J954">
        <f>Orders[[#This Row],[Quantity]]*Orders[[#This Row],[Cost Price]]</f>
        <v>4974.625</v>
      </c>
      <c r="K954">
        <f>Orders[[#This Row],[Revenue]]-Orders[[#This Row],[Expenses]]</f>
        <v>877.875</v>
      </c>
      <c r="L954" t="s">
        <v>2202</v>
      </c>
      <c r="M954" t="str">
        <f>_xlfn.XLOOKUP(Orders[[#This Row],[CustomerID]],Customers[CustomerID],Customers[City])</f>
        <v>Georgia</v>
      </c>
      <c r="N954" t="str">
        <f>_xlfn.XLOOKUP(Orders[[#This Row],[CustomerID]],Customers[CustomerID],Customers[CustomerName])</f>
        <v>Ronke Eze</v>
      </c>
      <c r="O954" t="str">
        <f>_xlfn.XLOOKUP(Orders[[#This Row],[CustomerID]],Customers[CustomerID],Customers[Gender])</f>
        <v>Female</v>
      </c>
      <c r="P954">
        <f>_xlfn.XLOOKUP(Orders[[#This Row],[CustomerID]],Customers[CustomerID],Customers[CustomerAge])</f>
        <v>23</v>
      </c>
      <c r="Q954" t="str">
        <f>IF(Orders[[#This Row],[Age]]&gt;=35,"older","young")</f>
        <v>young</v>
      </c>
      <c r="R954" t="str">
        <f>_xlfn.XLOOKUP(Orders[[#This Row],[ProductID]],Products[ProductID],Products[ProductName])</f>
        <v>MONOPOLY</v>
      </c>
      <c r="S954" t="str">
        <f>_xlfn.XLOOKUP(Orders[[#This Row],[ProductID]],Products!A:A,Products!C:C)</f>
        <v>Games</v>
      </c>
    </row>
    <row r="955" spans="1:19" x14ac:dyDescent="0.2">
      <c r="A955" s="4" t="s">
        <v>1144</v>
      </c>
      <c r="B955" s="5">
        <v>45983</v>
      </c>
      <c r="C955" s="15">
        <f>WEEKNUM(Orders[[#This Row],[OrderDate]])</f>
        <v>47</v>
      </c>
      <c r="D955" s="4" t="s">
        <v>136</v>
      </c>
      <c r="E955" s="4" t="s">
        <v>151</v>
      </c>
      <c r="F955" s="4">
        <v>4</v>
      </c>
      <c r="G955" s="4">
        <v>13227.1</v>
      </c>
      <c r="H955">
        <v>11243.035</v>
      </c>
      <c r="I955">
        <f>Orders[[#This Row],[Quantity]]*Orders[[#This Row],[Selling Price]]</f>
        <v>52908.4</v>
      </c>
      <c r="J955">
        <f>Orders[[#This Row],[Quantity]]*Orders[[#This Row],[Cost Price]]</f>
        <v>44972.14</v>
      </c>
      <c r="K955">
        <f>Orders[[#This Row],[Revenue]]-Orders[[#This Row],[Expenses]]</f>
        <v>7936.260000000002</v>
      </c>
      <c r="L955" t="s">
        <v>2200</v>
      </c>
      <c r="M955" t="str">
        <f>_xlfn.XLOOKUP(Orders[[#This Row],[CustomerID]],Customers[CustomerID],Customers[City])</f>
        <v>California</v>
      </c>
      <c r="N955" t="str">
        <f>_xlfn.XLOOKUP(Orders[[#This Row],[CustomerID]],Customers[CustomerID],Customers[CustomerName])</f>
        <v>Chinedu Obi</v>
      </c>
      <c r="O955" t="str">
        <f>_xlfn.XLOOKUP(Orders[[#This Row],[CustomerID]],Customers[CustomerID],Customers[Gender])</f>
        <v>Male</v>
      </c>
      <c r="P955">
        <f>_xlfn.XLOOKUP(Orders[[#This Row],[CustomerID]],Customers[CustomerID],Customers[CustomerAge])</f>
        <v>27</v>
      </c>
      <c r="Q955" t="str">
        <f>IF(Orders[[#This Row],[Age]]&gt;=35,"older","young")</f>
        <v>young</v>
      </c>
      <c r="R955" t="str">
        <f>_xlfn.XLOOKUP(Orders[[#This Row],[ProductID]],Products[ProductID],Products[ProductName])</f>
        <v>CHECKERS</v>
      </c>
      <c r="S955" t="str">
        <f>_xlfn.XLOOKUP(Orders[[#This Row],[ProductID]],Products!A:A,Products!C:C)</f>
        <v>Games</v>
      </c>
    </row>
    <row r="956" spans="1:19" x14ac:dyDescent="0.2">
      <c r="A956" s="4" t="s">
        <v>1145</v>
      </c>
      <c r="B956" s="5">
        <v>45931</v>
      </c>
      <c r="C956" s="15">
        <f>WEEKNUM(Orders[[#This Row],[OrderDate]])</f>
        <v>40</v>
      </c>
      <c r="D956" s="4" t="s">
        <v>52</v>
      </c>
      <c r="E956" s="4" t="s">
        <v>60</v>
      </c>
      <c r="F956" s="4">
        <v>7</v>
      </c>
      <c r="G956" s="4">
        <v>11075.699999999999</v>
      </c>
      <c r="H956">
        <v>9414.3449999999993</v>
      </c>
      <c r="I956">
        <f>Orders[[#This Row],[Quantity]]*Orders[[#This Row],[Selling Price]]</f>
        <v>77529.899999999994</v>
      </c>
      <c r="J956">
        <f>Orders[[#This Row],[Quantity]]*Orders[[#This Row],[Cost Price]]</f>
        <v>65900.414999999994</v>
      </c>
      <c r="K956">
        <f>Orders[[#This Row],[Revenue]]-Orders[[#This Row],[Expenses]]</f>
        <v>11629.485000000001</v>
      </c>
      <c r="L956" t="s">
        <v>2217</v>
      </c>
      <c r="M956" t="str">
        <f>_xlfn.XLOOKUP(Orders[[#This Row],[CustomerID]],Customers[CustomerID],Customers[City])</f>
        <v>Texas</v>
      </c>
      <c r="N956" t="str">
        <f>_xlfn.XLOOKUP(Orders[[#This Row],[CustomerID]],Customers[CustomerID],Customers[CustomerName])</f>
        <v>Folasade Ojo</v>
      </c>
      <c r="O956" t="str">
        <f>_xlfn.XLOOKUP(Orders[[#This Row],[CustomerID]],Customers[CustomerID],Customers[Gender])</f>
        <v>Female</v>
      </c>
      <c r="P956">
        <f>_xlfn.XLOOKUP(Orders[[#This Row],[CustomerID]],Customers[CustomerID],Customers[CustomerAge])</f>
        <v>29</v>
      </c>
      <c r="Q956" t="str">
        <f>IF(Orders[[#This Row],[Age]]&gt;=35,"older","young")</f>
        <v>young</v>
      </c>
      <c r="R956" t="str">
        <f>_xlfn.XLOOKUP(Orders[[#This Row],[ProductID]],Products[ProductID],Products[ProductName])</f>
        <v>SILVER RINGS</v>
      </c>
      <c r="S956" t="str">
        <f>_xlfn.XLOOKUP(Orders[[#This Row],[ProductID]],Products!A:A,Products!C:C)</f>
        <v>Accessories</v>
      </c>
    </row>
    <row r="957" spans="1:19" x14ac:dyDescent="0.2">
      <c r="A957" s="4" t="s">
        <v>1146</v>
      </c>
      <c r="B957" s="5">
        <v>46022</v>
      </c>
      <c r="C957" s="15">
        <f>WEEKNUM(Orders[[#This Row],[OrderDate]])</f>
        <v>53</v>
      </c>
      <c r="D957" s="4" t="s">
        <v>182</v>
      </c>
      <c r="E957" s="4" t="s">
        <v>70</v>
      </c>
      <c r="F957" s="4">
        <v>8</v>
      </c>
      <c r="G957" s="4">
        <v>16886.900000000001</v>
      </c>
      <c r="H957">
        <v>14353.865000000002</v>
      </c>
      <c r="I957">
        <f>Orders[[#This Row],[Quantity]]*Orders[[#This Row],[Selling Price]]</f>
        <v>135095.20000000001</v>
      </c>
      <c r="J957">
        <f>Orders[[#This Row],[Quantity]]*Orders[[#This Row],[Cost Price]]</f>
        <v>114830.92000000001</v>
      </c>
      <c r="K957">
        <f>Orders[[#This Row],[Revenue]]-Orders[[#This Row],[Expenses]]</f>
        <v>20264.28</v>
      </c>
      <c r="L957" t="s">
        <v>2210</v>
      </c>
      <c r="M957" t="str">
        <f>_xlfn.XLOOKUP(Orders[[#This Row],[CustomerID]],Customers[CustomerID],Customers[City])</f>
        <v>Georgia</v>
      </c>
      <c r="N957" t="str">
        <f>_xlfn.XLOOKUP(Orders[[#This Row],[CustomerID]],Customers[CustomerID],Customers[CustomerName])</f>
        <v>Abiola Okonkwo</v>
      </c>
      <c r="O957" t="str">
        <f>_xlfn.XLOOKUP(Orders[[#This Row],[CustomerID]],Customers[CustomerID],Customers[Gender])</f>
        <v>Male</v>
      </c>
      <c r="P957">
        <f>_xlfn.XLOOKUP(Orders[[#This Row],[CustomerID]],Customers[CustomerID],Customers[CustomerAge])</f>
        <v>39</v>
      </c>
      <c r="Q957" t="str">
        <f>IF(Orders[[#This Row],[Age]]&gt;=35,"older","young")</f>
        <v>older</v>
      </c>
      <c r="R957" t="str">
        <f>_xlfn.XLOOKUP(Orders[[#This Row],[ProductID]],Products[ProductID],Products[ProductName])</f>
        <v>YOGA MAT</v>
      </c>
      <c r="S957" t="str">
        <f>_xlfn.XLOOKUP(Orders[[#This Row],[ProductID]],Products!A:A,Products!C:C)</f>
        <v>Gym</v>
      </c>
    </row>
    <row r="958" spans="1:19" x14ac:dyDescent="0.2">
      <c r="A958" s="4" t="s">
        <v>1147</v>
      </c>
      <c r="B958" s="5">
        <v>46018</v>
      </c>
      <c r="C958" s="15">
        <f>WEEKNUM(Orders[[#This Row],[OrderDate]])</f>
        <v>52</v>
      </c>
      <c r="D958" s="4" t="s">
        <v>198</v>
      </c>
      <c r="E958" s="4" t="s">
        <v>37</v>
      </c>
      <c r="F958" s="4">
        <v>4</v>
      </c>
      <c r="G958" s="4">
        <v>6836.5999999999995</v>
      </c>
      <c r="H958">
        <v>5811.11</v>
      </c>
      <c r="I958">
        <f>Orders[[#This Row],[Quantity]]*Orders[[#This Row],[Selling Price]]</f>
        <v>27346.399999999998</v>
      </c>
      <c r="J958">
        <f>Orders[[#This Row],[Quantity]]*Orders[[#This Row],[Cost Price]]</f>
        <v>23244.44</v>
      </c>
      <c r="K958">
        <f>Orders[[#This Row],[Revenue]]-Orders[[#This Row],[Expenses]]</f>
        <v>4101.9599999999991</v>
      </c>
      <c r="L958" t="s">
        <v>2212</v>
      </c>
      <c r="M958" t="str">
        <f>_xlfn.XLOOKUP(Orders[[#This Row],[CustomerID]],Customers[CustomerID],Customers[City])</f>
        <v>Texas</v>
      </c>
      <c r="N958" t="str">
        <f>_xlfn.XLOOKUP(Orders[[#This Row],[CustomerID]],Customers[CustomerID],Customers[CustomerName])</f>
        <v>Blessing Danladi</v>
      </c>
      <c r="O958" t="str">
        <f>_xlfn.XLOOKUP(Orders[[#This Row],[CustomerID]],Customers[CustomerID],Customers[Gender])</f>
        <v>Female</v>
      </c>
      <c r="P958">
        <f>_xlfn.XLOOKUP(Orders[[#This Row],[CustomerID]],Customers[CustomerID],Customers[CustomerAge])</f>
        <v>19</v>
      </c>
      <c r="Q958" t="str">
        <f>IF(Orders[[#This Row],[Age]]&gt;=35,"older","young")</f>
        <v>young</v>
      </c>
      <c r="R958" t="str">
        <f>_xlfn.XLOOKUP(Orders[[#This Row],[ProductID]],Products[ProductID],Products[ProductName])</f>
        <v>IRON</v>
      </c>
      <c r="S958" t="str">
        <f>_xlfn.XLOOKUP(Orders[[#This Row],[ProductID]],Products!A:A,Products!C:C)</f>
        <v>Electronics</v>
      </c>
    </row>
    <row r="959" spans="1:19" x14ac:dyDescent="0.2">
      <c r="A959" s="4" t="s">
        <v>1148</v>
      </c>
      <c r="B959" s="5">
        <v>45958</v>
      </c>
      <c r="C959" s="15">
        <f>WEEKNUM(Orders[[#This Row],[OrderDate]])</f>
        <v>44</v>
      </c>
      <c r="D959" s="4" t="s">
        <v>314</v>
      </c>
      <c r="E959" s="4" t="s">
        <v>31</v>
      </c>
      <c r="F959" s="4">
        <v>8</v>
      </c>
      <c r="G959" s="4">
        <v>19382.5</v>
      </c>
      <c r="H959">
        <v>16475.125</v>
      </c>
      <c r="I959">
        <f>Orders[[#This Row],[Quantity]]*Orders[[#This Row],[Selling Price]]</f>
        <v>155060</v>
      </c>
      <c r="J959">
        <f>Orders[[#This Row],[Quantity]]*Orders[[#This Row],[Cost Price]]</f>
        <v>131801</v>
      </c>
      <c r="K959">
        <f>Orders[[#This Row],[Revenue]]-Orders[[#This Row],[Expenses]]</f>
        <v>23259</v>
      </c>
      <c r="L959" t="s">
        <v>2202</v>
      </c>
      <c r="M959" t="str">
        <f>_xlfn.XLOOKUP(Orders[[#This Row],[CustomerID]],Customers[CustomerID],Customers[City])</f>
        <v>Washington</v>
      </c>
      <c r="N959" t="str">
        <f>_xlfn.XLOOKUP(Orders[[#This Row],[CustomerID]],Customers[CustomerID],Customers[CustomerName])</f>
        <v>Bisi Ojo</v>
      </c>
      <c r="O959" t="str">
        <f>_xlfn.XLOOKUP(Orders[[#This Row],[CustomerID]],Customers[CustomerID],Customers[Gender])</f>
        <v>Female</v>
      </c>
      <c r="P959">
        <f>_xlfn.XLOOKUP(Orders[[#This Row],[CustomerID]],Customers[CustomerID],Customers[CustomerAge])</f>
        <v>18</v>
      </c>
      <c r="Q959" t="str">
        <f>IF(Orders[[#This Row],[Age]]&gt;=35,"older","young")</f>
        <v>young</v>
      </c>
      <c r="R959" t="str">
        <f>_xlfn.XLOOKUP(Orders[[#This Row],[ProductID]],Products[ProductID],Products[ProductName])</f>
        <v>KIDS GAMES</v>
      </c>
      <c r="S959" t="str">
        <f>_xlfn.XLOOKUP(Orders[[#This Row],[ProductID]],Products!A:A,Products!C:C)</f>
        <v>Games</v>
      </c>
    </row>
    <row r="960" spans="1:19" x14ac:dyDescent="0.2">
      <c r="A960" s="4" t="s">
        <v>1149</v>
      </c>
      <c r="B960" s="5">
        <v>45975</v>
      </c>
      <c r="C960" s="15">
        <f>WEEKNUM(Orders[[#This Row],[OrderDate]])</f>
        <v>46</v>
      </c>
      <c r="D960" s="4" t="s">
        <v>184</v>
      </c>
      <c r="E960" s="4" t="s">
        <v>28</v>
      </c>
      <c r="F960" s="4">
        <v>4</v>
      </c>
      <c r="G960" s="4">
        <v>18526.8</v>
      </c>
      <c r="H960">
        <v>15747.779999999999</v>
      </c>
      <c r="I960">
        <f>Orders[[#This Row],[Quantity]]*Orders[[#This Row],[Selling Price]]</f>
        <v>74107.199999999997</v>
      </c>
      <c r="J960">
        <f>Orders[[#This Row],[Quantity]]*Orders[[#This Row],[Cost Price]]</f>
        <v>62991.119999999995</v>
      </c>
      <c r="K960">
        <f>Orders[[#This Row],[Revenue]]-Orders[[#This Row],[Expenses]]</f>
        <v>11116.080000000002</v>
      </c>
      <c r="L960" t="s">
        <v>2201</v>
      </c>
      <c r="M960" t="str">
        <f>_xlfn.XLOOKUP(Orders[[#This Row],[CustomerID]],Customers[CustomerID],Customers[City])</f>
        <v>Washington</v>
      </c>
      <c r="N960" t="str">
        <f>_xlfn.XLOOKUP(Orders[[#This Row],[CustomerID]],Customers[CustomerID],Customers[CustomerName])</f>
        <v>Ngozi Obi</v>
      </c>
      <c r="O960" t="str">
        <f>_xlfn.XLOOKUP(Orders[[#This Row],[CustomerID]],Customers[CustomerID],Customers[Gender])</f>
        <v>Female</v>
      </c>
      <c r="P960">
        <f>_xlfn.XLOOKUP(Orders[[#This Row],[CustomerID]],Customers[CustomerID],Customers[CustomerAge])</f>
        <v>32</v>
      </c>
      <c r="Q960" t="str">
        <f>IF(Orders[[#This Row],[Age]]&gt;=35,"older","young")</f>
        <v>young</v>
      </c>
      <c r="R960" t="str">
        <f>_xlfn.XLOOKUP(Orders[[#This Row],[ProductID]],Products[ProductID],Products[ProductName])</f>
        <v>SNEAKERS</v>
      </c>
      <c r="S960" t="str">
        <f>_xlfn.XLOOKUP(Orders[[#This Row],[ProductID]],Products!A:A,Products!C:C)</f>
        <v>Sports</v>
      </c>
    </row>
    <row r="961" spans="1:19" x14ac:dyDescent="0.2">
      <c r="A961" s="4" t="s">
        <v>1150</v>
      </c>
      <c r="B961" s="5">
        <v>45983</v>
      </c>
      <c r="C961" s="15">
        <f>WEEKNUM(Orders[[#This Row],[OrderDate]])</f>
        <v>47</v>
      </c>
      <c r="D961" s="4" t="s">
        <v>383</v>
      </c>
      <c r="E961" s="4" t="s">
        <v>31</v>
      </c>
      <c r="F961" s="4">
        <v>4</v>
      </c>
      <c r="G961" s="4">
        <v>13710.699999999999</v>
      </c>
      <c r="H961">
        <v>11654.094999999999</v>
      </c>
      <c r="I961">
        <f>Orders[[#This Row],[Quantity]]*Orders[[#This Row],[Selling Price]]</f>
        <v>54842.799999999996</v>
      </c>
      <c r="J961">
        <f>Orders[[#This Row],[Quantity]]*Orders[[#This Row],[Cost Price]]</f>
        <v>46616.38</v>
      </c>
      <c r="K961">
        <f>Orders[[#This Row],[Revenue]]-Orders[[#This Row],[Expenses]]</f>
        <v>8226.4199999999983</v>
      </c>
      <c r="L961" t="s">
        <v>2198</v>
      </c>
      <c r="M961" t="str">
        <f>_xlfn.XLOOKUP(Orders[[#This Row],[CustomerID]],Customers[CustomerID],Customers[City])</f>
        <v>Florida</v>
      </c>
      <c r="N961" t="str">
        <f>_xlfn.XLOOKUP(Orders[[#This Row],[CustomerID]],Customers[CustomerID],Customers[CustomerName])</f>
        <v>Ibrahim Balogun</v>
      </c>
      <c r="O961" t="str">
        <f>_xlfn.XLOOKUP(Orders[[#This Row],[CustomerID]],Customers[CustomerID],Customers[Gender])</f>
        <v>Male</v>
      </c>
      <c r="P961">
        <f>_xlfn.XLOOKUP(Orders[[#This Row],[CustomerID]],Customers[CustomerID],Customers[CustomerAge])</f>
        <v>27</v>
      </c>
      <c r="Q961" t="str">
        <f>IF(Orders[[#This Row],[Age]]&gt;=35,"older","young")</f>
        <v>young</v>
      </c>
      <c r="R961" t="str">
        <f>_xlfn.XLOOKUP(Orders[[#This Row],[ProductID]],Products[ProductID],Products[ProductName])</f>
        <v>KIDS GAMES</v>
      </c>
      <c r="S961" t="str">
        <f>_xlfn.XLOOKUP(Orders[[#This Row],[ProductID]],Products!A:A,Products!C:C)</f>
        <v>Games</v>
      </c>
    </row>
    <row r="962" spans="1:19" x14ac:dyDescent="0.2">
      <c r="A962" s="4" t="s">
        <v>1151</v>
      </c>
      <c r="B962" s="5">
        <v>45965</v>
      </c>
      <c r="C962" s="15">
        <f>WEEKNUM(Orders[[#This Row],[OrderDate]])</f>
        <v>45</v>
      </c>
      <c r="D962" s="4" t="s">
        <v>11</v>
      </c>
      <c r="E962" s="4" t="s">
        <v>46</v>
      </c>
      <c r="F962" s="4">
        <v>1</v>
      </c>
      <c r="G962" s="4">
        <v>18026</v>
      </c>
      <c r="H962">
        <v>15322.1</v>
      </c>
      <c r="I962">
        <f>Orders[[#This Row],[Quantity]]*Orders[[#This Row],[Selling Price]]</f>
        <v>18026</v>
      </c>
      <c r="J962">
        <f>Orders[[#This Row],[Quantity]]*Orders[[#This Row],[Cost Price]]</f>
        <v>15322.1</v>
      </c>
      <c r="K962">
        <f>Orders[[#This Row],[Revenue]]-Orders[[#This Row],[Expenses]]</f>
        <v>2703.8999999999996</v>
      </c>
      <c r="L962" t="s">
        <v>2220</v>
      </c>
      <c r="M962" t="str">
        <f>_xlfn.XLOOKUP(Orders[[#This Row],[CustomerID]],Customers[CustomerID],Customers[City])</f>
        <v>Texas</v>
      </c>
      <c r="N962" t="str">
        <f>_xlfn.XLOOKUP(Orders[[#This Row],[CustomerID]],Customers[CustomerID],Customers[CustomerName])</f>
        <v>Efe Ojo</v>
      </c>
      <c r="O962" t="str">
        <f>_xlfn.XLOOKUP(Orders[[#This Row],[CustomerID]],Customers[CustomerID],Customers[Gender])</f>
        <v>Female</v>
      </c>
      <c r="P962">
        <f>_xlfn.XLOOKUP(Orders[[#This Row],[CustomerID]],Customers[CustomerID],Customers[CustomerAge])</f>
        <v>55</v>
      </c>
      <c r="Q962" t="str">
        <f>IF(Orders[[#This Row],[Age]]&gt;=35,"older","young")</f>
        <v>older</v>
      </c>
      <c r="R962" t="str">
        <f>_xlfn.XLOOKUP(Orders[[#This Row],[ProductID]],Products[ProductID],Products[ProductName])</f>
        <v>TURTLE NECK</v>
      </c>
      <c r="S962" t="str">
        <f>_xlfn.XLOOKUP(Orders[[#This Row],[ProductID]],Products!A:A,Products!C:C)</f>
        <v>Clothing</v>
      </c>
    </row>
    <row r="963" spans="1:19" x14ac:dyDescent="0.2">
      <c r="A963" s="4" t="s">
        <v>1152</v>
      </c>
      <c r="B963" s="5">
        <v>45942</v>
      </c>
      <c r="C963" s="15">
        <f>WEEKNUM(Orders[[#This Row],[OrderDate]])</f>
        <v>42</v>
      </c>
      <c r="D963" s="4" t="s">
        <v>91</v>
      </c>
      <c r="E963" s="4" t="s">
        <v>20</v>
      </c>
      <c r="F963" s="4">
        <v>5</v>
      </c>
      <c r="G963" s="4">
        <v>665.3</v>
      </c>
      <c r="H963">
        <v>565.505</v>
      </c>
      <c r="I963">
        <f>Orders[[#This Row],[Quantity]]*Orders[[#This Row],[Selling Price]]</f>
        <v>3326.5</v>
      </c>
      <c r="J963">
        <f>Orders[[#This Row],[Quantity]]*Orders[[#This Row],[Cost Price]]</f>
        <v>2827.5250000000001</v>
      </c>
      <c r="K963">
        <f>Orders[[#This Row],[Revenue]]-Orders[[#This Row],[Expenses]]</f>
        <v>498.97499999999991</v>
      </c>
      <c r="L963" t="s">
        <v>2204</v>
      </c>
      <c r="M963" t="str">
        <f>_xlfn.XLOOKUP(Orders[[#This Row],[CustomerID]],Customers[CustomerID],Customers[City])</f>
        <v>Florida</v>
      </c>
      <c r="N963" t="str">
        <f>_xlfn.XLOOKUP(Orders[[#This Row],[CustomerID]],Customers[CustomerID],Customers[CustomerName])</f>
        <v>Uche Abubakar</v>
      </c>
      <c r="O963" t="str">
        <f>_xlfn.XLOOKUP(Orders[[#This Row],[CustomerID]],Customers[CustomerID],Customers[Gender])</f>
        <v>Male</v>
      </c>
      <c r="P963">
        <f>_xlfn.XLOOKUP(Orders[[#This Row],[CustomerID]],Customers[CustomerID],Customers[CustomerAge])</f>
        <v>28</v>
      </c>
      <c r="Q963" t="str">
        <f>IF(Orders[[#This Row],[Age]]&gt;=35,"older","young")</f>
        <v>young</v>
      </c>
      <c r="R963" t="str">
        <f>_xlfn.XLOOKUP(Orders[[#This Row],[ProductID]],Products[ProductID],Products[ProductName])</f>
        <v>GYM BAG</v>
      </c>
      <c r="S963" t="str">
        <f>_xlfn.XLOOKUP(Orders[[#This Row],[ProductID]],Products!A:A,Products!C:C)</f>
        <v>Gym</v>
      </c>
    </row>
    <row r="964" spans="1:19" x14ac:dyDescent="0.2">
      <c r="A964" s="4" t="s">
        <v>1153</v>
      </c>
      <c r="B964" s="5">
        <v>45962</v>
      </c>
      <c r="C964" s="15">
        <f>WEEKNUM(Orders[[#This Row],[OrderDate]])</f>
        <v>44</v>
      </c>
      <c r="D964" s="4" t="s">
        <v>833</v>
      </c>
      <c r="E964" s="4" t="s">
        <v>111</v>
      </c>
      <c r="F964" s="4">
        <v>6</v>
      </c>
      <c r="G964" s="4">
        <v>15708.800000000001</v>
      </c>
      <c r="H964">
        <v>13352.480000000001</v>
      </c>
      <c r="I964">
        <f>Orders[[#This Row],[Quantity]]*Orders[[#This Row],[Selling Price]]</f>
        <v>94252.800000000003</v>
      </c>
      <c r="J964">
        <f>Orders[[#This Row],[Quantity]]*Orders[[#This Row],[Cost Price]]</f>
        <v>80114.880000000005</v>
      </c>
      <c r="K964">
        <f>Orders[[#This Row],[Revenue]]-Orders[[#This Row],[Expenses]]</f>
        <v>14137.919999999998</v>
      </c>
      <c r="L964" t="s">
        <v>2218</v>
      </c>
      <c r="M964" t="str">
        <f>_xlfn.XLOOKUP(Orders[[#This Row],[CustomerID]],Customers[CustomerID],Customers[City])</f>
        <v>Washington</v>
      </c>
      <c r="N964" t="str">
        <f>_xlfn.XLOOKUP(Orders[[#This Row],[CustomerID]],Customers[CustomerID],Customers[CustomerName])</f>
        <v>Abiola Adeyemi</v>
      </c>
      <c r="O964" t="str">
        <f>_xlfn.XLOOKUP(Orders[[#This Row],[CustomerID]],Customers[CustomerID],Customers[Gender])</f>
        <v>Male</v>
      </c>
      <c r="P964">
        <f>_xlfn.XLOOKUP(Orders[[#This Row],[CustomerID]],Customers[CustomerID],Customers[CustomerAge])</f>
        <v>53</v>
      </c>
      <c r="Q964" t="str">
        <f>IF(Orders[[#This Row],[Age]]&gt;=35,"older","young")</f>
        <v>older</v>
      </c>
      <c r="R964" t="str">
        <f>_xlfn.XLOOKUP(Orders[[#This Row],[ProductID]],Products[ProductID],Products[ProductName])</f>
        <v>REFRIGERATOR</v>
      </c>
      <c r="S964" t="str">
        <f>_xlfn.XLOOKUP(Orders[[#This Row],[ProductID]],Products!A:A,Products!C:C)</f>
        <v>Electronics</v>
      </c>
    </row>
    <row r="965" spans="1:19" x14ac:dyDescent="0.2">
      <c r="A965" s="4" t="s">
        <v>1154</v>
      </c>
      <c r="B965" s="5">
        <v>46005</v>
      </c>
      <c r="C965" s="15">
        <f>WEEKNUM(Orders[[#This Row],[OrderDate]])</f>
        <v>51</v>
      </c>
      <c r="D965" s="4" t="s">
        <v>207</v>
      </c>
      <c r="E965" s="4" t="s">
        <v>189</v>
      </c>
      <c r="F965" s="4">
        <v>3</v>
      </c>
      <c r="G965" s="4">
        <v>7654</v>
      </c>
      <c r="H965">
        <v>6505.9</v>
      </c>
      <c r="I965">
        <f>Orders[[#This Row],[Quantity]]*Orders[[#This Row],[Selling Price]]</f>
        <v>22962</v>
      </c>
      <c r="J965">
        <f>Orders[[#This Row],[Quantity]]*Orders[[#This Row],[Cost Price]]</f>
        <v>19517.699999999997</v>
      </c>
      <c r="K965">
        <f>Orders[[#This Row],[Revenue]]-Orders[[#This Row],[Expenses]]</f>
        <v>3444.3000000000029</v>
      </c>
      <c r="L965" t="s">
        <v>2220</v>
      </c>
      <c r="M965" t="str">
        <f>_xlfn.XLOOKUP(Orders[[#This Row],[CustomerID]],Customers[CustomerID],Customers[City])</f>
        <v>Florida</v>
      </c>
      <c r="N965" t="str">
        <f>_xlfn.XLOOKUP(Orders[[#This Row],[CustomerID]],Customers[CustomerID],Customers[CustomerName])</f>
        <v>Bisi Eze</v>
      </c>
      <c r="O965" t="str">
        <f>_xlfn.XLOOKUP(Orders[[#This Row],[CustomerID]],Customers[CustomerID],Customers[Gender])</f>
        <v>Female</v>
      </c>
      <c r="P965">
        <f>_xlfn.XLOOKUP(Orders[[#This Row],[CustomerID]],Customers[CustomerID],Customers[CustomerAge])</f>
        <v>37</v>
      </c>
      <c r="Q965" t="str">
        <f>IF(Orders[[#This Row],[Age]]&gt;=35,"older","young")</f>
        <v>older</v>
      </c>
      <c r="R965" t="str">
        <f>_xlfn.XLOOKUP(Orders[[#This Row],[ProductID]],Products[ProductID],Products[ProductName])</f>
        <v>SCRABBLE</v>
      </c>
      <c r="S965" t="str">
        <f>_xlfn.XLOOKUP(Orders[[#This Row],[ProductID]],Products!A:A,Products!C:C)</f>
        <v>Games</v>
      </c>
    </row>
    <row r="966" spans="1:19" x14ac:dyDescent="0.2">
      <c r="A966" s="4" t="s">
        <v>1155</v>
      </c>
      <c r="B966" s="5">
        <v>46006</v>
      </c>
      <c r="C966" s="15">
        <f>WEEKNUM(Orders[[#This Row],[OrderDate]])</f>
        <v>51</v>
      </c>
      <c r="D966" s="4" t="s">
        <v>574</v>
      </c>
      <c r="E966" s="4" t="s">
        <v>125</v>
      </c>
      <c r="F966" s="4">
        <v>1</v>
      </c>
      <c r="G966" s="4">
        <v>648.9</v>
      </c>
      <c r="H966">
        <v>551.56499999999994</v>
      </c>
      <c r="I966">
        <f>Orders[[#This Row],[Quantity]]*Orders[[#This Row],[Selling Price]]</f>
        <v>648.9</v>
      </c>
      <c r="J966">
        <f>Orders[[#This Row],[Quantity]]*Orders[[#This Row],[Cost Price]]</f>
        <v>551.56499999999994</v>
      </c>
      <c r="K966">
        <f>Orders[[#This Row],[Revenue]]-Orders[[#This Row],[Expenses]]</f>
        <v>97.335000000000036</v>
      </c>
      <c r="L966" t="s">
        <v>2194</v>
      </c>
      <c r="M966" t="str">
        <f>_xlfn.XLOOKUP(Orders[[#This Row],[CustomerID]],Customers[CustomerID],Customers[City])</f>
        <v>Texas</v>
      </c>
      <c r="N966" t="str">
        <f>_xlfn.XLOOKUP(Orders[[#This Row],[CustomerID]],Customers[CustomerID],Customers[CustomerName])</f>
        <v>Adanma Obi</v>
      </c>
      <c r="O966" t="str">
        <f>_xlfn.XLOOKUP(Orders[[#This Row],[CustomerID]],Customers[CustomerID],Customers[Gender])</f>
        <v>Female</v>
      </c>
      <c r="P966">
        <f>_xlfn.XLOOKUP(Orders[[#This Row],[CustomerID]],Customers[CustomerID],Customers[CustomerAge])</f>
        <v>23</v>
      </c>
      <c r="Q966" t="str">
        <f>IF(Orders[[#This Row],[Age]]&gt;=35,"older","young")</f>
        <v>young</v>
      </c>
      <c r="R966" t="str">
        <f>_xlfn.XLOOKUP(Orders[[#This Row],[ProductID]],Products[ProductID],Products[ProductName])</f>
        <v>EARRINGS</v>
      </c>
      <c r="S966" t="str">
        <f>_xlfn.XLOOKUP(Orders[[#This Row],[ProductID]],Products!A:A,Products!C:C)</f>
        <v>Accessories</v>
      </c>
    </row>
    <row r="967" spans="1:19" x14ac:dyDescent="0.2">
      <c r="A967" s="4" t="s">
        <v>1156</v>
      </c>
      <c r="B967" s="5">
        <v>45934</v>
      </c>
      <c r="C967" s="15">
        <f>WEEKNUM(Orders[[#This Row],[OrderDate]])</f>
        <v>40</v>
      </c>
      <c r="D967" s="4" t="s">
        <v>62</v>
      </c>
      <c r="E967" s="4" t="s">
        <v>84</v>
      </c>
      <c r="F967" s="4">
        <v>3</v>
      </c>
      <c r="G967" s="4">
        <v>2945.6</v>
      </c>
      <c r="H967">
        <v>2503.7599999999998</v>
      </c>
      <c r="I967">
        <f>Orders[[#This Row],[Quantity]]*Orders[[#This Row],[Selling Price]]</f>
        <v>8836.7999999999993</v>
      </c>
      <c r="J967">
        <f>Orders[[#This Row],[Quantity]]*Orders[[#This Row],[Cost Price]]</f>
        <v>7511.2799999999988</v>
      </c>
      <c r="K967">
        <f>Orders[[#This Row],[Revenue]]-Orders[[#This Row],[Expenses]]</f>
        <v>1325.5200000000004</v>
      </c>
      <c r="L967" t="s">
        <v>2208</v>
      </c>
      <c r="M967" t="str">
        <f>_xlfn.XLOOKUP(Orders[[#This Row],[CustomerID]],Customers[CustomerID],Customers[City])</f>
        <v>Texas</v>
      </c>
      <c r="N967" t="str">
        <f>_xlfn.XLOOKUP(Orders[[#This Row],[CustomerID]],Customers[CustomerID],Customers[CustomerName])</f>
        <v>Ronke Okonkwo</v>
      </c>
      <c r="O967" t="str">
        <f>_xlfn.XLOOKUP(Orders[[#This Row],[CustomerID]],Customers[CustomerID],Customers[Gender])</f>
        <v>Female</v>
      </c>
      <c r="P967">
        <f>_xlfn.XLOOKUP(Orders[[#This Row],[CustomerID]],Customers[CustomerID],Customers[CustomerAge])</f>
        <v>36</v>
      </c>
      <c r="Q967" t="str">
        <f>IF(Orders[[#This Row],[Age]]&gt;=35,"older","young")</f>
        <v>older</v>
      </c>
      <c r="R967" t="str">
        <f>_xlfn.XLOOKUP(Orders[[#This Row],[ProductID]],Products[ProductID],Products[ProductName])</f>
        <v>GYM WEARS</v>
      </c>
      <c r="S967" t="str">
        <f>_xlfn.XLOOKUP(Orders[[#This Row],[ProductID]],Products!A:A,Products!C:C)</f>
        <v>Clothing</v>
      </c>
    </row>
    <row r="968" spans="1:19" x14ac:dyDescent="0.2">
      <c r="A968" s="4" t="s">
        <v>1157</v>
      </c>
      <c r="B968" s="5">
        <v>45964</v>
      </c>
      <c r="C968" s="15">
        <f>WEEKNUM(Orders[[#This Row],[OrderDate]])</f>
        <v>45</v>
      </c>
      <c r="D968" s="4" t="s">
        <v>305</v>
      </c>
      <c r="E968" s="4" t="s">
        <v>84</v>
      </c>
      <c r="F968" s="4">
        <v>4</v>
      </c>
      <c r="G968" s="4">
        <v>3187.5</v>
      </c>
      <c r="H968">
        <v>2709.375</v>
      </c>
      <c r="I968">
        <f>Orders[[#This Row],[Quantity]]*Orders[[#This Row],[Selling Price]]</f>
        <v>12750</v>
      </c>
      <c r="J968">
        <f>Orders[[#This Row],[Quantity]]*Orders[[#This Row],[Cost Price]]</f>
        <v>10837.5</v>
      </c>
      <c r="K968">
        <f>Orders[[#This Row],[Revenue]]-Orders[[#This Row],[Expenses]]</f>
        <v>1912.5</v>
      </c>
      <c r="L968" t="s">
        <v>2219</v>
      </c>
      <c r="M968" t="str">
        <f>_xlfn.XLOOKUP(Orders[[#This Row],[CustomerID]],Customers[CustomerID],Customers[City])</f>
        <v>California</v>
      </c>
      <c r="N968" t="str">
        <f>_xlfn.XLOOKUP(Orders[[#This Row],[CustomerID]],Customers[CustomerID],Customers[CustomerName])</f>
        <v>Tunde Danladi</v>
      </c>
      <c r="O968" t="str">
        <f>_xlfn.XLOOKUP(Orders[[#This Row],[CustomerID]],Customers[CustomerID],Customers[Gender])</f>
        <v>Male</v>
      </c>
      <c r="P968">
        <f>_xlfn.XLOOKUP(Orders[[#This Row],[CustomerID]],Customers[CustomerID],Customers[CustomerAge])</f>
        <v>40</v>
      </c>
      <c r="Q968" t="str">
        <f>IF(Orders[[#This Row],[Age]]&gt;=35,"older","young")</f>
        <v>older</v>
      </c>
      <c r="R968" t="str">
        <f>_xlfn.XLOOKUP(Orders[[#This Row],[ProductID]],Products[ProductID],Products[ProductName])</f>
        <v>GYM WEARS</v>
      </c>
      <c r="S968" t="str">
        <f>_xlfn.XLOOKUP(Orders[[#This Row],[ProductID]],Products!A:A,Products!C:C)</f>
        <v>Clothing</v>
      </c>
    </row>
    <row r="969" spans="1:19" x14ac:dyDescent="0.2">
      <c r="A969" s="4" t="s">
        <v>1158</v>
      </c>
      <c r="B969" s="5">
        <v>45993</v>
      </c>
      <c r="C969" s="15">
        <f>WEEKNUM(Orders[[#This Row],[OrderDate]])</f>
        <v>49</v>
      </c>
      <c r="D969" s="4" t="s">
        <v>101</v>
      </c>
      <c r="E969" s="4" t="s">
        <v>353</v>
      </c>
      <c r="F969" s="4">
        <v>1</v>
      </c>
      <c r="G969" s="4">
        <v>1978.1999999999998</v>
      </c>
      <c r="H969">
        <v>1681.4699999999998</v>
      </c>
      <c r="I969">
        <f>Orders[[#This Row],[Quantity]]*Orders[[#This Row],[Selling Price]]</f>
        <v>1978.1999999999998</v>
      </c>
      <c r="J969">
        <f>Orders[[#This Row],[Quantity]]*Orders[[#This Row],[Cost Price]]</f>
        <v>1681.4699999999998</v>
      </c>
      <c r="K969">
        <f>Orders[[#This Row],[Revenue]]-Orders[[#This Row],[Expenses]]</f>
        <v>296.73</v>
      </c>
      <c r="L969" t="s">
        <v>2209</v>
      </c>
      <c r="M969" t="str">
        <f>_xlfn.XLOOKUP(Orders[[#This Row],[CustomerID]],Customers[CustomerID],Customers[City])</f>
        <v>Texas</v>
      </c>
      <c r="N969" t="str">
        <f>_xlfn.XLOOKUP(Orders[[#This Row],[CustomerID]],Customers[CustomerID],Customers[CustomerName])</f>
        <v>Blessing Eze</v>
      </c>
      <c r="O969" t="str">
        <f>_xlfn.XLOOKUP(Orders[[#This Row],[CustomerID]],Customers[CustomerID],Customers[Gender])</f>
        <v>Female</v>
      </c>
      <c r="P969">
        <f>_xlfn.XLOOKUP(Orders[[#This Row],[CustomerID]],Customers[CustomerID],Customers[CustomerAge])</f>
        <v>55</v>
      </c>
      <c r="Q969" t="str">
        <f>IF(Orders[[#This Row],[Age]]&gt;=35,"older","young")</f>
        <v>older</v>
      </c>
      <c r="R969" t="str">
        <f>_xlfn.XLOOKUP(Orders[[#This Row],[ProductID]],Products[ProductID],Products[ProductName])</f>
        <v>SILVER EARRINGS AND NECKLACES</v>
      </c>
      <c r="S969" t="str">
        <f>_xlfn.XLOOKUP(Orders[[#This Row],[ProductID]],Products!A:A,Products!C:C)</f>
        <v>Accessories</v>
      </c>
    </row>
    <row r="970" spans="1:19" x14ac:dyDescent="0.2">
      <c r="A970" s="4" t="s">
        <v>1159</v>
      </c>
      <c r="B970" s="5">
        <v>45983</v>
      </c>
      <c r="C970" s="15">
        <f>WEEKNUM(Orders[[#This Row],[OrderDate]])</f>
        <v>47</v>
      </c>
      <c r="D970" s="4" t="s">
        <v>105</v>
      </c>
      <c r="E970" s="4" t="s">
        <v>34</v>
      </c>
      <c r="F970" s="4">
        <v>1</v>
      </c>
      <c r="G970" s="4">
        <v>9391.4</v>
      </c>
      <c r="H970">
        <v>7982.69</v>
      </c>
      <c r="I970">
        <f>Orders[[#This Row],[Quantity]]*Orders[[#This Row],[Selling Price]]</f>
        <v>9391.4</v>
      </c>
      <c r="J970">
        <f>Orders[[#This Row],[Quantity]]*Orders[[#This Row],[Cost Price]]</f>
        <v>7982.69</v>
      </c>
      <c r="K970">
        <f>Orders[[#This Row],[Revenue]]-Orders[[#This Row],[Expenses]]</f>
        <v>1408.71</v>
      </c>
      <c r="L970" t="s">
        <v>2197</v>
      </c>
      <c r="M970" t="str">
        <f>_xlfn.XLOOKUP(Orders[[#This Row],[CustomerID]],Customers[CustomerID],Customers[City])</f>
        <v>Georgia</v>
      </c>
      <c r="N970" t="str">
        <f>_xlfn.XLOOKUP(Orders[[#This Row],[CustomerID]],Customers[CustomerID],Customers[CustomerName])</f>
        <v>Folasade Adeyemi</v>
      </c>
      <c r="O970" t="str">
        <f>_xlfn.XLOOKUP(Orders[[#This Row],[CustomerID]],Customers[CustomerID],Customers[Gender])</f>
        <v>Female</v>
      </c>
      <c r="P970">
        <f>_xlfn.XLOOKUP(Orders[[#This Row],[CustomerID]],Customers[CustomerID],Customers[CustomerAge])</f>
        <v>42</v>
      </c>
      <c r="Q970" t="str">
        <f>IF(Orders[[#This Row],[Age]]&gt;=35,"older","young")</f>
        <v>older</v>
      </c>
      <c r="R970" t="str">
        <f>_xlfn.XLOOKUP(Orders[[#This Row],[ProductID]],Products[ProductID],Products[ProductName])</f>
        <v>GOLD BRACELETS</v>
      </c>
      <c r="S970" t="str">
        <f>_xlfn.XLOOKUP(Orders[[#This Row],[ProductID]],Products!A:A,Products!C:C)</f>
        <v>Accessories</v>
      </c>
    </row>
    <row r="971" spans="1:19" x14ac:dyDescent="0.2">
      <c r="A971" s="4" t="s">
        <v>1160</v>
      </c>
      <c r="B971" s="5">
        <v>46019</v>
      </c>
      <c r="C971" s="15">
        <f>WEEKNUM(Orders[[#This Row],[OrderDate]])</f>
        <v>53</v>
      </c>
      <c r="D971" s="4" t="s">
        <v>33</v>
      </c>
      <c r="E971" s="4" t="s">
        <v>120</v>
      </c>
      <c r="F971" s="4">
        <v>4</v>
      </c>
      <c r="G971" s="4">
        <v>10123.300000000001</v>
      </c>
      <c r="H971">
        <v>8604.8050000000003</v>
      </c>
      <c r="I971">
        <f>Orders[[#This Row],[Quantity]]*Orders[[#This Row],[Selling Price]]</f>
        <v>40493.200000000004</v>
      </c>
      <c r="J971">
        <f>Orders[[#This Row],[Quantity]]*Orders[[#This Row],[Cost Price]]</f>
        <v>34419.22</v>
      </c>
      <c r="K971">
        <f>Orders[[#This Row],[Revenue]]-Orders[[#This Row],[Expenses]]</f>
        <v>6073.9800000000032</v>
      </c>
      <c r="L971" t="s">
        <v>2194</v>
      </c>
      <c r="M971" t="str">
        <f>_xlfn.XLOOKUP(Orders[[#This Row],[CustomerID]],Customers[CustomerID],Customers[City])</f>
        <v>Texas</v>
      </c>
      <c r="N971" t="str">
        <f>_xlfn.XLOOKUP(Orders[[#This Row],[CustomerID]],Customers[CustomerID],Customers[CustomerName])</f>
        <v>Okon Balogun</v>
      </c>
      <c r="O971" t="str">
        <f>_xlfn.XLOOKUP(Orders[[#This Row],[CustomerID]],Customers[CustomerID],Customers[Gender])</f>
        <v>Male</v>
      </c>
      <c r="P971">
        <f>_xlfn.XLOOKUP(Orders[[#This Row],[CustomerID]],Customers[CustomerID],Customers[CustomerAge])</f>
        <v>28</v>
      </c>
      <c r="Q971" t="str">
        <f>IF(Orders[[#This Row],[Age]]&gt;=35,"older","young")</f>
        <v>young</v>
      </c>
      <c r="R971" t="str">
        <f>_xlfn.XLOOKUP(Orders[[#This Row],[ProductID]],Products[ProductID],Products[ProductName])</f>
        <v>CHESS</v>
      </c>
      <c r="S971" t="str">
        <f>_xlfn.XLOOKUP(Orders[[#This Row],[ProductID]],Products!A:A,Products!C:C)</f>
        <v>Games</v>
      </c>
    </row>
    <row r="972" spans="1:19" x14ac:dyDescent="0.2">
      <c r="A972" s="4" t="s">
        <v>1161</v>
      </c>
      <c r="B972" s="5">
        <v>46020</v>
      </c>
      <c r="C972" s="15">
        <f>WEEKNUM(Orders[[#This Row],[OrderDate]])</f>
        <v>53</v>
      </c>
      <c r="D972" s="4" t="s">
        <v>239</v>
      </c>
      <c r="E972" s="4" t="s">
        <v>76</v>
      </c>
      <c r="F972" s="4">
        <v>9</v>
      </c>
      <c r="G972" s="4">
        <v>3425.2999999999997</v>
      </c>
      <c r="H972">
        <v>2911.5049999999997</v>
      </c>
      <c r="I972">
        <f>Orders[[#This Row],[Quantity]]*Orders[[#This Row],[Selling Price]]</f>
        <v>30827.699999999997</v>
      </c>
      <c r="J972">
        <f>Orders[[#This Row],[Quantity]]*Orders[[#This Row],[Cost Price]]</f>
        <v>26203.544999999998</v>
      </c>
      <c r="K972">
        <f>Orders[[#This Row],[Revenue]]-Orders[[#This Row],[Expenses]]</f>
        <v>4624.1549999999988</v>
      </c>
      <c r="L972" t="s">
        <v>2197</v>
      </c>
      <c r="M972" t="str">
        <f>_xlfn.XLOOKUP(Orders[[#This Row],[CustomerID]],Customers[CustomerID],Customers[City])</f>
        <v>Florida</v>
      </c>
      <c r="N972" t="str">
        <f>_xlfn.XLOOKUP(Orders[[#This Row],[CustomerID]],Customers[CustomerID],Customers[CustomerName])</f>
        <v>Emeka Danladi</v>
      </c>
      <c r="O972" t="str">
        <f>_xlfn.XLOOKUP(Orders[[#This Row],[CustomerID]],Customers[CustomerID],Customers[Gender])</f>
        <v>Male</v>
      </c>
      <c r="P972">
        <f>_xlfn.XLOOKUP(Orders[[#This Row],[CustomerID]],Customers[CustomerID],Customers[CustomerAge])</f>
        <v>23</v>
      </c>
      <c r="Q972" t="str">
        <f>IF(Orders[[#This Row],[Age]]&gt;=35,"older","young")</f>
        <v>young</v>
      </c>
      <c r="R972" t="str">
        <f>_xlfn.XLOOKUP(Orders[[#This Row],[ProductID]],Products[ProductID],Products[ProductName])</f>
        <v>BLENDER</v>
      </c>
      <c r="S972" t="str">
        <f>_xlfn.XLOOKUP(Orders[[#This Row],[ProductID]],Products!A:A,Products!C:C)</f>
        <v>Electronics</v>
      </c>
    </row>
    <row r="973" spans="1:19" x14ac:dyDescent="0.2">
      <c r="A973" s="4" t="s">
        <v>1162</v>
      </c>
      <c r="B973" s="5">
        <v>46006</v>
      </c>
      <c r="C973" s="15">
        <f>WEEKNUM(Orders[[#This Row],[OrderDate]])</f>
        <v>51</v>
      </c>
      <c r="D973" s="4" t="s">
        <v>225</v>
      </c>
      <c r="E973" s="4" t="s">
        <v>168</v>
      </c>
      <c r="F973" s="4">
        <v>6</v>
      </c>
      <c r="G973" s="4">
        <v>1210</v>
      </c>
      <c r="H973">
        <v>1028.5</v>
      </c>
      <c r="I973">
        <f>Orders[[#This Row],[Quantity]]*Orders[[#This Row],[Selling Price]]</f>
        <v>7260</v>
      </c>
      <c r="J973">
        <f>Orders[[#This Row],[Quantity]]*Orders[[#This Row],[Cost Price]]</f>
        <v>6171</v>
      </c>
      <c r="K973">
        <f>Orders[[#This Row],[Revenue]]-Orders[[#This Row],[Expenses]]</f>
        <v>1089</v>
      </c>
      <c r="L973" t="s">
        <v>2209</v>
      </c>
      <c r="M973" t="str">
        <f>_xlfn.XLOOKUP(Orders[[#This Row],[CustomerID]],Customers[CustomerID],Customers[City])</f>
        <v>Texas</v>
      </c>
      <c r="N973" t="str">
        <f>_xlfn.XLOOKUP(Orders[[#This Row],[CustomerID]],Customers[CustomerID],Customers[CustomerName])</f>
        <v>Uche Danladi</v>
      </c>
      <c r="O973" t="str">
        <f>_xlfn.XLOOKUP(Orders[[#This Row],[CustomerID]],Customers[CustomerID],Customers[Gender])</f>
        <v>Male</v>
      </c>
      <c r="P973">
        <f>_xlfn.XLOOKUP(Orders[[#This Row],[CustomerID]],Customers[CustomerID],Customers[CustomerAge])</f>
        <v>45</v>
      </c>
      <c r="Q973" t="str">
        <f>IF(Orders[[#This Row],[Age]]&gt;=35,"older","young")</f>
        <v>older</v>
      </c>
      <c r="R973" t="str">
        <f>_xlfn.XLOOKUP(Orders[[#This Row],[ProductID]],Products[ProductID],Products[ProductName])</f>
        <v>DUMB BELLS</v>
      </c>
      <c r="S973" t="str">
        <f>_xlfn.XLOOKUP(Orders[[#This Row],[ProductID]],Products!A:A,Products!C:C)</f>
        <v>Gym</v>
      </c>
    </row>
    <row r="974" spans="1:19" x14ac:dyDescent="0.2">
      <c r="A974" s="4" t="s">
        <v>1163</v>
      </c>
      <c r="B974" s="5">
        <v>45963</v>
      </c>
      <c r="C974" s="15">
        <f>WEEKNUM(Orders[[#This Row],[OrderDate]])</f>
        <v>45</v>
      </c>
      <c r="D974" s="4" t="s">
        <v>287</v>
      </c>
      <c r="E974" s="4" t="s">
        <v>120</v>
      </c>
      <c r="F974" s="4">
        <v>9</v>
      </c>
      <c r="G974" s="4">
        <v>15465.599999999999</v>
      </c>
      <c r="H974">
        <v>13145.759999999998</v>
      </c>
      <c r="I974">
        <f>Orders[[#This Row],[Quantity]]*Orders[[#This Row],[Selling Price]]</f>
        <v>139190.39999999999</v>
      </c>
      <c r="J974">
        <f>Orders[[#This Row],[Quantity]]*Orders[[#This Row],[Cost Price]]</f>
        <v>118311.83999999998</v>
      </c>
      <c r="K974">
        <f>Orders[[#This Row],[Revenue]]-Orders[[#This Row],[Expenses]]</f>
        <v>20878.560000000012</v>
      </c>
      <c r="L974" t="s">
        <v>2220</v>
      </c>
      <c r="M974" t="str">
        <f>_xlfn.XLOOKUP(Orders[[#This Row],[CustomerID]],Customers[CustomerID],Customers[City])</f>
        <v>Texas</v>
      </c>
      <c r="N974" t="str">
        <f>_xlfn.XLOOKUP(Orders[[#This Row],[CustomerID]],Customers[CustomerID],Customers[CustomerName])</f>
        <v>Okon Obi</v>
      </c>
      <c r="O974" t="str">
        <f>_xlfn.XLOOKUP(Orders[[#This Row],[CustomerID]],Customers[CustomerID],Customers[Gender])</f>
        <v>Male</v>
      </c>
      <c r="P974">
        <f>_xlfn.XLOOKUP(Orders[[#This Row],[CustomerID]],Customers[CustomerID],Customers[CustomerAge])</f>
        <v>55</v>
      </c>
      <c r="Q974" t="str">
        <f>IF(Orders[[#This Row],[Age]]&gt;=35,"older","young")</f>
        <v>older</v>
      </c>
      <c r="R974" t="str">
        <f>_xlfn.XLOOKUP(Orders[[#This Row],[ProductID]],Products[ProductID],Products[ProductName])</f>
        <v>CHESS</v>
      </c>
      <c r="S974" t="str">
        <f>_xlfn.XLOOKUP(Orders[[#This Row],[ProductID]],Products!A:A,Products!C:C)</f>
        <v>Games</v>
      </c>
    </row>
    <row r="975" spans="1:19" x14ac:dyDescent="0.2">
      <c r="A975" s="4" t="s">
        <v>1164</v>
      </c>
      <c r="B975" s="5">
        <v>45951</v>
      </c>
      <c r="C975" s="15">
        <f>WEEKNUM(Orders[[#This Row],[OrderDate]])</f>
        <v>43</v>
      </c>
      <c r="D975" s="4" t="s">
        <v>161</v>
      </c>
      <c r="E975" s="4" t="s">
        <v>66</v>
      </c>
      <c r="F975" s="4">
        <v>7</v>
      </c>
      <c r="G975" s="4">
        <v>6395.7000000000007</v>
      </c>
      <c r="H975">
        <v>5436.3450000000012</v>
      </c>
      <c r="I975">
        <f>Orders[[#This Row],[Quantity]]*Orders[[#This Row],[Selling Price]]</f>
        <v>44769.900000000009</v>
      </c>
      <c r="J975">
        <f>Orders[[#This Row],[Quantity]]*Orders[[#This Row],[Cost Price]]</f>
        <v>38054.415000000008</v>
      </c>
      <c r="K975">
        <f>Orders[[#This Row],[Revenue]]-Orders[[#This Row],[Expenses]]</f>
        <v>6715.4850000000006</v>
      </c>
      <c r="L975" t="s">
        <v>2205</v>
      </c>
      <c r="M975" t="str">
        <f>_xlfn.XLOOKUP(Orders[[#This Row],[CustomerID]],Customers[CustomerID],Customers[City])</f>
        <v>Georgia</v>
      </c>
      <c r="N975" t="str">
        <f>_xlfn.XLOOKUP(Orders[[#This Row],[CustomerID]],Customers[CustomerID],Customers[CustomerName])</f>
        <v>Okon Adeyemi</v>
      </c>
      <c r="O975" t="str">
        <f>_xlfn.XLOOKUP(Orders[[#This Row],[CustomerID]],Customers[CustomerID],Customers[Gender])</f>
        <v>Male</v>
      </c>
      <c r="P975">
        <f>_xlfn.XLOOKUP(Orders[[#This Row],[CustomerID]],Customers[CustomerID],Customers[CustomerAge])</f>
        <v>31</v>
      </c>
      <c r="Q975" t="str">
        <f>IF(Orders[[#This Row],[Age]]&gt;=35,"older","young")</f>
        <v>young</v>
      </c>
      <c r="R975" t="str">
        <f>_xlfn.XLOOKUP(Orders[[#This Row],[ProductID]],Products[ProductID],Products[ProductName])</f>
        <v>MICROWAVE</v>
      </c>
      <c r="S975" t="str">
        <f>_xlfn.XLOOKUP(Orders[[#This Row],[ProductID]],Products!A:A,Products!C:C)</f>
        <v>Electronics</v>
      </c>
    </row>
    <row r="976" spans="1:19" x14ac:dyDescent="0.2">
      <c r="A976" s="4" t="s">
        <v>1165</v>
      </c>
      <c r="B976" s="5">
        <v>45963</v>
      </c>
      <c r="C976" s="15">
        <f>WEEKNUM(Orders[[#This Row],[OrderDate]])</f>
        <v>45</v>
      </c>
      <c r="D976" s="4" t="s">
        <v>136</v>
      </c>
      <c r="E976" s="4" t="s">
        <v>81</v>
      </c>
      <c r="F976" s="4">
        <v>6</v>
      </c>
      <c r="G976" s="4">
        <v>2309.4</v>
      </c>
      <c r="H976">
        <v>1962.99</v>
      </c>
      <c r="I976">
        <f>Orders[[#This Row],[Quantity]]*Orders[[#This Row],[Selling Price]]</f>
        <v>13856.400000000001</v>
      </c>
      <c r="J976">
        <f>Orders[[#This Row],[Quantity]]*Orders[[#This Row],[Cost Price]]</f>
        <v>11777.94</v>
      </c>
      <c r="K976">
        <f>Orders[[#This Row],[Revenue]]-Orders[[#This Row],[Expenses]]</f>
        <v>2078.4600000000009</v>
      </c>
      <c r="L976" t="s">
        <v>2204</v>
      </c>
      <c r="M976" t="str">
        <f>_xlfn.XLOOKUP(Orders[[#This Row],[CustomerID]],Customers[CustomerID],Customers[City])</f>
        <v>California</v>
      </c>
      <c r="N976" t="str">
        <f>_xlfn.XLOOKUP(Orders[[#This Row],[CustomerID]],Customers[CustomerID],Customers[CustomerName])</f>
        <v>Chinedu Obi</v>
      </c>
      <c r="O976" t="str">
        <f>_xlfn.XLOOKUP(Orders[[#This Row],[CustomerID]],Customers[CustomerID],Customers[Gender])</f>
        <v>Male</v>
      </c>
      <c r="P976">
        <f>_xlfn.XLOOKUP(Orders[[#This Row],[CustomerID]],Customers[CustomerID],Customers[CustomerAge])</f>
        <v>27</v>
      </c>
      <c r="Q976" t="str">
        <f>IF(Orders[[#This Row],[Age]]&gt;=35,"older","young")</f>
        <v>young</v>
      </c>
      <c r="R976" t="str">
        <f>_xlfn.XLOOKUP(Orders[[#This Row],[ProductID]],Products[ProductID],Products[ProductName])</f>
        <v>TROUSERS</v>
      </c>
      <c r="S976" t="str">
        <f>_xlfn.XLOOKUP(Orders[[#This Row],[ProductID]],Products!A:A,Products!C:C)</f>
        <v>Clothing</v>
      </c>
    </row>
    <row r="977" spans="1:19" x14ac:dyDescent="0.2">
      <c r="A977" s="4" t="s">
        <v>1166</v>
      </c>
      <c r="B977" s="5">
        <v>45985</v>
      </c>
      <c r="C977" s="15">
        <f>WEEKNUM(Orders[[#This Row],[OrderDate]])</f>
        <v>48</v>
      </c>
      <c r="D977" s="4" t="s">
        <v>68</v>
      </c>
      <c r="E977" s="4" t="s">
        <v>168</v>
      </c>
      <c r="F977" s="4">
        <v>10</v>
      </c>
      <c r="G977" s="4">
        <v>18035.7</v>
      </c>
      <c r="H977">
        <v>15330.345000000001</v>
      </c>
      <c r="I977">
        <f>Orders[[#This Row],[Quantity]]*Orders[[#This Row],[Selling Price]]</f>
        <v>180357</v>
      </c>
      <c r="J977">
        <f>Orders[[#This Row],[Quantity]]*Orders[[#This Row],[Cost Price]]</f>
        <v>153303.45000000001</v>
      </c>
      <c r="K977">
        <f>Orders[[#This Row],[Revenue]]-Orders[[#This Row],[Expenses]]</f>
        <v>27053.549999999988</v>
      </c>
      <c r="L977" t="s">
        <v>2203</v>
      </c>
      <c r="M977" t="str">
        <f>_xlfn.XLOOKUP(Orders[[#This Row],[CustomerID]],Customers[CustomerID],Customers[City])</f>
        <v>Texas</v>
      </c>
      <c r="N977" t="str">
        <f>_xlfn.XLOOKUP(Orders[[#This Row],[CustomerID]],Customers[CustomerID],Customers[CustomerName])</f>
        <v>Abiola Balogun</v>
      </c>
      <c r="O977" t="str">
        <f>_xlfn.XLOOKUP(Orders[[#This Row],[CustomerID]],Customers[CustomerID],Customers[Gender])</f>
        <v>Male</v>
      </c>
      <c r="P977">
        <f>_xlfn.XLOOKUP(Orders[[#This Row],[CustomerID]],Customers[CustomerID],Customers[CustomerAge])</f>
        <v>29</v>
      </c>
      <c r="Q977" t="str">
        <f>IF(Orders[[#This Row],[Age]]&gt;=35,"older","young")</f>
        <v>young</v>
      </c>
      <c r="R977" t="str">
        <f>_xlfn.XLOOKUP(Orders[[#This Row],[ProductID]],Products[ProductID],Products[ProductName])</f>
        <v>DUMB BELLS</v>
      </c>
      <c r="S977" t="str">
        <f>_xlfn.XLOOKUP(Orders[[#This Row],[ProductID]],Products!A:A,Products!C:C)</f>
        <v>Gym</v>
      </c>
    </row>
    <row r="978" spans="1:19" x14ac:dyDescent="0.2">
      <c r="A978" s="4" t="s">
        <v>1167</v>
      </c>
      <c r="B978" s="5">
        <v>45987</v>
      </c>
      <c r="C978" s="15">
        <f>WEEKNUM(Orders[[#This Row],[OrderDate]])</f>
        <v>48</v>
      </c>
      <c r="D978" s="4" t="s">
        <v>435</v>
      </c>
      <c r="E978" s="4" t="s">
        <v>37</v>
      </c>
      <c r="F978" s="4">
        <v>10</v>
      </c>
      <c r="G978" s="4">
        <v>6530.4</v>
      </c>
      <c r="H978">
        <v>5550.84</v>
      </c>
      <c r="I978">
        <f>Orders[[#This Row],[Quantity]]*Orders[[#This Row],[Selling Price]]</f>
        <v>65304</v>
      </c>
      <c r="J978">
        <f>Orders[[#This Row],[Quantity]]*Orders[[#This Row],[Cost Price]]</f>
        <v>55508.4</v>
      </c>
      <c r="K978">
        <f>Orders[[#This Row],[Revenue]]-Orders[[#This Row],[Expenses]]</f>
        <v>9795.5999999999985</v>
      </c>
      <c r="L978" t="s">
        <v>2199</v>
      </c>
      <c r="M978" t="str">
        <f>_xlfn.XLOOKUP(Orders[[#This Row],[CustomerID]],Customers[CustomerID],Customers[City])</f>
        <v>Texas</v>
      </c>
      <c r="N978" t="str">
        <f>_xlfn.XLOOKUP(Orders[[#This Row],[CustomerID]],Customers[CustomerID],Customers[CustomerName])</f>
        <v>Amina Balogun</v>
      </c>
      <c r="O978" t="str">
        <f>_xlfn.XLOOKUP(Orders[[#This Row],[CustomerID]],Customers[CustomerID],Customers[Gender])</f>
        <v>Female</v>
      </c>
      <c r="P978">
        <f>_xlfn.XLOOKUP(Orders[[#This Row],[CustomerID]],Customers[CustomerID],Customers[CustomerAge])</f>
        <v>32</v>
      </c>
      <c r="Q978" t="str">
        <f>IF(Orders[[#This Row],[Age]]&gt;=35,"older","young")</f>
        <v>young</v>
      </c>
      <c r="R978" t="str">
        <f>_xlfn.XLOOKUP(Orders[[#This Row],[ProductID]],Products[ProductID],Products[ProductName])</f>
        <v>IRON</v>
      </c>
      <c r="S978" t="str">
        <f>_xlfn.XLOOKUP(Orders[[#This Row],[ProductID]],Products!A:A,Products!C:C)</f>
        <v>Electronics</v>
      </c>
    </row>
    <row r="979" spans="1:19" x14ac:dyDescent="0.2">
      <c r="A979" s="4" t="s">
        <v>1168</v>
      </c>
      <c r="B979" s="5">
        <v>45984</v>
      </c>
      <c r="C979" s="15">
        <f>WEEKNUM(Orders[[#This Row],[OrderDate]])</f>
        <v>48</v>
      </c>
      <c r="D979" s="4" t="s">
        <v>298</v>
      </c>
      <c r="E979" s="4" t="s">
        <v>151</v>
      </c>
      <c r="F979" s="4">
        <v>4</v>
      </c>
      <c r="G979" s="4">
        <v>1634.5</v>
      </c>
      <c r="H979">
        <v>1389.325</v>
      </c>
      <c r="I979">
        <f>Orders[[#This Row],[Quantity]]*Orders[[#This Row],[Selling Price]]</f>
        <v>6538</v>
      </c>
      <c r="J979">
        <f>Orders[[#This Row],[Quantity]]*Orders[[#This Row],[Cost Price]]</f>
        <v>5557.3</v>
      </c>
      <c r="K979">
        <f>Orders[[#This Row],[Revenue]]-Orders[[#This Row],[Expenses]]</f>
        <v>980.69999999999982</v>
      </c>
      <c r="L979" t="s">
        <v>2197</v>
      </c>
      <c r="M979" t="str">
        <f>_xlfn.XLOOKUP(Orders[[#This Row],[CustomerID]],Customers[CustomerID],Customers[City])</f>
        <v>Florida</v>
      </c>
      <c r="N979" t="str">
        <f>_xlfn.XLOOKUP(Orders[[#This Row],[CustomerID]],Customers[CustomerID],Customers[CustomerName])</f>
        <v>Amina Obi</v>
      </c>
      <c r="O979" t="str">
        <f>_xlfn.XLOOKUP(Orders[[#This Row],[CustomerID]],Customers[CustomerID],Customers[Gender])</f>
        <v>Female</v>
      </c>
      <c r="P979">
        <f>_xlfn.XLOOKUP(Orders[[#This Row],[CustomerID]],Customers[CustomerID],Customers[CustomerAge])</f>
        <v>19</v>
      </c>
      <c r="Q979" t="str">
        <f>IF(Orders[[#This Row],[Age]]&gt;=35,"older","young")</f>
        <v>young</v>
      </c>
      <c r="R979" t="str">
        <f>_xlfn.XLOOKUP(Orders[[#This Row],[ProductID]],Products[ProductID],Products[ProductName])</f>
        <v>CHECKERS</v>
      </c>
      <c r="S979" t="str">
        <f>_xlfn.XLOOKUP(Orders[[#This Row],[ProductID]],Products!A:A,Products!C:C)</f>
        <v>Games</v>
      </c>
    </row>
    <row r="980" spans="1:19" x14ac:dyDescent="0.2">
      <c r="A980" s="4" t="s">
        <v>1169</v>
      </c>
      <c r="B980" s="5">
        <v>45999</v>
      </c>
      <c r="C980" s="15">
        <f>WEEKNUM(Orders[[#This Row],[OrderDate]])</f>
        <v>50</v>
      </c>
      <c r="D980" s="4" t="s">
        <v>444</v>
      </c>
      <c r="E980" s="4" t="s">
        <v>125</v>
      </c>
      <c r="F980" s="4">
        <v>2</v>
      </c>
      <c r="G980" s="4">
        <v>8991.7999999999993</v>
      </c>
      <c r="H980">
        <v>7643.03</v>
      </c>
      <c r="I980">
        <f>Orders[[#This Row],[Quantity]]*Orders[[#This Row],[Selling Price]]</f>
        <v>17983.599999999999</v>
      </c>
      <c r="J980">
        <f>Orders[[#This Row],[Quantity]]*Orders[[#This Row],[Cost Price]]</f>
        <v>15286.06</v>
      </c>
      <c r="K980">
        <f>Orders[[#This Row],[Revenue]]-Orders[[#This Row],[Expenses]]</f>
        <v>2697.5399999999991</v>
      </c>
      <c r="L980" t="s">
        <v>2199</v>
      </c>
      <c r="M980" t="str">
        <f>_xlfn.XLOOKUP(Orders[[#This Row],[CustomerID]],Customers[CustomerID],Customers[City])</f>
        <v>Texas</v>
      </c>
      <c r="N980" t="str">
        <f>_xlfn.XLOOKUP(Orders[[#This Row],[CustomerID]],Customers[CustomerID],Customers[CustomerName])</f>
        <v>Blessing Eze</v>
      </c>
      <c r="O980" t="str">
        <f>_xlfn.XLOOKUP(Orders[[#This Row],[CustomerID]],Customers[CustomerID],Customers[Gender])</f>
        <v>Female</v>
      </c>
      <c r="P980">
        <f>_xlfn.XLOOKUP(Orders[[#This Row],[CustomerID]],Customers[CustomerID],Customers[CustomerAge])</f>
        <v>24</v>
      </c>
      <c r="Q980" t="str">
        <f>IF(Orders[[#This Row],[Age]]&gt;=35,"older","young")</f>
        <v>young</v>
      </c>
      <c r="R980" t="str">
        <f>_xlfn.XLOOKUP(Orders[[#This Row],[ProductID]],Products[ProductID],Products[ProductName])</f>
        <v>EARRINGS</v>
      </c>
      <c r="S980" t="str">
        <f>_xlfn.XLOOKUP(Orders[[#This Row],[ProductID]],Products!A:A,Products!C:C)</f>
        <v>Accessories</v>
      </c>
    </row>
    <row r="981" spans="1:19" x14ac:dyDescent="0.2">
      <c r="A981" s="4" t="s">
        <v>1170</v>
      </c>
      <c r="B981" s="5">
        <v>45937</v>
      </c>
      <c r="C981" s="15">
        <f>WEEKNUM(Orders[[#This Row],[OrderDate]])</f>
        <v>41</v>
      </c>
      <c r="D981" s="4" t="s">
        <v>80</v>
      </c>
      <c r="E981" s="4" t="s">
        <v>46</v>
      </c>
      <c r="F981" s="4">
        <v>6</v>
      </c>
      <c r="G981" s="4">
        <v>16760.899999999998</v>
      </c>
      <c r="H981">
        <v>14246.764999999998</v>
      </c>
      <c r="I981">
        <f>Orders[[#This Row],[Quantity]]*Orders[[#This Row],[Selling Price]]</f>
        <v>100565.4</v>
      </c>
      <c r="J981">
        <f>Orders[[#This Row],[Quantity]]*Orders[[#This Row],[Cost Price]]</f>
        <v>85480.589999999982</v>
      </c>
      <c r="K981">
        <f>Orders[[#This Row],[Revenue]]-Orders[[#This Row],[Expenses]]</f>
        <v>15084.810000000012</v>
      </c>
      <c r="L981" t="s">
        <v>2218</v>
      </c>
      <c r="M981" t="str">
        <f>_xlfn.XLOOKUP(Orders[[#This Row],[CustomerID]],Customers[CustomerID],Customers[City])</f>
        <v>Texas</v>
      </c>
      <c r="N981" t="str">
        <f>_xlfn.XLOOKUP(Orders[[#This Row],[CustomerID]],Customers[CustomerID],Customers[CustomerName])</f>
        <v>Sani Ojo</v>
      </c>
      <c r="O981" t="str">
        <f>_xlfn.XLOOKUP(Orders[[#This Row],[CustomerID]],Customers[CustomerID],Customers[Gender])</f>
        <v>Male</v>
      </c>
      <c r="P981">
        <f>_xlfn.XLOOKUP(Orders[[#This Row],[CustomerID]],Customers[CustomerID],Customers[CustomerAge])</f>
        <v>35</v>
      </c>
      <c r="Q981" t="str">
        <f>IF(Orders[[#This Row],[Age]]&gt;=35,"older","young")</f>
        <v>older</v>
      </c>
      <c r="R981" t="str">
        <f>_xlfn.XLOOKUP(Orders[[#This Row],[ProductID]],Products[ProductID],Products[ProductName])</f>
        <v>TURTLE NECK</v>
      </c>
      <c r="S981" t="str">
        <f>_xlfn.XLOOKUP(Orders[[#This Row],[ProductID]],Products!A:A,Products!C:C)</f>
        <v>Clothing</v>
      </c>
    </row>
    <row r="982" spans="1:19" x14ac:dyDescent="0.2">
      <c r="A982" s="4" t="s">
        <v>1171</v>
      </c>
      <c r="B982" s="5">
        <v>45936</v>
      </c>
      <c r="C982" s="15">
        <f>WEEKNUM(Orders[[#This Row],[OrderDate]])</f>
        <v>41</v>
      </c>
      <c r="D982" s="4" t="s">
        <v>212</v>
      </c>
      <c r="E982" s="4" t="s">
        <v>20</v>
      </c>
      <c r="F982" s="4">
        <v>5</v>
      </c>
      <c r="G982" s="4">
        <v>1136.4000000000001</v>
      </c>
      <c r="H982">
        <v>965.94</v>
      </c>
      <c r="I982">
        <f>Orders[[#This Row],[Quantity]]*Orders[[#This Row],[Selling Price]]</f>
        <v>5682</v>
      </c>
      <c r="J982">
        <f>Orders[[#This Row],[Quantity]]*Orders[[#This Row],[Cost Price]]</f>
        <v>4829.7000000000007</v>
      </c>
      <c r="K982">
        <f>Orders[[#This Row],[Revenue]]-Orders[[#This Row],[Expenses]]</f>
        <v>852.29999999999927</v>
      </c>
      <c r="L982" t="s">
        <v>2195</v>
      </c>
      <c r="M982" t="str">
        <f>_xlfn.XLOOKUP(Orders[[#This Row],[CustomerID]],Customers[CustomerID],Customers[City])</f>
        <v>Illinois</v>
      </c>
      <c r="N982" t="str">
        <f>_xlfn.XLOOKUP(Orders[[#This Row],[CustomerID]],Customers[CustomerID],Customers[CustomerName])</f>
        <v>Ngozi Ojo</v>
      </c>
      <c r="O982" t="str">
        <f>_xlfn.XLOOKUP(Orders[[#This Row],[CustomerID]],Customers[CustomerID],Customers[Gender])</f>
        <v>Female</v>
      </c>
      <c r="P982">
        <f>_xlfn.XLOOKUP(Orders[[#This Row],[CustomerID]],Customers[CustomerID],Customers[CustomerAge])</f>
        <v>53</v>
      </c>
      <c r="Q982" t="str">
        <f>IF(Orders[[#This Row],[Age]]&gt;=35,"older","young")</f>
        <v>older</v>
      </c>
      <c r="R982" t="str">
        <f>_xlfn.XLOOKUP(Orders[[#This Row],[ProductID]],Products[ProductID],Products[ProductName])</f>
        <v>GYM BAG</v>
      </c>
      <c r="S982" t="str">
        <f>_xlfn.XLOOKUP(Orders[[#This Row],[ProductID]],Products!A:A,Products!C:C)</f>
        <v>Gym</v>
      </c>
    </row>
    <row r="983" spans="1:19" x14ac:dyDescent="0.2">
      <c r="A983" s="4" t="s">
        <v>1172</v>
      </c>
      <c r="B983" s="5">
        <v>46022</v>
      </c>
      <c r="C983" s="15">
        <f>WEEKNUM(Orders[[#This Row],[OrderDate]])</f>
        <v>53</v>
      </c>
      <c r="D983" s="4" t="s">
        <v>649</v>
      </c>
      <c r="E983" s="4" t="s">
        <v>9</v>
      </c>
      <c r="F983" s="4">
        <v>7</v>
      </c>
      <c r="G983" s="4">
        <v>6622.3</v>
      </c>
      <c r="H983">
        <v>5628.9549999999999</v>
      </c>
      <c r="I983">
        <f>Orders[[#This Row],[Quantity]]*Orders[[#This Row],[Selling Price]]</f>
        <v>46356.1</v>
      </c>
      <c r="J983">
        <f>Orders[[#This Row],[Quantity]]*Orders[[#This Row],[Cost Price]]</f>
        <v>39402.684999999998</v>
      </c>
      <c r="K983">
        <f>Orders[[#This Row],[Revenue]]-Orders[[#This Row],[Expenses]]</f>
        <v>6953.4150000000009</v>
      </c>
      <c r="L983" t="s">
        <v>2199</v>
      </c>
      <c r="M983" t="str">
        <f>_xlfn.XLOOKUP(Orders[[#This Row],[CustomerID]],Customers[CustomerID],Customers[City])</f>
        <v>Washington</v>
      </c>
      <c r="N983" t="str">
        <f>_xlfn.XLOOKUP(Orders[[#This Row],[CustomerID]],Customers[CustomerID],Customers[CustomerName])</f>
        <v>Bisi Abubakar</v>
      </c>
      <c r="O983" t="str">
        <f>_xlfn.XLOOKUP(Orders[[#This Row],[CustomerID]],Customers[CustomerID],Customers[Gender])</f>
        <v>Female</v>
      </c>
      <c r="P983">
        <f>_xlfn.XLOOKUP(Orders[[#This Row],[CustomerID]],Customers[CustomerID],Customers[CustomerAge])</f>
        <v>35</v>
      </c>
      <c r="Q983" t="str">
        <f>IF(Orders[[#This Row],[Age]]&gt;=35,"older","young")</f>
        <v>older</v>
      </c>
      <c r="R983" t="str">
        <f>_xlfn.XLOOKUP(Orders[[#This Row],[ProductID]],Products[ProductID],Products[ProductName])</f>
        <v>BEADED EARRINGS AND NECKLACES</v>
      </c>
      <c r="S983" t="str">
        <f>_xlfn.XLOOKUP(Orders[[#This Row],[ProductID]],Products!A:A,Products!C:C)</f>
        <v>Accessories</v>
      </c>
    </row>
    <row r="984" spans="1:19" x14ac:dyDescent="0.2">
      <c r="A984" s="4" t="s">
        <v>1173</v>
      </c>
      <c r="B984" s="5">
        <v>46006</v>
      </c>
      <c r="C984" s="15">
        <f>WEEKNUM(Orders[[#This Row],[OrderDate]])</f>
        <v>51</v>
      </c>
      <c r="D984" s="4" t="s">
        <v>388</v>
      </c>
      <c r="E984" s="4" t="s">
        <v>232</v>
      </c>
      <c r="F984" s="4">
        <v>7</v>
      </c>
      <c r="G984" s="4">
        <v>12957.7</v>
      </c>
      <c r="H984">
        <v>11014.045</v>
      </c>
      <c r="I984">
        <f>Orders[[#This Row],[Quantity]]*Orders[[#This Row],[Selling Price]]</f>
        <v>90703.900000000009</v>
      </c>
      <c r="J984">
        <f>Orders[[#This Row],[Quantity]]*Orders[[#This Row],[Cost Price]]</f>
        <v>77098.315000000002</v>
      </c>
      <c r="K984">
        <f>Orders[[#This Row],[Revenue]]-Orders[[#This Row],[Expenses]]</f>
        <v>13605.585000000006</v>
      </c>
      <c r="L984" t="s">
        <v>2199</v>
      </c>
      <c r="M984" t="str">
        <f>_xlfn.XLOOKUP(Orders[[#This Row],[CustomerID]],Customers[CustomerID],Customers[City])</f>
        <v>Washington</v>
      </c>
      <c r="N984" t="str">
        <f>_xlfn.XLOOKUP(Orders[[#This Row],[CustomerID]],Customers[CustomerID],Customers[CustomerName])</f>
        <v>Folasade Okonkwo</v>
      </c>
      <c r="O984" t="str">
        <f>_xlfn.XLOOKUP(Orders[[#This Row],[CustomerID]],Customers[CustomerID],Customers[Gender])</f>
        <v>Female</v>
      </c>
      <c r="P984">
        <f>_xlfn.XLOOKUP(Orders[[#This Row],[CustomerID]],Customers[CustomerID],Customers[CustomerAge])</f>
        <v>52</v>
      </c>
      <c r="Q984" t="str">
        <f>IF(Orders[[#This Row],[Age]]&gt;=35,"older","young")</f>
        <v>older</v>
      </c>
      <c r="R984" t="str">
        <f>_xlfn.XLOOKUP(Orders[[#This Row],[ProductID]],Products[ProductID],Products[ProductName])</f>
        <v>ANKARA</v>
      </c>
      <c r="S984" t="str">
        <f>_xlfn.XLOOKUP(Orders[[#This Row],[ProductID]],Products!A:A,Products!C:C)</f>
        <v>Clothing</v>
      </c>
    </row>
    <row r="985" spans="1:19" x14ac:dyDescent="0.2">
      <c r="A985" s="4" t="s">
        <v>1174</v>
      </c>
      <c r="B985" s="5">
        <v>45999</v>
      </c>
      <c r="C985" s="15">
        <f>WEEKNUM(Orders[[#This Row],[OrderDate]])</f>
        <v>50</v>
      </c>
      <c r="D985" s="4" t="s">
        <v>264</v>
      </c>
      <c r="E985" s="4" t="s">
        <v>130</v>
      </c>
      <c r="F985" s="4">
        <v>9</v>
      </c>
      <c r="G985" s="4">
        <v>5392.7999999999993</v>
      </c>
      <c r="H985">
        <v>4583.8799999999992</v>
      </c>
      <c r="I985">
        <f>Orders[[#This Row],[Quantity]]*Orders[[#This Row],[Selling Price]]</f>
        <v>48535.199999999997</v>
      </c>
      <c r="J985">
        <f>Orders[[#This Row],[Quantity]]*Orders[[#This Row],[Cost Price]]</f>
        <v>41254.919999999991</v>
      </c>
      <c r="K985">
        <f>Orders[[#This Row],[Revenue]]-Orders[[#This Row],[Expenses]]</f>
        <v>7280.2800000000061</v>
      </c>
      <c r="L985" t="s">
        <v>2194</v>
      </c>
      <c r="M985" t="str">
        <f>_xlfn.XLOOKUP(Orders[[#This Row],[CustomerID]],Customers[CustomerID],Customers[City])</f>
        <v>Georgia</v>
      </c>
      <c r="N985" t="str">
        <f>_xlfn.XLOOKUP(Orders[[#This Row],[CustomerID]],Customers[CustomerID],Customers[CustomerName])</f>
        <v>Ronke Adeyemi</v>
      </c>
      <c r="O985" t="str">
        <f>_xlfn.XLOOKUP(Orders[[#This Row],[CustomerID]],Customers[CustomerID],Customers[Gender])</f>
        <v>Female</v>
      </c>
      <c r="P985">
        <f>_xlfn.XLOOKUP(Orders[[#This Row],[CustomerID]],Customers[CustomerID],Customers[CustomerAge])</f>
        <v>19</v>
      </c>
      <c r="Q985" t="str">
        <f>IF(Orders[[#This Row],[Age]]&gt;=35,"older","young")</f>
        <v>young</v>
      </c>
      <c r="R985" t="str">
        <f>_xlfn.XLOOKUP(Orders[[#This Row],[ProductID]],Products[ProductID],Products[ProductName])</f>
        <v>GOLD EARRINGS AND NECKLACES</v>
      </c>
      <c r="S985" t="str">
        <f>_xlfn.XLOOKUP(Orders[[#This Row],[ProductID]],Products!A:A,Products!C:C)</f>
        <v>Accessories</v>
      </c>
    </row>
    <row r="986" spans="1:19" x14ac:dyDescent="0.2">
      <c r="A986" s="4" t="s">
        <v>1175</v>
      </c>
      <c r="B986" s="5">
        <v>45985</v>
      </c>
      <c r="C986" s="15">
        <f>WEEKNUM(Orders[[#This Row],[OrderDate]])</f>
        <v>48</v>
      </c>
      <c r="D986" s="4" t="s">
        <v>194</v>
      </c>
      <c r="E986" s="4" t="s">
        <v>253</v>
      </c>
      <c r="F986" s="4">
        <v>7</v>
      </c>
      <c r="G986" s="4">
        <v>12698.5</v>
      </c>
      <c r="H986">
        <v>10793.725</v>
      </c>
      <c r="I986">
        <f>Orders[[#This Row],[Quantity]]*Orders[[#This Row],[Selling Price]]</f>
        <v>88889.5</v>
      </c>
      <c r="J986">
        <f>Orders[[#This Row],[Quantity]]*Orders[[#This Row],[Cost Price]]</f>
        <v>75556.074999999997</v>
      </c>
      <c r="K986">
        <f>Orders[[#This Row],[Revenue]]-Orders[[#This Row],[Expenses]]</f>
        <v>13333.425000000003</v>
      </c>
      <c r="L986" t="s">
        <v>2213</v>
      </c>
      <c r="M986" t="str">
        <f>_xlfn.XLOOKUP(Orders[[#This Row],[CustomerID]],Customers[CustomerID],Customers[City])</f>
        <v>Washington</v>
      </c>
      <c r="N986" t="str">
        <f>_xlfn.XLOOKUP(Orders[[#This Row],[CustomerID]],Customers[CustomerID],Customers[CustomerName])</f>
        <v>Adanma Adeyemi</v>
      </c>
      <c r="O986" t="str">
        <f>_xlfn.XLOOKUP(Orders[[#This Row],[CustomerID]],Customers[CustomerID],Customers[Gender])</f>
        <v>Female</v>
      </c>
      <c r="P986">
        <f>_xlfn.XLOOKUP(Orders[[#This Row],[CustomerID]],Customers[CustomerID],Customers[CustomerAge])</f>
        <v>45</v>
      </c>
      <c r="Q986" t="str">
        <f>IF(Orders[[#This Row],[Age]]&gt;=35,"older","young")</f>
        <v>older</v>
      </c>
      <c r="R986" t="str">
        <f>_xlfn.XLOOKUP(Orders[[#This Row],[ProductID]],Products[ProductID],Products[ProductName])</f>
        <v>NOSE RINGS</v>
      </c>
      <c r="S986" t="str">
        <f>_xlfn.XLOOKUP(Orders[[#This Row],[ProductID]],Products!A:A,Products!C:C)</f>
        <v>Accessories</v>
      </c>
    </row>
    <row r="987" spans="1:19" x14ac:dyDescent="0.2">
      <c r="A987" s="4" t="s">
        <v>1176</v>
      </c>
      <c r="B987" s="5">
        <v>45985</v>
      </c>
      <c r="C987" s="15">
        <f>WEEKNUM(Orders[[#This Row],[OrderDate]])</f>
        <v>48</v>
      </c>
      <c r="D987" s="4" t="s">
        <v>150</v>
      </c>
      <c r="E987" s="4" t="s">
        <v>46</v>
      </c>
      <c r="F987" s="4">
        <v>3</v>
      </c>
      <c r="G987" s="4">
        <v>819.4</v>
      </c>
      <c r="H987">
        <v>696.49</v>
      </c>
      <c r="I987">
        <f>Orders[[#This Row],[Quantity]]*Orders[[#This Row],[Selling Price]]</f>
        <v>2458.1999999999998</v>
      </c>
      <c r="J987">
        <f>Orders[[#This Row],[Quantity]]*Orders[[#This Row],[Cost Price]]</f>
        <v>2089.4700000000003</v>
      </c>
      <c r="K987">
        <f>Orders[[#This Row],[Revenue]]-Orders[[#This Row],[Expenses]]</f>
        <v>368.72999999999956</v>
      </c>
      <c r="L987" t="s">
        <v>2206</v>
      </c>
      <c r="M987" t="str">
        <f>_xlfn.XLOOKUP(Orders[[#This Row],[CustomerID]],Customers[CustomerID],Customers[City])</f>
        <v>Georgia</v>
      </c>
      <c r="N987" t="str">
        <f>_xlfn.XLOOKUP(Orders[[#This Row],[CustomerID]],Customers[CustomerID],Customers[CustomerName])</f>
        <v>Ronke Eze</v>
      </c>
      <c r="O987" t="str">
        <f>_xlfn.XLOOKUP(Orders[[#This Row],[CustomerID]],Customers[CustomerID],Customers[Gender])</f>
        <v>Female</v>
      </c>
      <c r="P987">
        <f>_xlfn.XLOOKUP(Orders[[#This Row],[CustomerID]],Customers[CustomerID],Customers[CustomerAge])</f>
        <v>23</v>
      </c>
      <c r="Q987" t="str">
        <f>IF(Orders[[#This Row],[Age]]&gt;=35,"older","young")</f>
        <v>young</v>
      </c>
      <c r="R987" t="str">
        <f>_xlfn.XLOOKUP(Orders[[#This Row],[ProductID]],Products[ProductID],Products[ProductName])</f>
        <v>TURTLE NECK</v>
      </c>
      <c r="S987" t="str">
        <f>_xlfn.XLOOKUP(Orders[[#This Row],[ProductID]],Products!A:A,Products!C:C)</f>
        <v>Clothing</v>
      </c>
    </row>
    <row r="988" spans="1:19" x14ac:dyDescent="0.2">
      <c r="A988" s="4" t="s">
        <v>1177</v>
      </c>
      <c r="B988" s="5">
        <v>46011</v>
      </c>
      <c r="C988" s="15">
        <f>WEEKNUM(Orders[[#This Row],[OrderDate]])</f>
        <v>51</v>
      </c>
      <c r="D988" s="4" t="s">
        <v>426</v>
      </c>
      <c r="E988" s="4" t="s">
        <v>60</v>
      </c>
      <c r="F988" s="4">
        <v>10</v>
      </c>
      <c r="G988" s="4">
        <v>19231.8</v>
      </c>
      <c r="H988">
        <v>16347.029999999999</v>
      </c>
      <c r="I988">
        <f>Orders[[#This Row],[Quantity]]*Orders[[#This Row],[Selling Price]]</f>
        <v>192318</v>
      </c>
      <c r="J988">
        <f>Orders[[#This Row],[Quantity]]*Orders[[#This Row],[Cost Price]]</f>
        <v>163470.29999999999</v>
      </c>
      <c r="K988">
        <f>Orders[[#This Row],[Revenue]]-Orders[[#This Row],[Expenses]]</f>
        <v>28847.700000000012</v>
      </c>
      <c r="L988" t="s">
        <v>2215</v>
      </c>
      <c r="M988" t="str">
        <f>_xlfn.XLOOKUP(Orders[[#This Row],[CustomerID]],Customers[CustomerID],Customers[City])</f>
        <v>Washington</v>
      </c>
      <c r="N988" t="str">
        <f>_xlfn.XLOOKUP(Orders[[#This Row],[CustomerID]],Customers[CustomerID],Customers[CustomerName])</f>
        <v>Chinedu Ojo</v>
      </c>
      <c r="O988" t="str">
        <f>_xlfn.XLOOKUP(Orders[[#This Row],[CustomerID]],Customers[CustomerID],Customers[Gender])</f>
        <v>Male</v>
      </c>
      <c r="P988">
        <f>_xlfn.XLOOKUP(Orders[[#This Row],[CustomerID]],Customers[CustomerID],Customers[CustomerAge])</f>
        <v>18</v>
      </c>
      <c r="Q988" t="str">
        <f>IF(Orders[[#This Row],[Age]]&gt;=35,"older","young")</f>
        <v>young</v>
      </c>
      <c r="R988" t="str">
        <f>_xlfn.XLOOKUP(Orders[[#This Row],[ProductID]],Products[ProductID],Products[ProductName])</f>
        <v>SILVER RINGS</v>
      </c>
      <c r="S988" t="str">
        <f>_xlfn.XLOOKUP(Orders[[#This Row],[ProductID]],Products!A:A,Products!C:C)</f>
        <v>Accessories</v>
      </c>
    </row>
    <row r="989" spans="1:19" x14ac:dyDescent="0.2">
      <c r="A989" s="4" t="s">
        <v>1178</v>
      </c>
      <c r="B989" s="5">
        <v>45952</v>
      </c>
      <c r="C989" s="15">
        <f>WEEKNUM(Orders[[#This Row],[OrderDate]])</f>
        <v>43</v>
      </c>
      <c r="D989" s="4" t="s">
        <v>201</v>
      </c>
      <c r="E989" s="4" t="s">
        <v>70</v>
      </c>
      <c r="F989" s="4">
        <v>5</v>
      </c>
      <c r="G989" s="4">
        <v>16004.2</v>
      </c>
      <c r="H989">
        <v>13603.57</v>
      </c>
      <c r="I989">
        <f>Orders[[#This Row],[Quantity]]*Orders[[#This Row],[Selling Price]]</f>
        <v>80021</v>
      </c>
      <c r="J989">
        <f>Orders[[#This Row],[Quantity]]*Orders[[#This Row],[Cost Price]]</f>
        <v>68017.850000000006</v>
      </c>
      <c r="K989">
        <f>Orders[[#This Row],[Revenue]]-Orders[[#This Row],[Expenses]]</f>
        <v>12003.149999999994</v>
      </c>
      <c r="L989" t="s">
        <v>2192</v>
      </c>
      <c r="M989" t="str">
        <f>_xlfn.XLOOKUP(Orders[[#This Row],[CustomerID]],Customers[CustomerID],Customers[City])</f>
        <v>Georgia</v>
      </c>
      <c r="N989" t="str">
        <f>_xlfn.XLOOKUP(Orders[[#This Row],[CustomerID]],Customers[CustomerID],Customers[CustomerName])</f>
        <v>Sani Igwe</v>
      </c>
      <c r="O989" t="str">
        <f>_xlfn.XLOOKUP(Orders[[#This Row],[CustomerID]],Customers[CustomerID],Customers[Gender])</f>
        <v>Male</v>
      </c>
      <c r="P989">
        <f>_xlfn.XLOOKUP(Orders[[#This Row],[CustomerID]],Customers[CustomerID],Customers[CustomerAge])</f>
        <v>20</v>
      </c>
      <c r="Q989" t="str">
        <f>IF(Orders[[#This Row],[Age]]&gt;=35,"older","young")</f>
        <v>young</v>
      </c>
      <c r="R989" t="str">
        <f>_xlfn.XLOOKUP(Orders[[#This Row],[ProductID]],Products[ProductID],Products[ProductName])</f>
        <v>YOGA MAT</v>
      </c>
      <c r="S989" t="str">
        <f>_xlfn.XLOOKUP(Orders[[#This Row],[ProductID]],Products!A:A,Products!C:C)</f>
        <v>Gym</v>
      </c>
    </row>
    <row r="990" spans="1:19" x14ac:dyDescent="0.2">
      <c r="A990" s="4" t="s">
        <v>1179</v>
      </c>
      <c r="B990" s="5">
        <v>45954</v>
      </c>
      <c r="C990" s="15">
        <f>WEEKNUM(Orders[[#This Row],[OrderDate]])</f>
        <v>43</v>
      </c>
      <c r="D990" s="4" t="s">
        <v>132</v>
      </c>
      <c r="E990" s="4" t="s">
        <v>120</v>
      </c>
      <c r="F990" s="4">
        <v>8</v>
      </c>
      <c r="G990" s="4">
        <v>13316.199999999999</v>
      </c>
      <c r="H990">
        <v>11318.769999999999</v>
      </c>
      <c r="I990">
        <f>Orders[[#This Row],[Quantity]]*Orders[[#This Row],[Selling Price]]</f>
        <v>106529.59999999999</v>
      </c>
      <c r="J990">
        <f>Orders[[#This Row],[Quantity]]*Orders[[#This Row],[Cost Price]]</f>
        <v>90550.159999999989</v>
      </c>
      <c r="K990">
        <f>Orders[[#This Row],[Revenue]]-Orders[[#This Row],[Expenses]]</f>
        <v>15979.440000000002</v>
      </c>
      <c r="L990" t="s">
        <v>2214</v>
      </c>
      <c r="M990" t="str">
        <f>_xlfn.XLOOKUP(Orders[[#This Row],[CustomerID]],Customers[CustomerID],Customers[City])</f>
        <v>Illinois</v>
      </c>
      <c r="N990" t="str">
        <f>_xlfn.XLOOKUP(Orders[[#This Row],[CustomerID]],Customers[CustomerID],Customers[CustomerName])</f>
        <v>Emeka Balogun</v>
      </c>
      <c r="O990" t="str">
        <f>_xlfn.XLOOKUP(Orders[[#This Row],[CustomerID]],Customers[CustomerID],Customers[Gender])</f>
        <v>Male</v>
      </c>
      <c r="P990">
        <f>_xlfn.XLOOKUP(Orders[[#This Row],[CustomerID]],Customers[CustomerID],Customers[CustomerAge])</f>
        <v>36</v>
      </c>
      <c r="Q990" t="str">
        <f>IF(Orders[[#This Row],[Age]]&gt;=35,"older","young")</f>
        <v>older</v>
      </c>
      <c r="R990" t="str">
        <f>_xlfn.XLOOKUP(Orders[[#This Row],[ProductID]],Products[ProductID],Products[ProductName])</f>
        <v>CHESS</v>
      </c>
      <c r="S990" t="str">
        <f>_xlfn.XLOOKUP(Orders[[#This Row],[ProductID]],Products!A:A,Products!C:C)</f>
        <v>Games</v>
      </c>
    </row>
    <row r="991" spans="1:19" x14ac:dyDescent="0.2">
      <c r="A991" s="4" t="s">
        <v>1180</v>
      </c>
      <c r="B991" s="5">
        <v>45997</v>
      </c>
      <c r="C991" s="15">
        <f>WEEKNUM(Orders[[#This Row],[OrderDate]])</f>
        <v>49</v>
      </c>
      <c r="D991" s="4" t="s">
        <v>176</v>
      </c>
      <c r="E991" s="4" t="s">
        <v>120</v>
      </c>
      <c r="F991" s="4">
        <v>9</v>
      </c>
      <c r="G991" s="4">
        <v>3341.7000000000003</v>
      </c>
      <c r="H991">
        <v>2840.4450000000002</v>
      </c>
      <c r="I991">
        <f>Orders[[#This Row],[Quantity]]*Orders[[#This Row],[Selling Price]]</f>
        <v>30075.300000000003</v>
      </c>
      <c r="J991">
        <f>Orders[[#This Row],[Quantity]]*Orders[[#This Row],[Cost Price]]</f>
        <v>25564.005000000001</v>
      </c>
      <c r="K991">
        <f>Orders[[#This Row],[Revenue]]-Orders[[#This Row],[Expenses]]</f>
        <v>4511.2950000000019</v>
      </c>
      <c r="L991" t="s">
        <v>2201</v>
      </c>
      <c r="M991" t="str">
        <f>_xlfn.XLOOKUP(Orders[[#This Row],[CustomerID]],Customers[CustomerID],Customers[City])</f>
        <v>Florida</v>
      </c>
      <c r="N991" t="str">
        <f>_xlfn.XLOOKUP(Orders[[#This Row],[CustomerID]],Customers[CustomerID],Customers[CustomerName])</f>
        <v>Okon Eze</v>
      </c>
      <c r="O991" t="str">
        <f>_xlfn.XLOOKUP(Orders[[#This Row],[CustomerID]],Customers[CustomerID],Customers[Gender])</f>
        <v>Male</v>
      </c>
      <c r="P991">
        <f>_xlfn.XLOOKUP(Orders[[#This Row],[CustomerID]],Customers[CustomerID],Customers[CustomerAge])</f>
        <v>26</v>
      </c>
      <c r="Q991" t="str">
        <f>IF(Orders[[#This Row],[Age]]&gt;=35,"older","young")</f>
        <v>young</v>
      </c>
      <c r="R991" t="str">
        <f>_xlfn.XLOOKUP(Orders[[#This Row],[ProductID]],Products[ProductID],Products[ProductName])</f>
        <v>CHESS</v>
      </c>
      <c r="S991" t="str">
        <f>_xlfn.XLOOKUP(Orders[[#This Row],[ProductID]],Products!A:A,Products!C:C)</f>
        <v>Games</v>
      </c>
    </row>
    <row r="992" spans="1:19" x14ac:dyDescent="0.2">
      <c r="A992" s="4" t="s">
        <v>1181</v>
      </c>
      <c r="B992" s="5">
        <v>46011</v>
      </c>
      <c r="C992" s="15">
        <f>WEEKNUM(Orders[[#This Row],[OrderDate]])</f>
        <v>51</v>
      </c>
      <c r="D992" s="4" t="s">
        <v>182</v>
      </c>
      <c r="E992" s="4" t="s">
        <v>28</v>
      </c>
      <c r="F992" s="4">
        <v>9</v>
      </c>
      <c r="G992" s="4">
        <v>16207.3</v>
      </c>
      <c r="H992">
        <v>13776.205</v>
      </c>
      <c r="I992">
        <f>Orders[[#This Row],[Quantity]]*Orders[[#This Row],[Selling Price]]</f>
        <v>145865.69999999998</v>
      </c>
      <c r="J992">
        <f>Orders[[#This Row],[Quantity]]*Orders[[#This Row],[Cost Price]]</f>
        <v>123985.845</v>
      </c>
      <c r="K992">
        <f>Orders[[#This Row],[Revenue]]-Orders[[#This Row],[Expenses]]</f>
        <v>21879.854999999981</v>
      </c>
      <c r="L992" t="s">
        <v>2214</v>
      </c>
      <c r="M992" t="str">
        <f>_xlfn.XLOOKUP(Orders[[#This Row],[CustomerID]],Customers[CustomerID],Customers[City])</f>
        <v>Georgia</v>
      </c>
      <c r="N992" t="str">
        <f>_xlfn.XLOOKUP(Orders[[#This Row],[CustomerID]],Customers[CustomerID],Customers[CustomerName])</f>
        <v>Abiola Okonkwo</v>
      </c>
      <c r="O992" t="str">
        <f>_xlfn.XLOOKUP(Orders[[#This Row],[CustomerID]],Customers[CustomerID],Customers[Gender])</f>
        <v>Male</v>
      </c>
      <c r="P992">
        <f>_xlfn.XLOOKUP(Orders[[#This Row],[CustomerID]],Customers[CustomerID],Customers[CustomerAge])</f>
        <v>39</v>
      </c>
      <c r="Q992" t="str">
        <f>IF(Orders[[#This Row],[Age]]&gt;=35,"older","young")</f>
        <v>older</v>
      </c>
      <c r="R992" t="str">
        <f>_xlfn.XLOOKUP(Orders[[#This Row],[ProductID]],Products[ProductID],Products[ProductName])</f>
        <v>SNEAKERS</v>
      </c>
      <c r="S992" t="str">
        <f>_xlfn.XLOOKUP(Orders[[#This Row],[ProductID]],Products!A:A,Products!C:C)</f>
        <v>Sports</v>
      </c>
    </row>
    <row r="993" spans="1:19" x14ac:dyDescent="0.2">
      <c r="A993" s="4" t="s">
        <v>1182</v>
      </c>
      <c r="B993" s="5">
        <v>45971</v>
      </c>
      <c r="C993" s="15">
        <f>WEEKNUM(Orders[[#This Row],[OrderDate]])</f>
        <v>46</v>
      </c>
      <c r="D993" s="4" t="s">
        <v>218</v>
      </c>
      <c r="E993" s="4" t="s">
        <v>34</v>
      </c>
      <c r="F993" s="4">
        <v>8</v>
      </c>
      <c r="G993" s="4">
        <v>19720</v>
      </c>
      <c r="H993">
        <v>16762</v>
      </c>
      <c r="I993">
        <f>Orders[[#This Row],[Quantity]]*Orders[[#This Row],[Selling Price]]</f>
        <v>157760</v>
      </c>
      <c r="J993">
        <f>Orders[[#This Row],[Quantity]]*Orders[[#This Row],[Cost Price]]</f>
        <v>134096</v>
      </c>
      <c r="K993">
        <f>Orders[[#This Row],[Revenue]]-Orders[[#This Row],[Expenses]]</f>
        <v>23664</v>
      </c>
      <c r="L993" t="s">
        <v>2192</v>
      </c>
      <c r="M993" t="str">
        <f>_xlfn.XLOOKUP(Orders[[#This Row],[CustomerID]],Customers[CustomerID],Customers[City])</f>
        <v>Florida</v>
      </c>
      <c r="N993" t="str">
        <f>_xlfn.XLOOKUP(Orders[[#This Row],[CustomerID]],Customers[CustomerID],Customers[CustomerName])</f>
        <v>Temi Danladi</v>
      </c>
      <c r="O993" t="str">
        <f>_xlfn.XLOOKUP(Orders[[#This Row],[CustomerID]],Customers[CustomerID],Customers[Gender])</f>
        <v>Female</v>
      </c>
      <c r="P993">
        <f>_xlfn.XLOOKUP(Orders[[#This Row],[CustomerID]],Customers[CustomerID],Customers[CustomerAge])</f>
        <v>48</v>
      </c>
      <c r="Q993" t="str">
        <f>IF(Orders[[#This Row],[Age]]&gt;=35,"older","young")</f>
        <v>older</v>
      </c>
      <c r="R993" t="str">
        <f>_xlfn.XLOOKUP(Orders[[#This Row],[ProductID]],Products[ProductID],Products[ProductName])</f>
        <v>GOLD BRACELETS</v>
      </c>
      <c r="S993" t="str">
        <f>_xlfn.XLOOKUP(Orders[[#This Row],[ProductID]],Products!A:A,Products!C:C)</f>
        <v>Accessories</v>
      </c>
    </row>
    <row r="994" spans="1:19" x14ac:dyDescent="0.2">
      <c r="A994" s="4" t="s">
        <v>1183</v>
      </c>
      <c r="B994" s="5">
        <v>46021</v>
      </c>
      <c r="C994" s="15">
        <f>WEEKNUM(Orders[[#This Row],[OrderDate]])</f>
        <v>53</v>
      </c>
      <c r="D994" s="4" t="s">
        <v>19</v>
      </c>
      <c r="E994" s="4" t="s">
        <v>34</v>
      </c>
      <c r="F994" s="4">
        <v>9</v>
      </c>
      <c r="G994" s="4">
        <v>2881.5</v>
      </c>
      <c r="H994">
        <v>2449.2750000000001</v>
      </c>
      <c r="I994">
        <f>Orders[[#This Row],[Quantity]]*Orders[[#This Row],[Selling Price]]</f>
        <v>25933.5</v>
      </c>
      <c r="J994">
        <f>Orders[[#This Row],[Quantity]]*Orders[[#This Row],[Cost Price]]</f>
        <v>22043.475000000002</v>
      </c>
      <c r="K994">
        <f>Orders[[#This Row],[Revenue]]-Orders[[#This Row],[Expenses]]</f>
        <v>3890.0249999999978</v>
      </c>
      <c r="L994" t="s">
        <v>2198</v>
      </c>
      <c r="M994" t="str">
        <f>_xlfn.XLOOKUP(Orders[[#This Row],[CustomerID]],Customers[CustomerID],Customers[City])</f>
        <v>California</v>
      </c>
      <c r="N994" t="str">
        <f>_xlfn.XLOOKUP(Orders[[#This Row],[CustomerID]],Customers[CustomerID],Customers[CustomerName])</f>
        <v>Obi Adeyemi</v>
      </c>
      <c r="O994" t="str">
        <f>_xlfn.XLOOKUP(Orders[[#This Row],[CustomerID]],Customers[CustomerID],Customers[Gender])</f>
        <v>Male</v>
      </c>
      <c r="P994">
        <f>_xlfn.XLOOKUP(Orders[[#This Row],[CustomerID]],Customers[CustomerID],Customers[CustomerAge])</f>
        <v>24</v>
      </c>
      <c r="Q994" t="str">
        <f>IF(Orders[[#This Row],[Age]]&gt;=35,"older","young")</f>
        <v>young</v>
      </c>
      <c r="R994" t="str">
        <f>_xlfn.XLOOKUP(Orders[[#This Row],[ProductID]],Products[ProductID],Products[ProductName])</f>
        <v>GOLD BRACELETS</v>
      </c>
      <c r="S994" t="str">
        <f>_xlfn.XLOOKUP(Orders[[#This Row],[ProductID]],Products!A:A,Products!C:C)</f>
        <v>Accessories</v>
      </c>
    </row>
    <row r="995" spans="1:19" x14ac:dyDescent="0.2">
      <c r="A995" s="4" t="s">
        <v>1184</v>
      </c>
      <c r="B995" s="5">
        <v>45987</v>
      </c>
      <c r="C995" s="15">
        <f>WEEKNUM(Orders[[#This Row],[OrderDate]])</f>
        <v>48</v>
      </c>
      <c r="D995" s="4" t="s">
        <v>305</v>
      </c>
      <c r="E995" s="4" t="s">
        <v>46</v>
      </c>
      <c r="F995" s="4">
        <v>3</v>
      </c>
      <c r="G995" s="4">
        <v>8522.9</v>
      </c>
      <c r="H995">
        <v>7244.4650000000001</v>
      </c>
      <c r="I995">
        <f>Orders[[#This Row],[Quantity]]*Orders[[#This Row],[Selling Price]]</f>
        <v>25568.699999999997</v>
      </c>
      <c r="J995">
        <f>Orders[[#This Row],[Quantity]]*Orders[[#This Row],[Cost Price]]</f>
        <v>21733.395</v>
      </c>
      <c r="K995">
        <f>Orders[[#This Row],[Revenue]]-Orders[[#This Row],[Expenses]]</f>
        <v>3835.3049999999967</v>
      </c>
      <c r="L995" t="s">
        <v>2204</v>
      </c>
      <c r="M995" t="str">
        <f>_xlfn.XLOOKUP(Orders[[#This Row],[CustomerID]],Customers[CustomerID],Customers[City])</f>
        <v>California</v>
      </c>
      <c r="N995" t="str">
        <f>_xlfn.XLOOKUP(Orders[[#This Row],[CustomerID]],Customers[CustomerID],Customers[CustomerName])</f>
        <v>Tunde Danladi</v>
      </c>
      <c r="O995" t="str">
        <f>_xlfn.XLOOKUP(Orders[[#This Row],[CustomerID]],Customers[CustomerID],Customers[Gender])</f>
        <v>Male</v>
      </c>
      <c r="P995">
        <f>_xlfn.XLOOKUP(Orders[[#This Row],[CustomerID]],Customers[CustomerID],Customers[CustomerAge])</f>
        <v>40</v>
      </c>
      <c r="Q995" t="str">
        <f>IF(Orders[[#This Row],[Age]]&gt;=35,"older","young")</f>
        <v>older</v>
      </c>
      <c r="R995" t="str">
        <f>_xlfn.XLOOKUP(Orders[[#This Row],[ProductID]],Products[ProductID],Products[ProductName])</f>
        <v>TURTLE NECK</v>
      </c>
      <c r="S995" t="str">
        <f>_xlfn.XLOOKUP(Orders[[#This Row],[ProductID]],Products!A:A,Products!C:C)</f>
        <v>Clothing</v>
      </c>
    </row>
    <row r="996" spans="1:19" x14ac:dyDescent="0.2">
      <c r="A996" s="4" t="s">
        <v>1185</v>
      </c>
      <c r="B996" s="5">
        <v>46021</v>
      </c>
      <c r="C996" s="15">
        <f>WEEKNUM(Orders[[#This Row],[OrderDate]])</f>
        <v>53</v>
      </c>
      <c r="D996" s="4" t="s">
        <v>62</v>
      </c>
      <c r="E996" s="4" t="s">
        <v>28</v>
      </c>
      <c r="F996" s="4">
        <v>1</v>
      </c>
      <c r="G996" s="4">
        <v>11503.099999999999</v>
      </c>
      <c r="H996">
        <v>9777.6349999999984</v>
      </c>
      <c r="I996">
        <f>Orders[[#This Row],[Quantity]]*Orders[[#This Row],[Selling Price]]</f>
        <v>11503.099999999999</v>
      </c>
      <c r="J996">
        <f>Orders[[#This Row],[Quantity]]*Orders[[#This Row],[Cost Price]]</f>
        <v>9777.6349999999984</v>
      </c>
      <c r="K996">
        <f>Orders[[#This Row],[Revenue]]-Orders[[#This Row],[Expenses]]</f>
        <v>1725.4650000000001</v>
      </c>
      <c r="L996" t="s">
        <v>2203</v>
      </c>
      <c r="M996" t="str">
        <f>_xlfn.XLOOKUP(Orders[[#This Row],[CustomerID]],Customers[CustomerID],Customers[City])</f>
        <v>Texas</v>
      </c>
      <c r="N996" t="str">
        <f>_xlfn.XLOOKUP(Orders[[#This Row],[CustomerID]],Customers[CustomerID],Customers[CustomerName])</f>
        <v>Ronke Okonkwo</v>
      </c>
      <c r="O996" t="str">
        <f>_xlfn.XLOOKUP(Orders[[#This Row],[CustomerID]],Customers[CustomerID],Customers[Gender])</f>
        <v>Female</v>
      </c>
      <c r="P996">
        <f>_xlfn.XLOOKUP(Orders[[#This Row],[CustomerID]],Customers[CustomerID],Customers[CustomerAge])</f>
        <v>36</v>
      </c>
      <c r="Q996" t="str">
        <f>IF(Orders[[#This Row],[Age]]&gt;=35,"older","young")</f>
        <v>older</v>
      </c>
      <c r="R996" t="str">
        <f>_xlfn.XLOOKUP(Orders[[#This Row],[ProductID]],Products[ProductID],Products[ProductName])</f>
        <v>SNEAKERS</v>
      </c>
      <c r="S996" t="str">
        <f>_xlfn.XLOOKUP(Orders[[#This Row],[ProductID]],Products!A:A,Products!C:C)</f>
        <v>Sports</v>
      </c>
    </row>
    <row r="997" spans="1:19" x14ac:dyDescent="0.2">
      <c r="A997" s="4" t="s">
        <v>1186</v>
      </c>
      <c r="B997" s="5">
        <v>45974</v>
      </c>
      <c r="C997" s="15">
        <f>WEEKNUM(Orders[[#This Row],[OrderDate]])</f>
        <v>46</v>
      </c>
      <c r="D997" s="4" t="s">
        <v>256</v>
      </c>
      <c r="E997" s="4" t="s">
        <v>189</v>
      </c>
      <c r="F997" s="4">
        <v>4</v>
      </c>
      <c r="G997" s="4">
        <v>10207</v>
      </c>
      <c r="H997">
        <v>8675.9500000000007</v>
      </c>
      <c r="I997">
        <f>Orders[[#This Row],[Quantity]]*Orders[[#This Row],[Selling Price]]</f>
        <v>40828</v>
      </c>
      <c r="J997">
        <f>Orders[[#This Row],[Quantity]]*Orders[[#This Row],[Cost Price]]</f>
        <v>34703.800000000003</v>
      </c>
      <c r="K997">
        <f>Orders[[#This Row],[Revenue]]-Orders[[#This Row],[Expenses]]</f>
        <v>6124.1999999999971</v>
      </c>
      <c r="L997" t="s">
        <v>2212</v>
      </c>
      <c r="M997" t="str">
        <f>_xlfn.XLOOKUP(Orders[[#This Row],[CustomerID]],Customers[CustomerID],Customers[City])</f>
        <v>Georgia</v>
      </c>
      <c r="N997" t="str">
        <f>_xlfn.XLOOKUP(Orders[[#This Row],[CustomerID]],Customers[CustomerID],Customers[CustomerName])</f>
        <v>Efe Ojo</v>
      </c>
      <c r="O997" t="str">
        <f>_xlfn.XLOOKUP(Orders[[#This Row],[CustomerID]],Customers[CustomerID],Customers[Gender])</f>
        <v>Female</v>
      </c>
      <c r="P997">
        <f>_xlfn.XLOOKUP(Orders[[#This Row],[CustomerID]],Customers[CustomerID],Customers[CustomerAge])</f>
        <v>23</v>
      </c>
      <c r="Q997" t="str">
        <f>IF(Orders[[#This Row],[Age]]&gt;=35,"older","young")</f>
        <v>young</v>
      </c>
      <c r="R997" t="str">
        <f>_xlfn.XLOOKUP(Orders[[#This Row],[ProductID]],Products[ProductID],Products[ProductName])</f>
        <v>SCRABBLE</v>
      </c>
      <c r="S997" t="str">
        <f>_xlfn.XLOOKUP(Orders[[#This Row],[ProductID]],Products!A:A,Products!C:C)</f>
        <v>Games</v>
      </c>
    </row>
    <row r="998" spans="1:19" x14ac:dyDescent="0.2">
      <c r="A998" s="4" t="s">
        <v>1187</v>
      </c>
      <c r="B998" s="5">
        <v>45940</v>
      </c>
      <c r="C998" s="15">
        <f>WEEKNUM(Orders[[#This Row],[OrderDate]])</f>
        <v>41</v>
      </c>
      <c r="D998" s="4" t="s">
        <v>110</v>
      </c>
      <c r="E998" s="4" t="s">
        <v>57</v>
      </c>
      <c r="F998" s="4">
        <v>2</v>
      </c>
      <c r="G998" s="4">
        <v>15855.2</v>
      </c>
      <c r="H998">
        <v>13476.92</v>
      </c>
      <c r="I998">
        <f>Orders[[#This Row],[Quantity]]*Orders[[#This Row],[Selling Price]]</f>
        <v>31710.400000000001</v>
      </c>
      <c r="J998">
        <f>Orders[[#This Row],[Quantity]]*Orders[[#This Row],[Cost Price]]</f>
        <v>26953.84</v>
      </c>
      <c r="K998">
        <f>Orders[[#This Row],[Revenue]]-Orders[[#This Row],[Expenses]]</f>
        <v>4756.5600000000013</v>
      </c>
      <c r="L998" t="s">
        <v>2210</v>
      </c>
      <c r="M998" t="str">
        <f>_xlfn.XLOOKUP(Orders[[#This Row],[CustomerID]],Customers[CustomerID],Customers[City])</f>
        <v>Washington</v>
      </c>
      <c r="N998" t="str">
        <f>_xlfn.XLOOKUP(Orders[[#This Row],[CustomerID]],Customers[CustomerID],Customers[CustomerName])</f>
        <v>Ngozi Danladi</v>
      </c>
      <c r="O998" t="str">
        <f>_xlfn.XLOOKUP(Orders[[#This Row],[CustomerID]],Customers[CustomerID],Customers[Gender])</f>
        <v>Female</v>
      </c>
      <c r="P998">
        <f>_xlfn.XLOOKUP(Orders[[#This Row],[CustomerID]],Customers[CustomerID],Customers[CustomerAge])</f>
        <v>28</v>
      </c>
      <c r="Q998" t="str">
        <f>IF(Orders[[#This Row],[Age]]&gt;=35,"older","young")</f>
        <v>young</v>
      </c>
      <c r="R998" t="str">
        <f>_xlfn.XLOOKUP(Orders[[#This Row],[ProductID]],Products[ProductID],Products[ProductName])</f>
        <v>BADMINTON RACKET</v>
      </c>
      <c r="S998" t="str">
        <f>_xlfn.XLOOKUP(Orders[[#This Row],[ProductID]],Products!A:A,Products!C:C)</f>
        <v>Sports</v>
      </c>
    </row>
    <row r="999" spans="1:19" x14ac:dyDescent="0.2">
      <c r="A999" s="4" t="s">
        <v>1188</v>
      </c>
      <c r="B999" s="5">
        <v>45976</v>
      </c>
      <c r="C999" s="15">
        <f>WEEKNUM(Orders[[#This Row],[OrderDate]])</f>
        <v>46</v>
      </c>
      <c r="D999" s="4" t="s">
        <v>237</v>
      </c>
      <c r="E999" s="4" t="s">
        <v>9</v>
      </c>
      <c r="F999" s="4">
        <v>1</v>
      </c>
      <c r="G999" s="4">
        <v>4997.7</v>
      </c>
      <c r="H999">
        <v>4248.0450000000001</v>
      </c>
      <c r="I999">
        <f>Orders[[#This Row],[Quantity]]*Orders[[#This Row],[Selling Price]]</f>
        <v>4997.7</v>
      </c>
      <c r="J999">
        <f>Orders[[#This Row],[Quantity]]*Orders[[#This Row],[Cost Price]]</f>
        <v>4248.0450000000001</v>
      </c>
      <c r="K999">
        <f>Orders[[#This Row],[Revenue]]-Orders[[#This Row],[Expenses]]</f>
        <v>749.65499999999975</v>
      </c>
      <c r="L999" t="s">
        <v>2203</v>
      </c>
      <c r="M999" t="str">
        <f>_xlfn.XLOOKUP(Orders[[#This Row],[CustomerID]],Customers[CustomerID],Customers[City])</f>
        <v>Florida</v>
      </c>
      <c r="N999" t="str">
        <f>_xlfn.XLOOKUP(Orders[[#This Row],[CustomerID]],Customers[CustomerID],Customers[CustomerName])</f>
        <v>Ronke Danladi</v>
      </c>
      <c r="O999" t="str">
        <f>_xlfn.XLOOKUP(Orders[[#This Row],[CustomerID]],Customers[CustomerID],Customers[Gender])</f>
        <v>Female</v>
      </c>
      <c r="P999">
        <f>_xlfn.XLOOKUP(Orders[[#This Row],[CustomerID]],Customers[CustomerID],Customers[CustomerAge])</f>
        <v>25</v>
      </c>
      <c r="Q999" t="str">
        <f>IF(Orders[[#This Row],[Age]]&gt;=35,"older","young")</f>
        <v>young</v>
      </c>
      <c r="R999" t="str">
        <f>_xlfn.XLOOKUP(Orders[[#This Row],[ProductID]],Products[ProductID],Products[ProductName])</f>
        <v>BEADED EARRINGS AND NECKLACES</v>
      </c>
      <c r="S999" t="str">
        <f>_xlfn.XLOOKUP(Orders[[#This Row],[ProductID]],Products!A:A,Products!C:C)</f>
        <v>Accessories</v>
      </c>
    </row>
    <row r="1000" spans="1:19" x14ac:dyDescent="0.2">
      <c r="A1000" s="4" t="s">
        <v>1189</v>
      </c>
      <c r="B1000" s="5">
        <v>45981</v>
      </c>
      <c r="C1000" s="15">
        <f>WEEKNUM(Orders[[#This Row],[OrderDate]])</f>
        <v>47</v>
      </c>
      <c r="D1000" s="4" t="s">
        <v>136</v>
      </c>
      <c r="E1000" s="4" t="s">
        <v>92</v>
      </c>
      <c r="F1000" s="4">
        <v>6</v>
      </c>
      <c r="G1000" s="4">
        <v>8441.6</v>
      </c>
      <c r="H1000">
        <v>7175.3600000000006</v>
      </c>
      <c r="I1000">
        <f>Orders[[#This Row],[Quantity]]*Orders[[#This Row],[Selling Price]]</f>
        <v>50649.600000000006</v>
      </c>
      <c r="J1000">
        <f>Orders[[#This Row],[Quantity]]*Orders[[#This Row],[Cost Price]]</f>
        <v>43052.160000000003</v>
      </c>
      <c r="K1000">
        <f>Orders[[#This Row],[Revenue]]-Orders[[#This Row],[Expenses]]</f>
        <v>7597.4400000000023</v>
      </c>
      <c r="L1000" t="s">
        <v>2208</v>
      </c>
      <c r="M1000" t="str">
        <f>_xlfn.XLOOKUP(Orders[[#This Row],[CustomerID]],Customers[CustomerID],Customers[City])</f>
        <v>California</v>
      </c>
      <c r="N1000" t="str">
        <f>_xlfn.XLOOKUP(Orders[[#This Row],[CustomerID]],Customers[CustomerID],Customers[CustomerName])</f>
        <v>Chinedu Obi</v>
      </c>
      <c r="O1000" t="str">
        <f>_xlfn.XLOOKUP(Orders[[#This Row],[CustomerID]],Customers[CustomerID],Customers[Gender])</f>
        <v>Male</v>
      </c>
      <c r="P1000">
        <f>_xlfn.XLOOKUP(Orders[[#This Row],[CustomerID]],Customers[CustomerID],Customers[CustomerAge])</f>
        <v>27</v>
      </c>
      <c r="Q1000" t="str">
        <f>IF(Orders[[#This Row],[Age]]&gt;=35,"older","young")</f>
        <v>young</v>
      </c>
      <c r="R1000" t="str">
        <f>_xlfn.XLOOKUP(Orders[[#This Row],[ProductID]],Products[ProductID],Products[ProductName])</f>
        <v>CHEST EXPANDER</v>
      </c>
      <c r="S1000" t="str">
        <f>_xlfn.XLOOKUP(Orders[[#This Row],[ProductID]],Products!A:A,Products!C:C)</f>
        <v>Gym</v>
      </c>
    </row>
    <row r="1001" spans="1:19" x14ac:dyDescent="0.2">
      <c r="A1001" s="4" t="s">
        <v>1190</v>
      </c>
      <c r="B1001" s="5">
        <v>45968</v>
      </c>
      <c r="C1001" s="15">
        <f>WEEKNUM(Orders[[#This Row],[OrderDate]])</f>
        <v>45</v>
      </c>
      <c r="D1001" s="4" t="s">
        <v>207</v>
      </c>
      <c r="E1001" s="4" t="s">
        <v>15</v>
      </c>
      <c r="F1001" s="4">
        <v>4</v>
      </c>
      <c r="G1001" s="4">
        <v>14929.7</v>
      </c>
      <c r="H1001">
        <v>12690.245000000001</v>
      </c>
      <c r="I1001">
        <f>Orders[[#This Row],[Quantity]]*Orders[[#This Row],[Selling Price]]</f>
        <v>59718.8</v>
      </c>
      <c r="J1001">
        <f>Orders[[#This Row],[Quantity]]*Orders[[#This Row],[Cost Price]]</f>
        <v>50760.98</v>
      </c>
      <c r="K1001">
        <f>Orders[[#This Row],[Revenue]]-Orders[[#This Row],[Expenses]]</f>
        <v>8957.82</v>
      </c>
      <c r="L1001" t="s">
        <v>2208</v>
      </c>
      <c r="M1001" t="str">
        <f>_xlfn.XLOOKUP(Orders[[#This Row],[CustomerID]],Customers[CustomerID],Customers[City])</f>
        <v>Florida</v>
      </c>
      <c r="N1001" t="str">
        <f>_xlfn.XLOOKUP(Orders[[#This Row],[CustomerID]],Customers[CustomerID],Customers[CustomerName])</f>
        <v>Bisi Eze</v>
      </c>
      <c r="O1001" t="str">
        <f>_xlfn.XLOOKUP(Orders[[#This Row],[CustomerID]],Customers[CustomerID],Customers[Gender])</f>
        <v>Female</v>
      </c>
      <c r="P1001">
        <f>_xlfn.XLOOKUP(Orders[[#This Row],[CustomerID]],Customers[CustomerID],Customers[CustomerAge])</f>
        <v>37</v>
      </c>
      <c r="Q1001" t="str">
        <f>IF(Orders[[#This Row],[Age]]&gt;=35,"older","young")</f>
        <v>older</v>
      </c>
      <c r="R1001" t="str">
        <f>_xlfn.XLOOKUP(Orders[[#This Row],[ProductID]],Products[ProductID],Products[ProductName])</f>
        <v>MONOPOLY</v>
      </c>
      <c r="S1001" t="str">
        <f>_xlfn.XLOOKUP(Orders[[#This Row],[ProductID]],Products!A:A,Products!C:C)</f>
        <v>Games</v>
      </c>
    </row>
    <row r="1002" spans="1:19" x14ac:dyDescent="0.2">
      <c r="A1002" s="4" t="s">
        <v>1191</v>
      </c>
      <c r="B1002" s="5">
        <v>45989</v>
      </c>
      <c r="C1002" s="15">
        <f>WEEKNUM(Orders[[#This Row],[OrderDate]])</f>
        <v>48</v>
      </c>
      <c r="D1002" s="4" t="s">
        <v>205</v>
      </c>
      <c r="E1002" s="4" t="s">
        <v>92</v>
      </c>
      <c r="F1002" s="4">
        <v>5</v>
      </c>
      <c r="G1002" s="4">
        <v>14809.2</v>
      </c>
      <c r="H1002">
        <v>12587.82</v>
      </c>
      <c r="I1002">
        <f>Orders[[#This Row],[Quantity]]*Orders[[#This Row],[Selling Price]]</f>
        <v>74046</v>
      </c>
      <c r="J1002">
        <f>Orders[[#This Row],[Quantity]]*Orders[[#This Row],[Cost Price]]</f>
        <v>62939.1</v>
      </c>
      <c r="K1002">
        <f>Orders[[#This Row],[Revenue]]-Orders[[#This Row],[Expenses]]</f>
        <v>11106.900000000001</v>
      </c>
      <c r="L1002" t="s">
        <v>2215</v>
      </c>
      <c r="M1002" t="str">
        <f>_xlfn.XLOOKUP(Orders[[#This Row],[CustomerID]],Customers[CustomerID],Customers[City])</f>
        <v>Washington</v>
      </c>
      <c r="N1002" t="str">
        <f>_xlfn.XLOOKUP(Orders[[#This Row],[CustomerID]],Customers[CustomerID],Customers[CustomerName])</f>
        <v>Jide Adeyemi</v>
      </c>
      <c r="O1002" t="str">
        <f>_xlfn.XLOOKUP(Orders[[#This Row],[CustomerID]],Customers[CustomerID],Customers[Gender])</f>
        <v>Male</v>
      </c>
      <c r="P1002">
        <f>_xlfn.XLOOKUP(Orders[[#This Row],[CustomerID]],Customers[CustomerID],Customers[CustomerAge])</f>
        <v>19</v>
      </c>
      <c r="Q1002" t="str">
        <f>IF(Orders[[#This Row],[Age]]&gt;=35,"older","young")</f>
        <v>young</v>
      </c>
      <c r="R1002" t="str">
        <f>_xlfn.XLOOKUP(Orders[[#This Row],[ProductID]],Products[ProductID],Products[ProductName])</f>
        <v>CHEST EXPANDER</v>
      </c>
      <c r="S1002" t="str">
        <f>_xlfn.XLOOKUP(Orders[[#This Row],[ProductID]],Products!A:A,Products!C:C)</f>
        <v>Gym</v>
      </c>
    </row>
    <row r="1003" spans="1:19" x14ac:dyDescent="0.2">
      <c r="A1003" s="4" t="s">
        <v>1192</v>
      </c>
      <c r="B1003" s="5">
        <v>45938</v>
      </c>
      <c r="C1003" s="15">
        <f>WEEKNUM(Orders[[#This Row],[OrderDate]])</f>
        <v>41</v>
      </c>
      <c r="D1003" s="4" t="s">
        <v>198</v>
      </c>
      <c r="E1003" s="4" t="s">
        <v>37</v>
      </c>
      <c r="F1003" s="4">
        <v>6</v>
      </c>
      <c r="G1003" s="4">
        <v>8397.4</v>
      </c>
      <c r="H1003">
        <v>7137.79</v>
      </c>
      <c r="I1003">
        <f>Orders[[#This Row],[Quantity]]*Orders[[#This Row],[Selling Price]]</f>
        <v>50384.399999999994</v>
      </c>
      <c r="J1003">
        <f>Orders[[#This Row],[Quantity]]*Orders[[#This Row],[Cost Price]]</f>
        <v>42826.74</v>
      </c>
      <c r="K1003">
        <f>Orders[[#This Row],[Revenue]]-Orders[[#This Row],[Expenses]]</f>
        <v>7557.6599999999962</v>
      </c>
      <c r="L1003" t="s">
        <v>2215</v>
      </c>
      <c r="M1003" t="str">
        <f>_xlfn.XLOOKUP(Orders[[#This Row],[CustomerID]],Customers[CustomerID],Customers[City])</f>
        <v>Texas</v>
      </c>
      <c r="N1003" t="str">
        <f>_xlfn.XLOOKUP(Orders[[#This Row],[CustomerID]],Customers[CustomerID],Customers[CustomerName])</f>
        <v>Blessing Danladi</v>
      </c>
      <c r="O1003" t="str">
        <f>_xlfn.XLOOKUP(Orders[[#This Row],[CustomerID]],Customers[CustomerID],Customers[Gender])</f>
        <v>Female</v>
      </c>
      <c r="P1003">
        <f>_xlfn.XLOOKUP(Orders[[#This Row],[CustomerID]],Customers[CustomerID],Customers[CustomerAge])</f>
        <v>19</v>
      </c>
      <c r="Q1003" t="str">
        <f>IF(Orders[[#This Row],[Age]]&gt;=35,"older","young")</f>
        <v>young</v>
      </c>
      <c r="R1003" t="str">
        <f>_xlfn.XLOOKUP(Orders[[#This Row],[ProductID]],Products[ProductID],Products[ProductName])</f>
        <v>IRON</v>
      </c>
      <c r="S1003" t="str">
        <f>_xlfn.XLOOKUP(Orders[[#This Row],[ProductID]],Products!A:A,Products!C:C)</f>
        <v>Electronics</v>
      </c>
    </row>
    <row r="1004" spans="1:19" x14ac:dyDescent="0.2">
      <c r="A1004" s="4" t="s">
        <v>1193</v>
      </c>
      <c r="B1004" s="5">
        <v>45952</v>
      </c>
      <c r="C1004" s="15">
        <f>WEEKNUM(Orders[[#This Row],[OrderDate]])</f>
        <v>43</v>
      </c>
      <c r="D1004" s="4" t="s">
        <v>246</v>
      </c>
      <c r="E1004" s="4" t="s">
        <v>84</v>
      </c>
      <c r="F1004" s="4">
        <v>3</v>
      </c>
      <c r="G1004" s="4">
        <v>8042.7999999999993</v>
      </c>
      <c r="H1004">
        <v>6836.3799999999992</v>
      </c>
      <c r="I1004">
        <f>Orders[[#This Row],[Quantity]]*Orders[[#This Row],[Selling Price]]</f>
        <v>24128.399999999998</v>
      </c>
      <c r="J1004">
        <f>Orders[[#This Row],[Quantity]]*Orders[[#This Row],[Cost Price]]</f>
        <v>20509.14</v>
      </c>
      <c r="K1004">
        <f>Orders[[#This Row],[Revenue]]-Orders[[#This Row],[Expenses]]</f>
        <v>3619.2599999999984</v>
      </c>
      <c r="L1004" t="s">
        <v>2198</v>
      </c>
      <c r="M1004" t="str">
        <f>_xlfn.XLOOKUP(Orders[[#This Row],[CustomerID]],Customers[CustomerID],Customers[City])</f>
        <v>Florida</v>
      </c>
      <c r="N1004" t="str">
        <f>_xlfn.XLOOKUP(Orders[[#This Row],[CustomerID]],Customers[CustomerID],Customers[CustomerName])</f>
        <v>Emeka Abubakar</v>
      </c>
      <c r="O1004" t="str">
        <f>_xlfn.XLOOKUP(Orders[[#This Row],[CustomerID]],Customers[CustomerID],Customers[Gender])</f>
        <v>Male</v>
      </c>
      <c r="P1004">
        <f>_xlfn.XLOOKUP(Orders[[#This Row],[CustomerID]],Customers[CustomerID],Customers[CustomerAge])</f>
        <v>28</v>
      </c>
      <c r="Q1004" t="str">
        <f>IF(Orders[[#This Row],[Age]]&gt;=35,"older","young")</f>
        <v>young</v>
      </c>
      <c r="R1004" t="str">
        <f>_xlfn.XLOOKUP(Orders[[#This Row],[ProductID]],Products[ProductID],Products[ProductName])</f>
        <v>GYM WEARS</v>
      </c>
      <c r="S1004" t="str">
        <f>_xlfn.XLOOKUP(Orders[[#This Row],[ProductID]],Products!A:A,Products!C:C)</f>
        <v>Clothing</v>
      </c>
    </row>
    <row r="1005" spans="1:19" x14ac:dyDescent="0.2">
      <c r="A1005" s="4" t="s">
        <v>1194</v>
      </c>
      <c r="B1005" s="5">
        <v>45995</v>
      </c>
      <c r="C1005" s="15">
        <f>WEEKNUM(Orders[[#This Row],[OrderDate]])</f>
        <v>49</v>
      </c>
      <c r="D1005" s="4" t="s">
        <v>564</v>
      </c>
      <c r="E1005" s="4" t="s">
        <v>353</v>
      </c>
      <c r="F1005" s="4">
        <v>10</v>
      </c>
      <c r="G1005" s="4">
        <v>4278.2</v>
      </c>
      <c r="H1005">
        <v>3636.47</v>
      </c>
      <c r="I1005">
        <f>Orders[[#This Row],[Quantity]]*Orders[[#This Row],[Selling Price]]</f>
        <v>42782</v>
      </c>
      <c r="J1005">
        <f>Orders[[#This Row],[Quantity]]*Orders[[#This Row],[Cost Price]]</f>
        <v>36364.699999999997</v>
      </c>
      <c r="K1005">
        <f>Orders[[#This Row],[Revenue]]-Orders[[#This Row],[Expenses]]</f>
        <v>6417.3000000000029</v>
      </c>
      <c r="L1005" t="s">
        <v>2208</v>
      </c>
      <c r="M1005" t="str">
        <f>_xlfn.XLOOKUP(Orders[[#This Row],[CustomerID]],Customers[CustomerID],Customers[City])</f>
        <v>Georgia</v>
      </c>
      <c r="N1005" t="str">
        <f>_xlfn.XLOOKUP(Orders[[#This Row],[CustomerID]],Customers[CustomerID],Customers[CustomerName])</f>
        <v>Blessing Eze</v>
      </c>
      <c r="O1005" t="str">
        <f>_xlfn.XLOOKUP(Orders[[#This Row],[CustomerID]],Customers[CustomerID],Customers[Gender])</f>
        <v>Female</v>
      </c>
      <c r="P1005">
        <f>_xlfn.XLOOKUP(Orders[[#This Row],[CustomerID]],Customers[CustomerID],Customers[CustomerAge])</f>
        <v>19</v>
      </c>
      <c r="Q1005" t="str">
        <f>IF(Orders[[#This Row],[Age]]&gt;=35,"older","young")</f>
        <v>young</v>
      </c>
      <c r="R1005" t="str">
        <f>_xlfn.XLOOKUP(Orders[[#This Row],[ProductID]],Products[ProductID],Products[ProductName])</f>
        <v>SILVER EARRINGS AND NECKLACES</v>
      </c>
      <c r="S1005" t="str">
        <f>_xlfn.XLOOKUP(Orders[[#This Row],[ProductID]],Products!A:A,Products!C:C)</f>
        <v>Accessories</v>
      </c>
    </row>
    <row r="1006" spans="1:19" x14ac:dyDescent="0.2">
      <c r="A1006" s="4" t="s">
        <v>1195</v>
      </c>
      <c r="B1006" s="5">
        <v>45989</v>
      </c>
      <c r="C1006" s="15">
        <f>WEEKNUM(Orders[[#This Row],[OrderDate]])</f>
        <v>48</v>
      </c>
      <c r="D1006" s="4" t="s">
        <v>136</v>
      </c>
      <c r="E1006" s="4" t="s">
        <v>23</v>
      </c>
      <c r="F1006" s="4">
        <v>7</v>
      </c>
      <c r="G1006" s="4">
        <v>17884.100000000002</v>
      </c>
      <c r="H1006">
        <v>15201.485000000002</v>
      </c>
      <c r="I1006">
        <f>Orders[[#This Row],[Quantity]]*Orders[[#This Row],[Selling Price]]</f>
        <v>125188.70000000001</v>
      </c>
      <c r="J1006">
        <f>Orders[[#This Row],[Quantity]]*Orders[[#This Row],[Cost Price]]</f>
        <v>106410.39500000002</v>
      </c>
      <c r="K1006">
        <f>Orders[[#This Row],[Revenue]]-Orders[[#This Row],[Expenses]]</f>
        <v>18778.304999999993</v>
      </c>
      <c r="L1006" t="s">
        <v>2212</v>
      </c>
      <c r="M1006" t="str">
        <f>_xlfn.XLOOKUP(Orders[[#This Row],[CustomerID]],Customers[CustomerID],Customers[City])</f>
        <v>California</v>
      </c>
      <c r="N1006" t="str">
        <f>_xlfn.XLOOKUP(Orders[[#This Row],[CustomerID]],Customers[CustomerID],Customers[CustomerName])</f>
        <v>Chinedu Obi</v>
      </c>
      <c r="O1006" t="str">
        <f>_xlfn.XLOOKUP(Orders[[#This Row],[CustomerID]],Customers[CustomerID],Customers[Gender])</f>
        <v>Male</v>
      </c>
      <c r="P1006">
        <f>_xlfn.XLOOKUP(Orders[[#This Row],[CustomerID]],Customers[CustomerID],Customers[CustomerAge])</f>
        <v>27</v>
      </c>
      <c r="Q1006" t="str">
        <f>IF(Orders[[#This Row],[Age]]&gt;=35,"older","young")</f>
        <v>young</v>
      </c>
      <c r="R1006" t="str">
        <f>_xlfn.XLOOKUP(Orders[[#This Row],[ProductID]],Products[ProductID],Products[ProductName])</f>
        <v>GYM GLOVES</v>
      </c>
      <c r="S1006" t="str">
        <f>_xlfn.XLOOKUP(Orders[[#This Row],[ProductID]],Products!A:A,Products!C:C)</f>
        <v>Gym</v>
      </c>
    </row>
    <row r="1007" spans="1:19" x14ac:dyDescent="0.2">
      <c r="A1007" s="4" t="s">
        <v>1196</v>
      </c>
      <c r="B1007" s="5">
        <v>45993</v>
      </c>
      <c r="C1007" s="15">
        <f>WEEKNUM(Orders[[#This Row],[OrderDate]])</f>
        <v>49</v>
      </c>
      <c r="D1007" s="4" t="s">
        <v>833</v>
      </c>
      <c r="E1007" s="4" t="s">
        <v>37</v>
      </c>
      <c r="F1007" s="4">
        <v>5</v>
      </c>
      <c r="G1007" s="4">
        <v>18022.7</v>
      </c>
      <c r="H1007">
        <v>15319.295</v>
      </c>
      <c r="I1007">
        <f>Orders[[#This Row],[Quantity]]*Orders[[#This Row],[Selling Price]]</f>
        <v>90113.5</v>
      </c>
      <c r="J1007">
        <f>Orders[[#This Row],[Quantity]]*Orders[[#This Row],[Cost Price]]</f>
        <v>76596.475000000006</v>
      </c>
      <c r="K1007">
        <f>Orders[[#This Row],[Revenue]]-Orders[[#This Row],[Expenses]]</f>
        <v>13517.024999999994</v>
      </c>
      <c r="L1007" t="s">
        <v>2203</v>
      </c>
      <c r="M1007" t="str">
        <f>_xlfn.XLOOKUP(Orders[[#This Row],[CustomerID]],Customers[CustomerID],Customers[City])</f>
        <v>Washington</v>
      </c>
      <c r="N1007" t="str">
        <f>_xlfn.XLOOKUP(Orders[[#This Row],[CustomerID]],Customers[CustomerID],Customers[CustomerName])</f>
        <v>Abiola Adeyemi</v>
      </c>
      <c r="O1007" t="str">
        <f>_xlfn.XLOOKUP(Orders[[#This Row],[CustomerID]],Customers[CustomerID],Customers[Gender])</f>
        <v>Male</v>
      </c>
      <c r="P1007">
        <f>_xlfn.XLOOKUP(Orders[[#This Row],[CustomerID]],Customers[CustomerID],Customers[CustomerAge])</f>
        <v>53</v>
      </c>
      <c r="Q1007" t="str">
        <f>IF(Orders[[#This Row],[Age]]&gt;=35,"older","young")</f>
        <v>older</v>
      </c>
      <c r="R1007" t="str">
        <f>_xlfn.XLOOKUP(Orders[[#This Row],[ProductID]],Products[ProductID],Products[ProductName])</f>
        <v>IRON</v>
      </c>
      <c r="S1007" t="str">
        <f>_xlfn.XLOOKUP(Orders[[#This Row],[ProductID]],Products!A:A,Products!C:C)</f>
        <v>Electronics</v>
      </c>
    </row>
    <row r="1008" spans="1:19" x14ac:dyDescent="0.2">
      <c r="A1008" s="4" t="s">
        <v>1197</v>
      </c>
      <c r="B1008" s="5">
        <v>45978</v>
      </c>
      <c r="C1008" s="15">
        <f>WEEKNUM(Orders[[#This Row],[OrderDate]])</f>
        <v>47</v>
      </c>
      <c r="D1008" s="4" t="s">
        <v>305</v>
      </c>
      <c r="E1008" s="4" t="s">
        <v>151</v>
      </c>
      <c r="F1008" s="4">
        <v>2</v>
      </c>
      <c r="G1008" s="4">
        <v>15860.9</v>
      </c>
      <c r="H1008">
        <v>13481.764999999999</v>
      </c>
      <c r="I1008">
        <f>Orders[[#This Row],[Quantity]]*Orders[[#This Row],[Selling Price]]</f>
        <v>31721.8</v>
      </c>
      <c r="J1008">
        <f>Orders[[#This Row],[Quantity]]*Orders[[#This Row],[Cost Price]]</f>
        <v>26963.53</v>
      </c>
      <c r="K1008">
        <f>Orders[[#This Row],[Revenue]]-Orders[[#This Row],[Expenses]]</f>
        <v>4758.2700000000004</v>
      </c>
      <c r="L1008" t="s">
        <v>2202</v>
      </c>
      <c r="M1008" t="str">
        <f>_xlfn.XLOOKUP(Orders[[#This Row],[CustomerID]],Customers[CustomerID],Customers[City])</f>
        <v>California</v>
      </c>
      <c r="N1008" t="str">
        <f>_xlfn.XLOOKUP(Orders[[#This Row],[CustomerID]],Customers[CustomerID],Customers[CustomerName])</f>
        <v>Tunde Danladi</v>
      </c>
      <c r="O1008" t="str">
        <f>_xlfn.XLOOKUP(Orders[[#This Row],[CustomerID]],Customers[CustomerID],Customers[Gender])</f>
        <v>Male</v>
      </c>
      <c r="P1008">
        <f>_xlfn.XLOOKUP(Orders[[#This Row],[CustomerID]],Customers[CustomerID],Customers[CustomerAge])</f>
        <v>40</v>
      </c>
      <c r="Q1008" t="str">
        <f>IF(Orders[[#This Row],[Age]]&gt;=35,"older","young")</f>
        <v>older</v>
      </c>
      <c r="R1008" t="str">
        <f>_xlfn.XLOOKUP(Orders[[#This Row],[ProductID]],Products[ProductID],Products[ProductName])</f>
        <v>CHECKERS</v>
      </c>
      <c r="S1008" t="str">
        <f>_xlfn.XLOOKUP(Orders[[#This Row],[ProductID]],Products!A:A,Products!C:C)</f>
        <v>Games</v>
      </c>
    </row>
    <row r="1009" spans="1:19" x14ac:dyDescent="0.2">
      <c r="A1009" s="4" t="s">
        <v>1198</v>
      </c>
      <c r="B1009" s="5">
        <v>45994</v>
      </c>
      <c r="C1009" s="15">
        <f>WEEKNUM(Orders[[#This Row],[OrderDate]])</f>
        <v>49</v>
      </c>
      <c r="D1009" s="4" t="s">
        <v>154</v>
      </c>
      <c r="E1009" s="4" t="s">
        <v>23</v>
      </c>
      <c r="F1009" s="4">
        <v>4</v>
      </c>
      <c r="G1009" s="4">
        <v>18261.8</v>
      </c>
      <c r="H1009">
        <v>15522.529999999999</v>
      </c>
      <c r="I1009">
        <f>Orders[[#This Row],[Quantity]]*Orders[[#This Row],[Selling Price]]</f>
        <v>73047.199999999997</v>
      </c>
      <c r="J1009">
        <f>Orders[[#This Row],[Quantity]]*Orders[[#This Row],[Cost Price]]</f>
        <v>62090.119999999995</v>
      </c>
      <c r="K1009">
        <f>Orders[[#This Row],[Revenue]]-Orders[[#This Row],[Expenses]]</f>
        <v>10957.080000000002</v>
      </c>
      <c r="L1009" t="s">
        <v>2207</v>
      </c>
      <c r="M1009" t="str">
        <f>_xlfn.XLOOKUP(Orders[[#This Row],[CustomerID]],Customers[CustomerID],Customers[City])</f>
        <v>Illinois</v>
      </c>
      <c r="N1009" t="str">
        <f>_xlfn.XLOOKUP(Orders[[#This Row],[CustomerID]],Customers[CustomerID],Customers[CustomerName])</f>
        <v>Ronke Danladi</v>
      </c>
      <c r="O1009" t="str">
        <f>_xlfn.XLOOKUP(Orders[[#This Row],[CustomerID]],Customers[CustomerID],Customers[Gender])</f>
        <v>Female</v>
      </c>
      <c r="P1009">
        <f>_xlfn.XLOOKUP(Orders[[#This Row],[CustomerID]],Customers[CustomerID],Customers[CustomerAge])</f>
        <v>46</v>
      </c>
      <c r="Q1009" t="str">
        <f>IF(Orders[[#This Row],[Age]]&gt;=35,"older","young")</f>
        <v>older</v>
      </c>
      <c r="R1009" t="str">
        <f>_xlfn.XLOOKUP(Orders[[#This Row],[ProductID]],Products[ProductID],Products[ProductName])</f>
        <v>GYM GLOVES</v>
      </c>
      <c r="S1009" t="str">
        <f>_xlfn.XLOOKUP(Orders[[#This Row],[ProductID]],Products!A:A,Products!C:C)</f>
        <v>Gym</v>
      </c>
    </row>
    <row r="1010" spans="1:19" x14ac:dyDescent="0.2">
      <c r="A1010" s="4" t="s">
        <v>1199</v>
      </c>
      <c r="B1010" s="5">
        <v>46004</v>
      </c>
      <c r="C1010" s="15">
        <f>WEEKNUM(Orders[[#This Row],[OrderDate]])</f>
        <v>50</v>
      </c>
      <c r="D1010" s="4" t="s">
        <v>118</v>
      </c>
      <c r="E1010" s="4" t="s">
        <v>151</v>
      </c>
      <c r="F1010" s="4">
        <v>1</v>
      </c>
      <c r="G1010" s="4">
        <v>14750.699999999999</v>
      </c>
      <c r="H1010">
        <v>12538.094999999999</v>
      </c>
      <c r="I1010">
        <f>Orders[[#This Row],[Quantity]]*Orders[[#This Row],[Selling Price]]</f>
        <v>14750.699999999999</v>
      </c>
      <c r="J1010">
        <f>Orders[[#This Row],[Quantity]]*Orders[[#This Row],[Cost Price]]</f>
        <v>12538.094999999999</v>
      </c>
      <c r="K1010">
        <f>Orders[[#This Row],[Revenue]]-Orders[[#This Row],[Expenses]]</f>
        <v>2212.6049999999996</v>
      </c>
      <c r="L1010" t="s">
        <v>2216</v>
      </c>
      <c r="M1010" t="str">
        <f>_xlfn.XLOOKUP(Orders[[#This Row],[CustomerID]],Customers[CustomerID],Customers[City])</f>
        <v>Georgia</v>
      </c>
      <c r="N1010" t="str">
        <f>_xlfn.XLOOKUP(Orders[[#This Row],[CustomerID]],Customers[CustomerID],Customers[CustomerName])</f>
        <v>Ibrahim Balogun</v>
      </c>
      <c r="O1010" t="str">
        <f>_xlfn.XLOOKUP(Orders[[#This Row],[CustomerID]],Customers[CustomerID],Customers[Gender])</f>
        <v>Male</v>
      </c>
      <c r="P1010">
        <f>_xlfn.XLOOKUP(Orders[[#This Row],[CustomerID]],Customers[CustomerID],Customers[CustomerAge])</f>
        <v>55</v>
      </c>
      <c r="Q1010" t="str">
        <f>IF(Orders[[#This Row],[Age]]&gt;=35,"older","young")</f>
        <v>older</v>
      </c>
      <c r="R1010" t="str">
        <f>_xlfn.XLOOKUP(Orders[[#This Row],[ProductID]],Products[ProductID],Products[ProductName])</f>
        <v>CHECKERS</v>
      </c>
      <c r="S1010" t="str">
        <f>_xlfn.XLOOKUP(Orders[[#This Row],[ProductID]],Products!A:A,Products!C:C)</f>
        <v>Games</v>
      </c>
    </row>
    <row r="1011" spans="1:19" x14ac:dyDescent="0.2">
      <c r="A1011" s="4" t="s">
        <v>1200</v>
      </c>
      <c r="B1011" s="5">
        <v>45950</v>
      </c>
      <c r="C1011" s="15">
        <f>WEEKNUM(Orders[[#This Row],[OrderDate]])</f>
        <v>43</v>
      </c>
      <c r="D1011" s="4" t="s">
        <v>285</v>
      </c>
      <c r="E1011" s="4" t="s">
        <v>76</v>
      </c>
      <c r="F1011" s="4">
        <v>2</v>
      </c>
      <c r="G1011" s="4">
        <v>13477.3</v>
      </c>
      <c r="H1011">
        <v>11455.705</v>
      </c>
      <c r="I1011">
        <f>Orders[[#This Row],[Quantity]]*Orders[[#This Row],[Selling Price]]</f>
        <v>26954.6</v>
      </c>
      <c r="J1011">
        <f>Orders[[#This Row],[Quantity]]*Orders[[#This Row],[Cost Price]]</f>
        <v>22911.41</v>
      </c>
      <c r="K1011">
        <f>Orders[[#This Row],[Revenue]]-Orders[[#This Row],[Expenses]]</f>
        <v>4043.1899999999987</v>
      </c>
      <c r="L1011" t="s">
        <v>2194</v>
      </c>
      <c r="M1011" t="str">
        <f>_xlfn.XLOOKUP(Orders[[#This Row],[CustomerID]],Customers[CustomerID],Customers[City])</f>
        <v>California</v>
      </c>
      <c r="N1011" t="str">
        <f>_xlfn.XLOOKUP(Orders[[#This Row],[CustomerID]],Customers[CustomerID],Customers[CustomerName])</f>
        <v>Sani Balogun</v>
      </c>
      <c r="O1011" t="str">
        <f>_xlfn.XLOOKUP(Orders[[#This Row],[CustomerID]],Customers[CustomerID],Customers[Gender])</f>
        <v>Male</v>
      </c>
      <c r="P1011">
        <f>_xlfn.XLOOKUP(Orders[[#This Row],[CustomerID]],Customers[CustomerID],Customers[CustomerAge])</f>
        <v>27</v>
      </c>
      <c r="Q1011" t="str">
        <f>IF(Orders[[#This Row],[Age]]&gt;=35,"older","young")</f>
        <v>young</v>
      </c>
      <c r="R1011" t="str">
        <f>_xlfn.XLOOKUP(Orders[[#This Row],[ProductID]],Products[ProductID],Products[ProductName])</f>
        <v>BLENDER</v>
      </c>
      <c r="S1011" t="str">
        <f>_xlfn.XLOOKUP(Orders[[#This Row],[ProductID]],Products!A:A,Products!C:C)</f>
        <v>Electronics</v>
      </c>
    </row>
    <row r="1012" spans="1:19" x14ac:dyDescent="0.2">
      <c r="A1012" s="4" t="s">
        <v>1201</v>
      </c>
      <c r="B1012" s="5">
        <v>45938</v>
      </c>
      <c r="C1012" s="15">
        <f>WEEKNUM(Orders[[#This Row],[OrderDate]])</f>
        <v>41</v>
      </c>
      <c r="D1012" s="4" t="s">
        <v>282</v>
      </c>
      <c r="E1012" s="4" t="s">
        <v>66</v>
      </c>
      <c r="F1012" s="4">
        <v>8</v>
      </c>
      <c r="G1012" s="4">
        <v>1083.5</v>
      </c>
      <c r="H1012">
        <v>920.97500000000002</v>
      </c>
      <c r="I1012">
        <f>Orders[[#This Row],[Quantity]]*Orders[[#This Row],[Selling Price]]</f>
        <v>8668</v>
      </c>
      <c r="J1012">
        <f>Orders[[#This Row],[Quantity]]*Orders[[#This Row],[Cost Price]]</f>
        <v>7367.8</v>
      </c>
      <c r="K1012">
        <f>Orders[[#This Row],[Revenue]]-Orders[[#This Row],[Expenses]]</f>
        <v>1300.1999999999998</v>
      </c>
      <c r="L1012" t="s">
        <v>2199</v>
      </c>
      <c r="M1012" t="str">
        <f>_xlfn.XLOOKUP(Orders[[#This Row],[CustomerID]],Customers[CustomerID],Customers[City])</f>
        <v>Texas</v>
      </c>
      <c r="N1012" t="str">
        <f>_xlfn.XLOOKUP(Orders[[#This Row],[CustomerID]],Customers[CustomerID],Customers[CustomerName])</f>
        <v>Bisi Ojo</v>
      </c>
      <c r="O1012" t="str">
        <f>_xlfn.XLOOKUP(Orders[[#This Row],[CustomerID]],Customers[CustomerID],Customers[Gender])</f>
        <v>Female</v>
      </c>
      <c r="P1012">
        <f>_xlfn.XLOOKUP(Orders[[#This Row],[CustomerID]],Customers[CustomerID],Customers[CustomerAge])</f>
        <v>26</v>
      </c>
      <c r="Q1012" t="str">
        <f>IF(Orders[[#This Row],[Age]]&gt;=35,"older","young")</f>
        <v>young</v>
      </c>
      <c r="R1012" t="str">
        <f>_xlfn.XLOOKUP(Orders[[#This Row],[ProductID]],Products[ProductID],Products[ProductName])</f>
        <v>MICROWAVE</v>
      </c>
      <c r="S1012" t="str">
        <f>_xlfn.XLOOKUP(Orders[[#This Row],[ProductID]],Products!A:A,Products!C:C)</f>
        <v>Electronics</v>
      </c>
    </row>
    <row r="1013" spans="1:19" x14ac:dyDescent="0.2">
      <c r="A1013" s="4" t="s">
        <v>1202</v>
      </c>
      <c r="B1013" s="5">
        <v>45939</v>
      </c>
      <c r="C1013" s="15">
        <f>WEEKNUM(Orders[[#This Row],[OrderDate]])</f>
        <v>41</v>
      </c>
      <c r="D1013" s="4" t="s">
        <v>369</v>
      </c>
      <c r="E1013" s="4" t="s">
        <v>81</v>
      </c>
      <c r="F1013" s="4">
        <v>10</v>
      </c>
      <c r="G1013" s="4">
        <v>1422.4</v>
      </c>
      <c r="H1013">
        <v>1209.04</v>
      </c>
      <c r="I1013">
        <f>Orders[[#This Row],[Quantity]]*Orders[[#This Row],[Selling Price]]</f>
        <v>14224</v>
      </c>
      <c r="J1013">
        <f>Orders[[#This Row],[Quantity]]*Orders[[#This Row],[Cost Price]]</f>
        <v>12090.4</v>
      </c>
      <c r="K1013">
        <f>Orders[[#This Row],[Revenue]]-Orders[[#This Row],[Expenses]]</f>
        <v>2133.6000000000004</v>
      </c>
      <c r="L1013" t="s">
        <v>2220</v>
      </c>
      <c r="M1013" t="str">
        <f>_xlfn.XLOOKUP(Orders[[#This Row],[CustomerID]],Customers[CustomerID],Customers[City])</f>
        <v>Washington</v>
      </c>
      <c r="N1013" t="str">
        <f>_xlfn.XLOOKUP(Orders[[#This Row],[CustomerID]],Customers[CustomerID],Customers[CustomerName])</f>
        <v>Ibrahim Bello</v>
      </c>
      <c r="O1013" t="str">
        <f>_xlfn.XLOOKUP(Orders[[#This Row],[CustomerID]],Customers[CustomerID],Customers[Gender])</f>
        <v>Male</v>
      </c>
      <c r="P1013">
        <f>_xlfn.XLOOKUP(Orders[[#This Row],[CustomerID]],Customers[CustomerID],Customers[CustomerAge])</f>
        <v>40</v>
      </c>
      <c r="Q1013" t="str">
        <f>IF(Orders[[#This Row],[Age]]&gt;=35,"older","young")</f>
        <v>older</v>
      </c>
      <c r="R1013" t="str">
        <f>_xlfn.XLOOKUP(Orders[[#This Row],[ProductID]],Products[ProductID],Products[ProductName])</f>
        <v>TROUSERS</v>
      </c>
      <c r="S1013" t="str">
        <f>_xlfn.XLOOKUP(Orders[[#This Row],[ProductID]],Products!A:A,Products!C:C)</f>
        <v>Clothing</v>
      </c>
    </row>
    <row r="1014" spans="1:19" x14ac:dyDescent="0.2">
      <c r="A1014" s="4" t="s">
        <v>1203</v>
      </c>
      <c r="B1014" s="5">
        <v>45955</v>
      </c>
      <c r="C1014" s="15">
        <f>WEEKNUM(Orders[[#This Row],[OrderDate]])</f>
        <v>43</v>
      </c>
      <c r="D1014" s="4" t="s">
        <v>201</v>
      </c>
      <c r="E1014" s="4" t="s">
        <v>28</v>
      </c>
      <c r="F1014" s="4">
        <v>3</v>
      </c>
      <c r="G1014" s="4">
        <v>11433.5</v>
      </c>
      <c r="H1014">
        <v>9718.4750000000004</v>
      </c>
      <c r="I1014">
        <f>Orders[[#This Row],[Quantity]]*Orders[[#This Row],[Selling Price]]</f>
        <v>34300.5</v>
      </c>
      <c r="J1014">
        <f>Orders[[#This Row],[Quantity]]*Orders[[#This Row],[Cost Price]]</f>
        <v>29155.425000000003</v>
      </c>
      <c r="K1014">
        <f>Orders[[#This Row],[Revenue]]-Orders[[#This Row],[Expenses]]</f>
        <v>5145.0749999999971</v>
      </c>
      <c r="L1014" t="s">
        <v>2215</v>
      </c>
      <c r="M1014" t="str">
        <f>_xlfn.XLOOKUP(Orders[[#This Row],[CustomerID]],Customers[CustomerID],Customers[City])</f>
        <v>Georgia</v>
      </c>
      <c r="N1014" t="str">
        <f>_xlfn.XLOOKUP(Orders[[#This Row],[CustomerID]],Customers[CustomerID],Customers[CustomerName])</f>
        <v>Sani Igwe</v>
      </c>
      <c r="O1014" t="str">
        <f>_xlfn.XLOOKUP(Orders[[#This Row],[CustomerID]],Customers[CustomerID],Customers[Gender])</f>
        <v>Male</v>
      </c>
      <c r="P1014">
        <f>_xlfn.XLOOKUP(Orders[[#This Row],[CustomerID]],Customers[CustomerID],Customers[CustomerAge])</f>
        <v>20</v>
      </c>
      <c r="Q1014" t="str">
        <f>IF(Orders[[#This Row],[Age]]&gt;=35,"older","young")</f>
        <v>young</v>
      </c>
      <c r="R1014" t="str">
        <f>_xlfn.XLOOKUP(Orders[[#This Row],[ProductID]],Products[ProductID],Products[ProductName])</f>
        <v>SNEAKERS</v>
      </c>
      <c r="S1014" t="str">
        <f>_xlfn.XLOOKUP(Orders[[#This Row],[ProductID]],Products!A:A,Products!C:C)</f>
        <v>Sports</v>
      </c>
    </row>
    <row r="1015" spans="1:19" x14ac:dyDescent="0.2">
      <c r="A1015" s="4" t="s">
        <v>1204</v>
      </c>
      <c r="B1015" s="5">
        <v>45968</v>
      </c>
      <c r="C1015" s="15">
        <f>WEEKNUM(Orders[[#This Row],[OrderDate]])</f>
        <v>45</v>
      </c>
      <c r="D1015" s="4" t="s">
        <v>98</v>
      </c>
      <c r="E1015" s="4" t="s">
        <v>34</v>
      </c>
      <c r="F1015" s="4">
        <v>1</v>
      </c>
      <c r="G1015" s="4">
        <v>4349.3</v>
      </c>
      <c r="H1015">
        <v>3696.9050000000002</v>
      </c>
      <c r="I1015">
        <f>Orders[[#This Row],[Quantity]]*Orders[[#This Row],[Selling Price]]</f>
        <v>4349.3</v>
      </c>
      <c r="J1015">
        <f>Orders[[#This Row],[Quantity]]*Orders[[#This Row],[Cost Price]]</f>
        <v>3696.9050000000002</v>
      </c>
      <c r="K1015">
        <f>Orders[[#This Row],[Revenue]]-Orders[[#This Row],[Expenses]]</f>
        <v>652.39499999999998</v>
      </c>
      <c r="L1015" t="s">
        <v>2207</v>
      </c>
      <c r="M1015" t="str">
        <f>_xlfn.XLOOKUP(Orders[[#This Row],[CustomerID]],Customers[CustomerID],Customers[City])</f>
        <v>Illinois</v>
      </c>
      <c r="N1015" t="str">
        <f>_xlfn.XLOOKUP(Orders[[#This Row],[CustomerID]],Customers[CustomerID],Customers[CustomerName])</f>
        <v>Chioma Adeyemi</v>
      </c>
      <c r="O1015" t="str">
        <f>_xlfn.XLOOKUP(Orders[[#This Row],[CustomerID]],Customers[CustomerID],Customers[Gender])</f>
        <v>Female</v>
      </c>
      <c r="P1015">
        <f>_xlfn.XLOOKUP(Orders[[#This Row],[CustomerID]],Customers[CustomerID],Customers[CustomerAge])</f>
        <v>23</v>
      </c>
      <c r="Q1015" t="str">
        <f>IF(Orders[[#This Row],[Age]]&gt;=35,"older","young")</f>
        <v>young</v>
      </c>
      <c r="R1015" t="str">
        <f>_xlfn.XLOOKUP(Orders[[#This Row],[ProductID]],Products[ProductID],Products[ProductName])</f>
        <v>GOLD BRACELETS</v>
      </c>
      <c r="S1015" t="str">
        <f>_xlfn.XLOOKUP(Orders[[#This Row],[ProductID]],Products!A:A,Products!C:C)</f>
        <v>Accessories</v>
      </c>
    </row>
    <row r="1016" spans="1:19" x14ac:dyDescent="0.2">
      <c r="A1016" s="4" t="s">
        <v>1205</v>
      </c>
      <c r="B1016" s="5">
        <v>45993</v>
      </c>
      <c r="C1016" s="15">
        <f>WEEKNUM(Orders[[#This Row],[OrderDate]])</f>
        <v>49</v>
      </c>
      <c r="D1016" s="4" t="s">
        <v>75</v>
      </c>
      <c r="E1016" s="4" t="s">
        <v>92</v>
      </c>
      <c r="F1016" s="4">
        <v>3</v>
      </c>
      <c r="G1016" s="4">
        <v>6685.2</v>
      </c>
      <c r="H1016">
        <v>5682.42</v>
      </c>
      <c r="I1016">
        <f>Orders[[#This Row],[Quantity]]*Orders[[#This Row],[Selling Price]]</f>
        <v>20055.599999999999</v>
      </c>
      <c r="J1016">
        <f>Orders[[#This Row],[Quantity]]*Orders[[#This Row],[Cost Price]]</f>
        <v>17047.260000000002</v>
      </c>
      <c r="K1016">
        <f>Orders[[#This Row],[Revenue]]-Orders[[#This Row],[Expenses]]</f>
        <v>3008.3399999999965</v>
      </c>
      <c r="L1016" t="s">
        <v>2218</v>
      </c>
      <c r="M1016" t="str">
        <f>_xlfn.XLOOKUP(Orders[[#This Row],[CustomerID]],Customers[CustomerID],Customers[City])</f>
        <v>Texas</v>
      </c>
      <c r="N1016" t="str">
        <f>_xlfn.XLOOKUP(Orders[[#This Row],[CustomerID]],Customers[CustomerID],Customers[CustomerName])</f>
        <v>Tunde Danladi</v>
      </c>
      <c r="O1016" t="str">
        <f>_xlfn.XLOOKUP(Orders[[#This Row],[CustomerID]],Customers[CustomerID],Customers[Gender])</f>
        <v>Male</v>
      </c>
      <c r="P1016">
        <f>_xlfn.XLOOKUP(Orders[[#This Row],[CustomerID]],Customers[CustomerID],Customers[CustomerAge])</f>
        <v>47</v>
      </c>
      <c r="Q1016" t="str">
        <f>IF(Orders[[#This Row],[Age]]&gt;=35,"older","young")</f>
        <v>older</v>
      </c>
      <c r="R1016" t="str">
        <f>_xlfn.XLOOKUP(Orders[[#This Row],[ProductID]],Products[ProductID],Products[ProductName])</f>
        <v>CHEST EXPANDER</v>
      </c>
      <c r="S1016" t="str">
        <f>_xlfn.XLOOKUP(Orders[[#This Row],[ProductID]],Products!A:A,Products!C:C)</f>
        <v>Gym</v>
      </c>
    </row>
    <row r="1017" spans="1:19" x14ac:dyDescent="0.2">
      <c r="A1017" s="4" t="s">
        <v>1206</v>
      </c>
      <c r="B1017" s="5">
        <v>45979</v>
      </c>
      <c r="C1017" s="15">
        <f>WEEKNUM(Orders[[#This Row],[OrderDate]])</f>
        <v>47</v>
      </c>
      <c r="D1017" s="4" t="s">
        <v>52</v>
      </c>
      <c r="E1017" s="4" t="s">
        <v>57</v>
      </c>
      <c r="F1017" s="4">
        <v>1</v>
      </c>
      <c r="G1017" s="4">
        <v>14142.3</v>
      </c>
      <c r="H1017">
        <v>12020.955</v>
      </c>
      <c r="I1017">
        <f>Orders[[#This Row],[Quantity]]*Orders[[#This Row],[Selling Price]]</f>
        <v>14142.3</v>
      </c>
      <c r="J1017">
        <f>Orders[[#This Row],[Quantity]]*Orders[[#This Row],[Cost Price]]</f>
        <v>12020.955</v>
      </c>
      <c r="K1017">
        <f>Orders[[#This Row],[Revenue]]-Orders[[#This Row],[Expenses]]</f>
        <v>2121.3449999999993</v>
      </c>
      <c r="L1017" t="s">
        <v>2195</v>
      </c>
      <c r="M1017" t="str">
        <f>_xlfn.XLOOKUP(Orders[[#This Row],[CustomerID]],Customers[CustomerID],Customers[City])</f>
        <v>Texas</v>
      </c>
      <c r="N1017" t="str">
        <f>_xlfn.XLOOKUP(Orders[[#This Row],[CustomerID]],Customers[CustomerID],Customers[CustomerName])</f>
        <v>Folasade Ojo</v>
      </c>
      <c r="O1017" t="str">
        <f>_xlfn.XLOOKUP(Orders[[#This Row],[CustomerID]],Customers[CustomerID],Customers[Gender])</f>
        <v>Female</v>
      </c>
      <c r="P1017">
        <f>_xlfn.XLOOKUP(Orders[[#This Row],[CustomerID]],Customers[CustomerID],Customers[CustomerAge])</f>
        <v>29</v>
      </c>
      <c r="Q1017" t="str">
        <f>IF(Orders[[#This Row],[Age]]&gt;=35,"older","young")</f>
        <v>young</v>
      </c>
      <c r="R1017" t="str">
        <f>_xlfn.XLOOKUP(Orders[[#This Row],[ProductID]],Products[ProductID],Products[ProductName])</f>
        <v>BADMINTON RACKET</v>
      </c>
      <c r="S1017" t="str">
        <f>_xlfn.XLOOKUP(Orders[[#This Row],[ProductID]],Products!A:A,Products!C:C)</f>
        <v>Sports</v>
      </c>
    </row>
    <row r="1018" spans="1:19" x14ac:dyDescent="0.2">
      <c r="A1018" s="4" t="s">
        <v>1207</v>
      </c>
      <c r="B1018" s="5">
        <v>45938</v>
      </c>
      <c r="C1018" s="15">
        <f>WEEKNUM(Orders[[#This Row],[OrderDate]])</f>
        <v>41</v>
      </c>
      <c r="D1018" s="4" t="s">
        <v>33</v>
      </c>
      <c r="E1018" s="4" t="s">
        <v>66</v>
      </c>
      <c r="F1018" s="4">
        <v>1</v>
      </c>
      <c r="G1018" s="4">
        <v>16887.3</v>
      </c>
      <c r="H1018">
        <v>14354.205</v>
      </c>
      <c r="I1018">
        <f>Orders[[#This Row],[Quantity]]*Orders[[#This Row],[Selling Price]]</f>
        <v>16887.3</v>
      </c>
      <c r="J1018">
        <f>Orders[[#This Row],[Quantity]]*Orders[[#This Row],[Cost Price]]</f>
        <v>14354.205</v>
      </c>
      <c r="K1018">
        <f>Orders[[#This Row],[Revenue]]-Orders[[#This Row],[Expenses]]</f>
        <v>2533.0949999999993</v>
      </c>
      <c r="L1018" t="s">
        <v>2196</v>
      </c>
      <c r="M1018" t="str">
        <f>_xlfn.XLOOKUP(Orders[[#This Row],[CustomerID]],Customers[CustomerID],Customers[City])</f>
        <v>Texas</v>
      </c>
      <c r="N1018" t="str">
        <f>_xlfn.XLOOKUP(Orders[[#This Row],[CustomerID]],Customers[CustomerID],Customers[CustomerName])</f>
        <v>Okon Balogun</v>
      </c>
      <c r="O1018" t="str">
        <f>_xlfn.XLOOKUP(Orders[[#This Row],[CustomerID]],Customers[CustomerID],Customers[Gender])</f>
        <v>Male</v>
      </c>
      <c r="P1018">
        <f>_xlfn.XLOOKUP(Orders[[#This Row],[CustomerID]],Customers[CustomerID],Customers[CustomerAge])</f>
        <v>28</v>
      </c>
      <c r="Q1018" t="str">
        <f>IF(Orders[[#This Row],[Age]]&gt;=35,"older","young")</f>
        <v>young</v>
      </c>
      <c r="R1018" t="str">
        <f>_xlfn.XLOOKUP(Orders[[#This Row],[ProductID]],Products[ProductID],Products[ProductName])</f>
        <v>MICROWAVE</v>
      </c>
      <c r="S1018" t="str">
        <f>_xlfn.XLOOKUP(Orders[[#This Row],[ProductID]],Products!A:A,Products!C:C)</f>
        <v>Electronics</v>
      </c>
    </row>
    <row r="1019" spans="1:19" x14ac:dyDescent="0.2">
      <c r="A1019" s="4" t="s">
        <v>1208</v>
      </c>
      <c r="B1019" s="5">
        <v>45985</v>
      </c>
      <c r="C1019" s="15">
        <f>WEEKNUM(Orders[[#This Row],[OrderDate]])</f>
        <v>48</v>
      </c>
      <c r="D1019" s="4" t="s">
        <v>203</v>
      </c>
      <c r="E1019" s="4" t="s">
        <v>168</v>
      </c>
      <c r="F1019" s="4">
        <v>3</v>
      </c>
      <c r="G1019" s="4">
        <v>7126.3</v>
      </c>
      <c r="H1019">
        <v>6057.3550000000005</v>
      </c>
      <c r="I1019">
        <f>Orders[[#This Row],[Quantity]]*Orders[[#This Row],[Selling Price]]</f>
        <v>21378.9</v>
      </c>
      <c r="J1019">
        <f>Orders[[#This Row],[Quantity]]*Orders[[#This Row],[Cost Price]]</f>
        <v>18172.065000000002</v>
      </c>
      <c r="K1019">
        <f>Orders[[#This Row],[Revenue]]-Orders[[#This Row],[Expenses]]</f>
        <v>3206.8349999999991</v>
      </c>
      <c r="L1019" t="s">
        <v>2220</v>
      </c>
      <c r="M1019" t="str">
        <f>_xlfn.XLOOKUP(Orders[[#This Row],[CustomerID]],Customers[CustomerID],Customers[City])</f>
        <v>Texas</v>
      </c>
      <c r="N1019" t="str">
        <f>_xlfn.XLOOKUP(Orders[[#This Row],[CustomerID]],Customers[CustomerID],Customers[CustomerName])</f>
        <v>Okon Bello</v>
      </c>
      <c r="O1019" t="str">
        <f>_xlfn.XLOOKUP(Orders[[#This Row],[CustomerID]],Customers[CustomerID],Customers[Gender])</f>
        <v>Male</v>
      </c>
      <c r="P1019">
        <f>_xlfn.XLOOKUP(Orders[[#This Row],[CustomerID]],Customers[CustomerID],Customers[CustomerAge])</f>
        <v>20</v>
      </c>
      <c r="Q1019" t="str">
        <f>IF(Orders[[#This Row],[Age]]&gt;=35,"older","young")</f>
        <v>young</v>
      </c>
      <c r="R1019" t="str">
        <f>_xlfn.XLOOKUP(Orders[[#This Row],[ProductID]],Products[ProductID],Products[ProductName])</f>
        <v>DUMB BELLS</v>
      </c>
      <c r="S1019" t="str">
        <f>_xlfn.XLOOKUP(Orders[[#This Row],[ProductID]],Products!A:A,Products!C:C)</f>
        <v>Gym</v>
      </c>
    </row>
    <row r="1020" spans="1:19" x14ac:dyDescent="0.2">
      <c r="A1020" s="4" t="s">
        <v>1209</v>
      </c>
      <c r="B1020" s="5">
        <v>45938</v>
      </c>
      <c r="C1020" s="15">
        <f>WEEKNUM(Orders[[#This Row],[OrderDate]])</f>
        <v>41</v>
      </c>
      <c r="D1020" s="4" t="s">
        <v>546</v>
      </c>
      <c r="E1020" s="4" t="s">
        <v>12</v>
      </c>
      <c r="F1020" s="4">
        <v>4</v>
      </c>
      <c r="G1020" s="4">
        <v>15580.5</v>
      </c>
      <c r="H1020">
        <v>13243.424999999999</v>
      </c>
      <c r="I1020">
        <f>Orders[[#This Row],[Quantity]]*Orders[[#This Row],[Selling Price]]</f>
        <v>62322</v>
      </c>
      <c r="J1020">
        <f>Orders[[#This Row],[Quantity]]*Orders[[#This Row],[Cost Price]]</f>
        <v>52973.7</v>
      </c>
      <c r="K1020">
        <f>Orders[[#This Row],[Revenue]]-Orders[[#This Row],[Expenses]]</f>
        <v>9348.3000000000029</v>
      </c>
      <c r="L1020" t="s">
        <v>2203</v>
      </c>
      <c r="M1020" t="str">
        <f>_xlfn.XLOOKUP(Orders[[#This Row],[CustomerID]],Customers[CustomerID],Customers[City])</f>
        <v>Texas</v>
      </c>
      <c r="N1020" t="str">
        <f>_xlfn.XLOOKUP(Orders[[#This Row],[CustomerID]],Customers[CustomerID],Customers[CustomerName])</f>
        <v>Bisi Eze</v>
      </c>
      <c r="O1020" t="str">
        <f>_xlfn.XLOOKUP(Orders[[#This Row],[CustomerID]],Customers[CustomerID],Customers[Gender])</f>
        <v>Female</v>
      </c>
      <c r="P1020">
        <f>_xlfn.XLOOKUP(Orders[[#This Row],[CustomerID]],Customers[CustomerID],Customers[CustomerAge])</f>
        <v>32</v>
      </c>
      <c r="Q1020" t="str">
        <f>IF(Orders[[#This Row],[Age]]&gt;=35,"older","young")</f>
        <v>young</v>
      </c>
      <c r="R1020" t="str">
        <f>_xlfn.XLOOKUP(Orders[[#This Row],[ProductID]],Products[ProductID],Products[ProductName])</f>
        <v>BOUBOU</v>
      </c>
      <c r="S1020" t="str">
        <f>_xlfn.XLOOKUP(Orders[[#This Row],[ProductID]],Products!A:A,Products!C:C)</f>
        <v>Clothing</v>
      </c>
    </row>
    <row r="1021" spans="1:19" x14ac:dyDescent="0.2">
      <c r="A1021" s="4" t="s">
        <v>1210</v>
      </c>
      <c r="B1021" s="5">
        <v>46010</v>
      </c>
      <c r="C1021" s="15">
        <f>WEEKNUM(Orders[[#This Row],[OrderDate]])</f>
        <v>51</v>
      </c>
      <c r="D1021" s="4" t="s">
        <v>132</v>
      </c>
      <c r="E1021" s="4" t="s">
        <v>31</v>
      </c>
      <c r="F1021" s="4">
        <v>3</v>
      </c>
      <c r="G1021" s="4">
        <v>19884.3</v>
      </c>
      <c r="H1021">
        <v>16901.654999999999</v>
      </c>
      <c r="I1021">
        <f>Orders[[#This Row],[Quantity]]*Orders[[#This Row],[Selling Price]]</f>
        <v>59652.899999999994</v>
      </c>
      <c r="J1021">
        <f>Orders[[#This Row],[Quantity]]*Orders[[#This Row],[Cost Price]]</f>
        <v>50704.964999999997</v>
      </c>
      <c r="K1021">
        <f>Orders[[#This Row],[Revenue]]-Orders[[#This Row],[Expenses]]</f>
        <v>8947.9349999999977</v>
      </c>
      <c r="L1021" t="s">
        <v>2202</v>
      </c>
      <c r="M1021" t="str">
        <f>_xlfn.XLOOKUP(Orders[[#This Row],[CustomerID]],Customers[CustomerID],Customers[City])</f>
        <v>Illinois</v>
      </c>
      <c r="N1021" t="str">
        <f>_xlfn.XLOOKUP(Orders[[#This Row],[CustomerID]],Customers[CustomerID],Customers[CustomerName])</f>
        <v>Emeka Balogun</v>
      </c>
      <c r="O1021" t="str">
        <f>_xlfn.XLOOKUP(Orders[[#This Row],[CustomerID]],Customers[CustomerID],Customers[Gender])</f>
        <v>Male</v>
      </c>
      <c r="P1021">
        <f>_xlfn.XLOOKUP(Orders[[#This Row],[CustomerID]],Customers[CustomerID],Customers[CustomerAge])</f>
        <v>36</v>
      </c>
      <c r="Q1021" t="str">
        <f>IF(Orders[[#This Row],[Age]]&gt;=35,"older","young")</f>
        <v>older</v>
      </c>
      <c r="R1021" t="str">
        <f>_xlfn.XLOOKUP(Orders[[#This Row],[ProductID]],Products[ProductID],Products[ProductName])</f>
        <v>KIDS GAMES</v>
      </c>
      <c r="S1021" t="str">
        <f>_xlfn.XLOOKUP(Orders[[#This Row],[ProductID]],Products!A:A,Products!C:C)</f>
        <v>Games</v>
      </c>
    </row>
    <row r="1022" spans="1:19" x14ac:dyDescent="0.2">
      <c r="A1022" s="4" t="s">
        <v>1211</v>
      </c>
      <c r="B1022" s="5">
        <v>45943</v>
      </c>
      <c r="C1022" s="15">
        <f>WEEKNUM(Orders[[#This Row],[OrderDate]])</f>
        <v>42</v>
      </c>
      <c r="D1022" s="4" t="s">
        <v>246</v>
      </c>
      <c r="E1022" s="4" t="s">
        <v>84</v>
      </c>
      <c r="F1022" s="4">
        <v>6</v>
      </c>
      <c r="G1022" s="4">
        <v>8507.6</v>
      </c>
      <c r="H1022">
        <v>7231.46</v>
      </c>
      <c r="I1022">
        <f>Orders[[#This Row],[Quantity]]*Orders[[#This Row],[Selling Price]]</f>
        <v>51045.600000000006</v>
      </c>
      <c r="J1022">
        <f>Orders[[#This Row],[Quantity]]*Orders[[#This Row],[Cost Price]]</f>
        <v>43388.76</v>
      </c>
      <c r="K1022">
        <f>Orders[[#This Row],[Revenue]]-Orders[[#This Row],[Expenses]]</f>
        <v>7656.8400000000038</v>
      </c>
      <c r="L1022" t="s">
        <v>2204</v>
      </c>
      <c r="M1022" t="str">
        <f>_xlfn.XLOOKUP(Orders[[#This Row],[CustomerID]],Customers[CustomerID],Customers[City])</f>
        <v>Florida</v>
      </c>
      <c r="N1022" t="str">
        <f>_xlfn.XLOOKUP(Orders[[#This Row],[CustomerID]],Customers[CustomerID],Customers[CustomerName])</f>
        <v>Emeka Abubakar</v>
      </c>
      <c r="O1022" t="str">
        <f>_xlfn.XLOOKUP(Orders[[#This Row],[CustomerID]],Customers[CustomerID],Customers[Gender])</f>
        <v>Male</v>
      </c>
      <c r="P1022">
        <f>_xlfn.XLOOKUP(Orders[[#This Row],[CustomerID]],Customers[CustomerID],Customers[CustomerAge])</f>
        <v>28</v>
      </c>
      <c r="Q1022" t="str">
        <f>IF(Orders[[#This Row],[Age]]&gt;=35,"older","young")</f>
        <v>young</v>
      </c>
      <c r="R1022" t="str">
        <f>_xlfn.XLOOKUP(Orders[[#This Row],[ProductID]],Products[ProductID],Products[ProductName])</f>
        <v>GYM WEARS</v>
      </c>
      <c r="S1022" t="str">
        <f>_xlfn.XLOOKUP(Orders[[#This Row],[ProductID]],Products!A:A,Products!C:C)</f>
        <v>Clothing</v>
      </c>
    </row>
    <row r="1023" spans="1:19" x14ac:dyDescent="0.2">
      <c r="A1023" s="4" t="s">
        <v>1212</v>
      </c>
      <c r="B1023" s="5">
        <v>46011</v>
      </c>
      <c r="C1023" s="15">
        <f>WEEKNUM(Orders[[#This Row],[OrderDate]])</f>
        <v>51</v>
      </c>
      <c r="D1023" s="4" t="s">
        <v>91</v>
      </c>
      <c r="E1023" s="4" t="s">
        <v>63</v>
      </c>
      <c r="F1023" s="4">
        <v>5</v>
      </c>
      <c r="G1023" s="4">
        <v>7179.2</v>
      </c>
      <c r="H1023">
        <v>6102.32</v>
      </c>
      <c r="I1023">
        <f>Orders[[#This Row],[Quantity]]*Orders[[#This Row],[Selling Price]]</f>
        <v>35896</v>
      </c>
      <c r="J1023">
        <f>Orders[[#This Row],[Quantity]]*Orders[[#This Row],[Cost Price]]</f>
        <v>30511.599999999999</v>
      </c>
      <c r="K1023">
        <f>Orders[[#This Row],[Revenue]]-Orders[[#This Row],[Expenses]]</f>
        <v>5384.4000000000015</v>
      </c>
      <c r="L1023" t="s">
        <v>2203</v>
      </c>
      <c r="M1023" t="str">
        <f>_xlfn.XLOOKUP(Orders[[#This Row],[CustomerID]],Customers[CustomerID],Customers[City])</f>
        <v>Florida</v>
      </c>
      <c r="N1023" t="str">
        <f>_xlfn.XLOOKUP(Orders[[#This Row],[CustomerID]],Customers[CustomerID],Customers[CustomerName])</f>
        <v>Uche Abubakar</v>
      </c>
      <c r="O1023" t="str">
        <f>_xlfn.XLOOKUP(Orders[[#This Row],[CustomerID]],Customers[CustomerID],Customers[Gender])</f>
        <v>Male</v>
      </c>
      <c r="P1023">
        <f>_xlfn.XLOOKUP(Orders[[#This Row],[CustomerID]],Customers[CustomerID],Customers[CustomerAge])</f>
        <v>28</v>
      </c>
      <c r="Q1023" t="str">
        <f>IF(Orders[[#This Row],[Age]]&gt;=35,"older","young")</f>
        <v>young</v>
      </c>
      <c r="R1023" t="str">
        <f>_xlfn.XLOOKUP(Orders[[#This Row],[ProductID]],Products[ProductID],Products[ProductName])</f>
        <v>TENNIS BAT</v>
      </c>
      <c r="S1023" t="str">
        <f>_xlfn.XLOOKUP(Orders[[#This Row],[ProductID]],Products!A:A,Products!C:C)</f>
        <v>Sports</v>
      </c>
    </row>
    <row r="1024" spans="1:19" x14ac:dyDescent="0.2">
      <c r="A1024" s="4" t="s">
        <v>1213</v>
      </c>
      <c r="B1024" s="5">
        <v>45989</v>
      </c>
      <c r="C1024" s="15">
        <f>WEEKNUM(Orders[[#This Row],[OrderDate]])</f>
        <v>48</v>
      </c>
      <c r="D1024" s="4" t="s">
        <v>107</v>
      </c>
      <c r="E1024" s="4" t="s">
        <v>189</v>
      </c>
      <c r="F1024" s="4">
        <v>10</v>
      </c>
      <c r="G1024" s="4">
        <v>5875.5</v>
      </c>
      <c r="H1024">
        <v>4994.1750000000002</v>
      </c>
      <c r="I1024">
        <f>Orders[[#This Row],[Quantity]]*Orders[[#This Row],[Selling Price]]</f>
        <v>58755</v>
      </c>
      <c r="J1024">
        <f>Orders[[#This Row],[Quantity]]*Orders[[#This Row],[Cost Price]]</f>
        <v>49941.75</v>
      </c>
      <c r="K1024">
        <f>Orders[[#This Row],[Revenue]]-Orders[[#This Row],[Expenses]]</f>
        <v>8813.25</v>
      </c>
      <c r="L1024" t="s">
        <v>2204</v>
      </c>
      <c r="M1024" t="str">
        <f>_xlfn.XLOOKUP(Orders[[#This Row],[CustomerID]],Customers[CustomerID],Customers[City])</f>
        <v>Texas</v>
      </c>
      <c r="N1024" t="str">
        <f>_xlfn.XLOOKUP(Orders[[#This Row],[CustomerID]],Customers[CustomerID],Customers[CustomerName])</f>
        <v>Blessing Eze</v>
      </c>
      <c r="O1024" t="str">
        <f>_xlfn.XLOOKUP(Orders[[#This Row],[CustomerID]],Customers[CustomerID],Customers[Gender])</f>
        <v>Female</v>
      </c>
      <c r="P1024">
        <f>_xlfn.XLOOKUP(Orders[[#This Row],[CustomerID]],Customers[CustomerID],Customers[CustomerAge])</f>
        <v>44</v>
      </c>
      <c r="Q1024" t="str">
        <f>IF(Orders[[#This Row],[Age]]&gt;=35,"older","young")</f>
        <v>older</v>
      </c>
      <c r="R1024" t="str">
        <f>_xlfn.XLOOKUP(Orders[[#This Row],[ProductID]],Products[ProductID],Products[ProductName])</f>
        <v>SCRABBLE</v>
      </c>
      <c r="S1024" t="str">
        <f>_xlfn.XLOOKUP(Orders[[#This Row],[ProductID]],Products!A:A,Products!C:C)</f>
        <v>Games</v>
      </c>
    </row>
    <row r="1025" spans="1:19" x14ac:dyDescent="0.2">
      <c r="A1025" s="4" t="s">
        <v>1214</v>
      </c>
      <c r="B1025" s="5">
        <v>45992</v>
      </c>
      <c r="C1025" s="15">
        <f>WEEKNUM(Orders[[#This Row],[OrderDate]])</f>
        <v>49</v>
      </c>
      <c r="D1025" s="4" t="s">
        <v>68</v>
      </c>
      <c r="E1025" s="4" t="s">
        <v>76</v>
      </c>
      <c r="F1025" s="4">
        <v>8</v>
      </c>
      <c r="G1025" s="4">
        <v>16480.3</v>
      </c>
      <c r="H1025">
        <v>14008.254999999999</v>
      </c>
      <c r="I1025">
        <f>Orders[[#This Row],[Quantity]]*Orders[[#This Row],[Selling Price]]</f>
        <v>131842.4</v>
      </c>
      <c r="J1025">
        <f>Orders[[#This Row],[Quantity]]*Orders[[#This Row],[Cost Price]]</f>
        <v>112066.04</v>
      </c>
      <c r="K1025">
        <f>Orders[[#This Row],[Revenue]]-Orders[[#This Row],[Expenses]]</f>
        <v>19776.36</v>
      </c>
      <c r="L1025" t="s">
        <v>2192</v>
      </c>
      <c r="M1025" t="str">
        <f>_xlfn.XLOOKUP(Orders[[#This Row],[CustomerID]],Customers[CustomerID],Customers[City])</f>
        <v>Texas</v>
      </c>
      <c r="N1025" t="str">
        <f>_xlfn.XLOOKUP(Orders[[#This Row],[CustomerID]],Customers[CustomerID],Customers[CustomerName])</f>
        <v>Abiola Balogun</v>
      </c>
      <c r="O1025" t="str">
        <f>_xlfn.XLOOKUP(Orders[[#This Row],[CustomerID]],Customers[CustomerID],Customers[Gender])</f>
        <v>Male</v>
      </c>
      <c r="P1025">
        <f>_xlfn.XLOOKUP(Orders[[#This Row],[CustomerID]],Customers[CustomerID],Customers[CustomerAge])</f>
        <v>29</v>
      </c>
      <c r="Q1025" t="str">
        <f>IF(Orders[[#This Row],[Age]]&gt;=35,"older","young")</f>
        <v>young</v>
      </c>
      <c r="R1025" t="str">
        <f>_xlfn.XLOOKUP(Orders[[#This Row],[ProductID]],Products[ProductID],Products[ProductName])</f>
        <v>BLENDER</v>
      </c>
      <c r="S1025" t="str">
        <f>_xlfn.XLOOKUP(Orders[[#This Row],[ProductID]],Products!A:A,Products!C:C)</f>
        <v>Electronics</v>
      </c>
    </row>
    <row r="1026" spans="1:19" x14ac:dyDescent="0.2">
      <c r="A1026" s="4" t="s">
        <v>1215</v>
      </c>
      <c r="B1026" s="5">
        <v>45934</v>
      </c>
      <c r="C1026" s="15">
        <f>WEEKNUM(Orders[[#This Row],[OrderDate]])</f>
        <v>40</v>
      </c>
      <c r="D1026" s="4" t="s">
        <v>107</v>
      </c>
      <c r="E1026" s="4" t="s">
        <v>9</v>
      </c>
      <c r="F1026" s="4">
        <v>10</v>
      </c>
      <c r="G1026" s="4">
        <v>1783.1999999999998</v>
      </c>
      <c r="H1026">
        <v>1515.7199999999998</v>
      </c>
      <c r="I1026">
        <f>Orders[[#This Row],[Quantity]]*Orders[[#This Row],[Selling Price]]</f>
        <v>17832</v>
      </c>
      <c r="J1026">
        <f>Orders[[#This Row],[Quantity]]*Orders[[#This Row],[Cost Price]]</f>
        <v>15157.199999999997</v>
      </c>
      <c r="K1026">
        <f>Orders[[#This Row],[Revenue]]-Orders[[#This Row],[Expenses]]</f>
        <v>2674.8000000000029</v>
      </c>
      <c r="L1026" t="s">
        <v>2197</v>
      </c>
      <c r="M1026" t="str">
        <f>_xlfn.XLOOKUP(Orders[[#This Row],[CustomerID]],Customers[CustomerID],Customers[City])</f>
        <v>Texas</v>
      </c>
      <c r="N1026" t="str">
        <f>_xlfn.XLOOKUP(Orders[[#This Row],[CustomerID]],Customers[CustomerID],Customers[CustomerName])</f>
        <v>Blessing Eze</v>
      </c>
      <c r="O1026" t="str">
        <f>_xlfn.XLOOKUP(Orders[[#This Row],[CustomerID]],Customers[CustomerID],Customers[Gender])</f>
        <v>Female</v>
      </c>
      <c r="P1026">
        <f>_xlfn.XLOOKUP(Orders[[#This Row],[CustomerID]],Customers[CustomerID],Customers[CustomerAge])</f>
        <v>44</v>
      </c>
      <c r="Q1026" t="str">
        <f>IF(Orders[[#This Row],[Age]]&gt;=35,"older","young")</f>
        <v>older</v>
      </c>
      <c r="R1026" t="str">
        <f>_xlfn.XLOOKUP(Orders[[#This Row],[ProductID]],Products[ProductID],Products[ProductName])</f>
        <v>BEADED EARRINGS AND NECKLACES</v>
      </c>
      <c r="S1026" t="str">
        <f>_xlfn.XLOOKUP(Orders[[#This Row],[ProductID]],Products!A:A,Products!C:C)</f>
        <v>Accessories</v>
      </c>
    </row>
    <row r="1027" spans="1:19" x14ac:dyDescent="0.2">
      <c r="A1027" s="4" t="s">
        <v>1216</v>
      </c>
      <c r="B1027" s="5">
        <v>45943</v>
      </c>
      <c r="C1027" s="15">
        <f>WEEKNUM(Orders[[#This Row],[OrderDate]])</f>
        <v>42</v>
      </c>
      <c r="D1027" s="4" t="s">
        <v>298</v>
      </c>
      <c r="E1027" s="4" t="s">
        <v>66</v>
      </c>
      <c r="F1027" s="4">
        <v>6</v>
      </c>
      <c r="G1027" s="4">
        <v>5655.9000000000005</v>
      </c>
      <c r="H1027">
        <v>4807.5150000000003</v>
      </c>
      <c r="I1027">
        <f>Orders[[#This Row],[Quantity]]*Orders[[#This Row],[Selling Price]]</f>
        <v>33935.4</v>
      </c>
      <c r="J1027">
        <f>Orders[[#This Row],[Quantity]]*Orders[[#This Row],[Cost Price]]</f>
        <v>28845.090000000004</v>
      </c>
      <c r="K1027">
        <f>Orders[[#This Row],[Revenue]]-Orders[[#This Row],[Expenses]]</f>
        <v>5090.3099999999977</v>
      </c>
      <c r="L1027" t="s">
        <v>2199</v>
      </c>
      <c r="M1027" t="str">
        <f>_xlfn.XLOOKUP(Orders[[#This Row],[CustomerID]],Customers[CustomerID],Customers[City])</f>
        <v>Florida</v>
      </c>
      <c r="N1027" t="str">
        <f>_xlfn.XLOOKUP(Orders[[#This Row],[CustomerID]],Customers[CustomerID],Customers[CustomerName])</f>
        <v>Amina Obi</v>
      </c>
      <c r="O1027" t="str">
        <f>_xlfn.XLOOKUP(Orders[[#This Row],[CustomerID]],Customers[CustomerID],Customers[Gender])</f>
        <v>Female</v>
      </c>
      <c r="P1027">
        <f>_xlfn.XLOOKUP(Orders[[#This Row],[CustomerID]],Customers[CustomerID],Customers[CustomerAge])</f>
        <v>19</v>
      </c>
      <c r="Q1027" t="str">
        <f>IF(Orders[[#This Row],[Age]]&gt;=35,"older","young")</f>
        <v>young</v>
      </c>
      <c r="R1027" t="str">
        <f>_xlfn.XLOOKUP(Orders[[#This Row],[ProductID]],Products[ProductID],Products[ProductName])</f>
        <v>MICROWAVE</v>
      </c>
      <c r="S1027" t="str">
        <f>_xlfn.XLOOKUP(Orders[[#This Row],[ProductID]],Products!A:A,Products!C:C)</f>
        <v>Electronics</v>
      </c>
    </row>
    <row r="1028" spans="1:19" x14ac:dyDescent="0.2">
      <c r="A1028" s="4" t="s">
        <v>1217</v>
      </c>
      <c r="B1028" s="5">
        <v>45931</v>
      </c>
      <c r="C1028" s="15">
        <f>WEEKNUM(Orders[[#This Row],[OrderDate]])</f>
        <v>40</v>
      </c>
      <c r="D1028" s="4" t="s">
        <v>89</v>
      </c>
      <c r="E1028" s="4" t="s">
        <v>60</v>
      </c>
      <c r="F1028" s="4">
        <v>3</v>
      </c>
      <c r="G1028" s="4">
        <v>4451.3999999999996</v>
      </c>
      <c r="H1028">
        <v>3783.6899999999996</v>
      </c>
      <c r="I1028">
        <f>Orders[[#This Row],[Quantity]]*Orders[[#This Row],[Selling Price]]</f>
        <v>13354.199999999999</v>
      </c>
      <c r="J1028">
        <f>Orders[[#This Row],[Quantity]]*Orders[[#This Row],[Cost Price]]</f>
        <v>11351.07</v>
      </c>
      <c r="K1028">
        <f>Orders[[#This Row],[Revenue]]-Orders[[#This Row],[Expenses]]</f>
        <v>2003.1299999999992</v>
      </c>
      <c r="L1028" t="s">
        <v>2193</v>
      </c>
      <c r="M1028" t="str">
        <f>_xlfn.XLOOKUP(Orders[[#This Row],[CustomerID]],Customers[CustomerID],Customers[City])</f>
        <v>Washington</v>
      </c>
      <c r="N1028" t="str">
        <f>_xlfn.XLOOKUP(Orders[[#This Row],[CustomerID]],Customers[CustomerID],Customers[CustomerName])</f>
        <v>Blessing Balogun</v>
      </c>
      <c r="O1028" t="str">
        <f>_xlfn.XLOOKUP(Orders[[#This Row],[CustomerID]],Customers[CustomerID],Customers[Gender])</f>
        <v>Female</v>
      </c>
      <c r="P1028">
        <f>_xlfn.XLOOKUP(Orders[[#This Row],[CustomerID]],Customers[CustomerID],Customers[CustomerAge])</f>
        <v>19</v>
      </c>
      <c r="Q1028" t="str">
        <f>IF(Orders[[#This Row],[Age]]&gt;=35,"older","young")</f>
        <v>young</v>
      </c>
      <c r="R1028" t="str">
        <f>_xlfn.XLOOKUP(Orders[[#This Row],[ProductID]],Products[ProductID],Products[ProductName])</f>
        <v>SILVER RINGS</v>
      </c>
      <c r="S1028" t="str">
        <f>_xlfn.XLOOKUP(Orders[[#This Row],[ProductID]],Products!A:A,Products!C:C)</f>
        <v>Accessories</v>
      </c>
    </row>
    <row r="1029" spans="1:19" x14ac:dyDescent="0.2">
      <c r="A1029" s="4" t="s">
        <v>1218</v>
      </c>
      <c r="B1029" s="5">
        <v>45963</v>
      </c>
      <c r="C1029" s="15">
        <f>WEEKNUM(Orders[[#This Row],[OrderDate]])</f>
        <v>45</v>
      </c>
      <c r="D1029" s="4" t="s">
        <v>210</v>
      </c>
      <c r="E1029" s="4" t="s">
        <v>37</v>
      </c>
      <c r="F1029" s="4">
        <v>5</v>
      </c>
      <c r="G1029" s="4">
        <v>4378.8999999999996</v>
      </c>
      <c r="H1029">
        <v>3722.0649999999996</v>
      </c>
      <c r="I1029">
        <f>Orders[[#This Row],[Quantity]]*Orders[[#This Row],[Selling Price]]</f>
        <v>21894.5</v>
      </c>
      <c r="J1029">
        <f>Orders[[#This Row],[Quantity]]*Orders[[#This Row],[Cost Price]]</f>
        <v>18610.324999999997</v>
      </c>
      <c r="K1029">
        <f>Orders[[#This Row],[Revenue]]-Orders[[#This Row],[Expenses]]</f>
        <v>3284.1750000000029</v>
      </c>
      <c r="L1029" t="s">
        <v>2214</v>
      </c>
      <c r="M1029" t="str">
        <f>_xlfn.XLOOKUP(Orders[[#This Row],[CustomerID]],Customers[CustomerID],Customers[City])</f>
        <v>Illinois</v>
      </c>
      <c r="N1029" t="str">
        <f>_xlfn.XLOOKUP(Orders[[#This Row],[CustomerID]],Customers[CustomerID],Customers[CustomerName])</f>
        <v>Zainab Bello</v>
      </c>
      <c r="O1029" t="str">
        <f>_xlfn.XLOOKUP(Orders[[#This Row],[CustomerID]],Customers[CustomerID],Customers[Gender])</f>
        <v>Female</v>
      </c>
      <c r="P1029">
        <f>_xlfn.XLOOKUP(Orders[[#This Row],[CustomerID]],Customers[CustomerID],Customers[CustomerAge])</f>
        <v>27</v>
      </c>
      <c r="Q1029" t="str">
        <f>IF(Orders[[#This Row],[Age]]&gt;=35,"older","young")</f>
        <v>young</v>
      </c>
      <c r="R1029" t="str">
        <f>_xlfn.XLOOKUP(Orders[[#This Row],[ProductID]],Products[ProductID],Products[ProductName])</f>
        <v>IRON</v>
      </c>
      <c r="S1029" t="str">
        <f>_xlfn.XLOOKUP(Orders[[#This Row],[ProductID]],Products!A:A,Products!C:C)</f>
        <v>Electronics</v>
      </c>
    </row>
    <row r="1030" spans="1:19" x14ac:dyDescent="0.2">
      <c r="A1030" s="4" t="s">
        <v>1219</v>
      </c>
      <c r="B1030" s="5">
        <v>45949</v>
      </c>
      <c r="C1030" s="15">
        <f>WEEKNUM(Orders[[#This Row],[OrderDate]])</f>
        <v>43</v>
      </c>
      <c r="D1030" s="4" t="s">
        <v>207</v>
      </c>
      <c r="E1030" s="4" t="s">
        <v>125</v>
      </c>
      <c r="F1030" s="4">
        <v>2</v>
      </c>
      <c r="G1030" s="4">
        <v>2312.6</v>
      </c>
      <c r="H1030">
        <v>1965.71</v>
      </c>
      <c r="I1030">
        <f>Orders[[#This Row],[Quantity]]*Orders[[#This Row],[Selling Price]]</f>
        <v>4625.2</v>
      </c>
      <c r="J1030">
        <f>Orders[[#This Row],[Quantity]]*Orders[[#This Row],[Cost Price]]</f>
        <v>3931.42</v>
      </c>
      <c r="K1030">
        <f>Orders[[#This Row],[Revenue]]-Orders[[#This Row],[Expenses]]</f>
        <v>693.77999999999975</v>
      </c>
      <c r="L1030" t="s">
        <v>2210</v>
      </c>
      <c r="M1030" t="str">
        <f>_xlfn.XLOOKUP(Orders[[#This Row],[CustomerID]],Customers[CustomerID],Customers[City])</f>
        <v>Florida</v>
      </c>
      <c r="N1030" t="str">
        <f>_xlfn.XLOOKUP(Orders[[#This Row],[CustomerID]],Customers[CustomerID],Customers[CustomerName])</f>
        <v>Bisi Eze</v>
      </c>
      <c r="O1030" t="str">
        <f>_xlfn.XLOOKUP(Orders[[#This Row],[CustomerID]],Customers[CustomerID],Customers[Gender])</f>
        <v>Female</v>
      </c>
      <c r="P1030">
        <f>_xlfn.XLOOKUP(Orders[[#This Row],[CustomerID]],Customers[CustomerID],Customers[CustomerAge])</f>
        <v>37</v>
      </c>
      <c r="Q1030" t="str">
        <f>IF(Orders[[#This Row],[Age]]&gt;=35,"older","young")</f>
        <v>older</v>
      </c>
      <c r="R1030" t="str">
        <f>_xlfn.XLOOKUP(Orders[[#This Row],[ProductID]],Products[ProductID],Products[ProductName])</f>
        <v>EARRINGS</v>
      </c>
      <c r="S1030" t="str">
        <f>_xlfn.XLOOKUP(Orders[[#This Row],[ProductID]],Products!A:A,Products!C:C)</f>
        <v>Accessories</v>
      </c>
    </row>
    <row r="1031" spans="1:19" x14ac:dyDescent="0.2">
      <c r="A1031" s="4" t="s">
        <v>1220</v>
      </c>
      <c r="B1031" s="5">
        <v>45980</v>
      </c>
      <c r="C1031" s="15">
        <f>WEEKNUM(Orders[[#This Row],[OrderDate]])</f>
        <v>47</v>
      </c>
      <c r="D1031" s="4" t="s">
        <v>369</v>
      </c>
      <c r="E1031" s="4" t="s">
        <v>151</v>
      </c>
      <c r="F1031" s="4">
        <v>1</v>
      </c>
      <c r="G1031" s="4">
        <v>17734.599999999999</v>
      </c>
      <c r="H1031">
        <v>15074.41</v>
      </c>
      <c r="I1031">
        <f>Orders[[#This Row],[Quantity]]*Orders[[#This Row],[Selling Price]]</f>
        <v>17734.599999999999</v>
      </c>
      <c r="J1031">
        <f>Orders[[#This Row],[Quantity]]*Orders[[#This Row],[Cost Price]]</f>
        <v>15074.41</v>
      </c>
      <c r="K1031">
        <f>Orders[[#This Row],[Revenue]]-Orders[[#This Row],[Expenses]]</f>
        <v>2660.1899999999987</v>
      </c>
      <c r="L1031" t="s">
        <v>2218</v>
      </c>
      <c r="M1031" t="str">
        <f>_xlfn.XLOOKUP(Orders[[#This Row],[CustomerID]],Customers[CustomerID],Customers[City])</f>
        <v>Washington</v>
      </c>
      <c r="N1031" t="str">
        <f>_xlfn.XLOOKUP(Orders[[#This Row],[CustomerID]],Customers[CustomerID],Customers[CustomerName])</f>
        <v>Ibrahim Bello</v>
      </c>
      <c r="O1031" t="str">
        <f>_xlfn.XLOOKUP(Orders[[#This Row],[CustomerID]],Customers[CustomerID],Customers[Gender])</f>
        <v>Male</v>
      </c>
      <c r="P1031">
        <f>_xlfn.XLOOKUP(Orders[[#This Row],[CustomerID]],Customers[CustomerID],Customers[CustomerAge])</f>
        <v>40</v>
      </c>
      <c r="Q1031" t="str">
        <f>IF(Orders[[#This Row],[Age]]&gt;=35,"older","young")</f>
        <v>older</v>
      </c>
      <c r="R1031" t="str">
        <f>_xlfn.XLOOKUP(Orders[[#This Row],[ProductID]],Products[ProductID],Products[ProductName])</f>
        <v>CHECKERS</v>
      </c>
      <c r="S1031" t="str">
        <f>_xlfn.XLOOKUP(Orders[[#This Row],[ProductID]],Products!A:A,Products!C:C)</f>
        <v>Games</v>
      </c>
    </row>
    <row r="1032" spans="1:19" x14ac:dyDescent="0.2">
      <c r="A1032" s="4" t="s">
        <v>1221</v>
      </c>
      <c r="B1032" s="5">
        <v>45990</v>
      </c>
      <c r="C1032" s="15">
        <f>WEEKNUM(Orders[[#This Row],[OrderDate]])</f>
        <v>48</v>
      </c>
      <c r="D1032" s="4" t="s">
        <v>22</v>
      </c>
      <c r="E1032" s="4" t="s">
        <v>70</v>
      </c>
      <c r="F1032" s="4">
        <v>5</v>
      </c>
      <c r="G1032" s="4">
        <v>13457.5</v>
      </c>
      <c r="H1032">
        <v>11438.875</v>
      </c>
      <c r="I1032">
        <f>Orders[[#This Row],[Quantity]]*Orders[[#This Row],[Selling Price]]</f>
        <v>67287.5</v>
      </c>
      <c r="J1032">
        <f>Orders[[#This Row],[Quantity]]*Orders[[#This Row],[Cost Price]]</f>
        <v>57194.375</v>
      </c>
      <c r="K1032">
        <f>Orders[[#This Row],[Revenue]]-Orders[[#This Row],[Expenses]]</f>
        <v>10093.125</v>
      </c>
      <c r="L1032" t="s">
        <v>2206</v>
      </c>
      <c r="M1032" t="str">
        <f>_xlfn.XLOOKUP(Orders[[#This Row],[CustomerID]],Customers[CustomerID],Customers[City])</f>
        <v>Texas</v>
      </c>
      <c r="N1032" t="str">
        <f>_xlfn.XLOOKUP(Orders[[#This Row],[CustomerID]],Customers[CustomerID],Customers[CustomerName])</f>
        <v>Temi Bello</v>
      </c>
      <c r="O1032" t="str">
        <f>_xlfn.XLOOKUP(Orders[[#This Row],[CustomerID]],Customers[CustomerID],Customers[Gender])</f>
        <v>Female</v>
      </c>
      <c r="P1032">
        <f>_xlfn.XLOOKUP(Orders[[#This Row],[CustomerID]],Customers[CustomerID],Customers[CustomerAge])</f>
        <v>52</v>
      </c>
      <c r="Q1032" t="str">
        <f>IF(Orders[[#This Row],[Age]]&gt;=35,"older","young")</f>
        <v>older</v>
      </c>
      <c r="R1032" t="str">
        <f>_xlfn.XLOOKUP(Orders[[#This Row],[ProductID]],Products[ProductID],Products[ProductName])</f>
        <v>YOGA MAT</v>
      </c>
      <c r="S1032" t="str">
        <f>_xlfn.XLOOKUP(Orders[[#This Row],[ProductID]],Products!A:A,Products!C:C)</f>
        <v>Gym</v>
      </c>
    </row>
    <row r="1033" spans="1:19" x14ac:dyDescent="0.2">
      <c r="A1033" s="4" t="s">
        <v>1222</v>
      </c>
      <c r="B1033" s="5">
        <v>45992</v>
      </c>
      <c r="C1033" s="15">
        <f>WEEKNUM(Orders[[#This Row],[OrderDate]])</f>
        <v>49</v>
      </c>
      <c r="D1033" s="4" t="s">
        <v>41</v>
      </c>
      <c r="E1033" s="4" t="s">
        <v>28</v>
      </c>
      <c r="F1033" s="4">
        <v>2</v>
      </c>
      <c r="G1033" s="4">
        <v>8363.4</v>
      </c>
      <c r="H1033">
        <v>7108.8899999999994</v>
      </c>
      <c r="I1033">
        <f>Orders[[#This Row],[Quantity]]*Orders[[#This Row],[Selling Price]]</f>
        <v>16726.8</v>
      </c>
      <c r="J1033">
        <f>Orders[[#This Row],[Quantity]]*Orders[[#This Row],[Cost Price]]</f>
        <v>14217.779999999999</v>
      </c>
      <c r="K1033">
        <f>Orders[[#This Row],[Revenue]]-Orders[[#This Row],[Expenses]]</f>
        <v>2509.0200000000004</v>
      </c>
      <c r="L1033" t="s">
        <v>2192</v>
      </c>
      <c r="M1033" t="str">
        <f>_xlfn.XLOOKUP(Orders[[#This Row],[CustomerID]],Customers[CustomerID],Customers[City])</f>
        <v>Texas</v>
      </c>
      <c r="N1033" t="str">
        <f>_xlfn.XLOOKUP(Orders[[#This Row],[CustomerID]],Customers[CustomerID],Customers[CustomerName])</f>
        <v>Mustafa Balogun</v>
      </c>
      <c r="O1033" t="str">
        <f>_xlfn.XLOOKUP(Orders[[#This Row],[CustomerID]],Customers[CustomerID],Customers[Gender])</f>
        <v>Male</v>
      </c>
      <c r="P1033">
        <f>_xlfn.XLOOKUP(Orders[[#This Row],[CustomerID]],Customers[CustomerID],Customers[CustomerAge])</f>
        <v>40</v>
      </c>
      <c r="Q1033" t="str">
        <f>IF(Orders[[#This Row],[Age]]&gt;=35,"older","young")</f>
        <v>older</v>
      </c>
      <c r="R1033" t="str">
        <f>_xlfn.XLOOKUP(Orders[[#This Row],[ProductID]],Products[ProductID],Products[ProductName])</f>
        <v>SNEAKERS</v>
      </c>
      <c r="S1033" t="str">
        <f>_xlfn.XLOOKUP(Orders[[#This Row],[ProductID]],Products!A:A,Products!C:C)</f>
        <v>Sports</v>
      </c>
    </row>
    <row r="1034" spans="1:19" x14ac:dyDescent="0.2">
      <c r="A1034" s="4" t="s">
        <v>1223</v>
      </c>
      <c r="B1034" s="5">
        <v>45965</v>
      </c>
      <c r="C1034" s="15">
        <f>WEEKNUM(Orders[[#This Row],[OrderDate]])</f>
        <v>45</v>
      </c>
      <c r="D1034" s="4" t="s">
        <v>103</v>
      </c>
      <c r="E1034" s="4" t="s">
        <v>232</v>
      </c>
      <c r="F1034" s="4">
        <v>7</v>
      </c>
      <c r="G1034" s="4">
        <v>12925.4</v>
      </c>
      <c r="H1034">
        <v>10986.59</v>
      </c>
      <c r="I1034">
        <f>Orders[[#This Row],[Quantity]]*Orders[[#This Row],[Selling Price]]</f>
        <v>90477.8</v>
      </c>
      <c r="J1034">
        <f>Orders[[#This Row],[Quantity]]*Orders[[#This Row],[Cost Price]]</f>
        <v>76906.13</v>
      </c>
      <c r="K1034">
        <f>Orders[[#This Row],[Revenue]]-Orders[[#This Row],[Expenses]]</f>
        <v>13571.669999999998</v>
      </c>
      <c r="L1034" t="s">
        <v>2203</v>
      </c>
      <c r="M1034" t="str">
        <f>_xlfn.XLOOKUP(Orders[[#This Row],[CustomerID]],Customers[CustomerID],Customers[City])</f>
        <v>Georgia</v>
      </c>
      <c r="N1034" t="str">
        <f>_xlfn.XLOOKUP(Orders[[#This Row],[CustomerID]],Customers[CustomerID],Customers[CustomerName])</f>
        <v>Chioma Adeyemi</v>
      </c>
      <c r="O1034" t="str">
        <f>_xlfn.XLOOKUP(Orders[[#This Row],[CustomerID]],Customers[CustomerID],Customers[Gender])</f>
        <v>Female</v>
      </c>
      <c r="P1034">
        <f>_xlfn.XLOOKUP(Orders[[#This Row],[CustomerID]],Customers[CustomerID],Customers[CustomerAge])</f>
        <v>31</v>
      </c>
      <c r="Q1034" t="str">
        <f>IF(Orders[[#This Row],[Age]]&gt;=35,"older","young")</f>
        <v>young</v>
      </c>
      <c r="R1034" t="str">
        <f>_xlfn.XLOOKUP(Orders[[#This Row],[ProductID]],Products[ProductID],Products[ProductName])</f>
        <v>ANKARA</v>
      </c>
      <c r="S1034" t="str">
        <f>_xlfn.XLOOKUP(Orders[[#This Row],[ProductID]],Products!A:A,Products!C:C)</f>
        <v>Clothing</v>
      </c>
    </row>
    <row r="1035" spans="1:19" x14ac:dyDescent="0.2">
      <c r="A1035" s="4" t="s">
        <v>1224</v>
      </c>
      <c r="B1035" s="5">
        <v>45936</v>
      </c>
      <c r="C1035" s="15">
        <f>WEEKNUM(Orders[[#This Row],[OrderDate]])</f>
        <v>41</v>
      </c>
      <c r="D1035" s="4" t="s">
        <v>140</v>
      </c>
      <c r="E1035" s="4" t="s">
        <v>57</v>
      </c>
      <c r="F1035" s="4">
        <v>2</v>
      </c>
      <c r="G1035" s="4">
        <v>14029</v>
      </c>
      <c r="H1035">
        <v>11924.65</v>
      </c>
      <c r="I1035">
        <f>Orders[[#This Row],[Quantity]]*Orders[[#This Row],[Selling Price]]</f>
        <v>28058</v>
      </c>
      <c r="J1035">
        <f>Orders[[#This Row],[Quantity]]*Orders[[#This Row],[Cost Price]]</f>
        <v>23849.3</v>
      </c>
      <c r="K1035">
        <f>Orders[[#This Row],[Revenue]]-Orders[[#This Row],[Expenses]]</f>
        <v>4208.7000000000007</v>
      </c>
      <c r="L1035" t="s">
        <v>2207</v>
      </c>
      <c r="M1035" t="str">
        <f>_xlfn.XLOOKUP(Orders[[#This Row],[CustomerID]],Customers[CustomerID],Customers[City])</f>
        <v>Washington</v>
      </c>
      <c r="N1035" t="str">
        <f>_xlfn.XLOOKUP(Orders[[#This Row],[CustomerID]],Customers[CustomerID],Customers[CustomerName])</f>
        <v>Tunde Igwe</v>
      </c>
      <c r="O1035" t="str">
        <f>_xlfn.XLOOKUP(Orders[[#This Row],[CustomerID]],Customers[CustomerID],Customers[Gender])</f>
        <v>Male</v>
      </c>
      <c r="P1035">
        <f>_xlfn.XLOOKUP(Orders[[#This Row],[CustomerID]],Customers[CustomerID],Customers[CustomerAge])</f>
        <v>20</v>
      </c>
      <c r="Q1035" t="str">
        <f>IF(Orders[[#This Row],[Age]]&gt;=35,"older","young")</f>
        <v>young</v>
      </c>
      <c r="R1035" t="str">
        <f>_xlfn.XLOOKUP(Orders[[#This Row],[ProductID]],Products[ProductID],Products[ProductName])</f>
        <v>BADMINTON RACKET</v>
      </c>
      <c r="S1035" t="str">
        <f>_xlfn.XLOOKUP(Orders[[#This Row],[ProductID]],Products!A:A,Products!C:C)</f>
        <v>Sports</v>
      </c>
    </row>
    <row r="1036" spans="1:19" x14ac:dyDescent="0.2">
      <c r="A1036" s="4" t="s">
        <v>1225</v>
      </c>
      <c r="B1036" s="5">
        <v>45952</v>
      </c>
      <c r="C1036" s="15">
        <f>WEEKNUM(Orders[[#This Row],[OrderDate]])</f>
        <v>43</v>
      </c>
      <c r="D1036" s="4" t="s">
        <v>14</v>
      </c>
      <c r="E1036" s="4" t="s">
        <v>81</v>
      </c>
      <c r="F1036" s="4">
        <v>4</v>
      </c>
      <c r="G1036" s="4">
        <v>13137.7</v>
      </c>
      <c r="H1036">
        <v>11167.045</v>
      </c>
      <c r="I1036">
        <f>Orders[[#This Row],[Quantity]]*Orders[[#This Row],[Selling Price]]</f>
        <v>52550.8</v>
      </c>
      <c r="J1036">
        <f>Orders[[#This Row],[Quantity]]*Orders[[#This Row],[Cost Price]]</f>
        <v>44668.18</v>
      </c>
      <c r="K1036">
        <f>Orders[[#This Row],[Revenue]]-Orders[[#This Row],[Expenses]]</f>
        <v>7882.6200000000026</v>
      </c>
      <c r="L1036" t="s">
        <v>2219</v>
      </c>
      <c r="M1036" t="str">
        <f>_xlfn.XLOOKUP(Orders[[#This Row],[CustomerID]],Customers[CustomerID],Customers[City])</f>
        <v>Texas</v>
      </c>
      <c r="N1036" t="str">
        <f>_xlfn.XLOOKUP(Orders[[#This Row],[CustomerID]],Customers[CustomerID],Customers[CustomerName])</f>
        <v>Abiola Igwe</v>
      </c>
      <c r="O1036" t="str">
        <f>_xlfn.XLOOKUP(Orders[[#This Row],[CustomerID]],Customers[CustomerID],Customers[Gender])</f>
        <v>Male</v>
      </c>
      <c r="P1036">
        <f>_xlfn.XLOOKUP(Orders[[#This Row],[CustomerID]],Customers[CustomerID],Customers[CustomerAge])</f>
        <v>39</v>
      </c>
      <c r="Q1036" t="str">
        <f>IF(Orders[[#This Row],[Age]]&gt;=35,"older","young")</f>
        <v>older</v>
      </c>
      <c r="R1036" t="str">
        <f>_xlfn.XLOOKUP(Orders[[#This Row],[ProductID]],Products[ProductID],Products[ProductName])</f>
        <v>TROUSERS</v>
      </c>
      <c r="S1036" t="str">
        <f>_xlfn.XLOOKUP(Orders[[#This Row],[ProductID]],Products!A:A,Products!C:C)</f>
        <v>Clothing</v>
      </c>
    </row>
    <row r="1037" spans="1:19" x14ac:dyDescent="0.2">
      <c r="A1037" s="4" t="s">
        <v>1226</v>
      </c>
      <c r="B1037" s="5">
        <v>46007</v>
      </c>
      <c r="C1037" s="15">
        <f>WEEKNUM(Orders[[#This Row],[OrderDate]])</f>
        <v>51</v>
      </c>
      <c r="D1037" s="4" t="s">
        <v>116</v>
      </c>
      <c r="E1037" s="4" t="s">
        <v>151</v>
      </c>
      <c r="F1037" s="4">
        <v>1</v>
      </c>
      <c r="G1037" s="4">
        <v>13554.400000000001</v>
      </c>
      <c r="H1037">
        <v>11521.240000000002</v>
      </c>
      <c r="I1037">
        <f>Orders[[#This Row],[Quantity]]*Orders[[#This Row],[Selling Price]]</f>
        <v>13554.400000000001</v>
      </c>
      <c r="J1037">
        <f>Orders[[#This Row],[Quantity]]*Orders[[#This Row],[Cost Price]]</f>
        <v>11521.240000000002</v>
      </c>
      <c r="K1037">
        <f>Orders[[#This Row],[Revenue]]-Orders[[#This Row],[Expenses]]</f>
        <v>2033.1599999999999</v>
      </c>
      <c r="L1037" t="s">
        <v>2199</v>
      </c>
      <c r="M1037" t="str">
        <f>_xlfn.XLOOKUP(Orders[[#This Row],[CustomerID]],Customers[CustomerID],Customers[City])</f>
        <v>Texas</v>
      </c>
      <c r="N1037" t="str">
        <f>_xlfn.XLOOKUP(Orders[[#This Row],[CustomerID]],Customers[CustomerID],Customers[CustomerName])</f>
        <v>Uche Bello</v>
      </c>
      <c r="O1037" t="str">
        <f>_xlfn.XLOOKUP(Orders[[#This Row],[CustomerID]],Customers[CustomerID],Customers[Gender])</f>
        <v>Male</v>
      </c>
      <c r="P1037">
        <f>_xlfn.XLOOKUP(Orders[[#This Row],[CustomerID]],Customers[CustomerID],Customers[CustomerAge])</f>
        <v>21</v>
      </c>
      <c r="Q1037" t="str">
        <f>IF(Orders[[#This Row],[Age]]&gt;=35,"older","young")</f>
        <v>young</v>
      </c>
      <c r="R1037" t="str">
        <f>_xlfn.XLOOKUP(Orders[[#This Row],[ProductID]],Products[ProductID],Products[ProductName])</f>
        <v>CHECKERS</v>
      </c>
      <c r="S1037" t="str">
        <f>_xlfn.XLOOKUP(Orders[[#This Row],[ProductID]],Products!A:A,Products!C:C)</f>
        <v>Games</v>
      </c>
    </row>
    <row r="1038" spans="1:19" x14ac:dyDescent="0.2">
      <c r="A1038" s="4" t="s">
        <v>1227</v>
      </c>
      <c r="B1038" s="5">
        <v>45970</v>
      </c>
      <c r="C1038" s="15">
        <f>WEEKNUM(Orders[[#This Row],[OrderDate]])</f>
        <v>46</v>
      </c>
      <c r="D1038" s="4" t="s">
        <v>410</v>
      </c>
      <c r="E1038" s="4" t="s">
        <v>15</v>
      </c>
      <c r="F1038" s="4">
        <v>6</v>
      </c>
      <c r="G1038" s="4">
        <v>17022.099999999999</v>
      </c>
      <c r="H1038">
        <v>14468.785</v>
      </c>
      <c r="I1038">
        <f>Orders[[#This Row],[Quantity]]*Orders[[#This Row],[Selling Price]]</f>
        <v>102132.59999999999</v>
      </c>
      <c r="J1038">
        <f>Orders[[#This Row],[Quantity]]*Orders[[#This Row],[Cost Price]]</f>
        <v>86812.709999999992</v>
      </c>
      <c r="K1038">
        <f>Orders[[#This Row],[Revenue]]-Orders[[#This Row],[Expenses]]</f>
        <v>15319.89</v>
      </c>
      <c r="L1038" t="s">
        <v>2217</v>
      </c>
      <c r="M1038" t="str">
        <f>_xlfn.XLOOKUP(Orders[[#This Row],[CustomerID]],Customers[CustomerID],Customers[City])</f>
        <v>Texas</v>
      </c>
      <c r="N1038" t="str">
        <f>_xlfn.XLOOKUP(Orders[[#This Row],[CustomerID]],Customers[CustomerID],Customers[CustomerName])</f>
        <v>Jane Thomas</v>
      </c>
      <c r="O1038" t="str">
        <f>_xlfn.XLOOKUP(Orders[[#This Row],[CustomerID]],Customers[CustomerID],Customers[Gender])</f>
        <v>Male</v>
      </c>
      <c r="P1038">
        <f>_xlfn.XLOOKUP(Orders[[#This Row],[CustomerID]],Customers[CustomerID],Customers[CustomerAge])</f>
        <v>21</v>
      </c>
      <c r="Q1038" t="str">
        <f>IF(Orders[[#This Row],[Age]]&gt;=35,"older","young")</f>
        <v>young</v>
      </c>
      <c r="R1038" t="str">
        <f>_xlfn.XLOOKUP(Orders[[#This Row],[ProductID]],Products[ProductID],Products[ProductName])</f>
        <v>MONOPOLY</v>
      </c>
      <c r="S1038" t="str">
        <f>_xlfn.XLOOKUP(Orders[[#This Row],[ProductID]],Products!A:A,Products!C:C)</f>
        <v>Games</v>
      </c>
    </row>
    <row r="1039" spans="1:19" x14ac:dyDescent="0.2">
      <c r="A1039" s="4" t="s">
        <v>1228</v>
      </c>
      <c r="B1039" s="5">
        <v>45992</v>
      </c>
      <c r="C1039" s="15">
        <f>WEEKNUM(Orders[[#This Row],[OrderDate]])</f>
        <v>49</v>
      </c>
      <c r="D1039" s="4" t="s">
        <v>11</v>
      </c>
      <c r="E1039" s="4" t="s">
        <v>84</v>
      </c>
      <c r="F1039" s="4">
        <v>10</v>
      </c>
      <c r="G1039" s="4">
        <v>2894.2000000000003</v>
      </c>
      <c r="H1039">
        <v>2460.0700000000002</v>
      </c>
      <c r="I1039">
        <f>Orders[[#This Row],[Quantity]]*Orders[[#This Row],[Selling Price]]</f>
        <v>28942.000000000004</v>
      </c>
      <c r="J1039">
        <f>Orders[[#This Row],[Quantity]]*Orders[[#This Row],[Cost Price]]</f>
        <v>24600.7</v>
      </c>
      <c r="K1039">
        <f>Orders[[#This Row],[Revenue]]-Orders[[#This Row],[Expenses]]</f>
        <v>4341.3000000000029</v>
      </c>
      <c r="L1039" t="s">
        <v>2218</v>
      </c>
      <c r="M1039" t="str">
        <f>_xlfn.XLOOKUP(Orders[[#This Row],[CustomerID]],Customers[CustomerID],Customers[City])</f>
        <v>Texas</v>
      </c>
      <c r="N1039" t="str">
        <f>_xlfn.XLOOKUP(Orders[[#This Row],[CustomerID]],Customers[CustomerID],Customers[CustomerName])</f>
        <v>Efe Ojo</v>
      </c>
      <c r="O1039" t="str">
        <f>_xlfn.XLOOKUP(Orders[[#This Row],[CustomerID]],Customers[CustomerID],Customers[Gender])</f>
        <v>Female</v>
      </c>
      <c r="P1039">
        <f>_xlfn.XLOOKUP(Orders[[#This Row],[CustomerID]],Customers[CustomerID],Customers[CustomerAge])</f>
        <v>55</v>
      </c>
      <c r="Q1039" t="str">
        <f>IF(Orders[[#This Row],[Age]]&gt;=35,"older","young")</f>
        <v>older</v>
      </c>
      <c r="R1039" t="str">
        <f>_xlfn.XLOOKUP(Orders[[#This Row],[ProductID]],Products[ProductID],Products[ProductName])</f>
        <v>GYM WEARS</v>
      </c>
      <c r="S1039" t="str">
        <f>_xlfn.XLOOKUP(Orders[[#This Row],[ProductID]],Products!A:A,Products!C:C)</f>
        <v>Clothing</v>
      </c>
    </row>
    <row r="1040" spans="1:19" x14ac:dyDescent="0.2">
      <c r="A1040" s="4" t="s">
        <v>1229</v>
      </c>
      <c r="B1040" s="5">
        <v>46006</v>
      </c>
      <c r="C1040" s="15">
        <f>WEEKNUM(Orders[[#This Row],[OrderDate]])</f>
        <v>51</v>
      </c>
      <c r="D1040" s="4" t="s">
        <v>244</v>
      </c>
      <c r="E1040" s="4" t="s">
        <v>120</v>
      </c>
      <c r="F1040" s="4">
        <v>7</v>
      </c>
      <c r="G1040" s="4">
        <v>9965.4</v>
      </c>
      <c r="H1040">
        <v>8470.59</v>
      </c>
      <c r="I1040">
        <f>Orders[[#This Row],[Quantity]]*Orders[[#This Row],[Selling Price]]</f>
        <v>69757.8</v>
      </c>
      <c r="J1040">
        <f>Orders[[#This Row],[Quantity]]*Orders[[#This Row],[Cost Price]]</f>
        <v>59294.130000000005</v>
      </c>
      <c r="K1040">
        <f>Orders[[#This Row],[Revenue]]-Orders[[#This Row],[Expenses]]</f>
        <v>10463.669999999998</v>
      </c>
      <c r="L1040" t="s">
        <v>2197</v>
      </c>
      <c r="M1040" t="str">
        <f>_xlfn.XLOOKUP(Orders[[#This Row],[CustomerID]],Customers[CustomerID],Customers[City])</f>
        <v>Texas</v>
      </c>
      <c r="N1040" t="str">
        <f>_xlfn.XLOOKUP(Orders[[#This Row],[CustomerID]],Customers[CustomerID],Customers[CustomerName])</f>
        <v>Zainab Abubakar</v>
      </c>
      <c r="O1040" t="str">
        <f>_xlfn.XLOOKUP(Orders[[#This Row],[CustomerID]],Customers[CustomerID],Customers[Gender])</f>
        <v>Female</v>
      </c>
      <c r="P1040">
        <f>_xlfn.XLOOKUP(Orders[[#This Row],[CustomerID]],Customers[CustomerID],Customers[CustomerAge])</f>
        <v>33</v>
      </c>
      <c r="Q1040" t="str">
        <f>IF(Orders[[#This Row],[Age]]&gt;=35,"older","young")</f>
        <v>young</v>
      </c>
      <c r="R1040" t="str">
        <f>_xlfn.XLOOKUP(Orders[[#This Row],[ProductID]],Products[ProductID],Products[ProductName])</f>
        <v>CHESS</v>
      </c>
      <c r="S1040" t="str">
        <f>_xlfn.XLOOKUP(Orders[[#This Row],[ProductID]],Products!A:A,Products!C:C)</f>
        <v>Games</v>
      </c>
    </row>
    <row r="1041" spans="1:19" x14ac:dyDescent="0.2">
      <c r="A1041" s="4" t="s">
        <v>1230</v>
      </c>
      <c r="B1041" s="5">
        <v>45971</v>
      </c>
      <c r="C1041" s="15">
        <f>WEEKNUM(Orders[[#This Row],[OrderDate]])</f>
        <v>46</v>
      </c>
      <c r="D1041" s="4" t="s">
        <v>182</v>
      </c>
      <c r="E1041" s="4" t="s">
        <v>157</v>
      </c>
      <c r="F1041" s="4">
        <v>10</v>
      </c>
      <c r="G1041" s="4">
        <v>7440.8</v>
      </c>
      <c r="H1041">
        <v>6324.68</v>
      </c>
      <c r="I1041">
        <f>Orders[[#This Row],[Quantity]]*Orders[[#This Row],[Selling Price]]</f>
        <v>74408</v>
      </c>
      <c r="J1041">
        <f>Orders[[#This Row],[Quantity]]*Orders[[#This Row],[Cost Price]]</f>
        <v>63246.8</v>
      </c>
      <c r="K1041">
        <f>Orders[[#This Row],[Revenue]]-Orders[[#This Row],[Expenses]]</f>
        <v>11161.199999999997</v>
      </c>
      <c r="L1041" t="s">
        <v>2203</v>
      </c>
      <c r="M1041" t="str">
        <f>_xlfn.XLOOKUP(Orders[[#This Row],[CustomerID]],Customers[CustomerID],Customers[City])</f>
        <v>Georgia</v>
      </c>
      <c r="N1041" t="str">
        <f>_xlfn.XLOOKUP(Orders[[#This Row],[CustomerID]],Customers[CustomerID],Customers[CustomerName])</f>
        <v>Abiola Okonkwo</v>
      </c>
      <c r="O1041" t="str">
        <f>_xlfn.XLOOKUP(Orders[[#This Row],[CustomerID]],Customers[CustomerID],Customers[Gender])</f>
        <v>Male</v>
      </c>
      <c r="P1041">
        <f>_xlfn.XLOOKUP(Orders[[#This Row],[CustomerID]],Customers[CustomerID],Customers[CustomerAge])</f>
        <v>39</v>
      </c>
      <c r="Q1041" t="str">
        <f>IF(Orders[[#This Row],[Age]]&gt;=35,"older","young")</f>
        <v>older</v>
      </c>
      <c r="R1041" t="str">
        <f>_xlfn.XLOOKUP(Orders[[#This Row],[ProductID]],Products[ProductID],Products[ProductName])</f>
        <v>FOOTBALL</v>
      </c>
      <c r="S1041" t="str">
        <f>_xlfn.XLOOKUP(Orders[[#This Row],[ProductID]],Products!A:A,Products!C:C)</f>
        <v>Sports</v>
      </c>
    </row>
    <row r="1042" spans="1:19" x14ac:dyDescent="0.2">
      <c r="A1042" s="4" t="s">
        <v>1231</v>
      </c>
      <c r="B1042" s="5">
        <v>45997</v>
      </c>
      <c r="C1042" s="15">
        <f>WEEKNUM(Orders[[#This Row],[OrderDate]])</f>
        <v>49</v>
      </c>
      <c r="D1042" s="4" t="s">
        <v>182</v>
      </c>
      <c r="E1042" s="4" t="s">
        <v>28</v>
      </c>
      <c r="F1042" s="4">
        <v>9</v>
      </c>
      <c r="G1042" s="4">
        <v>17730.7</v>
      </c>
      <c r="H1042">
        <v>15071.095000000001</v>
      </c>
      <c r="I1042">
        <f>Orders[[#This Row],[Quantity]]*Orders[[#This Row],[Selling Price]]</f>
        <v>159576.30000000002</v>
      </c>
      <c r="J1042">
        <f>Orders[[#This Row],[Quantity]]*Orders[[#This Row],[Cost Price]]</f>
        <v>135639.85500000001</v>
      </c>
      <c r="K1042">
        <f>Orders[[#This Row],[Revenue]]-Orders[[#This Row],[Expenses]]</f>
        <v>23936.445000000007</v>
      </c>
      <c r="L1042" t="s">
        <v>2194</v>
      </c>
      <c r="M1042" t="str">
        <f>_xlfn.XLOOKUP(Orders[[#This Row],[CustomerID]],Customers[CustomerID],Customers[City])</f>
        <v>Georgia</v>
      </c>
      <c r="N1042" t="str">
        <f>_xlfn.XLOOKUP(Orders[[#This Row],[CustomerID]],Customers[CustomerID],Customers[CustomerName])</f>
        <v>Abiola Okonkwo</v>
      </c>
      <c r="O1042" t="str">
        <f>_xlfn.XLOOKUP(Orders[[#This Row],[CustomerID]],Customers[CustomerID],Customers[Gender])</f>
        <v>Male</v>
      </c>
      <c r="P1042">
        <f>_xlfn.XLOOKUP(Orders[[#This Row],[CustomerID]],Customers[CustomerID],Customers[CustomerAge])</f>
        <v>39</v>
      </c>
      <c r="Q1042" t="str">
        <f>IF(Orders[[#This Row],[Age]]&gt;=35,"older","young")</f>
        <v>older</v>
      </c>
      <c r="R1042" t="str">
        <f>_xlfn.XLOOKUP(Orders[[#This Row],[ProductID]],Products[ProductID],Products[ProductName])</f>
        <v>SNEAKERS</v>
      </c>
      <c r="S1042" t="str">
        <f>_xlfn.XLOOKUP(Orders[[#This Row],[ProductID]],Products!A:A,Products!C:C)</f>
        <v>Sports</v>
      </c>
    </row>
    <row r="1043" spans="1:19" x14ac:dyDescent="0.2">
      <c r="A1043" s="4" t="s">
        <v>1232</v>
      </c>
      <c r="B1043" s="5">
        <v>45981</v>
      </c>
      <c r="C1043" s="15">
        <f>WEEKNUM(Orders[[#This Row],[OrderDate]])</f>
        <v>47</v>
      </c>
      <c r="D1043" s="4" t="s">
        <v>59</v>
      </c>
      <c r="E1043" s="4" t="s">
        <v>60</v>
      </c>
      <c r="F1043" s="4">
        <v>8</v>
      </c>
      <c r="G1043" s="4">
        <v>13024.300000000001</v>
      </c>
      <c r="H1043">
        <v>11070.655000000001</v>
      </c>
      <c r="I1043">
        <f>Orders[[#This Row],[Quantity]]*Orders[[#This Row],[Selling Price]]</f>
        <v>104194.40000000001</v>
      </c>
      <c r="J1043">
        <f>Orders[[#This Row],[Quantity]]*Orders[[#This Row],[Cost Price]]</f>
        <v>88565.24</v>
      </c>
      <c r="K1043">
        <f>Orders[[#This Row],[Revenue]]-Orders[[#This Row],[Expenses]]</f>
        <v>15629.160000000003</v>
      </c>
      <c r="L1043" t="s">
        <v>2213</v>
      </c>
      <c r="M1043" t="str">
        <f>_xlfn.XLOOKUP(Orders[[#This Row],[CustomerID]],Customers[CustomerID],Customers[City])</f>
        <v>Texas</v>
      </c>
      <c r="N1043" t="str">
        <f>_xlfn.XLOOKUP(Orders[[#This Row],[CustomerID]],Customers[CustomerID],Customers[CustomerName])</f>
        <v>Adanma Danladi</v>
      </c>
      <c r="O1043" t="str">
        <f>_xlfn.XLOOKUP(Orders[[#This Row],[CustomerID]],Customers[CustomerID],Customers[Gender])</f>
        <v>Female</v>
      </c>
      <c r="P1043">
        <f>_xlfn.XLOOKUP(Orders[[#This Row],[CustomerID]],Customers[CustomerID],Customers[CustomerAge])</f>
        <v>24</v>
      </c>
      <c r="Q1043" t="str">
        <f>IF(Orders[[#This Row],[Age]]&gt;=35,"older","young")</f>
        <v>young</v>
      </c>
      <c r="R1043" t="str">
        <f>_xlfn.XLOOKUP(Orders[[#This Row],[ProductID]],Products[ProductID],Products[ProductName])</f>
        <v>SILVER RINGS</v>
      </c>
      <c r="S1043" t="str">
        <f>_xlfn.XLOOKUP(Orders[[#This Row],[ProductID]],Products!A:A,Products!C:C)</f>
        <v>Accessories</v>
      </c>
    </row>
    <row r="1044" spans="1:19" x14ac:dyDescent="0.2">
      <c r="A1044" s="4" t="s">
        <v>1233</v>
      </c>
      <c r="B1044" s="5">
        <v>46000</v>
      </c>
      <c r="C1044" s="15">
        <f>WEEKNUM(Orders[[#This Row],[OrderDate]])</f>
        <v>50</v>
      </c>
      <c r="D1044" s="4" t="s">
        <v>207</v>
      </c>
      <c r="E1044" s="4" t="s">
        <v>23</v>
      </c>
      <c r="F1044" s="4">
        <v>8</v>
      </c>
      <c r="G1044" s="4">
        <v>11944.8</v>
      </c>
      <c r="H1044">
        <v>10153.08</v>
      </c>
      <c r="I1044">
        <f>Orders[[#This Row],[Quantity]]*Orders[[#This Row],[Selling Price]]</f>
        <v>95558.399999999994</v>
      </c>
      <c r="J1044">
        <f>Orders[[#This Row],[Quantity]]*Orders[[#This Row],[Cost Price]]</f>
        <v>81224.639999999999</v>
      </c>
      <c r="K1044">
        <f>Orders[[#This Row],[Revenue]]-Orders[[#This Row],[Expenses]]</f>
        <v>14333.759999999995</v>
      </c>
      <c r="L1044" t="s">
        <v>2194</v>
      </c>
      <c r="M1044" t="str">
        <f>_xlfn.XLOOKUP(Orders[[#This Row],[CustomerID]],Customers[CustomerID],Customers[City])</f>
        <v>Florida</v>
      </c>
      <c r="N1044" t="str">
        <f>_xlfn.XLOOKUP(Orders[[#This Row],[CustomerID]],Customers[CustomerID],Customers[CustomerName])</f>
        <v>Bisi Eze</v>
      </c>
      <c r="O1044" t="str">
        <f>_xlfn.XLOOKUP(Orders[[#This Row],[CustomerID]],Customers[CustomerID],Customers[Gender])</f>
        <v>Female</v>
      </c>
      <c r="P1044">
        <f>_xlfn.XLOOKUP(Orders[[#This Row],[CustomerID]],Customers[CustomerID],Customers[CustomerAge])</f>
        <v>37</v>
      </c>
      <c r="Q1044" t="str">
        <f>IF(Orders[[#This Row],[Age]]&gt;=35,"older","young")</f>
        <v>older</v>
      </c>
      <c r="R1044" t="str">
        <f>_xlfn.XLOOKUP(Orders[[#This Row],[ProductID]],Products[ProductID],Products[ProductName])</f>
        <v>GYM GLOVES</v>
      </c>
      <c r="S1044" t="str">
        <f>_xlfn.XLOOKUP(Orders[[#This Row],[ProductID]],Products!A:A,Products!C:C)</f>
        <v>Gym</v>
      </c>
    </row>
    <row r="1045" spans="1:19" x14ac:dyDescent="0.2">
      <c r="A1045" s="4" t="s">
        <v>1234</v>
      </c>
      <c r="B1045" s="5">
        <v>45958</v>
      </c>
      <c r="C1045" s="15">
        <f>WEEKNUM(Orders[[#This Row],[OrderDate]])</f>
        <v>44</v>
      </c>
      <c r="D1045" s="4" t="s">
        <v>107</v>
      </c>
      <c r="E1045" s="4" t="s">
        <v>63</v>
      </c>
      <c r="F1045" s="4">
        <v>7</v>
      </c>
      <c r="G1045" s="4">
        <v>12080.599999999999</v>
      </c>
      <c r="H1045">
        <v>10268.509999999998</v>
      </c>
      <c r="I1045">
        <f>Orders[[#This Row],[Quantity]]*Orders[[#This Row],[Selling Price]]</f>
        <v>84564.199999999983</v>
      </c>
      <c r="J1045">
        <f>Orders[[#This Row],[Quantity]]*Orders[[#This Row],[Cost Price]]</f>
        <v>71879.569999999992</v>
      </c>
      <c r="K1045">
        <f>Orders[[#This Row],[Revenue]]-Orders[[#This Row],[Expenses]]</f>
        <v>12684.62999999999</v>
      </c>
      <c r="L1045" t="s">
        <v>2216</v>
      </c>
      <c r="M1045" t="str">
        <f>_xlfn.XLOOKUP(Orders[[#This Row],[CustomerID]],Customers[CustomerID],Customers[City])</f>
        <v>Texas</v>
      </c>
      <c r="N1045" t="str">
        <f>_xlfn.XLOOKUP(Orders[[#This Row],[CustomerID]],Customers[CustomerID],Customers[CustomerName])</f>
        <v>Blessing Eze</v>
      </c>
      <c r="O1045" t="str">
        <f>_xlfn.XLOOKUP(Orders[[#This Row],[CustomerID]],Customers[CustomerID],Customers[Gender])</f>
        <v>Female</v>
      </c>
      <c r="P1045">
        <f>_xlfn.XLOOKUP(Orders[[#This Row],[CustomerID]],Customers[CustomerID],Customers[CustomerAge])</f>
        <v>44</v>
      </c>
      <c r="Q1045" t="str">
        <f>IF(Orders[[#This Row],[Age]]&gt;=35,"older","young")</f>
        <v>older</v>
      </c>
      <c r="R1045" t="str">
        <f>_xlfn.XLOOKUP(Orders[[#This Row],[ProductID]],Products[ProductID],Products[ProductName])</f>
        <v>TENNIS BAT</v>
      </c>
      <c r="S1045" t="str">
        <f>_xlfn.XLOOKUP(Orders[[#This Row],[ProductID]],Products!A:A,Products!C:C)</f>
        <v>Sports</v>
      </c>
    </row>
    <row r="1046" spans="1:19" x14ac:dyDescent="0.2">
      <c r="A1046" s="4" t="s">
        <v>1235</v>
      </c>
      <c r="B1046" s="5">
        <v>45961</v>
      </c>
      <c r="C1046" s="15">
        <f>WEEKNUM(Orders[[#This Row],[OrderDate]])</f>
        <v>44</v>
      </c>
      <c r="D1046" s="4" t="s">
        <v>180</v>
      </c>
      <c r="E1046" s="4" t="s">
        <v>37</v>
      </c>
      <c r="F1046" s="4">
        <v>10</v>
      </c>
      <c r="G1046" s="4">
        <v>3199.1000000000004</v>
      </c>
      <c r="H1046">
        <v>2719.2350000000006</v>
      </c>
      <c r="I1046">
        <f>Orders[[#This Row],[Quantity]]*Orders[[#This Row],[Selling Price]]</f>
        <v>31991.000000000004</v>
      </c>
      <c r="J1046">
        <f>Orders[[#This Row],[Quantity]]*Orders[[#This Row],[Cost Price]]</f>
        <v>27192.350000000006</v>
      </c>
      <c r="K1046">
        <f>Orders[[#This Row],[Revenue]]-Orders[[#This Row],[Expenses]]</f>
        <v>4798.6499999999978</v>
      </c>
      <c r="L1046" t="s">
        <v>2215</v>
      </c>
      <c r="M1046" t="str">
        <f>_xlfn.XLOOKUP(Orders[[#This Row],[CustomerID]],Customers[CustomerID],Customers[City])</f>
        <v>Texas</v>
      </c>
      <c r="N1046" t="str">
        <f>_xlfn.XLOOKUP(Orders[[#This Row],[CustomerID]],Customers[CustomerID],Customers[CustomerName])</f>
        <v>Jide Okonkwo</v>
      </c>
      <c r="O1046" t="str">
        <f>_xlfn.XLOOKUP(Orders[[#This Row],[CustomerID]],Customers[CustomerID],Customers[Gender])</f>
        <v>Male</v>
      </c>
      <c r="P1046">
        <f>_xlfn.XLOOKUP(Orders[[#This Row],[CustomerID]],Customers[CustomerID],Customers[CustomerAge])</f>
        <v>25</v>
      </c>
      <c r="Q1046" t="str">
        <f>IF(Orders[[#This Row],[Age]]&gt;=35,"older","young")</f>
        <v>young</v>
      </c>
      <c r="R1046" t="str">
        <f>_xlfn.XLOOKUP(Orders[[#This Row],[ProductID]],Products[ProductID],Products[ProductName])</f>
        <v>IRON</v>
      </c>
      <c r="S1046" t="str">
        <f>_xlfn.XLOOKUP(Orders[[#This Row],[ProductID]],Products!A:A,Products!C:C)</f>
        <v>Electronics</v>
      </c>
    </row>
    <row r="1047" spans="1:19" x14ac:dyDescent="0.2">
      <c r="A1047" s="4" t="s">
        <v>1236</v>
      </c>
      <c r="B1047" s="5">
        <v>45979</v>
      </c>
      <c r="C1047" s="15">
        <f>WEEKNUM(Orders[[#This Row],[OrderDate]])</f>
        <v>47</v>
      </c>
      <c r="D1047" s="4" t="s">
        <v>107</v>
      </c>
      <c r="E1047" s="4" t="s">
        <v>111</v>
      </c>
      <c r="F1047" s="4">
        <v>5</v>
      </c>
      <c r="G1047" s="4">
        <v>2302.6</v>
      </c>
      <c r="H1047">
        <v>1957.21</v>
      </c>
      <c r="I1047">
        <f>Orders[[#This Row],[Quantity]]*Orders[[#This Row],[Selling Price]]</f>
        <v>11513</v>
      </c>
      <c r="J1047">
        <f>Orders[[#This Row],[Quantity]]*Orders[[#This Row],[Cost Price]]</f>
        <v>9786.0499999999993</v>
      </c>
      <c r="K1047">
        <f>Orders[[#This Row],[Revenue]]-Orders[[#This Row],[Expenses]]</f>
        <v>1726.9500000000007</v>
      </c>
      <c r="L1047" t="s">
        <v>2194</v>
      </c>
      <c r="M1047" t="str">
        <f>_xlfn.XLOOKUP(Orders[[#This Row],[CustomerID]],Customers[CustomerID],Customers[City])</f>
        <v>Texas</v>
      </c>
      <c r="N1047" t="str">
        <f>_xlfn.XLOOKUP(Orders[[#This Row],[CustomerID]],Customers[CustomerID],Customers[CustomerName])</f>
        <v>Blessing Eze</v>
      </c>
      <c r="O1047" t="str">
        <f>_xlfn.XLOOKUP(Orders[[#This Row],[CustomerID]],Customers[CustomerID],Customers[Gender])</f>
        <v>Female</v>
      </c>
      <c r="P1047">
        <f>_xlfn.XLOOKUP(Orders[[#This Row],[CustomerID]],Customers[CustomerID],Customers[CustomerAge])</f>
        <v>44</v>
      </c>
      <c r="Q1047" t="str">
        <f>IF(Orders[[#This Row],[Age]]&gt;=35,"older","young")</f>
        <v>older</v>
      </c>
      <c r="R1047" t="str">
        <f>_xlfn.XLOOKUP(Orders[[#This Row],[ProductID]],Products[ProductID],Products[ProductName])</f>
        <v>REFRIGERATOR</v>
      </c>
      <c r="S1047" t="str">
        <f>_xlfn.XLOOKUP(Orders[[#This Row],[ProductID]],Products!A:A,Products!C:C)</f>
        <v>Electronics</v>
      </c>
    </row>
    <row r="1048" spans="1:19" x14ac:dyDescent="0.2">
      <c r="A1048" s="4" t="s">
        <v>1237</v>
      </c>
      <c r="B1048" s="5">
        <v>45993</v>
      </c>
      <c r="C1048" s="15">
        <f>WEEKNUM(Orders[[#This Row],[OrderDate]])</f>
        <v>49</v>
      </c>
      <c r="D1048" s="4" t="s">
        <v>327</v>
      </c>
      <c r="E1048" s="4" t="s">
        <v>232</v>
      </c>
      <c r="F1048" s="4">
        <v>4</v>
      </c>
      <c r="G1048" s="4">
        <v>17575.8</v>
      </c>
      <c r="H1048">
        <v>14939.43</v>
      </c>
      <c r="I1048">
        <f>Orders[[#This Row],[Quantity]]*Orders[[#This Row],[Selling Price]]</f>
        <v>70303.199999999997</v>
      </c>
      <c r="J1048">
        <f>Orders[[#This Row],[Quantity]]*Orders[[#This Row],[Cost Price]]</f>
        <v>59757.72</v>
      </c>
      <c r="K1048">
        <f>Orders[[#This Row],[Revenue]]-Orders[[#This Row],[Expenses]]</f>
        <v>10545.479999999996</v>
      </c>
      <c r="L1048" t="s">
        <v>2216</v>
      </c>
      <c r="M1048" t="str">
        <f>_xlfn.XLOOKUP(Orders[[#This Row],[CustomerID]],Customers[CustomerID],Customers[City])</f>
        <v>Washington</v>
      </c>
      <c r="N1048" t="str">
        <f>_xlfn.XLOOKUP(Orders[[#This Row],[CustomerID]],Customers[CustomerID],Customers[CustomerName])</f>
        <v>Folasade Ojo</v>
      </c>
      <c r="O1048" t="str">
        <f>_xlfn.XLOOKUP(Orders[[#This Row],[CustomerID]],Customers[CustomerID],Customers[Gender])</f>
        <v>Female</v>
      </c>
      <c r="P1048">
        <f>_xlfn.XLOOKUP(Orders[[#This Row],[CustomerID]],Customers[CustomerID],Customers[CustomerAge])</f>
        <v>24</v>
      </c>
      <c r="Q1048" t="str">
        <f>IF(Orders[[#This Row],[Age]]&gt;=35,"older","young")</f>
        <v>young</v>
      </c>
      <c r="R1048" t="str">
        <f>_xlfn.XLOOKUP(Orders[[#This Row],[ProductID]],Products[ProductID],Products[ProductName])</f>
        <v>ANKARA</v>
      </c>
      <c r="S1048" t="str">
        <f>_xlfn.XLOOKUP(Orders[[#This Row],[ProductID]],Products!A:A,Products!C:C)</f>
        <v>Clothing</v>
      </c>
    </row>
    <row r="1049" spans="1:19" x14ac:dyDescent="0.2">
      <c r="A1049" s="4" t="s">
        <v>1238</v>
      </c>
      <c r="B1049" s="5">
        <v>45994</v>
      </c>
      <c r="C1049" s="15">
        <f>WEEKNUM(Orders[[#This Row],[OrderDate]])</f>
        <v>49</v>
      </c>
      <c r="D1049" s="4" t="s">
        <v>287</v>
      </c>
      <c r="E1049" s="4" t="s">
        <v>76</v>
      </c>
      <c r="F1049" s="4">
        <v>3</v>
      </c>
      <c r="G1049" s="4">
        <v>4095.1</v>
      </c>
      <c r="H1049">
        <v>3480.835</v>
      </c>
      <c r="I1049">
        <f>Orders[[#This Row],[Quantity]]*Orders[[#This Row],[Selling Price]]</f>
        <v>12285.3</v>
      </c>
      <c r="J1049">
        <f>Orders[[#This Row],[Quantity]]*Orders[[#This Row],[Cost Price]]</f>
        <v>10442.505000000001</v>
      </c>
      <c r="K1049">
        <f>Orders[[#This Row],[Revenue]]-Orders[[#This Row],[Expenses]]</f>
        <v>1842.7949999999983</v>
      </c>
      <c r="L1049" t="s">
        <v>2199</v>
      </c>
      <c r="M1049" t="str">
        <f>_xlfn.XLOOKUP(Orders[[#This Row],[CustomerID]],Customers[CustomerID],Customers[City])</f>
        <v>Texas</v>
      </c>
      <c r="N1049" t="str">
        <f>_xlfn.XLOOKUP(Orders[[#This Row],[CustomerID]],Customers[CustomerID],Customers[CustomerName])</f>
        <v>Okon Obi</v>
      </c>
      <c r="O1049" t="str">
        <f>_xlfn.XLOOKUP(Orders[[#This Row],[CustomerID]],Customers[CustomerID],Customers[Gender])</f>
        <v>Male</v>
      </c>
      <c r="P1049">
        <f>_xlfn.XLOOKUP(Orders[[#This Row],[CustomerID]],Customers[CustomerID],Customers[CustomerAge])</f>
        <v>55</v>
      </c>
      <c r="Q1049" t="str">
        <f>IF(Orders[[#This Row],[Age]]&gt;=35,"older","young")</f>
        <v>older</v>
      </c>
      <c r="R1049" t="str">
        <f>_xlfn.XLOOKUP(Orders[[#This Row],[ProductID]],Products[ProductID],Products[ProductName])</f>
        <v>BLENDER</v>
      </c>
      <c r="S1049" t="str">
        <f>_xlfn.XLOOKUP(Orders[[#This Row],[ProductID]],Products!A:A,Products!C:C)</f>
        <v>Electronics</v>
      </c>
    </row>
    <row r="1050" spans="1:19" x14ac:dyDescent="0.2">
      <c r="A1050" s="4" t="s">
        <v>1239</v>
      </c>
      <c r="B1050" s="5">
        <v>46010</v>
      </c>
      <c r="C1050" s="15">
        <f>WEEKNUM(Orders[[#This Row],[OrderDate]])</f>
        <v>51</v>
      </c>
      <c r="D1050" s="4" t="s">
        <v>216</v>
      </c>
      <c r="E1050" s="4" t="s">
        <v>9</v>
      </c>
      <c r="F1050" s="4">
        <v>7</v>
      </c>
      <c r="G1050" s="4">
        <v>13103.099999999999</v>
      </c>
      <c r="H1050">
        <v>11137.634999999998</v>
      </c>
      <c r="I1050">
        <f>Orders[[#This Row],[Quantity]]*Orders[[#This Row],[Selling Price]]</f>
        <v>91721.699999999983</v>
      </c>
      <c r="J1050">
        <f>Orders[[#This Row],[Quantity]]*Orders[[#This Row],[Cost Price]]</f>
        <v>77963.444999999992</v>
      </c>
      <c r="K1050">
        <f>Orders[[#This Row],[Revenue]]-Orders[[#This Row],[Expenses]]</f>
        <v>13758.25499999999</v>
      </c>
      <c r="L1050" t="s">
        <v>2215</v>
      </c>
      <c r="M1050" t="str">
        <f>_xlfn.XLOOKUP(Orders[[#This Row],[CustomerID]],Customers[CustomerID],Customers[City])</f>
        <v>California</v>
      </c>
      <c r="N1050" t="str">
        <f>_xlfn.XLOOKUP(Orders[[#This Row],[CustomerID]],Customers[CustomerID],Customers[CustomerName])</f>
        <v>Ngozi Obi</v>
      </c>
      <c r="O1050" t="str">
        <f>_xlfn.XLOOKUP(Orders[[#This Row],[CustomerID]],Customers[CustomerID],Customers[Gender])</f>
        <v>Female</v>
      </c>
      <c r="P1050">
        <f>_xlfn.XLOOKUP(Orders[[#This Row],[CustomerID]],Customers[CustomerID],Customers[CustomerAge])</f>
        <v>54</v>
      </c>
      <c r="Q1050" t="str">
        <f>IF(Orders[[#This Row],[Age]]&gt;=35,"older","young")</f>
        <v>older</v>
      </c>
      <c r="R1050" t="str">
        <f>_xlfn.XLOOKUP(Orders[[#This Row],[ProductID]],Products[ProductID],Products[ProductName])</f>
        <v>BEADED EARRINGS AND NECKLACES</v>
      </c>
      <c r="S1050" t="str">
        <f>_xlfn.XLOOKUP(Orders[[#This Row],[ProductID]],Products!A:A,Products!C:C)</f>
        <v>Accessories</v>
      </c>
    </row>
    <row r="1051" spans="1:19" x14ac:dyDescent="0.2">
      <c r="A1051" s="4" t="s">
        <v>1240</v>
      </c>
      <c r="B1051" s="5">
        <v>45988</v>
      </c>
      <c r="C1051" s="15">
        <f>WEEKNUM(Orders[[#This Row],[OrderDate]])</f>
        <v>48</v>
      </c>
      <c r="D1051" s="4" t="s">
        <v>14</v>
      </c>
      <c r="E1051" s="4" t="s">
        <v>81</v>
      </c>
      <c r="F1051" s="4">
        <v>10</v>
      </c>
      <c r="G1051" s="4">
        <v>8327.9</v>
      </c>
      <c r="H1051">
        <v>7078.7150000000001</v>
      </c>
      <c r="I1051">
        <f>Orders[[#This Row],[Quantity]]*Orders[[#This Row],[Selling Price]]</f>
        <v>83279</v>
      </c>
      <c r="J1051">
        <f>Orders[[#This Row],[Quantity]]*Orders[[#This Row],[Cost Price]]</f>
        <v>70787.149999999994</v>
      </c>
      <c r="K1051">
        <f>Orders[[#This Row],[Revenue]]-Orders[[#This Row],[Expenses]]</f>
        <v>12491.850000000006</v>
      </c>
      <c r="L1051" t="s">
        <v>2205</v>
      </c>
      <c r="M1051" t="str">
        <f>_xlfn.XLOOKUP(Orders[[#This Row],[CustomerID]],Customers[CustomerID],Customers[City])</f>
        <v>Texas</v>
      </c>
      <c r="N1051" t="str">
        <f>_xlfn.XLOOKUP(Orders[[#This Row],[CustomerID]],Customers[CustomerID],Customers[CustomerName])</f>
        <v>Abiola Igwe</v>
      </c>
      <c r="O1051" t="str">
        <f>_xlfn.XLOOKUP(Orders[[#This Row],[CustomerID]],Customers[CustomerID],Customers[Gender])</f>
        <v>Male</v>
      </c>
      <c r="P1051">
        <f>_xlfn.XLOOKUP(Orders[[#This Row],[CustomerID]],Customers[CustomerID],Customers[CustomerAge])</f>
        <v>39</v>
      </c>
      <c r="Q1051" t="str">
        <f>IF(Orders[[#This Row],[Age]]&gt;=35,"older","young")</f>
        <v>older</v>
      </c>
      <c r="R1051" t="str">
        <f>_xlfn.XLOOKUP(Orders[[#This Row],[ProductID]],Products[ProductID],Products[ProductName])</f>
        <v>TROUSERS</v>
      </c>
      <c r="S1051" t="str">
        <f>_xlfn.XLOOKUP(Orders[[#This Row],[ProductID]],Products!A:A,Products!C:C)</f>
        <v>Clothing</v>
      </c>
    </row>
    <row r="1052" spans="1:19" x14ac:dyDescent="0.2">
      <c r="A1052" s="4" t="s">
        <v>1241</v>
      </c>
      <c r="B1052" s="5">
        <v>46009</v>
      </c>
      <c r="C1052" s="15">
        <f>WEEKNUM(Orders[[#This Row],[OrderDate]])</f>
        <v>51</v>
      </c>
      <c r="D1052" s="4" t="s">
        <v>239</v>
      </c>
      <c r="E1052" s="4" t="s">
        <v>84</v>
      </c>
      <c r="F1052" s="4">
        <v>9</v>
      </c>
      <c r="G1052" s="4">
        <v>8305.1</v>
      </c>
      <c r="H1052">
        <v>7059.335</v>
      </c>
      <c r="I1052">
        <f>Orders[[#This Row],[Quantity]]*Orders[[#This Row],[Selling Price]]</f>
        <v>74745.900000000009</v>
      </c>
      <c r="J1052">
        <f>Orders[[#This Row],[Quantity]]*Orders[[#This Row],[Cost Price]]</f>
        <v>63534.014999999999</v>
      </c>
      <c r="K1052">
        <f>Orders[[#This Row],[Revenue]]-Orders[[#This Row],[Expenses]]</f>
        <v>11211.885000000009</v>
      </c>
      <c r="L1052" t="s">
        <v>2195</v>
      </c>
      <c r="M1052" t="str">
        <f>_xlfn.XLOOKUP(Orders[[#This Row],[CustomerID]],Customers[CustomerID],Customers[City])</f>
        <v>Florida</v>
      </c>
      <c r="N1052" t="str">
        <f>_xlfn.XLOOKUP(Orders[[#This Row],[CustomerID]],Customers[CustomerID],Customers[CustomerName])</f>
        <v>Emeka Danladi</v>
      </c>
      <c r="O1052" t="str">
        <f>_xlfn.XLOOKUP(Orders[[#This Row],[CustomerID]],Customers[CustomerID],Customers[Gender])</f>
        <v>Male</v>
      </c>
      <c r="P1052">
        <f>_xlfn.XLOOKUP(Orders[[#This Row],[CustomerID]],Customers[CustomerID],Customers[CustomerAge])</f>
        <v>23</v>
      </c>
      <c r="Q1052" t="str">
        <f>IF(Orders[[#This Row],[Age]]&gt;=35,"older","young")</f>
        <v>young</v>
      </c>
      <c r="R1052" t="str">
        <f>_xlfn.XLOOKUP(Orders[[#This Row],[ProductID]],Products[ProductID],Products[ProductName])</f>
        <v>GYM WEARS</v>
      </c>
      <c r="S1052" t="str">
        <f>_xlfn.XLOOKUP(Orders[[#This Row],[ProductID]],Products!A:A,Products!C:C)</f>
        <v>Clothing</v>
      </c>
    </row>
    <row r="1053" spans="1:19" x14ac:dyDescent="0.2">
      <c r="A1053" s="4" t="s">
        <v>1242</v>
      </c>
      <c r="B1053" s="5">
        <v>45981</v>
      </c>
      <c r="C1053" s="15">
        <f>WEEKNUM(Orders[[#This Row],[OrderDate]])</f>
        <v>47</v>
      </c>
      <c r="D1053" s="4" t="s">
        <v>264</v>
      </c>
      <c r="E1053" s="4" t="s">
        <v>353</v>
      </c>
      <c r="F1053" s="4">
        <v>3</v>
      </c>
      <c r="G1053" s="4">
        <v>5378.5</v>
      </c>
      <c r="H1053">
        <v>4571.7250000000004</v>
      </c>
      <c r="I1053">
        <f>Orders[[#This Row],[Quantity]]*Orders[[#This Row],[Selling Price]]</f>
        <v>16135.5</v>
      </c>
      <c r="J1053">
        <f>Orders[[#This Row],[Quantity]]*Orders[[#This Row],[Cost Price]]</f>
        <v>13715.175000000001</v>
      </c>
      <c r="K1053">
        <f>Orders[[#This Row],[Revenue]]-Orders[[#This Row],[Expenses]]</f>
        <v>2420.3249999999989</v>
      </c>
      <c r="L1053" t="s">
        <v>2215</v>
      </c>
      <c r="M1053" t="str">
        <f>_xlfn.XLOOKUP(Orders[[#This Row],[CustomerID]],Customers[CustomerID],Customers[City])</f>
        <v>Georgia</v>
      </c>
      <c r="N1053" t="str">
        <f>_xlfn.XLOOKUP(Orders[[#This Row],[CustomerID]],Customers[CustomerID],Customers[CustomerName])</f>
        <v>Ronke Adeyemi</v>
      </c>
      <c r="O1053" t="str">
        <f>_xlfn.XLOOKUP(Orders[[#This Row],[CustomerID]],Customers[CustomerID],Customers[Gender])</f>
        <v>Female</v>
      </c>
      <c r="P1053">
        <f>_xlfn.XLOOKUP(Orders[[#This Row],[CustomerID]],Customers[CustomerID],Customers[CustomerAge])</f>
        <v>19</v>
      </c>
      <c r="Q1053" t="str">
        <f>IF(Orders[[#This Row],[Age]]&gt;=35,"older","young")</f>
        <v>young</v>
      </c>
      <c r="R1053" t="str">
        <f>_xlfn.XLOOKUP(Orders[[#This Row],[ProductID]],Products[ProductID],Products[ProductName])</f>
        <v>SILVER EARRINGS AND NECKLACES</v>
      </c>
      <c r="S1053" t="str">
        <f>_xlfn.XLOOKUP(Orders[[#This Row],[ProductID]],Products!A:A,Products!C:C)</f>
        <v>Accessories</v>
      </c>
    </row>
    <row r="1054" spans="1:19" x14ac:dyDescent="0.2">
      <c r="A1054" s="4" t="s">
        <v>1243</v>
      </c>
      <c r="B1054" s="5">
        <v>45937</v>
      </c>
      <c r="C1054" s="15">
        <f>WEEKNUM(Orders[[#This Row],[OrderDate]])</f>
        <v>41</v>
      </c>
      <c r="D1054" s="4" t="s">
        <v>129</v>
      </c>
      <c r="E1054" s="4" t="s">
        <v>120</v>
      </c>
      <c r="F1054" s="4">
        <v>4</v>
      </c>
      <c r="G1054" s="4">
        <v>5231.3</v>
      </c>
      <c r="H1054">
        <v>4446.6050000000005</v>
      </c>
      <c r="I1054">
        <f>Orders[[#This Row],[Quantity]]*Orders[[#This Row],[Selling Price]]</f>
        <v>20925.2</v>
      </c>
      <c r="J1054">
        <f>Orders[[#This Row],[Quantity]]*Orders[[#This Row],[Cost Price]]</f>
        <v>17786.420000000002</v>
      </c>
      <c r="K1054">
        <f>Orders[[#This Row],[Revenue]]-Orders[[#This Row],[Expenses]]</f>
        <v>3138.7799999999988</v>
      </c>
      <c r="L1054" t="s">
        <v>2201</v>
      </c>
      <c r="M1054" t="str">
        <f>_xlfn.XLOOKUP(Orders[[#This Row],[CustomerID]],Customers[CustomerID],Customers[City])</f>
        <v>Washington</v>
      </c>
      <c r="N1054" t="str">
        <f>_xlfn.XLOOKUP(Orders[[#This Row],[CustomerID]],Customers[CustomerID],Customers[CustomerName])</f>
        <v>Chioma Ojo</v>
      </c>
      <c r="O1054" t="str">
        <f>_xlfn.XLOOKUP(Orders[[#This Row],[CustomerID]],Customers[CustomerID],Customers[Gender])</f>
        <v>Female</v>
      </c>
      <c r="P1054">
        <f>_xlfn.XLOOKUP(Orders[[#This Row],[CustomerID]],Customers[CustomerID],Customers[CustomerAge])</f>
        <v>46</v>
      </c>
      <c r="Q1054" t="str">
        <f>IF(Orders[[#This Row],[Age]]&gt;=35,"older","young")</f>
        <v>older</v>
      </c>
      <c r="R1054" t="str">
        <f>_xlfn.XLOOKUP(Orders[[#This Row],[ProductID]],Products[ProductID],Products[ProductName])</f>
        <v>CHESS</v>
      </c>
      <c r="S1054" t="str">
        <f>_xlfn.XLOOKUP(Orders[[#This Row],[ProductID]],Products!A:A,Products!C:C)</f>
        <v>Games</v>
      </c>
    </row>
    <row r="1055" spans="1:19" x14ac:dyDescent="0.2">
      <c r="A1055" s="4" t="s">
        <v>1244</v>
      </c>
      <c r="B1055" s="5">
        <v>45985</v>
      </c>
      <c r="C1055" s="15">
        <f>WEEKNUM(Orders[[#This Row],[OrderDate]])</f>
        <v>48</v>
      </c>
      <c r="D1055" s="4" t="s">
        <v>214</v>
      </c>
      <c r="E1055" s="4" t="s">
        <v>232</v>
      </c>
      <c r="F1055" s="4">
        <v>2</v>
      </c>
      <c r="G1055" s="4">
        <v>15465.699999999999</v>
      </c>
      <c r="H1055">
        <v>13145.844999999999</v>
      </c>
      <c r="I1055">
        <f>Orders[[#This Row],[Quantity]]*Orders[[#This Row],[Selling Price]]</f>
        <v>30931.399999999998</v>
      </c>
      <c r="J1055">
        <f>Orders[[#This Row],[Quantity]]*Orders[[#This Row],[Cost Price]]</f>
        <v>26291.69</v>
      </c>
      <c r="K1055">
        <f>Orders[[#This Row],[Revenue]]-Orders[[#This Row],[Expenses]]</f>
        <v>4639.7099999999991</v>
      </c>
      <c r="L1055" t="s">
        <v>2200</v>
      </c>
      <c r="M1055" t="str">
        <f>_xlfn.XLOOKUP(Orders[[#This Row],[CustomerID]],Customers[CustomerID],Customers[City])</f>
        <v>California</v>
      </c>
      <c r="N1055" t="str">
        <f>_xlfn.XLOOKUP(Orders[[#This Row],[CustomerID]],Customers[CustomerID],Customers[CustomerName])</f>
        <v>Adanma Okonkwo</v>
      </c>
      <c r="O1055" t="str">
        <f>_xlfn.XLOOKUP(Orders[[#This Row],[CustomerID]],Customers[CustomerID],Customers[Gender])</f>
        <v>Female</v>
      </c>
      <c r="P1055">
        <f>_xlfn.XLOOKUP(Orders[[#This Row],[CustomerID]],Customers[CustomerID],Customers[CustomerAge])</f>
        <v>20</v>
      </c>
      <c r="Q1055" t="str">
        <f>IF(Orders[[#This Row],[Age]]&gt;=35,"older","young")</f>
        <v>young</v>
      </c>
      <c r="R1055" t="str">
        <f>_xlfn.XLOOKUP(Orders[[#This Row],[ProductID]],Products[ProductID],Products[ProductName])</f>
        <v>ANKARA</v>
      </c>
      <c r="S1055" t="str">
        <f>_xlfn.XLOOKUP(Orders[[#This Row],[ProductID]],Products!A:A,Products!C:C)</f>
        <v>Clothing</v>
      </c>
    </row>
    <row r="1056" spans="1:19" x14ac:dyDescent="0.2">
      <c r="A1056" s="4" t="s">
        <v>1245</v>
      </c>
      <c r="B1056" s="5">
        <v>45964</v>
      </c>
      <c r="C1056" s="15">
        <f>WEEKNUM(Orders[[#This Row],[OrderDate]])</f>
        <v>45</v>
      </c>
      <c r="D1056" s="4" t="s">
        <v>212</v>
      </c>
      <c r="E1056" s="4" t="s">
        <v>63</v>
      </c>
      <c r="F1056" s="4">
        <v>5</v>
      </c>
      <c r="G1056" s="4">
        <v>949.5</v>
      </c>
      <c r="H1056">
        <v>807.07500000000005</v>
      </c>
      <c r="I1056">
        <f>Orders[[#This Row],[Quantity]]*Orders[[#This Row],[Selling Price]]</f>
        <v>4747.5</v>
      </c>
      <c r="J1056">
        <f>Orders[[#This Row],[Quantity]]*Orders[[#This Row],[Cost Price]]</f>
        <v>4035.375</v>
      </c>
      <c r="K1056">
        <f>Orders[[#This Row],[Revenue]]-Orders[[#This Row],[Expenses]]</f>
        <v>712.125</v>
      </c>
      <c r="L1056" t="s">
        <v>2198</v>
      </c>
      <c r="M1056" t="str">
        <f>_xlfn.XLOOKUP(Orders[[#This Row],[CustomerID]],Customers[CustomerID],Customers[City])</f>
        <v>Illinois</v>
      </c>
      <c r="N1056" t="str">
        <f>_xlfn.XLOOKUP(Orders[[#This Row],[CustomerID]],Customers[CustomerID],Customers[CustomerName])</f>
        <v>Ngozi Ojo</v>
      </c>
      <c r="O1056" t="str">
        <f>_xlfn.XLOOKUP(Orders[[#This Row],[CustomerID]],Customers[CustomerID],Customers[Gender])</f>
        <v>Female</v>
      </c>
      <c r="P1056">
        <f>_xlfn.XLOOKUP(Orders[[#This Row],[CustomerID]],Customers[CustomerID],Customers[CustomerAge])</f>
        <v>53</v>
      </c>
      <c r="Q1056" t="str">
        <f>IF(Orders[[#This Row],[Age]]&gt;=35,"older","young")</f>
        <v>older</v>
      </c>
      <c r="R1056" t="str">
        <f>_xlfn.XLOOKUP(Orders[[#This Row],[ProductID]],Products[ProductID],Products[ProductName])</f>
        <v>TENNIS BAT</v>
      </c>
      <c r="S1056" t="str">
        <f>_xlfn.XLOOKUP(Orders[[#This Row],[ProductID]],Products!A:A,Products!C:C)</f>
        <v>Sports</v>
      </c>
    </row>
    <row r="1057" spans="1:19" x14ac:dyDescent="0.2">
      <c r="A1057" s="4" t="s">
        <v>1246</v>
      </c>
      <c r="B1057" s="5">
        <v>45997</v>
      </c>
      <c r="C1057" s="15">
        <f>WEEKNUM(Orders[[#This Row],[OrderDate]])</f>
        <v>49</v>
      </c>
      <c r="D1057" s="4" t="s">
        <v>96</v>
      </c>
      <c r="E1057" s="4" t="s">
        <v>57</v>
      </c>
      <c r="F1057" s="4">
        <v>5</v>
      </c>
      <c r="G1057" s="4">
        <v>15953.3</v>
      </c>
      <c r="H1057">
        <v>13560.305</v>
      </c>
      <c r="I1057">
        <f>Orders[[#This Row],[Quantity]]*Orders[[#This Row],[Selling Price]]</f>
        <v>79766.5</v>
      </c>
      <c r="J1057">
        <f>Orders[[#This Row],[Quantity]]*Orders[[#This Row],[Cost Price]]</f>
        <v>67801.524999999994</v>
      </c>
      <c r="K1057">
        <f>Orders[[#This Row],[Revenue]]-Orders[[#This Row],[Expenses]]</f>
        <v>11964.975000000006</v>
      </c>
      <c r="L1057" t="s">
        <v>2209</v>
      </c>
      <c r="M1057" t="str">
        <f>_xlfn.XLOOKUP(Orders[[#This Row],[CustomerID]],Customers[CustomerID],Customers[City])</f>
        <v>Texas</v>
      </c>
      <c r="N1057" t="str">
        <f>_xlfn.XLOOKUP(Orders[[#This Row],[CustomerID]],Customers[CustomerID],Customers[CustomerName])</f>
        <v>Amina Abubakar</v>
      </c>
      <c r="O1057" t="str">
        <f>_xlfn.XLOOKUP(Orders[[#This Row],[CustomerID]],Customers[CustomerID],Customers[Gender])</f>
        <v>Female</v>
      </c>
      <c r="P1057">
        <f>_xlfn.XLOOKUP(Orders[[#This Row],[CustomerID]],Customers[CustomerID],Customers[CustomerAge])</f>
        <v>35</v>
      </c>
      <c r="Q1057" t="str">
        <f>IF(Orders[[#This Row],[Age]]&gt;=35,"older","young")</f>
        <v>older</v>
      </c>
      <c r="R1057" t="str">
        <f>_xlfn.XLOOKUP(Orders[[#This Row],[ProductID]],Products[ProductID],Products[ProductName])</f>
        <v>BADMINTON RACKET</v>
      </c>
      <c r="S1057" t="str">
        <f>_xlfn.XLOOKUP(Orders[[#This Row],[ProductID]],Products!A:A,Products!C:C)</f>
        <v>Sports</v>
      </c>
    </row>
    <row r="1058" spans="1:19" x14ac:dyDescent="0.2">
      <c r="A1058" s="4" t="s">
        <v>1247</v>
      </c>
      <c r="B1058" s="5">
        <v>45940</v>
      </c>
      <c r="C1058" s="15">
        <f>WEEKNUM(Orders[[#This Row],[OrderDate]])</f>
        <v>41</v>
      </c>
      <c r="D1058" s="4" t="s">
        <v>148</v>
      </c>
      <c r="E1058" s="4" t="s">
        <v>46</v>
      </c>
      <c r="F1058" s="4">
        <v>2</v>
      </c>
      <c r="G1058" s="4">
        <v>6260.2</v>
      </c>
      <c r="H1058">
        <v>5321.17</v>
      </c>
      <c r="I1058">
        <f>Orders[[#This Row],[Quantity]]*Orders[[#This Row],[Selling Price]]</f>
        <v>12520.4</v>
      </c>
      <c r="J1058">
        <f>Orders[[#This Row],[Quantity]]*Orders[[#This Row],[Cost Price]]</f>
        <v>10642.34</v>
      </c>
      <c r="K1058">
        <f>Orders[[#This Row],[Revenue]]-Orders[[#This Row],[Expenses]]</f>
        <v>1878.0599999999995</v>
      </c>
      <c r="L1058" t="s">
        <v>2197</v>
      </c>
      <c r="M1058" t="str">
        <f>_xlfn.XLOOKUP(Orders[[#This Row],[CustomerID]],Customers[CustomerID],Customers[City])</f>
        <v>Florida</v>
      </c>
      <c r="N1058" t="str">
        <f>_xlfn.XLOOKUP(Orders[[#This Row],[CustomerID]],Customers[CustomerID],Customers[CustomerName])</f>
        <v>Zainab Abubakar</v>
      </c>
      <c r="O1058" t="str">
        <f>_xlfn.XLOOKUP(Orders[[#This Row],[CustomerID]],Customers[CustomerID],Customers[Gender])</f>
        <v>Female</v>
      </c>
      <c r="P1058">
        <f>_xlfn.XLOOKUP(Orders[[#This Row],[CustomerID]],Customers[CustomerID],Customers[CustomerAge])</f>
        <v>29</v>
      </c>
      <c r="Q1058" t="str">
        <f>IF(Orders[[#This Row],[Age]]&gt;=35,"older","young")</f>
        <v>young</v>
      </c>
      <c r="R1058" t="str">
        <f>_xlfn.XLOOKUP(Orders[[#This Row],[ProductID]],Products[ProductID],Products[ProductName])</f>
        <v>TURTLE NECK</v>
      </c>
      <c r="S1058" t="str">
        <f>_xlfn.XLOOKUP(Orders[[#This Row],[ProductID]],Products!A:A,Products!C:C)</f>
        <v>Clothing</v>
      </c>
    </row>
    <row r="1059" spans="1:19" x14ac:dyDescent="0.2">
      <c r="A1059" s="4" t="s">
        <v>1248</v>
      </c>
      <c r="B1059" s="5">
        <v>45954</v>
      </c>
      <c r="C1059" s="15">
        <f>WEEKNUM(Orders[[#This Row],[OrderDate]])</f>
        <v>43</v>
      </c>
      <c r="D1059" s="4" t="s">
        <v>260</v>
      </c>
      <c r="E1059" s="4" t="s">
        <v>37</v>
      </c>
      <c r="F1059" s="4">
        <v>6</v>
      </c>
      <c r="G1059" s="4">
        <v>9859.6</v>
      </c>
      <c r="H1059">
        <v>8380.66</v>
      </c>
      <c r="I1059">
        <f>Orders[[#This Row],[Quantity]]*Orders[[#This Row],[Selling Price]]</f>
        <v>59157.600000000006</v>
      </c>
      <c r="J1059">
        <f>Orders[[#This Row],[Quantity]]*Orders[[#This Row],[Cost Price]]</f>
        <v>50283.96</v>
      </c>
      <c r="K1059">
        <f>Orders[[#This Row],[Revenue]]-Orders[[#This Row],[Expenses]]</f>
        <v>8873.6400000000067</v>
      </c>
      <c r="L1059" t="s">
        <v>2219</v>
      </c>
      <c r="M1059" t="str">
        <f>_xlfn.XLOOKUP(Orders[[#This Row],[CustomerID]],Customers[CustomerID],Customers[City])</f>
        <v>Florida</v>
      </c>
      <c r="N1059" t="str">
        <f>_xlfn.XLOOKUP(Orders[[#This Row],[CustomerID]],Customers[CustomerID],Customers[CustomerName])</f>
        <v>Amina Obi</v>
      </c>
      <c r="O1059" t="str">
        <f>_xlfn.XLOOKUP(Orders[[#This Row],[CustomerID]],Customers[CustomerID],Customers[Gender])</f>
        <v>Female</v>
      </c>
      <c r="P1059">
        <f>_xlfn.XLOOKUP(Orders[[#This Row],[CustomerID]],Customers[CustomerID],Customers[CustomerAge])</f>
        <v>29</v>
      </c>
      <c r="Q1059" t="str">
        <f>IF(Orders[[#This Row],[Age]]&gt;=35,"older","young")</f>
        <v>young</v>
      </c>
      <c r="R1059" t="str">
        <f>_xlfn.XLOOKUP(Orders[[#This Row],[ProductID]],Products[ProductID],Products[ProductName])</f>
        <v>IRON</v>
      </c>
      <c r="S1059" t="str">
        <f>_xlfn.XLOOKUP(Orders[[#This Row],[ProductID]],Products!A:A,Products!C:C)</f>
        <v>Electronics</v>
      </c>
    </row>
    <row r="1060" spans="1:19" x14ac:dyDescent="0.2">
      <c r="A1060" s="4" t="s">
        <v>1249</v>
      </c>
      <c r="B1060" s="5">
        <v>45951</v>
      </c>
      <c r="C1060" s="15">
        <f>WEEKNUM(Orders[[#This Row],[OrderDate]])</f>
        <v>43</v>
      </c>
      <c r="D1060" s="4" t="s">
        <v>237</v>
      </c>
      <c r="E1060" s="4" t="s">
        <v>208</v>
      </c>
      <c r="F1060" s="4">
        <v>1</v>
      </c>
      <c r="G1060" s="4">
        <v>2498.8999999999996</v>
      </c>
      <c r="H1060">
        <v>2124.0649999999996</v>
      </c>
      <c r="I1060">
        <f>Orders[[#This Row],[Quantity]]*Orders[[#This Row],[Selling Price]]</f>
        <v>2498.8999999999996</v>
      </c>
      <c r="J1060">
        <f>Orders[[#This Row],[Quantity]]*Orders[[#This Row],[Cost Price]]</f>
        <v>2124.0649999999996</v>
      </c>
      <c r="K1060">
        <f>Orders[[#This Row],[Revenue]]-Orders[[#This Row],[Expenses]]</f>
        <v>374.83500000000004</v>
      </c>
      <c r="L1060" t="s">
        <v>2195</v>
      </c>
      <c r="M1060" t="str">
        <f>_xlfn.XLOOKUP(Orders[[#This Row],[CustomerID]],Customers[CustomerID],Customers[City])</f>
        <v>Florida</v>
      </c>
      <c r="N1060" t="str">
        <f>_xlfn.XLOOKUP(Orders[[#This Row],[CustomerID]],Customers[CustomerID],Customers[CustomerName])</f>
        <v>Ronke Danladi</v>
      </c>
      <c r="O1060" t="str">
        <f>_xlfn.XLOOKUP(Orders[[#This Row],[CustomerID]],Customers[CustomerID],Customers[Gender])</f>
        <v>Female</v>
      </c>
      <c r="P1060">
        <f>_xlfn.XLOOKUP(Orders[[#This Row],[CustomerID]],Customers[CustomerID],Customers[CustomerAge])</f>
        <v>25</v>
      </c>
      <c r="Q1060" t="str">
        <f>IF(Orders[[#This Row],[Age]]&gt;=35,"older","young")</f>
        <v>young</v>
      </c>
      <c r="R1060" t="str">
        <f>_xlfn.XLOOKUP(Orders[[#This Row],[ProductID]],Products[ProductID],Products[ProductName])</f>
        <v>SKIPPING ROPE</v>
      </c>
      <c r="S1060" t="str">
        <f>_xlfn.XLOOKUP(Orders[[#This Row],[ProductID]],Products!A:A,Products!C:C)</f>
        <v>Sports</v>
      </c>
    </row>
    <row r="1061" spans="1:19" x14ac:dyDescent="0.2">
      <c r="A1061" s="4" t="s">
        <v>1250</v>
      </c>
      <c r="B1061" s="5">
        <v>45956</v>
      </c>
      <c r="C1061" s="15">
        <f>WEEKNUM(Orders[[#This Row],[OrderDate]])</f>
        <v>44</v>
      </c>
      <c r="D1061" s="4" t="s">
        <v>96</v>
      </c>
      <c r="E1061" s="4" t="s">
        <v>12</v>
      </c>
      <c r="F1061" s="4">
        <v>4</v>
      </c>
      <c r="G1061" s="4">
        <v>11091.199999999999</v>
      </c>
      <c r="H1061">
        <v>9427.5199999999986</v>
      </c>
      <c r="I1061">
        <f>Orders[[#This Row],[Quantity]]*Orders[[#This Row],[Selling Price]]</f>
        <v>44364.799999999996</v>
      </c>
      <c r="J1061">
        <f>Orders[[#This Row],[Quantity]]*Orders[[#This Row],[Cost Price]]</f>
        <v>37710.079999999994</v>
      </c>
      <c r="K1061">
        <f>Orders[[#This Row],[Revenue]]-Orders[[#This Row],[Expenses]]</f>
        <v>6654.7200000000012</v>
      </c>
      <c r="L1061" t="s">
        <v>2208</v>
      </c>
      <c r="M1061" t="str">
        <f>_xlfn.XLOOKUP(Orders[[#This Row],[CustomerID]],Customers[CustomerID],Customers[City])</f>
        <v>Texas</v>
      </c>
      <c r="N1061" t="str">
        <f>_xlfn.XLOOKUP(Orders[[#This Row],[CustomerID]],Customers[CustomerID],Customers[CustomerName])</f>
        <v>Amina Abubakar</v>
      </c>
      <c r="O1061" t="str">
        <f>_xlfn.XLOOKUP(Orders[[#This Row],[CustomerID]],Customers[CustomerID],Customers[Gender])</f>
        <v>Female</v>
      </c>
      <c r="P1061">
        <f>_xlfn.XLOOKUP(Orders[[#This Row],[CustomerID]],Customers[CustomerID],Customers[CustomerAge])</f>
        <v>35</v>
      </c>
      <c r="Q1061" t="str">
        <f>IF(Orders[[#This Row],[Age]]&gt;=35,"older","young")</f>
        <v>older</v>
      </c>
      <c r="R1061" t="str">
        <f>_xlfn.XLOOKUP(Orders[[#This Row],[ProductID]],Products[ProductID],Products[ProductName])</f>
        <v>BOUBOU</v>
      </c>
      <c r="S1061" t="str">
        <f>_xlfn.XLOOKUP(Orders[[#This Row],[ProductID]],Products!A:A,Products!C:C)</f>
        <v>Clothing</v>
      </c>
    </row>
    <row r="1062" spans="1:19" x14ac:dyDescent="0.2">
      <c r="A1062" s="4" t="s">
        <v>1251</v>
      </c>
      <c r="B1062" s="5">
        <v>45970</v>
      </c>
      <c r="C1062" s="15">
        <f>WEEKNUM(Orders[[#This Row],[OrderDate]])</f>
        <v>46</v>
      </c>
      <c r="D1062" s="4" t="s">
        <v>309</v>
      </c>
      <c r="E1062" s="4" t="s">
        <v>189</v>
      </c>
      <c r="F1062" s="4">
        <v>2</v>
      </c>
      <c r="G1062" s="4">
        <v>5899.2</v>
      </c>
      <c r="H1062">
        <v>5014.32</v>
      </c>
      <c r="I1062">
        <f>Orders[[#This Row],[Quantity]]*Orders[[#This Row],[Selling Price]]</f>
        <v>11798.4</v>
      </c>
      <c r="J1062">
        <f>Orders[[#This Row],[Quantity]]*Orders[[#This Row],[Cost Price]]</f>
        <v>10028.64</v>
      </c>
      <c r="K1062">
        <f>Orders[[#This Row],[Revenue]]-Orders[[#This Row],[Expenses]]</f>
        <v>1769.7600000000002</v>
      </c>
      <c r="L1062" t="s">
        <v>2211</v>
      </c>
      <c r="M1062" t="str">
        <f>_xlfn.XLOOKUP(Orders[[#This Row],[CustomerID]],Customers[CustomerID],Customers[City])</f>
        <v>Washington</v>
      </c>
      <c r="N1062" t="str">
        <f>_xlfn.XLOOKUP(Orders[[#This Row],[CustomerID]],Customers[CustomerID],Customers[CustomerName])</f>
        <v>Temi Ojo</v>
      </c>
      <c r="O1062" t="str">
        <f>_xlfn.XLOOKUP(Orders[[#This Row],[CustomerID]],Customers[CustomerID],Customers[Gender])</f>
        <v>Female</v>
      </c>
      <c r="P1062">
        <f>_xlfn.XLOOKUP(Orders[[#This Row],[CustomerID]],Customers[CustomerID],Customers[CustomerAge])</f>
        <v>36</v>
      </c>
      <c r="Q1062" t="str">
        <f>IF(Orders[[#This Row],[Age]]&gt;=35,"older","young")</f>
        <v>older</v>
      </c>
      <c r="R1062" t="str">
        <f>_xlfn.XLOOKUP(Orders[[#This Row],[ProductID]],Products[ProductID],Products[ProductName])</f>
        <v>SCRABBLE</v>
      </c>
      <c r="S1062" t="str">
        <f>_xlfn.XLOOKUP(Orders[[#This Row],[ProductID]],Products!A:A,Products!C:C)</f>
        <v>Games</v>
      </c>
    </row>
    <row r="1063" spans="1:19" x14ac:dyDescent="0.2">
      <c r="A1063" s="4" t="s">
        <v>1252</v>
      </c>
      <c r="B1063" s="5">
        <v>45941</v>
      </c>
      <c r="C1063" s="15">
        <f>WEEKNUM(Orders[[#This Row],[OrderDate]])</f>
        <v>41</v>
      </c>
      <c r="D1063" s="4" t="s">
        <v>91</v>
      </c>
      <c r="E1063" s="4" t="s">
        <v>157</v>
      </c>
      <c r="F1063" s="4">
        <v>2</v>
      </c>
      <c r="G1063" s="4">
        <v>12450.4</v>
      </c>
      <c r="H1063">
        <v>10582.84</v>
      </c>
      <c r="I1063">
        <f>Orders[[#This Row],[Quantity]]*Orders[[#This Row],[Selling Price]]</f>
        <v>24900.799999999999</v>
      </c>
      <c r="J1063">
        <f>Orders[[#This Row],[Quantity]]*Orders[[#This Row],[Cost Price]]</f>
        <v>21165.68</v>
      </c>
      <c r="K1063">
        <f>Orders[[#This Row],[Revenue]]-Orders[[#This Row],[Expenses]]</f>
        <v>3735.119999999999</v>
      </c>
      <c r="L1063" t="s">
        <v>2214</v>
      </c>
      <c r="M1063" t="str">
        <f>_xlfn.XLOOKUP(Orders[[#This Row],[CustomerID]],Customers[CustomerID],Customers[City])</f>
        <v>Florida</v>
      </c>
      <c r="N1063" t="str">
        <f>_xlfn.XLOOKUP(Orders[[#This Row],[CustomerID]],Customers[CustomerID],Customers[CustomerName])</f>
        <v>Uche Abubakar</v>
      </c>
      <c r="O1063" t="str">
        <f>_xlfn.XLOOKUP(Orders[[#This Row],[CustomerID]],Customers[CustomerID],Customers[Gender])</f>
        <v>Male</v>
      </c>
      <c r="P1063">
        <f>_xlfn.XLOOKUP(Orders[[#This Row],[CustomerID]],Customers[CustomerID],Customers[CustomerAge])</f>
        <v>28</v>
      </c>
      <c r="Q1063" t="str">
        <f>IF(Orders[[#This Row],[Age]]&gt;=35,"older","young")</f>
        <v>young</v>
      </c>
      <c r="R1063" t="str">
        <f>_xlfn.XLOOKUP(Orders[[#This Row],[ProductID]],Products[ProductID],Products[ProductName])</f>
        <v>FOOTBALL</v>
      </c>
      <c r="S1063" t="str">
        <f>_xlfn.XLOOKUP(Orders[[#This Row],[ProductID]],Products!A:A,Products!C:C)</f>
        <v>Sports</v>
      </c>
    </row>
    <row r="1064" spans="1:19" x14ac:dyDescent="0.2">
      <c r="A1064" s="4" t="s">
        <v>1253</v>
      </c>
      <c r="B1064" s="5">
        <v>45960</v>
      </c>
      <c r="C1064" s="15">
        <f>WEEKNUM(Orders[[#This Row],[OrderDate]])</f>
        <v>44</v>
      </c>
      <c r="D1064" s="4" t="s">
        <v>156</v>
      </c>
      <c r="E1064" s="4" t="s">
        <v>168</v>
      </c>
      <c r="F1064" s="4">
        <v>10</v>
      </c>
      <c r="G1064" s="4">
        <v>19120.5</v>
      </c>
      <c r="H1064">
        <v>16252.424999999999</v>
      </c>
      <c r="I1064">
        <f>Orders[[#This Row],[Quantity]]*Orders[[#This Row],[Selling Price]]</f>
        <v>191205</v>
      </c>
      <c r="J1064">
        <f>Orders[[#This Row],[Quantity]]*Orders[[#This Row],[Cost Price]]</f>
        <v>162524.25</v>
      </c>
      <c r="K1064">
        <f>Orders[[#This Row],[Revenue]]-Orders[[#This Row],[Expenses]]</f>
        <v>28680.75</v>
      </c>
      <c r="L1064" t="s">
        <v>2213</v>
      </c>
      <c r="M1064" t="str">
        <f>_xlfn.XLOOKUP(Orders[[#This Row],[CustomerID]],Customers[CustomerID],Customers[City])</f>
        <v>Florida</v>
      </c>
      <c r="N1064" t="str">
        <f>_xlfn.XLOOKUP(Orders[[#This Row],[CustomerID]],Customers[CustomerID],Customers[CustomerName])</f>
        <v>Obi Okonkwo</v>
      </c>
      <c r="O1064" t="str">
        <f>_xlfn.XLOOKUP(Orders[[#This Row],[CustomerID]],Customers[CustomerID],Customers[Gender])</f>
        <v>Male</v>
      </c>
      <c r="P1064">
        <f>_xlfn.XLOOKUP(Orders[[#This Row],[CustomerID]],Customers[CustomerID],Customers[CustomerAge])</f>
        <v>52</v>
      </c>
      <c r="Q1064" t="str">
        <f>IF(Orders[[#This Row],[Age]]&gt;=35,"older","young")</f>
        <v>older</v>
      </c>
      <c r="R1064" t="str">
        <f>_xlfn.XLOOKUP(Orders[[#This Row],[ProductID]],Products[ProductID],Products[ProductName])</f>
        <v>DUMB BELLS</v>
      </c>
      <c r="S1064" t="str">
        <f>_xlfn.XLOOKUP(Orders[[#This Row],[ProductID]],Products!A:A,Products!C:C)</f>
        <v>Gym</v>
      </c>
    </row>
    <row r="1065" spans="1:19" x14ac:dyDescent="0.2">
      <c r="A1065" s="4" t="s">
        <v>1254</v>
      </c>
      <c r="B1065" s="5">
        <v>46009</v>
      </c>
      <c r="C1065" s="15">
        <f>WEEKNUM(Orders[[#This Row],[OrderDate]])</f>
        <v>51</v>
      </c>
      <c r="D1065" s="4" t="s">
        <v>264</v>
      </c>
      <c r="E1065" s="4" t="s">
        <v>60</v>
      </c>
      <c r="F1065" s="4">
        <v>10</v>
      </c>
      <c r="G1065" s="4">
        <v>5866.9000000000005</v>
      </c>
      <c r="H1065">
        <v>4986.8650000000007</v>
      </c>
      <c r="I1065">
        <f>Orders[[#This Row],[Quantity]]*Orders[[#This Row],[Selling Price]]</f>
        <v>58669.000000000007</v>
      </c>
      <c r="J1065">
        <f>Orders[[#This Row],[Quantity]]*Orders[[#This Row],[Cost Price]]</f>
        <v>49868.650000000009</v>
      </c>
      <c r="K1065">
        <f>Orders[[#This Row],[Revenue]]-Orders[[#This Row],[Expenses]]</f>
        <v>8800.3499999999985</v>
      </c>
      <c r="L1065" t="s">
        <v>2200</v>
      </c>
      <c r="M1065" t="str">
        <f>_xlfn.XLOOKUP(Orders[[#This Row],[CustomerID]],Customers[CustomerID],Customers[City])</f>
        <v>Georgia</v>
      </c>
      <c r="N1065" t="str">
        <f>_xlfn.XLOOKUP(Orders[[#This Row],[CustomerID]],Customers[CustomerID],Customers[CustomerName])</f>
        <v>Ronke Adeyemi</v>
      </c>
      <c r="O1065" t="str">
        <f>_xlfn.XLOOKUP(Orders[[#This Row],[CustomerID]],Customers[CustomerID],Customers[Gender])</f>
        <v>Female</v>
      </c>
      <c r="P1065">
        <f>_xlfn.XLOOKUP(Orders[[#This Row],[CustomerID]],Customers[CustomerID],Customers[CustomerAge])</f>
        <v>19</v>
      </c>
      <c r="Q1065" t="str">
        <f>IF(Orders[[#This Row],[Age]]&gt;=35,"older","young")</f>
        <v>young</v>
      </c>
      <c r="R1065" t="str">
        <f>_xlfn.XLOOKUP(Orders[[#This Row],[ProductID]],Products[ProductID],Products[ProductName])</f>
        <v>SILVER RINGS</v>
      </c>
      <c r="S1065" t="str">
        <f>_xlfn.XLOOKUP(Orders[[#This Row],[ProductID]],Products!A:A,Products!C:C)</f>
        <v>Accessories</v>
      </c>
    </row>
    <row r="1066" spans="1:19" x14ac:dyDescent="0.2">
      <c r="A1066" s="4" t="s">
        <v>1255</v>
      </c>
      <c r="B1066" s="5">
        <v>45941</v>
      </c>
      <c r="C1066" s="15">
        <f>WEEKNUM(Orders[[#This Row],[OrderDate]])</f>
        <v>41</v>
      </c>
      <c r="D1066" s="4" t="s">
        <v>671</v>
      </c>
      <c r="E1066" s="4" t="s">
        <v>34</v>
      </c>
      <c r="F1066" s="4">
        <v>2</v>
      </c>
      <c r="G1066" s="4">
        <v>18840.7</v>
      </c>
      <c r="H1066">
        <v>16014.595000000001</v>
      </c>
      <c r="I1066">
        <f>Orders[[#This Row],[Quantity]]*Orders[[#This Row],[Selling Price]]</f>
        <v>37681.4</v>
      </c>
      <c r="J1066">
        <f>Orders[[#This Row],[Quantity]]*Orders[[#This Row],[Cost Price]]</f>
        <v>32029.190000000002</v>
      </c>
      <c r="K1066">
        <f>Orders[[#This Row],[Revenue]]-Orders[[#This Row],[Expenses]]</f>
        <v>5652.2099999999991</v>
      </c>
      <c r="L1066" t="s">
        <v>2200</v>
      </c>
      <c r="M1066" t="str">
        <f>_xlfn.XLOOKUP(Orders[[#This Row],[CustomerID]],Customers[CustomerID],Customers[City])</f>
        <v>Texas</v>
      </c>
      <c r="N1066" t="str">
        <f>_xlfn.XLOOKUP(Orders[[#This Row],[CustomerID]],Customers[CustomerID],Customers[CustomerName])</f>
        <v>Tunde Abubakar</v>
      </c>
      <c r="O1066" t="str">
        <f>_xlfn.XLOOKUP(Orders[[#This Row],[CustomerID]],Customers[CustomerID],Customers[Gender])</f>
        <v>Male</v>
      </c>
      <c r="P1066">
        <f>_xlfn.XLOOKUP(Orders[[#This Row],[CustomerID]],Customers[CustomerID],Customers[CustomerAge])</f>
        <v>26</v>
      </c>
      <c r="Q1066" t="str">
        <f>IF(Orders[[#This Row],[Age]]&gt;=35,"older","young")</f>
        <v>young</v>
      </c>
      <c r="R1066" t="str">
        <f>_xlfn.XLOOKUP(Orders[[#This Row],[ProductID]],Products[ProductID],Products[ProductName])</f>
        <v>GOLD BRACELETS</v>
      </c>
      <c r="S1066" t="str">
        <f>_xlfn.XLOOKUP(Orders[[#This Row],[ProductID]],Products!A:A,Products!C:C)</f>
        <v>Accessories</v>
      </c>
    </row>
    <row r="1067" spans="1:19" x14ac:dyDescent="0.2">
      <c r="A1067" s="4" t="s">
        <v>1256</v>
      </c>
      <c r="B1067" s="5">
        <v>45976</v>
      </c>
      <c r="C1067" s="15">
        <f>WEEKNUM(Orders[[#This Row],[OrderDate]])</f>
        <v>46</v>
      </c>
      <c r="D1067" s="4" t="s">
        <v>757</v>
      </c>
      <c r="E1067" s="4" t="s">
        <v>81</v>
      </c>
      <c r="F1067" s="4">
        <v>7</v>
      </c>
      <c r="G1067" s="4">
        <v>7430.1</v>
      </c>
      <c r="H1067">
        <v>6315.585</v>
      </c>
      <c r="I1067">
        <f>Orders[[#This Row],[Quantity]]*Orders[[#This Row],[Selling Price]]</f>
        <v>52010.700000000004</v>
      </c>
      <c r="J1067">
        <f>Orders[[#This Row],[Quantity]]*Orders[[#This Row],[Cost Price]]</f>
        <v>44209.095000000001</v>
      </c>
      <c r="K1067">
        <f>Orders[[#This Row],[Revenue]]-Orders[[#This Row],[Expenses]]</f>
        <v>7801.6050000000032</v>
      </c>
      <c r="L1067" t="s">
        <v>2219</v>
      </c>
      <c r="M1067" t="str">
        <f>_xlfn.XLOOKUP(Orders[[#This Row],[CustomerID]],Customers[CustomerID],Customers[City])</f>
        <v>Texas</v>
      </c>
      <c r="N1067" t="str">
        <f>_xlfn.XLOOKUP(Orders[[#This Row],[CustomerID]],Customers[CustomerID],Customers[CustomerName])</f>
        <v>Okon Balogun</v>
      </c>
      <c r="O1067" t="str">
        <f>_xlfn.XLOOKUP(Orders[[#This Row],[CustomerID]],Customers[CustomerID],Customers[Gender])</f>
        <v>Male</v>
      </c>
      <c r="P1067">
        <f>_xlfn.XLOOKUP(Orders[[#This Row],[CustomerID]],Customers[CustomerID],Customers[CustomerAge])</f>
        <v>20</v>
      </c>
      <c r="Q1067" t="str">
        <f>IF(Orders[[#This Row],[Age]]&gt;=35,"older","young")</f>
        <v>young</v>
      </c>
      <c r="R1067" t="str">
        <f>_xlfn.XLOOKUP(Orders[[#This Row],[ProductID]],Products[ProductID],Products[ProductName])</f>
        <v>TROUSERS</v>
      </c>
      <c r="S1067" t="str">
        <f>_xlfn.XLOOKUP(Orders[[#This Row],[ProductID]],Products!A:A,Products!C:C)</f>
        <v>Clothing</v>
      </c>
    </row>
    <row r="1068" spans="1:19" x14ac:dyDescent="0.2">
      <c r="A1068" s="4" t="s">
        <v>1257</v>
      </c>
      <c r="B1068" s="5">
        <v>45972</v>
      </c>
      <c r="C1068" s="15">
        <f>WEEKNUM(Orders[[#This Row],[OrderDate]])</f>
        <v>46</v>
      </c>
      <c r="D1068" s="4" t="s">
        <v>182</v>
      </c>
      <c r="E1068" s="4" t="s">
        <v>23</v>
      </c>
      <c r="F1068" s="4">
        <v>2</v>
      </c>
      <c r="G1068" s="4">
        <v>12868.199999999999</v>
      </c>
      <c r="H1068">
        <v>10937.97</v>
      </c>
      <c r="I1068">
        <f>Orders[[#This Row],[Quantity]]*Orders[[#This Row],[Selling Price]]</f>
        <v>25736.399999999998</v>
      </c>
      <c r="J1068">
        <f>Orders[[#This Row],[Quantity]]*Orders[[#This Row],[Cost Price]]</f>
        <v>21875.94</v>
      </c>
      <c r="K1068">
        <f>Orders[[#This Row],[Revenue]]-Orders[[#This Row],[Expenses]]</f>
        <v>3860.4599999999991</v>
      </c>
      <c r="L1068" t="s">
        <v>2217</v>
      </c>
      <c r="M1068" t="str">
        <f>_xlfn.XLOOKUP(Orders[[#This Row],[CustomerID]],Customers[CustomerID],Customers[City])</f>
        <v>Georgia</v>
      </c>
      <c r="N1068" t="str">
        <f>_xlfn.XLOOKUP(Orders[[#This Row],[CustomerID]],Customers[CustomerID],Customers[CustomerName])</f>
        <v>Abiola Okonkwo</v>
      </c>
      <c r="O1068" t="str">
        <f>_xlfn.XLOOKUP(Orders[[#This Row],[CustomerID]],Customers[CustomerID],Customers[Gender])</f>
        <v>Male</v>
      </c>
      <c r="P1068">
        <f>_xlfn.XLOOKUP(Orders[[#This Row],[CustomerID]],Customers[CustomerID],Customers[CustomerAge])</f>
        <v>39</v>
      </c>
      <c r="Q1068" t="str">
        <f>IF(Orders[[#This Row],[Age]]&gt;=35,"older","young")</f>
        <v>older</v>
      </c>
      <c r="R1068" t="str">
        <f>_xlfn.XLOOKUP(Orders[[#This Row],[ProductID]],Products[ProductID],Products[ProductName])</f>
        <v>GYM GLOVES</v>
      </c>
      <c r="S1068" t="str">
        <f>_xlfn.XLOOKUP(Orders[[#This Row],[ProductID]],Products!A:A,Products!C:C)</f>
        <v>Gym</v>
      </c>
    </row>
    <row r="1069" spans="1:19" x14ac:dyDescent="0.2">
      <c r="A1069" s="4" t="s">
        <v>1258</v>
      </c>
      <c r="B1069" s="5">
        <v>45949</v>
      </c>
      <c r="C1069" s="15">
        <f>WEEKNUM(Orders[[#This Row],[OrderDate]])</f>
        <v>43</v>
      </c>
      <c r="D1069" s="4" t="s">
        <v>291</v>
      </c>
      <c r="E1069" s="4" t="s">
        <v>57</v>
      </c>
      <c r="F1069" s="4">
        <v>10</v>
      </c>
      <c r="G1069" s="4">
        <v>17799.400000000001</v>
      </c>
      <c r="H1069">
        <v>15129.490000000002</v>
      </c>
      <c r="I1069">
        <f>Orders[[#This Row],[Quantity]]*Orders[[#This Row],[Selling Price]]</f>
        <v>177994</v>
      </c>
      <c r="J1069">
        <f>Orders[[#This Row],[Quantity]]*Orders[[#This Row],[Cost Price]]</f>
        <v>151294.90000000002</v>
      </c>
      <c r="K1069">
        <f>Orders[[#This Row],[Revenue]]-Orders[[#This Row],[Expenses]]</f>
        <v>26699.099999999977</v>
      </c>
      <c r="L1069" t="s">
        <v>2209</v>
      </c>
      <c r="M1069" t="str">
        <f>_xlfn.XLOOKUP(Orders[[#This Row],[CustomerID]],Customers[CustomerID],Customers[City])</f>
        <v>Texas</v>
      </c>
      <c r="N1069" t="str">
        <f>_xlfn.XLOOKUP(Orders[[#This Row],[CustomerID]],Customers[CustomerID],Customers[CustomerName])</f>
        <v>Okon Igwe</v>
      </c>
      <c r="O1069" t="str">
        <f>_xlfn.XLOOKUP(Orders[[#This Row],[CustomerID]],Customers[CustomerID],Customers[Gender])</f>
        <v>Male</v>
      </c>
      <c r="P1069">
        <f>_xlfn.XLOOKUP(Orders[[#This Row],[CustomerID]],Customers[CustomerID],Customers[CustomerAge])</f>
        <v>33</v>
      </c>
      <c r="Q1069" t="str">
        <f>IF(Orders[[#This Row],[Age]]&gt;=35,"older","young")</f>
        <v>young</v>
      </c>
      <c r="R1069" t="str">
        <f>_xlfn.XLOOKUP(Orders[[#This Row],[ProductID]],Products[ProductID],Products[ProductName])</f>
        <v>BADMINTON RACKET</v>
      </c>
      <c r="S1069" t="str">
        <f>_xlfn.XLOOKUP(Orders[[#This Row],[ProductID]],Products!A:A,Products!C:C)</f>
        <v>Sports</v>
      </c>
    </row>
    <row r="1070" spans="1:19" x14ac:dyDescent="0.2">
      <c r="A1070" s="4" t="s">
        <v>1259</v>
      </c>
      <c r="B1070" s="5">
        <v>45965</v>
      </c>
      <c r="C1070" s="15">
        <f>WEEKNUM(Orders[[#This Row],[OrderDate]])</f>
        <v>45</v>
      </c>
      <c r="D1070" s="4" t="s">
        <v>317</v>
      </c>
      <c r="E1070" s="4" t="s">
        <v>76</v>
      </c>
      <c r="F1070" s="4">
        <v>1</v>
      </c>
      <c r="G1070" s="4">
        <v>6555.2999999999993</v>
      </c>
      <c r="H1070">
        <v>5572.0049999999992</v>
      </c>
      <c r="I1070">
        <f>Orders[[#This Row],[Quantity]]*Orders[[#This Row],[Selling Price]]</f>
        <v>6555.2999999999993</v>
      </c>
      <c r="J1070">
        <f>Orders[[#This Row],[Quantity]]*Orders[[#This Row],[Cost Price]]</f>
        <v>5572.0049999999992</v>
      </c>
      <c r="K1070">
        <f>Orders[[#This Row],[Revenue]]-Orders[[#This Row],[Expenses]]</f>
        <v>983.29500000000007</v>
      </c>
      <c r="L1070" t="s">
        <v>2206</v>
      </c>
      <c r="M1070" t="str">
        <f>_xlfn.XLOOKUP(Orders[[#This Row],[CustomerID]],Customers[CustomerID],Customers[City])</f>
        <v>Texas</v>
      </c>
      <c r="N1070" t="str">
        <f>_xlfn.XLOOKUP(Orders[[#This Row],[CustomerID]],Customers[CustomerID],Customers[CustomerName])</f>
        <v>Folasade Danladi</v>
      </c>
      <c r="O1070" t="str">
        <f>_xlfn.XLOOKUP(Orders[[#This Row],[CustomerID]],Customers[CustomerID],Customers[Gender])</f>
        <v>Female</v>
      </c>
      <c r="P1070">
        <f>_xlfn.XLOOKUP(Orders[[#This Row],[CustomerID]],Customers[CustomerID],Customers[CustomerAge])</f>
        <v>28</v>
      </c>
      <c r="Q1070" t="str">
        <f>IF(Orders[[#This Row],[Age]]&gt;=35,"older","young")</f>
        <v>young</v>
      </c>
      <c r="R1070" t="str">
        <f>_xlfn.XLOOKUP(Orders[[#This Row],[ProductID]],Products[ProductID],Products[ProductName])</f>
        <v>BLENDER</v>
      </c>
      <c r="S1070" t="str">
        <f>_xlfn.XLOOKUP(Orders[[#This Row],[ProductID]],Products!A:A,Products!C:C)</f>
        <v>Electronics</v>
      </c>
    </row>
    <row r="1071" spans="1:19" x14ac:dyDescent="0.2">
      <c r="A1071" s="4" t="s">
        <v>1260</v>
      </c>
      <c r="B1071" s="5">
        <v>46009</v>
      </c>
      <c r="C1071" s="15">
        <f>WEEKNUM(Orders[[#This Row],[OrderDate]])</f>
        <v>51</v>
      </c>
      <c r="D1071" s="4" t="s">
        <v>163</v>
      </c>
      <c r="E1071" s="4" t="s">
        <v>63</v>
      </c>
      <c r="F1071" s="4">
        <v>4</v>
      </c>
      <c r="G1071" s="4">
        <v>16183.900000000001</v>
      </c>
      <c r="H1071">
        <v>13756.315000000002</v>
      </c>
      <c r="I1071">
        <f>Orders[[#This Row],[Quantity]]*Orders[[#This Row],[Selling Price]]</f>
        <v>64735.600000000006</v>
      </c>
      <c r="J1071">
        <f>Orders[[#This Row],[Quantity]]*Orders[[#This Row],[Cost Price]]</f>
        <v>55025.260000000009</v>
      </c>
      <c r="K1071">
        <f>Orders[[#This Row],[Revenue]]-Orders[[#This Row],[Expenses]]</f>
        <v>9710.3399999999965</v>
      </c>
      <c r="L1071" t="s">
        <v>2208</v>
      </c>
      <c r="M1071" t="str">
        <f>_xlfn.XLOOKUP(Orders[[#This Row],[CustomerID]],Customers[CustomerID],Customers[City])</f>
        <v>Texas</v>
      </c>
      <c r="N1071" t="str">
        <f>_xlfn.XLOOKUP(Orders[[#This Row],[CustomerID]],Customers[CustomerID],Customers[CustomerName])</f>
        <v>Folasade Danladi</v>
      </c>
      <c r="O1071" t="str">
        <f>_xlfn.XLOOKUP(Orders[[#This Row],[CustomerID]],Customers[CustomerID],Customers[Gender])</f>
        <v>Female</v>
      </c>
      <c r="P1071">
        <f>_xlfn.XLOOKUP(Orders[[#This Row],[CustomerID]],Customers[CustomerID],Customers[CustomerAge])</f>
        <v>32</v>
      </c>
      <c r="Q1071" t="str">
        <f>IF(Orders[[#This Row],[Age]]&gt;=35,"older","young")</f>
        <v>young</v>
      </c>
      <c r="R1071" t="str">
        <f>_xlfn.XLOOKUP(Orders[[#This Row],[ProductID]],Products[ProductID],Products[ProductName])</f>
        <v>TENNIS BAT</v>
      </c>
      <c r="S1071" t="str">
        <f>_xlfn.XLOOKUP(Orders[[#This Row],[ProductID]],Products!A:A,Products!C:C)</f>
        <v>Sports</v>
      </c>
    </row>
    <row r="1072" spans="1:19" x14ac:dyDescent="0.2">
      <c r="A1072" s="4" t="s">
        <v>1261</v>
      </c>
      <c r="B1072" s="5">
        <v>45974</v>
      </c>
      <c r="C1072" s="15">
        <f>WEEKNUM(Orders[[#This Row],[OrderDate]])</f>
        <v>46</v>
      </c>
      <c r="D1072" s="4" t="s">
        <v>129</v>
      </c>
      <c r="E1072" s="4" t="s">
        <v>208</v>
      </c>
      <c r="F1072" s="4">
        <v>3</v>
      </c>
      <c r="G1072" s="4">
        <v>9736.1</v>
      </c>
      <c r="H1072">
        <v>8275.6850000000013</v>
      </c>
      <c r="I1072">
        <f>Orders[[#This Row],[Quantity]]*Orders[[#This Row],[Selling Price]]</f>
        <v>29208.300000000003</v>
      </c>
      <c r="J1072">
        <f>Orders[[#This Row],[Quantity]]*Orders[[#This Row],[Cost Price]]</f>
        <v>24827.055000000004</v>
      </c>
      <c r="K1072">
        <f>Orders[[#This Row],[Revenue]]-Orders[[#This Row],[Expenses]]</f>
        <v>4381.244999999999</v>
      </c>
      <c r="L1072" t="s">
        <v>2214</v>
      </c>
      <c r="M1072" t="str">
        <f>_xlfn.XLOOKUP(Orders[[#This Row],[CustomerID]],Customers[CustomerID],Customers[City])</f>
        <v>Washington</v>
      </c>
      <c r="N1072" t="str">
        <f>_xlfn.XLOOKUP(Orders[[#This Row],[CustomerID]],Customers[CustomerID],Customers[CustomerName])</f>
        <v>Chioma Ojo</v>
      </c>
      <c r="O1072" t="str">
        <f>_xlfn.XLOOKUP(Orders[[#This Row],[CustomerID]],Customers[CustomerID],Customers[Gender])</f>
        <v>Female</v>
      </c>
      <c r="P1072">
        <f>_xlfn.XLOOKUP(Orders[[#This Row],[CustomerID]],Customers[CustomerID],Customers[CustomerAge])</f>
        <v>46</v>
      </c>
      <c r="Q1072" t="str">
        <f>IF(Orders[[#This Row],[Age]]&gt;=35,"older","young")</f>
        <v>older</v>
      </c>
      <c r="R1072" t="str">
        <f>_xlfn.XLOOKUP(Orders[[#This Row],[ProductID]],Products[ProductID],Products[ProductName])</f>
        <v>SKIPPING ROPE</v>
      </c>
      <c r="S1072" t="str">
        <f>_xlfn.XLOOKUP(Orders[[#This Row],[ProductID]],Products!A:A,Products!C:C)</f>
        <v>Sports</v>
      </c>
    </row>
    <row r="1073" spans="1:19" x14ac:dyDescent="0.2">
      <c r="A1073" s="4" t="s">
        <v>1262</v>
      </c>
      <c r="B1073" s="5">
        <v>46015</v>
      </c>
      <c r="C1073" s="15">
        <f>WEEKNUM(Orders[[#This Row],[OrderDate]])</f>
        <v>52</v>
      </c>
      <c r="D1073" s="4" t="s">
        <v>138</v>
      </c>
      <c r="E1073" s="4" t="s">
        <v>70</v>
      </c>
      <c r="F1073" s="4">
        <v>4</v>
      </c>
      <c r="G1073" s="4">
        <v>6376.7999999999993</v>
      </c>
      <c r="H1073">
        <v>5420.28</v>
      </c>
      <c r="I1073">
        <f>Orders[[#This Row],[Quantity]]*Orders[[#This Row],[Selling Price]]</f>
        <v>25507.199999999997</v>
      </c>
      <c r="J1073">
        <f>Orders[[#This Row],[Quantity]]*Orders[[#This Row],[Cost Price]]</f>
        <v>21681.119999999999</v>
      </c>
      <c r="K1073">
        <f>Orders[[#This Row],[Revenue]]-Orders[[#This Row],[Expenses]]</f>
        <v>3826.0799999999981</v>
      </c>
      <c r="L1073" t="s">
        <v>2194</v>
      </c>
      <c r="M1073" t="str">
        <f>_xlfn.XLOOKUP(Orders[[#This Row],[CustomerID]],Customers[CustomerID],Customers[City])</f>
        <v>Washington</v>
      </c>
      <c r="N1073" t="str">
        <f>_xlfn.XLOOKUP(Orders[[#This Row],[CustomerID]],Customers[CustomerID],Customers[CustomerName])</f>
        <v>Efe Adeyemi</v>
      </c>
      <c r="O1073" t="str">
        <f>_xlfn.XLOOKUP(Orders[[#This Row],[CustomerID]],Customers[CustomerID],Customers[Gender])</f>
        <v>Female</v>
      </c>
      <c r="P1073">
        <f>_xlfn.XLOOKUP(Orders[[#This Row],[CustomerID]],Customers[CustomerID],Customers[CustomerAge])</f>
        <v>22</v>
      </c>
      <c r="Q1073" t="str">
        <f>IF(Orders[[#This Row],[Age]]&gt;=35,"older","young")</f>
        <v>young</v>
      </c>
      <c r="R1073" t="str">
        <f>_xlfn.XLOOKUP(Orders[[#This Row],[ProductID]],Products[ProductID],Products[ProductName])</f>
        <v>YOGA MAT</v>
      </c>
      <c r="S1073" t="str">
        <f>_xlfn.XLOOKUP(Orders[[#This Row],[ProductID]],Products!A:A,Products!C:C)</f>
        <v>Gym</v>
      </c>
    </row>
    <row r="1074" spans="1:19" x14ac:dyDescent="0.2">
      <c r="A1074" s="4" t="s">
        <v>1263</v>
      </c>
      <c r="B1074" s="5">
        <v>45996</v>
      </c>
      <c r="C1074" s="15">
        <f>WEEKNUM(Orders[[#This Row],[OrderDate]])</f>
        <v>49</v>
      </c>
      <c r="D1074" s="4" t="s">
        <v>41</v>
      </c>
      <c r="E1074" s="4" t="s">
        <v>34</v>
      </c>
      <c r="F1074" s="4">
        <v>2</v>
      </c>
      <c r="G1074" s="4">
        <v>7373.2000000000007</v>
      </c>
      <c r="H1074">
        <v>6267.2200000000012</v>
      </c>
      <c r="I1074">
        <f>Orders[[#This Row],[Quantity]]*Orders[[#This Row],[Selling Price]]</f>
        <v>14746.400000000001</v>
      </c>
      <c r="J1074">
        <f>Orders[[#This Row],[Quantity]]*Orders[[#This Row],[Cost Price]]</f>
        <v>12534.440000000002</v>
      </c>
      <c r="K1074">
        <f>Orders[[#This Row],[Revenue]]-Orders[[#This Row],[Expenses]]</f>
        <v>2211.9599999999991</v>
      </c>
      <c r="L1074" t="s">
        <v>2194</v>
      </c>
      <c r="M1074" t="str">
        <f>_xlfn.XLOOKUP(Orders[[#This Row],[CustomerID]],Customers[CustomerID],Customers[City])</f>
        <v>Texas</v>
      </c>
      <c r="N1074" t="str">
        <f>_xlfn.XLOOKUP(Orders[[#This Row],[CustomerID]],Customers[CustomerID],Customers[CustomerName])</f>
        <v>Mustafa Balogun</v>
      </c>
      <c r="O1074" t="str">
        <f>_xlfn.XLOOKUP(Orders[[#This Row],[CustomerID]],Customers[CustomerID],Customers[Gender])</f>
        <v>Male</v>
      </c>
      <c r="P1074">
        <f>_xlfn.XLOOKUP(Orders[[#This Row],[CustomerID]],Customers[CustomerID],Customers[CustomerAge])</f>
        <v>40</v>
      </c>
      <c r="Q1074" t="str">
        <f>IF(Orders[[#This Row],[Age]]&gt;=35,"older","young")</f>
        <v>older</v>
      </c>
      <c r="R1074" t="str">
        <f>_xlfn.XLOOKUP(Orders[[#This Row],[ProductID]],Products[ProductID],Products[ProductName])</f>
        <v>GOLD BRACELETS</v>
      </c>
      <c r="S1074" t="str">
        <f>_xlfn.XLOOKUP(Orders[[#This Row],[ProductID]],Products!A:A,Products!C:C)</f>
        <v>Accessories</v>
      </c>
    </row>
    <row r="1075" spans="1:19" x14ac:dyDescent="0.2">
      <c r="A1075" s="4" t="s">
        <v>1264</v>
      </c>
      <c r="B1075" s="5">
        <v>45997</v>
      </c>
      <c r="C1075" s="15">
        <f>WEEKNUM(Orders[[#This Row],[OrderDate]])</f>
        <v>49</v>
      </c>
      <c r="D1075" s="4" t="s">
        <v>138</v>
      </c>
      <c r="E1075" s="4" t="s">
        <v>31</v>
      </c>
      <c r="F1075" s="4">
        <v>3</v>
      </c>
      <c r="G1075" s="4">
        <v>10943.199999999999</v>
      </c>
      <c r="H1075">
        <v>9301.7199999999993</v>
      </c>
      <c r="I1075">
        <f>Orders[[#This Row],[Quantity]]*Orders[[#This Row],[Selling Price]]</f>
        <v>32829.599999999999</v>
      </c>
      <c r="J1075">
        <f>Orders[[#This Row],[Quantity]]*Orders[[#This Row],[Cost Price]]</f>
        <v>27905.159999999996</v>
      </c>
      <c r="K1075">
        <f>Orders[[#This Row],[Revenue]]-Orders[[#This Row],[Expenses]]</f>
        <v>4924.4400000000023</v>
      </c>
      <c r="L1075" t="s">
        <v>2196</v>
      </c>
      <c r="M1075" t="str">
        <f>_xlfn.XLOOKUP(Orders[[#This Row],[CustomerID]],Customers[CustomerID],Customers[City])</f>
        <v>Washington</v>
      </c>
      <c r="N1075" t="str">
        <f>_xlfn.XLOOKUP(Orders[[#This Row],[CustomerID]],Customers[CustomerID],Customers[CustomerName])</f>
        <v>Efe Adeyemi</v>
      </c>
      <c r="O1075" t="str">
        <f>_xlfn.XLOOKUP(Orders[[#This Row],[CustomerID]],Customers[CustomerID],Customers[Gender])</f>
        <v>Female</v>
      </c>
      <c r="P1075">
        <f>_xlfn.XLOOKUP(Orders[[#This Row],[CustomerID]],Customers[CustomerID],Customers[CustomerAge])</f>
        <v>22</v>
      </c>
      <c r="Q1075" t="str">
        <f>IF(Orders[[#This Row],[Age]]&gt;=35,"older","young")</f>
        <v>young</v>
      </c>
      <c r="R1075" t="str">
        <f>_xlfn.XLOOKUP(Orders[[#This Row],[ProductID]],Products[ProductID],Products[ProductName])</f>
        <v>KIDS GAMES</v>
      </c>
      <c r="S1075" t="str">
        <f>_xlfn.XLOOKUP(Orders[[#This Row],[ProductID]],Products!A:A,Products!C:C)</f>
        <v>Games</v>
      </c>
    </row>
    <row r="1076" spans="1:19" x14ac:dyDescent="0.2">
      <c r="A1076" s="4" t="s">
        <v>1265</v>
      </c>
      <c r="B1076" s="5">
        <v>45952</v>
      </c>
      <c r="C1076" s="15">
        <f>WEEKNUM(Orders[[#This Row],[OrderDate]])</f>
        <v>43</v>
      </c>
      <c r="D1076" s="4" t="s">
        <v>252</v>
      </c>
      <c r="E1076" s="4" t="s">
        <v>208</v>
      </c>
      <c r="F1076" s="4">
        <v>5</v>
      </c>
      <c r="G1076" s="4">
        <v>11149.6</v>
      </c>
      <c r="H1076">
        <v>9477.16</v>
      </c>
      <c r="I1076">
        <f>Orders[[#This Row],[Quantity]]*Orders[[#This Row],[Selling Price]]</f>
        <v>55748</v>
      </c>
      <c r="J1076">
        <f>Orders[[#This Row],[Quantity]]*Orders[[#This Row],[Cost Price]]</f>
        <v>47385.8</v>
      </c>
      <c r="K1076">
        <f>Orders[[#This Row],[Revenue]]-Orders[[#This Row],[Expenses]]</f>
        <v>8362.1999999999971</v>
      </c>
      <c r="L1076" t="s">
        <v>2200</v>
      </c>
      <c r="M1076" t="str">
        <f>_xlfn.XLOOKUP(Orders[[#This Row],[CustomerID]],Customers[CustomerID],Customers[City])</f>
        <v>Texas</v>
      </c>
      <c r="N1076" t="str">
        <f>_xlfn.XLOOKUP(Orders[[#This Row],[CustomerID]],Customers[CustomerID],Customers[CustomerName])</f>
        <v>Chioma Adeyemi</v>
      </c>
      <c r="O1076" t="str">
        <f>_xlfn.XLOOKUP(Orders[[#This Row],[CustomerID]],Customers[CustomerID],Customers[Gender])</f>
        <v>Female</v>
      </c>
      <c r="P1076">
        <f>_xlfn.XLOOKUP(Orders[[#This Row],[CustomerID]],Customers[CustomerID],Customers[CustomerAge])</f>
        <v>20</v>
      </c>
      <c r="Q1076" t="str">
        <f>IF(Orders[[#This Row],[Age]]&gt;=35,"older","young")</f>
        <v>young</v>
      </c>
      <c r="R1076" t="str">
        <f>_xlfn.XLOOKUP(Orders[[#This Row],[ProductID]],Products[ProductID],Products[ProductName])</f>
        <v>SKIPPING ROPE</v>
      </c>
      <c r="S1076" t="str">
        <f>_xlfn.XLOOKUP(Orders[[#This Row],[ProductID]],Products!A:A,Products!C:C)</f>
        <v>Sports</v>
      </c>
    </row>
    <row r="1077" spans="1:19" x14ac:dyDescent="0.2">
      <c r="A1077" s="4" t="s">
        <v>1266</v>
      </c>
      <c r="B1077" s="5">
        <v>46014</v>
      </c>
      <c r="C1077" s="15">
        <f>WEEKNUM(Orders[[#This Row],[OrderDate]])</f>
        <v>52</v>
      </c>
      <c r="D1077" s="4" t="s">
        <v>260</v>
      </c>
      <c r="E1077" s="4" t="s">
        <v>53</v>
      </c>
      <c r="F1077" s="4">
        <v>5</v>
      </c>
      <c r="G1077" s="4">
        <v>14710.4</v>
      </c>
      <c r="H1077">
        <v>12503.84</v>
      </c>
      <c r="I1077">
        <f>Orders[[#This Row],[Quantity]]*Orders[[#This Row],[Selling Price]]</f>
        <v>73552</v>
      </c>
      <c r="J1077">
        <f>Orders[[#This Row],[Quantity]]*Orders[[#This Row],[Cost Price]]</f>
        <v>62519.199999999997</v>
      </c>
      <c r="K1077">
        <f>Orders[[#This Row],[Revenue]]-Orders[[#This Row],[Expenses]]</f>
        <v>11032.800000000003</v>
      </c>
      <c r="L1077" t="s">
        <v>2209</v>
      </c>
      <c r="M1077" t="str">
        <f>_xlfn.XLOOKUP(Orders[[#This Row],[CustomerID]],Customers[CustomerID],Customers[City])</f>
        <v>Florida</v>
      </c>
      <c r="N1077" t="str">
        <f>_xlfn.XLOOKUP(Orders[[#This Row],[CustomerID]],Customers[CustomerID],Customers[CustomerName])</f>
        <v>Amina Obi</v>
      </c>
      <c r="O1077" t="str">
        <f>_xlfn.XLOOKUP(Orders[[#This Row],[CustomerID]],Customers[CustomerID],Customers[Gender])</f>
        <v>Female</v>
      </c>
      <c r="P1077">
        <f>_xlfn.XLOOKUP(Orders[[#This Row],[CustomerID]],Customers[CustomerID],Customers[CustomerAge])</f>
        <v>29</v>
      </c>
      <c r="Q1077" t="str">
        <f>IF(Orders[[#This Row],[Age]]&gt;=35,"older","young")</f>
        <v>young</v>
      </c>
      <c r="R1077" t="str">
        <f>_xlfn.XLOOKUP(Orders[[#This Row],[ProductID]],Products[ProductID],Products[ProductName])</f>
        <v>SILVER BANGLES</v>
      </c>
      <c r="S1077" t="str">
        <f>_xlfn.XLOOKUP(Orders[[#This Row],[ProductID]],Products!A:A,Products!C:C)</f>
        <v>Accessories</v>
      </c>
    </row>
    <row r="1078" spans="1:19" x14ac:dyDescent="0.2">
      <c r="A1078" s="4" t="s">
        <v>1267</v>
      </c>
      <c r="B1078" s="5">
        <v>46004</v>
      </c>
      <c r="C1078" s="15">
        <f>WEEKNUM(Orders[[#This Row],[OrderDate]])</f>
        <v>50</v>
      </c>
      <c r="D1078" s="4" t="s">
        <v>514</v>
      </c>
      <c r="E1078" s="4" t="s">
        <v>111</v>
      </c>
      <c r="F1078" s="4">
        <v>7</v>
      </c>
      <c r="G1078" s="4">
        <v>11371.5</v>
      </c>
      <c r="H1078">
        <v>9665.7749999999996</v>
      </c>
      <c r="I1078">
        <f>Orders[[#This Row],[Quantity]]*Orders[[#This Row],[Selling Price]]</f>
        <v>79600.5</v>
      </c>
      <c r="J1078">
        <f>Orders[[#This Row],[Quantity]]*Orders[[#This Row],[Cost Price]]</f>
        <v>67660.425000000003</v>
      </c>
      <c r="K1078">
        <f>Orders[[#This Row],[Revenue]]-Orders[[#This Row],[Expenses]]</f>
        <v>11940.074999999997</v>
      </c>
      <c r="L1078" t="s">
        <v>2198</v>
      </c>
      <c r="M1078" t="str">
        <f>_xlfn.XLOOKUP(Orders[[#This Row],[CustomerID]],Customers[CustomerID],Customers[City])</f>
        <v>Florida</v>
      </c>
      <c r="N1078" t="str">
        <f>_xlfn.XLOOKUP(Orders[[#This Row],[CustomerID]],Customers[CustomerID],Customers[CustomerName])</f>
        <v>Ibrahim Okonkwo</v>
      </c>
      <c r="O1078" t="str">
        <f>_xlfn.XLOOKUP(Orders[[#This Row],[CustomerID]],Customers[CustomerID],Customers[Gender])</f>
        <v>Male</v>
      </c>
      <c r="P1078">
        <f>_xlfn.XLOOKUP(Orders[[#This Row],[CustomerID]],Customers[CustomerID],Customers[CustomerAge])</f>
        <v>28</v>
      </c>
      <c r="Q1078" t="str">
        <f>IF(Orders[[#This Row],[Age]]&gt;=35,"older","young")</f>
        <v>young</v>
      </c>
      <c r="R1078" t="str">
        <f>_xlfn.XLOOKUP(Orders[[#This Row],[ProductID]],Products[ProductID],Products[ProductName])</f>
        <v>REFRIGERATOR</v>
      </c>
      <c r="S1078" t="str">
        <f>_xlfn.XLOOKUP(Orders[[#This Row],[ProductID]],Products!A:A,Products!C:C)</f>
        <v>Electronics</v>
      </c>
    </row>
    <row r="1079" spans="1:19" x14ac:dyDescent="0.2">
      <c r="A1079" s="4" t="s">
        <v>1268</v>
      </c>
      <c r="B1079" s="5">
        <v>46017</v>
      </c>
      <c r="C1079" s="15">
        <f>WEEKNUM(Orders[[#This Row],[OrderDate]])</f>
        <v>52</v>
      </c>
      <c r="D1079" s="4" t="s">
        <v>142</v>
      </c>
      <c r="E1079" s="4" t="s">
        <v>120</v>
      </c>
      <c r="F1079" s="4">
        <v>10</v>
      </c>
      <c r="G1079" s="4">
        <v>19524.400000000001</v>
      </c>
      <c r="H1079">
        <v>16595.740000000002</v>
      </c>
      <c r="I1079">
        <f>Orders[[#This Row],[Quantity]]*Orders[[#This Row],[Selling Price]]</f>
        <v>195244</v>
      </c>
      <c r="J1079">
        <f>Orders[[#This Row],[Quantity]]*Orders[[#This Row],[Cost Price]]</f>
        <v>165957.40000000002</v>
      </c>
      <c r="K1079">
        <f>Orders[[#This Row],[Revenue]]-Orders[[#This Row],[Expenses]]</f>
        <v>29286.599999999977</v>
      </c>
      <c r="L1079" t="s">
        <v>2218</v>
      </c>
      <c r="M1079" t="str">
        <f>_xlfn.XLOOKUP(Orders[[#This Row],[CustomerID]],Customers[CustomerID],Customers[City])</f>
        <v>Florida</v>
      </c>
      <c r="N1079" t="str">
        <f>_xlfn.XLOOKUP(Orders[[#This Row],[CustomerID]],Customers[CustomerID],Customers[CustomerName])</f>
        <v>Obi Adeyemi</v>
      </c>
      <c r="O1079" t="str">
        <f>_xlfn.XLOOKUP(Orders[[#This Row],[CustomerID]],Customers[CustomerID],Customers[Gender])</f>
        <v>Male</v>
      </c>
      <c r="P1079">
        <f>_xlfn.XLOOKUP(Orders[[#This Row],[CustomerID]],Customers[CustomerID],Customers[CustomerAge])</f>
        <v>31</v>
      </c>
      <c r="Q1079" t="str">
        <f>IF(Orders[[#This Row],[Age]]&gt;=35,"older","young")</f>
        <v>young</v>
      </c>
      <c r="R1079" t="str">
        <f>_xlfn.XLOOKUP(Orders[[#This Row],[ProductID]],Products[ProductID],Products[ProductName])</f>
        <v>CHESS</v>
      </c>
      <c r="S1079" t="str">
        <f>_xlfn.XLOOKUP(Orders[[#This Row],[ProductID]],Products!A:A,Products!C:C)</f>
        <v>Games</v>
      </c>
    </row>
    <row r="1080" spans="1:19" x14ac:dyDescent="0.2">
      <c r="A1080" s="4" t="s">
        <v>1269</v>
      </c>
      <c r="B1080" s="5">
        <v>45938</v>
      </c>
      <c r="C1080" s="15">
        <f>WEEKNUM(Orders[[#This Row],[OrderDate]])</f>
        <v>41</v>
      </c>
      <c r="D1080" s="4" t="s">
        <v>156</v>
      </c>
      <c r="E1080" s="4" t="s">
        <v>151</v>
      </c>
      <c r="F1080" s="4">
        <v>9</v>
      </c>
      <c r="G1080" s="4">
        <v>3328.8999999999996</v>
      </c>
      <c r="H1080">
        <v>2829.5649999999996</v>
      </c>
      <c r="I1080">
        <f>Orders[[#This Row],[Quantity]]*Orders[[#This Row],[Selling Price]]</f>
        <v>29960.1</v>
      </c>
      <c r="J1080">
        <f>Orders[[#This Row],[Quantity]]*Orders[[#This Row],[Cost Price]]</f>
        <v>25466.084999999995</v>
      </c>
      <c r="K1080">
        <f>Orders[[#This Row],[Revenue]]-Orders[[#This Row],[Expenses]]</f>
        <v>4494.0150000000031</v>
      </c>
      <c r="L1080" t="s">
        <v>2193</v>
      </c>
      <c r="M1080" t="str">
        <f>_xlfn.XLOOKUP(Orders[[#This Row],[CustomerID]],Customers[CustomerID],Customers[City])</f>
        <v>Florida</v>
      </c>
      <c r="N1080" t="str">
        <f>_xlfn.XLOOKUP(Orders[[#This Row],[CustomerID]],Customers[CustomerID],Customers[CustomerName])</f>
        <v>Obi Okonkwo</v>
      </c>
      <c r="O1080" t="str">
        <f>_xlfn.XLOOKUP(Orders[[#This Row],[CustomerID]],Customers[CustomerID],Customers[Gender])</f>
        <v>Male</v>
      </c>
      <c r="P1080">
        <f>_xlfn.XLOOKUP(Orders[[#This Row],[CustomerID]],Customers[CustomerID],Customers[CustomerAge])</f>
        <v>52</v>
      </c>
      <c r="Q1080" t="str">
        <f>IF(Orders[[#This Row],[Age]]&gt;=35,"older","young")</f>
        <v>older</v>
      </c>
      <c r="R1080" t="str">
        <f>_xlfn.XLOOKUP(Orders[[#This Row],[ProductID]],Products[ProductID],Products[ProductName])</f>
        <v>CHECKERS</v>
      </c>
      <c r="S1080" t="str">
        <f>_xlfn.XLOOKUP(Orders[[#This Row],[ProductID]],Products!A:A,Products!C:C)</f>
        <v>Games</v>
      </c>
    </row>
    <row r="1081" spans="1:19" x14ac:dyDescent="0.2">
      <c r="A1081" s="4" t="s">
        <v>1270</v>
      </c>
      <c r="B1081" s="5">
        <v>45995</v>
      </c>
      <c r="C1081" s="15">
        <f>WEEKNUM(Orders[[#This Row],[OrderDate]])</f>
        <v>49</v>
      </c>
      <c r="D1081" s="4" t="s">
        <v>216</v>
      </c>
      <c r="E1081" s="4" t="s">
        <v>31</v>
      </c>
      <c r="F1081" s="4">
        <v>9</v>
      </c>
      <c r="G1081" s="4">
        <v>4831.7</v>
      </c>
      <c r="H1081">
        <v>4106.9449999999997</v>
      </c>
      <c r="I1081">
        <f>Orders[[#This Row],[Quantity]]*Orders[[#This Row],[Selling Price]]</f>
        <v>43485.299999999996</v>
      </c>
      <c r="J1081">
        <f>Orders[[#This Row],[Quantity]]*Orders[[#This Row],[Cost Price]]</f>
        <v>36962.504999999997</v>
      </c>
      <c r="K1081">
        <f>Orders[[#This Row],[Revenue]]-Orders[[#This Row],[Expenses]]</f>
        <v>6522.7949999999983</v>
      </c>
      <c r="L1081" t="s">
        <v>2197</v>
      </c>
      <c r="M1081" t="str">
        <f>_xlfn.XLOOKUP(Orders[[#This Row],[CustomerID]],Customers[CustomerID],Customers[City])</f>
        <v>California</v>
      </c>
      <c r="N1081" t="str">
        <f>_xlfn.XLOOKUP(Orders[[#This Row],[CustomerID]],Customers[CustomerID],Customers[CustomerName])</f>
        <v>Ngozi Obi</v>
      </c>
      <c r="O1081" t="str">
        <f>_xlfn.XLOOKUP(Orders[[#This Row],[CustomerID]],Customers[CustomerID],Customers[Gender])</f>
        <v>Female</v>
      </c>
      <c r="P1081">
        <f>_xlfn.XLOOKUP(Orders[[#This Row],[CustomerID]],Customers[CustomerID],Customers[CustomerAge])</f>
        <v>54</v>
      </c>
      <c r="Q1081" t="str">
        <f>IF(Orders[[#This Row],[Age]]&gt;=35,"older","young")</f>
        <v>older</v>
      </c>
      <c r="R1081" t="str">
        <f>_xlfn.XLOOKUP(Orders[[#This Row],[ProductID]],Products[ProductID],Products[ProductName])</f>
        <v>KIDS GAMES</v>
      </c>
      <c r="S1081" t="str">
        <f>_xlfn.XLOOKUP(Orders[[#This Row],[ProductID]],Products!A:A,Products!C:C)</f>
        <v>Games</v>
      </c>
    </row>
    <row r="1082" spans="1:19" x14ac:dyDescent="0.2">
      <c r="A1082" s="4" t="s">
        <v>1271</v>
      </c>
      <c r="B1082" s="5">
        <v>45966</v>
      </c>
      <c r="C1082" s="15">
        <f>WEEKNUM(Orders[[#This Row],[OrderDate]])</f>
        <v>45</v>
      </c>
      <c r="D1082" s="4" t="s">
        <v>546</v>
      </c>
      <c r="E1082" s="4" t="s">
        <v>12</v>
      </c>
      <c r="F1082" s="4">
        <v>6</v>
      </c>
      <c r="G1082" s="4">
        <v>15013.599999999999</v>
      </c>
      <c r="H1082">
        <v>12761.56</v>
      </c>
      <c r="I1082">
        <f>Orders[[#This Row],[Quantity]]*Orders[[#This Row],[Selling Price]]</f>
        <v>90081.599999999991</v>
      </c>
      <c r="J1082">
        <f>Orders[[#This Row],[Quantity]]*Orders[[#This Row],[Cost Price]]</f>
        <v>76569.36</v>
      </c>
      <c r="K1082">
        <f>Orders[[#This Row],[Revenue]]-Orders[[#This Row],[Expenses]]</f>
        <v>13512.239999999991</v>
      </c>
      <c r="L1082" t="s">
        <v>2210</v>
      </c>
      <c r="M1082" t="str">
        <f>_xlfn.XLOOKUP(Orders[[#This Row],[CustomerID]],Customers[CustomerID],Customers[City])</f>
        <v>Texas</v>
      </c>
      <c r="N1082" t="str">
        <f>_xlfn.XLOOKUP(Orders[[#This Row],[CustomerID]],Customers[CustomerID],Customers[CustomerName])</f>
        <v>Bisi Eze</v>
      </c>
      <c r="O1082" t="str">
        <f>_xlfn.XLOOKUP(Orders[[#This Row],[CustomerID]],Customers[CustomerID],Customers[Gender])</f>
        <v>Female</v>
      </c>
      <c r="P1082">
        <f>_xlfn.XLOOKUP(Orders[[#This Row],[CustomerID]],Customers[CustomerID],Customers[CustomerAge])</f>
        <v>32</v>
      </c>
      <c r="Q1082" t="str">
        <f>IF(Orders[[#This Row],[Age]]&gt;=35,"older","young")</f>
        <v>young</v>
      </c>
      <c r="R1082" t="str">
        <f>_xlfn.XLOOKUP(Orders[[#This Row],[ProductID]],Products[ProductID],Products[ProductName])</f>
        <v>BOUBOU</v>
      </c>
      <c r="S1082" t="str">
        <f>_xlfn.XLOOKUP(Orders[[#This Row],[ProductID]],Products!A:A,Products!C:C)</f>
        <v>Clothing</v>
      </c>
    </row>
    <row r="1083" spans="1:19" x14ac:dyDescent="0.2">
      <c r="A1083" s="4" t="s">
        <v>1272</v>
      </c>
      <c r="B1083" s="5">
        <v>46002</v>
      </c>
      <c r="C1083" s="15">
        <f>WEEKNUM(Orders[[#This Row],[OrderDate]])</f>
        <v>50</v>
      </c>
      <c r="D1083" s="4" t="s">
        <v>55</v>
      </c>
      <c r="E1083" s="4" t="s">
        <v>31</v>
      </c>
      <c r="F1083" s="4">
        <v>1</v>
      </c>
      <c r="G1083" s="4">
        <v>18262.099999999999</v>
      </c>
      <c r="H1083">
        <v>15522.785</v>
      </c>
      <c r="I1083">
        <f>Orders[[#This Row],[Quantity]]*Orders[[#This Row],[Selling Price]]</f>
        <v>18262.099999999999</v>
      </c>
      <c r="J1083">
        <f>Orders[[#This Row],[Quantity]]*Orders[[#This Row],[Cost Price]]</f>
        <v>15522.785</v>
      </c>
      <c r="K1083">
        <f>Orders[[#This Row],[Revenue]]-Orders[[#This Row],[Expenses]]</f>
        <v>2739.3149999999987</v>
      </c>
      <c r="L1083" t="s">
        <v>2211</v>
      </c>
      <c r="M1083" t="str">
        <f>_xlfn.XLOOKUP(Orders[[#This Row],[CustomerID]],Customers[CustomerID],Customers[City])</f>
        <v>California</v>
      </c>
      <c r="N1083" t="str">
        <f>_xlfn.XLOOKUP(Orders[[#This Row],[CustomerID]],Customers[CustomerID],Customers[CustomerName])</f>
        <v>Adanma Ojo</v>
      </c>
      <c r="O1083" t="str">
        <f>_xlfn.XLOOKUP(Orders[[#This Row],[CustomerID]],Customers[CustomerID],Customers[Gender])</f>
        <v>Female</v>
      </c>
      <c r="P1083">
        <f>_xlfn.XLOOKUP(Orders[[#This Row],[CustomerID]],Customers[CustomerID],Customers[CustomerAge])</f>
        <v>48</v>
      </c>
      <c r="Q1083" t="str">
        <f>IF(Orders[[#This Row],[Age]]&gt;=35,"older","young")</f>
        <v>older</v>
      </c>
      <c r="R1083" t="str">
        <f>_xlfn.XLOOKUP(Orders[[#This Row],[ProductID]],Products[ProductID],Products[ProductName])</f>
        <v>KIDS GAMES</v>
      </c>
      <c r="S1083" t="str">
        <f>_xlfn.XLOOKUP(Orders[[#This Row],[ProductID]],Products!A:A,Products!C:C)</f>
        <v>Games</v>
      </c>
    </row>
    <row r="1084" spans="1:19" x14ac:dyDescent="0.2">
      <c r="A1084" s="4" t="s">
        <v>1273</v>
      </c>
      <c r="B1084" s="5">
        <v>45953</v>
      </c>
      <c r="C1084" s="15">
        <f>WEEKNUM(Orders[[#This Row],[OrderDate]])</f>
        <v>43</v>
      </c>
      <c r="D1084" s="4" t="s">
        <v>218</v>
      </c>
      <c r="E1084" s="4" t="s">
        <v>12</v>
      </c>
      <c r="F1084" s="4">
        <v>3</v>
      </c>
      <c r="G1084" s="4">
        <v>1305.0999999999999</v>
      </c>
      <c r="H1084">
        <v>1109.335</v>
      </c>
      <c r="I1084">
        <f>Orders[[#This Row],[Quantity]]*Orders[[#This Row],[Selling Price]]</f>
        <v>3915.2999999999997</v>
      </c>
      <c r="J1084">
        <f>Orders[[#This Row],[Quantity]]*Orders[[#This Row],[Cost Price]]</f>
        <v>3328.0050000000001</v>
      </c>
      <c r="K1084">
        <f>Orders[[#This Row],[Revenue]]-Orders[[#This Row],[Expenses]]</f>
        <v>587.29499999999962</v>
      </c>
      <c r="L1084" t="s">
        <v>2200</v>
      </c>
      <c r="M1084" t="str">
        <f>_xlfn.XLOOKUP(Orders[[#This Row],[CustomerID]],Customers[CustomerID],Customers[City])</f>
        <v>Florida</v>
      </c>
      <c r="N1084" t="str">
        <f>_xlfn.XLOOKUP(Orders[[#This Row],[CustomerID]],Customers[CustomerID],Customers[CustomerName])</f>
        <v>Temi Danladi</v>
      </c>
      <c r="O1084" t="str">
        <f>_xlfn.XLOOKUP(Orders[[#This Row],[CustomerID]],Customers[CustomerID],Customers[Gender])</f>
        <v>Female</v>
      </c>
      <c r="P1084">
        <f>_xlfn.XLOOKUP(Orders[[#This Row],[CustomerID]],Customers[CustomerID],Customers[CustomerAge])</f>
        <v>48</v>
      </c>
      <c r="Q1084" t="str">
        <f>IF(Orders[[#This Row],[Age]]&gt;=35,"older","young")</f>
        <v>older</v>
      </c>
      <c r="R1084" t="str">
        <f>_xlfn.XLOOKUP(Orders[[#This Row],[ProductID]],Products[ProductID],Products[ProductName])</f>
        <v>BOUBOU</v>
      </c>
      <c r="S1084" t="str">
        <f>_xlfn.XLOOKUP(Orders[[#This Row],[ProductID]],Products!A:A,Products!C:C)</f>
        <v>Clothing</v>
      </c>
    </row>
    <row r="1085" spans="1:19" x14ac:dyDescent="0.2">
      <c r="A1085" s="4" t="s">
        <v>1274</v>
      </c>
      <c r="B1085" s="5">
        <v>45962</v>
      </c>
      <c r="C1085" s="15">
        <f>WEEKNUM(Orders[[#This Row],[OrderDate]])</f>
        <v>44</v>
      </c>
      <c r="D1085" s="4" t="s">
        <v>214</v>
      </c>
      <c r="E1085" s="4" t="s">
        <v>46</v>
      </c>
      <c r="F1085" s="4">
        <v>5</v>
      </c>
      <c r="G1085" s="4">
        <v>11724</v>
      </c>
      <c r="H1085">
        <v>9965.4</v>
      </c>
      <c r="I1085">
        <f>Orders[[#This Row],[Quantity]]*Orders[[#This Row],[Selling Price]]</f>
        <v>58620</v>
      </c>
      <c r="J1085">
        <f>Orders[[#This Row],[Quantity]]*Orders[[#This Row],[Cost Price]]</f>
        <v>49827</v>
      </c>
      <c r="K1085">
        <f>Orders[[#This Row],[Revenue]]-Orders[[#This Row],[Expenses]]</f>
        <v>8793</v>
      </c>
      <c r="L1085" t="s">
        <v>2204</v>
      </c>
      <c r="M1085" t="str">
        <f>_xlfn.XLOOKUP(Orders[[#This Row],[CustomerID]],Customers[CustomerID],Customers[City])</f>
        <v>California</v>
      </c>
      <c r="N1085" t="str">
        <f>_xlfn.XLOOKUP(Orders[[#This Row],[CustomerID]],Customers[CustomerID],Customers[CustomerName])</f>
        <v>Adanma Okonkwo</v>
      </c>
      <c r="O1085" t="str">
        <f>_xlfn.XLOOKUP(Orders[[#This Row],[CustomerID]],Customers[CustomerID],Customers[Gender])</f>
        <v>Female</v>
      </c>
      <c r="P1085">
        <f>_xlfn.XLOOKUP(Orders[[#This Row],[CustomerID]],Customers[CustomerID],Customers[CustomerAge])</f>
        <v>20</v>
      </c>
      <c r="Q1085" t="str">
        <f>IF(Orders[[#This Row],[Age]]&gt;=35,"older","young")</f>
        <v>young</v>
      </c>
      <c r="R1085" t="str">
        <f>_xlfn.XLOOKUP(Orders[[#This Row],[ProductID]],Products[ProductID],Products[ProductName])</f>
        <v>TURTLE NECK</v>
      </c>
      <c r="S1085" t="str">
        <f>_xlfn.XLOOKUP(Orders[[#This Row],[ProductID]],Products!A:A,Products!C:C)</f>
        <v>Clothing</v>
      </c>
    </row>
    <row r="1086" spans="1:19" x14ac:dyDescent="0.2">
      <c r="A1086" s="4" t="s">
        <v>1275</v>
      </c>
      <c r="B1086" s="5">
        <v>45943</v>
      </c>
      <c r="C1086" s="15">
        <f>WEEKNUM(Orders[[#This Row],[OrderDate]])</f>
        <v>42</v>
      </c>
      <c r="D1086" s="4" t="s">
        <v>940</v>
      </c>
      <c r="E1086" s="4" t="s">
        <v>23</v>
      </c>
      <c r="F1086" s="4">
        <v>1</v>
      </c>
      <c r="G1086" s="4">
        <v>16842.2</v>
      </c>
      <c r="H1086">
        <v>14315.87</v>
      </c>
      <c r="I1086">
        <f>Orders[[#This Row],[Quantity]]*Orders[[#This Row],[Selling Price]]</f>
        <v>16842.2</v>
      </c>
      <c r="J1086">
        <f>Orders[[#This Row],[Quantity]]*Orders[[#This Row],[Cost Price]]</f>
        <v>14315.87</v>
      </c>
      <c r="K1086">
        <f>Orders[[#This Row],[Revenue]]-Orders[[#This Row],[Expenses]]</f>
        <v>2526.33</v>
      </c>
      <c r="L1086" t="s">
        <v>2200</v>
      </c>
      <c r="M1086" t="str">
        <f>_xlfn.XLOOKUP(Orders[[#This Row],[CustomerID]],Customers[CustomerID],Customers[City])</f>
        <v>Texas</v>
      </c>
      <c r="N1086" t="str">
        <f>_xlfn.XLOOKUP(Orders[[#This Row],[CustomerID]],Customers[CustomerID],Customers[CustomerName])</f>
        <v>Okon Ojo</v>
      </c>
      <c r="O1086" t="str">
        <f>_xlfn.XLOOKUP(Orders[[#This Row],[CustomerID]],Customers[CustomerID],Customers[Gender])</f>
        <v>Male</v>
      </c>
      <c r="P1086">
        <f>_xlfn.XLOOKUP(Orders[[#This Row],[CustomerID]],Customers[CustomerID],Customers[CustomerAge])</f>
        <v>25</v>
      </c>
      <c r="Q1086" t="str">
        <f>IF(Orders[[#This Row],[Age]]&gt;=35,"older","young")</f>
        <v>young</v>
      </c>
      <c r="R1086" t="str">
        <f>_xlfn.XLOOKUP(Orders[[#This Row],[ProductID]],Products[ProductID],Products[ProductName])</f>
        <v>GYM GLOVES</v>
      </c>
      <c r="S1086" t="str">
        <f>_xlfn.XLOOKUP(Orders[[#This Row],[ProductID]],Products!A:A,Products!C:C)</f>
        <v>Gym</v>
      </c>
    </row>
    <row r="1087" spans="1:19" x14ac:dyDescent="0.2">
      <c r="A1087" s="4" t="s">
        <v>1276</v>
      </c>
      <c r="B1087" s="5">
        <v>45994</v>
      </c>
      <c r="C1087" s="15">
        <f>WEEKNUM(Orders[[#This Row],[OrderDate]])</f>
        <v>49</v>
      </c>
      <c r="D1087" s="4" t="s">
        <v>239</v>
      </c>
      <c r="E1087" s="4" t="s">
        <v>20</v>
      </c>
      <c r="F1087" s="4">
        <v>1</v>
      </c>
      <c r="G1087" s="4">
        <v>10053.700000000001</v>
      </c>
      <c r="H1087">
        <v>8545.6450000000004</v>
      </c>
      <c r="I1087">
        <f>Orders[[#This Row],[Quantity]]*Orders[[#This Row],[Selling Price]]</f>
        <v>10053.700000000001</v>
      </c>
      <c r="J1087">
        <f>Orders[[#This Row],[Quantity]]*Orders[[#This Row],[Cost Price]]</f>
        <v>8545.6450000000004</v>
      </c>
      <c r="K1087">
        <f>Orders[[#This Row],[Revenue]]-Orders[[#This Row],[Expenses]]</f>
        <v>1508.0550000000003</v>
      </c>
      <c r="L1087" t="s">
        <v>2215</v>
      </c>
      <c r="M1087" t="str">
        <f>_xlfn.XLOOKUP(Orders[[#This Row],[CustomerID]],Customers[CustomerID],Customers[City])</f>
        <v>Florida</v>
      </c>
      <c r="N1087" t="str">
        <f>_xlfn.XLOOKUP(Orders[[#This Row],[CustomerID]],Customers[CustomerID],Customers[CustomerName])</f>
        <v>Emeka Danladi</v>
      </c>
      <c r="O1087" t="str">
        <f>_xlfn.XLOOKUP(Orders[[#This Row],[CustomerID]],Customers[CustomerID],Customers[Gender])</f>
        <v>Male</v>
      </c>
      <c r="P1087">
        <f>_xlfn.XLOOKUP(Orders[[#This Row],[CustomerID]],Customers[CustomerID],Customers[CustomerAge])</f>
        <v>23</v>
      </c>
      <c r="Q1087" t="str">
        <f>IF(Orders[[#This Row],[Age]]&gt;=35,"older","young")</f>
        <v>young</v>
      </c>
      <c r="R1087" t="str">
        <f>_xlfn.XLOOKUP(Orders[[#This Row],[ProductID]],Products[ProductID],Products[ProductName])</f>
        <v>GYM BAG</v>
      </c>
      <c r="S1087" t="str">
        <f>_xlfn.XLOOKUP(Orders[[#This Row],[ProductID]],Products!A:A,Products!C:C)</f>
        <v>Gym</v>
      </c>
    </row>
    <row r="1088" spans="1:19" x14ac:dyDescent="0.2">
      <c r="A1088" s="4" t="s">
        <v>1277</v>
      </c>
      <c r="B1088" s="5">
        <v>45992</v>
      </c>
      <c r="C1088" s="15">
        <f>WEEKNUM(Orders[[#This Row],[OrderDate]])</f>
        <v>49</v>
      </c>
      <c r="D1088" s="4" t="s">
        <v>68</v>
      </c>
      <c r="E1088" s="4" t="s">
        <v>81</v>
      </c>
      <c r="F1088" s="4">
        <v>4</v>
      </c>
      <c r="G1088" s="4">
        <v>16110</v>
      </c>
      <c r="H1088">
        <v>13693.5</v>
      </c>
      <c r="I1088">
        <f>Orders[[#This Row],[Quantity]]*Orders[[#This Row],[Selling Price]]</f>
        <v>64440</v>
      </c>
      <c r="J1088">
        <f>Orders[[#This Row],[Quantity]]*Orders[[#This Row],[Cost Price]]</f>
        <v>54774</v>
      </c>
      <c r="K1088">
        <f>Orders[[#This Row],[Revenue]]-Orders[[#This Row],[Expenses]]</f>
        <v>9666</v>
      </c>
      <c r="L1088" t="s">
        <v>2192</v>
      </c>
      <c r="M1088" t="str">
        <f>_xlfn.XLOOKUP(Orders[[#This Row],[CustomerID]],Customers[CustomerID],Customers[City])</f>
        <v>Texas</v>
      </c>
      <c r="N1088" t="str">
        <f>_xlfn.XLOOKUP(Orders[[#This Row],[CustomerID]],Customers[CustomerID],Customers[CustomerName])</f>
        <v>Abiola Balogun</v>
      </c>
      <c r="O1088" t="str">
        <f>_xlfn.XLOOKUP(Orders[[#This Row],[CustomerID]],Customers[CustomerID],Customers[Gender])</f>
        <v>Male</v>
      </c>
      <c r="P1088">
        <f>_xlfn.XLOOKUP(Orders[[#This Row],[CustomerID]],Customers[CustomerID],Customers[CustomerAge])</f>
        <v>29</v>
      </c>
      <c r="Q1088" t="str">
        <f>IF(Orders[[#This Row],[Age]]&gt;=35,"older","young")</f>
        <v>young</v>
      </c>
      <c r="R1088" t="str">
        <f>_xlfn.XLOOKUP(Orders[[#This Row],[ProductID]],Products[ProductID],Products[ProductName])</f>
        <v>TROUSERS</v>
      </c>
      <c r="S1088" t="str">
        <f>_xlfn.XLOOKUP(Orders[[#This Row],[ProductID]],Products!A:A,Products!C:C)</f>
        <v>Clothing</v>
      </c>
    </row>
    <row r="1089" spans="1:19" x14ac:dyDescent="0.2">
      <c r="A1089" s="4" t="s">
        <v>1278</v>
      </c>
      <c r="B1089" s="5">
        <v>45936</v>
      </c>
      <c r="C1089" s="15">
        <f>WEEKNUM(Orders[[#This Row],[OrderDate]])</f>
        <v>41</v>
      </c>
      <c r="D1089" s="4" t="s">
        <v>552</v>
      </c>
      <c r="E1089" s="4" t="s">
        <v>20</v>
      </c>
      <c r="F1089" s="4">
        <v>4</v>
      </c>
      <c r="G1089" s="4">
        <v>10466.300000000001</v>
      </c>
      <c r="H1089">
        <v>8896.3550000000014</v>
      </c>
      <c r="I1089">
        <f>Orders[[#This Row],[Quantity]]*Orders[[#This Row],[Selling Price]]</f>
        <v>41865.200000000004</v>
      </c>
      <c r="J1089">
        <f>Orders[[#This Row],[Quantity]]*Orders[[#This Row],[Cost Price]]</f>
        <v>35585.420000000006</v>
      </c>
      <c r="K1089">
        <f>Orders[[#This Row],[Revenue]]-Orders[[#This Row],[Expenses]]</f>
        <v>6279.7799999999988</v>
      </c>
      <c r="L1089" t="s">
        <v>2199</v>
      </c>
      <c r="M1089" t="str">
        <f>_xlfn.XLOOKUP(Orders[[#This Row],[CustomerID]],Customers[CustomerID],Customers[City])</f>
        <v>Georgia</v>
      </c>
      <c r="N1089" t="str">
        <f>_xlfn.XLOOKUP(Orders[[#This Row],[CustomerID]],Customers[CustomerID],Customers[CustomerName])</f>
        <v>Chioma Eze</v>
      </c>
      <c r="O1089" t="str">
        <f>_xlfn.XLOOKUP(Orders[[#This Row],[CustomerID]],Customers[CustomerID],Customers[Gender])</f>
        <v>Female</v>
      </c>
      <c r="P1089">
        <f>_xlfn.XLOOKUP(Orders[[#This Row],[CustomerID]],Customers[CustomerID],Customers[CustomerAge])</f>
        <v>40</v>
      </c>
      <c r="Q1089" t="str">
        <f>IF(Orders[[#This Row],[Age]]&gt;=35,"older","young")</f>
        <v>older</v>
      </c>
      <c r="R1089" t="str">
        <f>_xlfn.XLOOKUP(Orders[[#This Row],[ProductID]],Products[ProductID],Products[ProductName])</f>
        <v>GYM BAG</v>
      </c>
      <c r="S1089" t="str">
        <f>_xlfn.XLOOKUP(Orders[[#This Row],[ProductID]],Products!A:A,Products!C:C)</f>
        <v>Gym</v>
      </c>
    </row>
    <row r="1090" spans="1:19" x14ac:dyDescent="0.2">
      <c r="A1090" s="4" t="s">
        <v>1279</v>
      </c>
      <c r="B1090" s="5">
        <v>46004</v>
      </c>
      <c r="C1090" s="15">
        <f>WEEKNUM(Orders[[#This Row],[OrderDate]])</f>
        <v>50</v>
      </c>
      <c r="D1090" s="4" t="s">
        <v>346</v>
      </c>
      <c r="E1090" s="4" t="s">
        <v>120</v>
      </c>
      <c r="F1090" s="4">
        <v>3</v>
      </c>
      <c r="G1090" s="4">
        <v>1411.3999999999999</v>
      </c>
      <c r="H1090">
        <v>1199.6899999999998</v>
      </c>
      <c r="I1090">
        <f>Orders[[#This Row],[Quantity]]*Orders[[#This Row],[Selling Price]]</f>
        <v>4234.2</v>
      </c>
      <c r="J1090">
        <f>Orders[[#This Row],[Quantity]]*Orders[[#This Row],[Cost Price]]</f>
        <v>3599.0699999999997</v>
      </c>
      <c r="K1090">
        <f>Orders[[#This Row],[Revenue]]-Orders[[#This Row],[Expenses]]</f>
        <v>635.13000000000011</v>
      </c>
      <c r="L1090" t="s">
        <v>2204</v>
      </c>
      <c r="M1090" t="str">
        <f>_xlfn.XLOOKUP(Orders[[#This Row],[CustomerID]],Customers[CustomerID],Customers[City])</f>
        <v>California</v>
      </c>
      <c r="N1090" t="str">
        <f>_xlfn.XLOOKUP(Orders[[#This Row],[CustomerID]],Customers[CustomerID],Customers[CustomerName])</f>
        <v>Ngozi Danladi</v>
      </c>
      <c r="O1090" t="str">
        <f>_xlfn.XLOOKUP(Orders[[#This Row],[CustomerID]],Customers[CustomerID],Customers[Gender])</f>
        <v>Female</v>
      </c>
      <c r="P1090">
        <f>_xlfn.XLOOKUP(Orders[[#This Row],[CustomerID]],Customers[CustomerID],Customers[CustomerAge])</f>
        <v>30</v>
      </c>
      <c r="Q1090" t="str">
        <f>IF(Orders[[#This Row],[Age]]&gt;=35,"older","young")</f>
        <v>young</v>
      </c>
      <c r="R1090" t="str">
        <f>_xlfn.XLOOKUP(Orders[[#This Row],[ProductID]],Products[ProductID],Products[ProductName])</f>
        <v>CHESS</v>
      </c>
      <c r="S1090" t="str">
        <f>_xlfn.XLOOKUP(Orders[[#This Row],[ProductID]],Products!A:A,Products!C:C)</f>
        <v>Games</v>
      </c>
    </row>
    <row r="1091" spans="1:19" x14ac:dyDescent="0.2">
      <c r="A1091" s="4" t="s">
        <v>1280</v>
      </c>
      <c r="B1091" s="5">
        <v>45962</v>
      </c>
      <c r="C1091" s="15">
        <f>WEEKNUM(Orders[[#This Row],[OrderDate]])</f>
        <v>44</v>
      </c>
      <c r="D1091" s="4" t="s">
        <v>574</v>
      </c>
      <c r="E1091" s="4" t="s">
        <v>34</v>
      </c>
      <c r="F1091" s="4">
        <v>8</v>
      </c>
      <c r="G1091" s="4">
        <v>14320.599999999999</v>
      </c>
      <c r="H1091">
        <v>12172.509999999998</v>
      </c>
      <c r="I1091">
        <f>Orders[[#This Row],[Quantity]]*Orders[[#This Row],[Selling Price]]</f>
        <v>114564.79999999999</v>
      </c>
      <c r="J1091">
        <f>Orders[[#This Row],[Quantity]]*Orders[[#This Row],[Cost Price]]</f>
        <v>97380.079999999987</v>
      </c>
      <c r="K1091">
        <f>Orders[[#This Row],[Revenue]]-Orders[[#This Row],[Expenses]]</f>
        <v>17184.72</v>
      </c>
      <c r="L1091" t="s">
        <v>2206</v>
      </c>
      <c r="M1091" t="str">
        <f>_xlfn.XLOOKUP(Orders[[#This Row],[CustomerID]],Customers[CustomerID],Customers[City])</f>
        <v>Texas</v>
      </c>
      <c r="N1091" t="str">
        <f>_xlfn.XLOOKUP(Orders[[#This Row],[CustomerID]],Customers[CustomerID],Customers[CustomerName])</f>
        <v>Adanma Obi</v>
      </c>
      <c r="O1091" t="str">
        <f>_xlfn.XLOOKUP(Orders[[#This Row],[CustomerID]],Customers[CustomerID],Customers[Gender])</f>
        <v>Female</v>
      </c>
      <c r="P1091">
        <f>_xlfn.XLOOKUP(Orders[[#This Row],[CustomerID]],Customers[CustomerID],Customers[CustomerAge])</f>
        <v>23</v>
      </c>
      <c r="Q1091" t="str">
        <f>IF(Orders[[#This Row],[Age]]&gt;=35,"older","young")</f>
        <v>young</v>
      </c>
      <c r="R1091" t="str">
        <f>_xlfn.XLOOKUP(Orders[[#This Row],[ProductID]],Products[ProductID],Products[ProductName])</f>
        <v>GOLD BRACELETS</v>
      </c>
      <c r="S1091" t="str">
        <f>_xlfn.XLOOKUP(Orders[[#This Row],[ProductID]],Products!A:A,Products!C:C)</f>
        <v>Accessories</v>
      </c>
    </row>
    <row r="1092" spans="1:19" x14ac:dyDescent="0.2">
      <c r="A1092" s="4" t="s">
        <v>1281</v>
      </c>
      <c r="B1092" s="5">
        <v>45967</v>
      </c>
      <c r="C1092" s="15">
        <f>WEEKNUM(Orders[[#This Row],[OrderDate]])</f>
        <v>45</v>
      </c>
      <c r="D1092" s="4" t="s">
        <v>649</v>
      </c>
      <c r="E1092" s="4" t="s">
        <v>353</v>
      </c>
      <c r="F1092" s="4">
        <v>10</v>
      </c>
      <c r="G1092" s="4">
        <v>6162.5</v>
      </c>
      <c r="H1092">
        <v>5238.125</v>
      </c>
      <c r="I1092">
        <f>Orders[[#This Row],[Quantity]]*Orders[[#This Row],[Selling Price]]</f>
        <v>61625</v>
      </c>
      <c r="J1092">
        <f>Orders[[#This Row],[Quantity]]*Orders[[#This Row],[Cost Price]]</f>
        <v>52381.25</v>
      </c>
      <c r="K1092">
        <f>Orders[[#This Row],[Revenue]]-Orders[[#This Row],[Expenses]]</f>
        <v>9243.75</v>
      </c>
      <c r="L1092" t="s">
        <v>2195</v>
      </c>
      <c r="M1092" t="str">
        <f>_xlfn.XLOOKUP(Orders[[#This Row],[CustomerID]],Customers[CustomerID],Customers[City])</f>
        <v>Washington</v>
      </c>
      <c r="N1092" t="str">
        <f>_xlfn.XLOOKUP(Orders[[#This Row],[CustomerID]],Customers[CustomerID],Customers[CustomerName])</f>
        <v>Bisi Abubakar</v>
      </c>
      <c r="O1092" t="str">
        <f>_xlfn.XLOOKUP(Orders[[#This Row],[CustomerID]],Customers[CustomerID],Customers[Gender])</f>
        <v>Female</v>
      </c>
      <c r="P1092">
        <f>_xlfn.XLOOKUP(Orders[[#This Row],[CustomerID]],Customers[CustomerID],Customers[CustomerAge])</f>
        <v>35</v>
      </c>
      <c r="Q1092" t="str">
        <f>IF(Orders[[#This Row],[Age]]&gt;=35,"older","young")</f>
        <v>older</v>
      </c>
      <c r="R1092" t="str">
        <f>_xlfn.XLOOKUP(Orders[[#This Row],[ProductID]],Products[ProductID],Products[ProductName])</f>
        <v>SILVER EARRINGS AND NECKLACES</v>
      </c>
      <c r="S1092" t="str">
        <f>_xlfn.XLOOKUP(Orders[[#This Row],[ProductID]],Products!A:A,Products!C:C)</f>
        <v>Accessories</v>
      </c>
    </row>
    <row r="1093" spans="1:19" x14ac:dyDescent="0.2">
      <c r="A1093" s="4" t="s">
        <v>1282</v>
      </c>
      <c r="B1093" s="5">
        <v>46013</v>
      </c>
      <c r="C1093" s="15">
        <f>WEEKNUM(Orders[[#This Row],[OrderDate]])</f>
        <v>52</v>
      </c>
      <c r="D1093" s="4" t="s">
        <v>264</v>
      </c>
      <c r="E1093" s="4" t="s">
        <v>37</v>
      </c>
      <c r="F1093" s="4">
        <v>2</v>
      </c>
      <c r="G1093" s="4">
        <v>12251.800000000001</v>
      </c>
      <c r="H1093">
        <v>10414.030000000001</v>
      </c>
      <c r="I1093">
        <f>Orders[[#This Row],[Quantity]]*Orders[[#This Row],[Selling Price]]</f>
        <v>24503.600000000002</v>
      </c>
      <c r="J1093">
        <f>Orders[[#This Row],[Quantity]]*Orders[[#This Row],[Cost Price]]</f>
        <v>20828.060000000001</v>
      </c>
      <c r="K1093">
        <f>Orders[[#This Row],[Revenue]]-Orders[[#This Row],[Expenses]]</f>
        <v>3675.5400000000009</v>
      </c>
      <c r="L1093" t="s">
        <v>2212</v>
      </c>
      <c r="M1093" t="str">
        <f>_xlfn.XLOOKUP(Orders[[#This Row],[CustomerID]],Customers[CustomerID],Customers[City])</f>
        <v>Georgia</v>
      </c>
      <c r="N1093" t="str">
        <f>_xlfn.XLOOKUP(Orders[[#This Row],[CustomerID]],Customers[CustomerID],Customers[CustomerName])</f>
        <v>Ronke Adeyemi</v>
      </c>
      <c r="O1093" t="str">
        <f>_xlfn.XLOOKUP(Orders[[#This Row],[CustomerID]],Customers[CustomerID],Customers[Gender])</f>
        <v>Female</v>
      </c>
      <c r="P1093">
        <f>_xlfn.XLOOKUP(Orders[[#This Row],[CustomerID]],Customers[CustomerID],Customers[CustomerAge])</f>
        <v>19</v>
      </c>
      <c r="Q1093" t="str">
        <f>IF(Orders[[#This Row],[Age]]&gt;=35,"older","young")</f>
        <v>young</v>
      </c>
      <c r="R1093" t="str">
        <f>_xlfn.XLOOKUP(Orders[[#This Row],[ProductID]],Products[ProductID],Products[ProductName])</f>
        <v>IRON</v>
      </c>
      <c r="S1093" t="str">
        <f>_xlfn.XLOOKUP(Orders[[#This Row],[ProductID]],Products!A:A,Products!C:C)</f>
        <v>Electronics</v>
      </c>
    </row>
    <row r="1094" spans="1:19" x14ac:dyDescent="0.2">
      <c r="A1094" s="4" t="s">
        <v>1283</v>
      </c>
      <c r="B1094" s="5">
        <v>45943</v>
      </c>
      <c r="C1094" s="15">
        <f>WEEKNUM(Orders[[#This Row],[OrderDate]])</f>
        <v>42</v>
      </c>
      <c r="D1094" s="4" t="s">
        <v>212</v>
      </c>
      <c r="E1094" s="4" t="s">
        <v>46</v>
      </c>
      <c r="F1094" s="4">
        <v>5</v>
      </c>
      <c r="G1094" s="4">
        <v>8635.9</v>
      </c>
      <c r="H1094">
        <v>7340.5149999999994</v>
      </c>
      <c r="I1094">
        <f>Orders[[#This Row],[Quantity]]*Orders[[#This Row],[Selling Price]]</f>
        <v>43179.5</v>
      </c>
      <c r="J1094">
        <f>Orders[[#This Row],[Quantity]]*Orders[[#This Row],[Cost Price]]</f>
        <v>36702.574999999997</v>
      </c>
      <c r="K1094">
        <f>Orders[[#This Row],[Revenue]]-Orders[[#This Row],[Expenses]]</f>
        <v>6476.9250000000029</v>
      </c>
      <c r="L1094" t="s">
        <v>2203</v>
      </c>
      <c r="M1094" t="str">
        <f>_xlfn.XLOOKUP(Orders[[#This Row],[CustomerID]],Customers[CustomerID],Customers[City])</f>
        <v>Illinois</v>
      </c>
      <c r="N1094" t="str">
        <f>_xlfn.XLOOKUP(Orders[[#This Row],[CustomerID]],Customers[CustomerID],Customers[CustomerName])</f>
        <v>Ngozi Ojo</v>
      </c>
      <c r="O1094" t="str">
        <f>_xlfn.XLOOKUP(Orders[[#This Row],[CustomerID]],Customers[CustomerID],Customers[Gender])</f>
        <v>Female</v>
      </c>
      <c r="P1094">
        <f>_xlfn.XLOOKUP(Orders[[#This Row],[CustomerID]],Customers[CustomerID],Customers[CustomerAge])</f>
        <v>53</v>
      </c>
      <c r="Q1094" t="str">
        <f>IF(Orders[[#This Row],[Age]]&gt;=35,"older","young")</f>
        <v>older</v>
      </c>
      <c r="R1094" t="str">
        <f>_xlfn.XLOOKUP(Orders[[#This Row],[ProductID]],Products[ProductID],Products[ProductName])</f>
        <v>TURTLE NECK</v>
      </c>
      <c r="S1094" t="str">
        <f>_xlfn.XLOOKUP(Orders[[#This Row],[ProductID]],Products!A:A,Products!C:C)</f>
        <v>Clothing</v>
      </c>
    </row>
    <row r="1095" spans="1:19" x14ac:dyDescent="0.2">
      <c r="A1095" s="4" t="s">
        <v>1284</v>
      </c>
      <c r="B1095" s="5">
        <v>45963</v>
      </c>
      <c r="C1095" s="15">
        <f>WEEKNUM(Orders[[#This Row],[OrderDate]])</f>
        <v>45</v>
      </c>
      <c r="D1095" s="4" t="s">
        <v>218</v>
      </c>
      <c r="E1095" s="4" t="s">
        <v>46</v>
      </c>
      <c r="F1095" s="4">
        <v>6</v>
      </c>
      <c r="G1095" s="4">
        <v>12058.699999999999</v>
      </c>
      <c r="H1095">
        <v>10249.894999999999</v>
      </c>
      <c r="I1095">
        <f>Orders[[#This Row],[Quantity]]*Orders[[#This Row],[Selling Price]]</f>
        <v>72352.2</v>
      </c>
      <c r="J1095">
        <f>Orders[[#This Row],[Quantity]]*Orders[[#This Row],[Cost Price]]</f>
        <v>61499.369999999995</v>
      </c>
      <c r="K1095">
        <f>Orders[[#This Row],[Revenue]]-Orders[[#This Row],[Expenses]]</f>
        <v>10852.830000000002</v>
      </c>
      <c r="L1095" t="s">
        <v>2203</v>
      </c>
      <c r="M1095" t="str">
        <f>_xlfn.XLOOKUP(Orders[[#This Row],[CustomerID]],Customers[CustomerID],Customers[City])</f>
        <v>Florida</v>
      </c>
      <c r="N1095" t="str">
        <f>_xlfn.XLOOKUP(Orders[[#This Row],[CustomerID]],Customers[CustomerID],Customers[CustomerName])</f>
        <v>Temi Danladi</v>
      </c>
      <c r="O1095" t="str">
        <f>_xlfn.XLOOKUP(Orders[[#This Row],[CustomerID]],Customers[CustomerID],Customers[Gender])</f>
        <v>Female</v>
      </c>
      <c r="P1095">
        <f>_xlfn.XLOOKUP(Orders[[#This Row],[CustomerID]],Customers[CustomerID],Customers[CustomerAge])</f>
        <v>48</v>
      </c>
      <c r="Q1095" t="str">
        <f>IF(Orders[[#This Row],[Age]]&gt;=35,"older","young")</f>
        <v>older</v>
      </c>
      <c r="R1095" t="str">
        <f>_xlfn.XLOOKUP(Orders[[#This Row],[ProductID]],Products[ProductID],Products[ProductName])</f>
        <v>TURTLE NECK</v>
      </c>
      <c r="S1095" t="str">
        <f>_xlfn.XLOOKUP(Orders[[#This Row],[ProductID]],Products!A:A,Products!C:C)</f>
        <v>Clothing</v>
      </c>
    </row>
    <row r="1096" spans="1:19" x14ac:dyDescent="0.2">
      <c r="A1096" s="4" t="s">
        <v>1285</v>
      </c>
      <c r="B1096" s="5">
        <v>45980</v>
      </c>
      <c r="C1096" s="15">
        <f>WEEKNUM(Orders[[#This Row],[OrderDate]])</f>
        <v>47</v>
      </c>
      <c r="D1096" s="4" t="s">
        <v>252</v>
      </c>
      <c r="E1096" s="4" t="s">
        <v>15</v>
      </c>
      <c r="F1096" s="4">
        <v>5</v>
      </c>
      <c r="G1096" s="4">
        <v>8079.9</v>
      </c>
      <c r="H1096">
        <v>6867.915</v>
      </c>
      <c r="I1096">
        <f>Orders[[#This Row],[Quantity]]*Orders[[#This Row],[Selling Price]]</f>
        <v>40399.5</v>
      </c>
      <c r="J1096">
        <f>Orders[[#This Row],[Quantity]]*Orders[[#This Row],[Cost Price]]</f>
        <v>34339.574999999997</v>
      </c>
      <c r="K1096">
        <f>Orders[[#This Row],[Revenue]]-Orders[[#This Row],[Expenses]]</f>
        <v>6059.9250000000029</v>
      </c>
      <c r="L1096" t="s">
        <v>2198</v>
      </c>
      <c r="M1096" t="str">
        <f>_xlfn.XLOOKUP(Orders[[#This Row],[CustomerID]],Customers[CustomerID],Customers[City])</f>
        <v>Texas</v>
      </c>
      <c r="N1096" t="str">
        <f>_xlfn.XLOOKUP(Orders[[#This Row],[CustomerID]],Customers[CustomerID],Customers[CustomerName])</f>
        <v>Chioma Adeyemi</v>
      </c>
      <c r="O1096" t="str">
        <f>_xlfn.XLOOKUP(Orders[[#This Row],[CustomerID]],Customers[CustomerID],Customers[Gender])</f>
        <v>Female</v>
      </c>
      <c r="P1096">
        <f>_xlfn.XLOOKUP(Orders[[#This Row],[CustomerID]],Customers[CustomerID],Customers[CustomerAge])</f>
        <v>20</v>
      </c>
      <c r="Q1096" t="str">
        <f>IF(Orders[[#This Row],[Age]]&gt;=35,"older","young")</f>
        <v>young</v>
      </c>
      <c r="R1096" t="str">
        <f>_xlfn.XLOOKUP(Orders[[#This Row],[ProductID]],Products[ProductID],Products[ProductName])</f>
        <v>MONOPOLY</v>
      </c>
      <c r="S1096" t="str">
        <f>_xlfn.XLOOKUP(Orders[[#This Row],[ProductID]],Products!A:A,Products!C:C)</f>
        <v>Games</v>
      </c>
    </row>
    <row r="1097" spans="1:19" x14ac:dyDescent="0.2">
      <c r="A1097" s="4" t="s">
        <v>1286</v>
      </c>
      <c r="B1097" s="5">
        <v>46002</v>
      </c>
      <c r="C1097" s="15">
        <f>WEEKNUM(Orders[[#This Row],[OrderDate]])</f>
        <v>50</v>
      </c>
      <c r="D1097" s="4" t="s">
        <v>517</v>
      </c>
      <c r="E1097" s="4" t="s">
        <v>253</v>
      </c>
      <c r="F1097" s="4">
        <v>6</v>
      </c>
      <c r="G1097" s="4">
        <v>19731.600000000002</v>
      </c>
      <c r="H1097">
        <v>16771.86</v>
      </c>
      <c r="I1097">
        <f>Orders[[#This Row],[Quantity]]*Orders[[#This Row],[Selling Price]]</f>
        <v>118389.6</v>
      </c>
      <c r="J1097">
        <f>Orders[[#This Row],[Quantity]]*Orders[[#This Row],[Cost Price]]</f>
        <v>100631.16</v>
      </c>
      <c r="K1097">
        <f>Orders[[#This Row],[Revenue]]-Orders[[#This Row],[Expenses]]</f>
        <v>17758.440000000002</v>
      </c>
      <c r="L1097" t="s">
        <v>2209</v>
      </c>
      <c r="M1097" t="str">
        <f>_xlfn.XLOOKUP(Orders[[#This Row],[CustomerID]],Customers[CustomerID],Customers[City])</f>
        <v>Florida</v>
      </c>
      <c r="N1097" t="str">
        <f>_xlfn.XLOOKUP(Orders[[#This Row],[CustomerID]],Customers[CustomerID],Customers[CustomerName])</f>
        <v>Efe Adeyemi</v>
      </c>
      <c r="O1097" t="str">
        <f>_xlfn.XLOOKUP(Orders[[#This Row],[CustomerID]],Customers[CustomerID],Customers[Gender])</f>
        <v>Female</v>
      </c>
      <c r="P1097">
        <f>_xlfn.XLOOKUP(Orders[[#This Row],[CustomerID]],Customers[CustomerID],Customers[CustomerAge])</f>
        <v>25</v>
      </c>
      <c r="Q1097" t="str">
        <f>IF(Orders[[#This Row],[Age]]&gt;=35,"older","young")</f>
        <v>young</v>
      </c>
      <c r="R1097" t="str">
        <f>_xlfn.XLOOKUP(Orders[[#This Row],[ProductID]],Products[ProductID],Products[ProductName])</f>
        <v>NOSE RINGS</v>
      </c>
      <c r="S1097" t="str">
        <f>_xlfn.XLOOKUP(Orders[[#This Row],[ProductID]],Products!A:A,Products!C:C)</f>
        <v>Accessories</v>
      </c>
    </row>
    <row r="1098" spans="1:19" x14ac:dyDescent="0.2">
      <c r="A1098" s="4" t="s">
        <v>1287</v>
      </c>
      <c r="B1098" s="5">
        <v>45940</v>
      </c>
      <c r="C1098" s="15">
        <f>WEEKNUM(Orders[[#This Row],[OrderDate]])</f>
        <v>41</v>
      </c>
      <c r="D1098" s="4" t="s">
        <v>136</v>
      </c>
      <c r="E1098" s="4" t="s">
        <v>168</v>
      </c>
      <c r="F1098" s="4">
        <v>1</v>
      </c>
      <c r="G1098" s="4">
        <v>17511.7</v>
      </c>
      <c r="H1098">
        <v>14884.945</v>
      </c>
      <c r="I1098">
        <f>Orders[[#This Row],[Quantity]]*Orders[[#This Row],[Selling Price]]</f>
        <v>17511.7</v>
      </c>
      <c r="J1098">
        <f>Orders[[#This Row],[Quantity]]*Orders[[#This Row],[Cost Price]]</f>
        <v>14884.945</v>
      </c>
      <c r="K1098">
        <f>Orders[[#This Row],[Revenue]]-Orders[[#This Row],[Expenses]]</f>
        <v>2626.755000000001</v>
      </c>
      <c r="L1098" t="s">
        <v>2204</v>
      </c>
      <c r="M1098" t="str">
        <f>_xlfn.XLOOKUP(Orders[[#This Row],[CustomerID]],Customers[CustomerID],Customers[City])</f>
        <v>California</v>
      </c>
      <c r="N1098" t="str">
        <f>_xlfn.XLOOKUP(Orders[[#This Row],[CustomerID]],Customers[CustomerID],Customers[CustomerName])</f>
        <v>Chinedu Obi</v>
      </c>
      <c r="O1098" t="str">
        <f>_xlfn.XLOOKUP(Orders[[#This Row],[CustomerID]],Customers[CustomerID],Customers[Gender])</f>
        <v>Male</v>
      </c>
      <c r="P1098">
        <f>_xlfn.XLOOKUP(Orders[[#This Row],[CustomerID]],Customers[CustomerID],Customers[CustomerAge])</f>
        <v>27</v>
      </c>
      <c r="Q1098" t="str">
        <f>IF(Orders[[#This Row],[Age]]&gt;=35,"older","young")</f>
        <v>young</v>
      </c>
      <c r="R1098" t="str">
        <f>_xlfn.XLOOKUP(Orders[[#This Row],[ProductID]],Products[ProductID],Products[ProductName])</f>
        <v>DUMB BELLS</v>
      </c>
      <c r="S1098" t="str">
        <f>_xlfn.XLOOKUP(Orders[[#This Row],[ProductID]],Products!A:A,Products!C:C)</f>
        <v>Gym</v>
      </c>
    </row>
    <row r="1099" spans="1:19" x14ac:dyDescent="0.2">
      <c r="A1099" s="4" t="s">
        <v>1288</v>
      </c>
      <c r="B1099" s="5">
        <v>45985</v>
      </c>
      <c r="C1099" s="15">
        <f>WEEKNUM(Orders[[#This Row],[OrderDate]])</f>
        <v>48</v>
      </c>
      <c r="D1099" s="4" t="s">
        <v>33</v>
      </c>
      <c r="E1099" s="4" t="s">
        <v>23</v>
      </c>
      <c r="F1099" s="4">
        <v>6</v>
      </c>
      <c r="G1099" s="4">
        <v>16678.599999999999</v>
      </c>
      <c r="H1099">
        <v>14176.81</v>
      </c>
      <c r="I1099">
        <f>Orders[[#This Row],[Quantity]]*Orders[[#This Row],[Selling Price]]</f>
        <v>100071.59999999999</v>
      </c>
      <c r="J1099">
        <f>Orders[[#This Row],[Quantity]]*Orders[[#This Row],[Cost Price]]</f>
        <v>85060.86</v>
      </c>
      <c r="K1099">
        <f>Orders[[#This Row],[Revenue]]-Orders[[#This Row],[Expenses]]</f>
        <v>15010.739999999991</v>
      </c>
      <c r="L1099" t="s">
        <v>2203</v>
      </c>
      <c r="M1099" t="str">
        <f>_xlfn.XLOOKUP(Orders[[#This Row],[CustomerID]],Customers[CustomerID],Customers[City])</f>
        <v>Texas</v>
      </c>
      <c r="N1099" t="str">
        <f>_xlfn.XLOOKUP(Orders[[#This Row],[CustomerID]],Customers[CustomerID],Customers[CustomerName])</f>
        <v>Okon Balogun</v>
      </c>
      <c r="O1099" t="str">
        <f>_xlfn.XLOOKUP(Orders[[#This Row],[CustomerID]],Customers[CustomerID],Customers[Gender])</f>
        <v>Male</v>
      </c>
      <c r="P1099">
        <f>_xlfn.XLOOKUP(Orders[[#This Row],[CustomerID]],Customers[CustomerID],Customers[CustomerAge])</f>
        <v>28</v>
      </c>
      <c r="Q1099" t="str">
        <f>IF(Orders[[#This Row],[Age]]&gt;=35,"older","young")</f>
        <v>young</v>
      </c>
      <c r="R1099" t="str">
        <f>_xlfn.XLOOKUP(Orders[[#This Row],[ProductID]],Products[ProductID],Products[ProductName])</f>
        <v>GYM GLOVES</v>
      </c>
      <c r="S1099" t="str">
        <f>_xlfn.XLOOKUP(Orders[[#This Row],[ProductID]],Products!A:A,Products!C:C)</f>
        <v>Gym</v>
      </c>
    </row>
    <row r="1100" spans="1:19" x14ac:dyDescent="0.2">
      <c r="A1100" s="4" t="s">
        <v>1289</v>
      </c>
      <c r="B1100" s="5">
        <v>46010</v>
      </c>
      <c r="C1100" s="15">
        <f>WEEKNUM(Orders[[#This Row],[OrderDate]])</f>
        <v>51</v>
      </c>
      <c r="D1100" s="4" t="s">
        <v>218</v>
      </c>
      <c r="E1100" s="4" t="s">
        <v>25</v>
      </c>
      <c r="F1100" s="4">
        <v>4</v>
      </c>
      <c r="G1100" s="4">
        <v>6076.9000000000005</v>
      </c>
      <c r="H1100">
        <v>5165.3650000000007</v>
      </c>
      <c r="I1100">
        <f>Orders[[#This Row],[Quantity]]*Orders[[#This Row],[Selling Price]]</f>
        <v>24307.600000000002</v>
      </c>
      <c r="J1100">
        <f>Orders[[#This Row],[Quantity]]*Orders[[#This Row],[Cost Price]]</f>
        <v>20661.460000000003</v>
      </c>
      <c r="K1100">
        <f>Orders[[#This Row],[Revenue]]-Orders[[#This Row],[Expenses]]</f>
        <v>3646.1399999999994</v>
      </c>
      <c r="L1100" t="s">
        <v>2207</v>
      </c>
      <c r="M1100" t="str">
        <f>_xlfn.XLOOKUP(Orders[[#This Row],[CustomerID]],Customers[CustomerID],Customers[City])</f>
        <v>Florida</v>
      </c>
      <c r="N1100" t="str">
        <f>_xlfn.XLOOKUP(Orders[[#This Row],[CustomerID]],Customers[CustomerID],Customers[CustomerName])</f>
        <v>Temi Danladi</v>
      </c>
      <c r="O1100" t="str">
        <f>_xlfn.XLOOKUP(Orders[[#This Row],[CustomerID]],Customers[CustomerID],Customers[Gender])</f>
        <v>Female</v>
      </c>
      <c r="P1100">
        <f>_xlfn.XLOOKUP(Orders[[#This Row],[CustomerID]],Customers[CustomerID],Customers[CustomerAge])</f>
        <v>48</v>
      </c>
      <c r="Q1100" t="str">
        <f>IF(Orders[[#This Row],[Age]]&gt;=35,"older","young")</f>
        <v>older</v>
      </c>
      <c r="R1100" t="str">
        <f>_xlfn.XLOOKUP(Orders[[#This Row],[ProductID]],Products[ProductID],Products[ProductName])</f>
        <v>GOLD RINGS</v>
      </c>
      <c r="S1100" t="str">
        <f>_xlfn.XLOOKUP(Orders[[#This Row],[ProductID]],Products!A:A,Products!C:C)</f>
        <v>Accessories</v>
      </c>
    </row>
    <row r="1101" spans="1:19" x14ac:dyDescent="0.2">
      <c r="A1101" s="4" t="s">
        <v>1290</v>
      </c>
      <c r="B1101" s="5">
        <v>45936</v>
      </c>
      <c r="C1101" s="15">
        <f>WEEKNUM(Orders[[#This Row],[OrderDate]])</f>
        <v>41</v>
      </c>
      <c r="D1101" s="4" t="s">
        <v>203</v>
      </c>
      <c r="E1101" s="4" t="s">
        <v>46</v>
      </c>
      <c r="F1101" s="4">
        <v>2</v>
      </c>
      <c r="G1101" s="4">
        <v>9864.7000000000007</v>
      </c>
      <c r="H1101">
        <v>8384.9950000000008</v>
      </c>
      <c r="I1101">
        <f>Orders[[#This Row],[Quantity]]*Orders[[#This Row],[Selling Price]]</f>
        <v>19729.400000000001</v>
      </c>
      <c r="J1101">
        <f>Orders[[#This Row],[Quantity]]*Orders[[#This Row],[Cost Price]]</f>
        <v>16769.990000000002</v>
      </c>
      <c r="K1101">
        <f>Orders[[#This Row],[Revenue]]-Orders[[#This Row],[Expenses]]</f>
        <v>2959.41</v>
      </c>
      <c r="L1101" t="s">
        <v>2205</v>
      </c>
      <c r="M1101" t="str">
        <f>_xlfn.XLOOKUP(Orders[[#This Row],[CustomerID]],Customers[CustomerID],Customers[City])</f>
        <v>Texas</v>
      </c>
      <c r="N1101" t="str">
        <f>_xlfn.XLOOKUP(Orders[[#This Row],[CustomerID]],Customers[CustomerID],Customers[CustomerName])</f>
        <v>Okon Bello</v>
      </c>
      <c r="O1101" t="str">
        <f>_xlfn.XLOOKUP(Orders[[#This Row],[CustomerID]],Customers[CustomerID],Customers[Gender])</f>
        <v>Male</v>
      </c>
      <c r="P1101">
        <f>_xlfn.XLOOKUP(Orders[[#This Row],[CustomerID]],Customers[CustomerID],Customers[CustomerAge])</f>
        <v>20</v>
      </c>
      <c r="Q1101" t="str">
        <f>IF(Orders[[#This Row],[Age]]&gt;=35,"older","young")</f>
        <v>young</v>
      </c>
      <c r="R1101" t="str">
        <f>_xlfn.XLOOKUP(Orders[[#This Row],[ProductID]],Products[ProductID],Products[ProductName])</f>
        <v>TURTLE NECK</v>
      </c>
      <c r="S1101" t="str">
        <f>_xlfn.XLOOKUP(Orders[[#This Row],[ProductID]],Products!A:A,Products!C:C)</f>
        <v>Clothing</v>
      </c>
    </row>
    <row r="1102" spans="1:19" x14ac:dyDescent="0.2">
      <c r="A1102" s="4" t="s">
        <v>1291</v>
      </c>
      <c r="B1102" s="5">
        <v>45950</v>
      </c>
      <c r="C1102" s="15">
        <f>WEEKNUM(Orders[[#This Row],[OrderDate]])</f>
        <v>43</v>
      </c>
      <c r="D1102" s="4" t="s">
        <v>132</v>
      </c>
      <c r="E1102" s="4" t="s">
        <v>15</v>
      </c>
      <c r="F1102" s="4">
        <v>3</v>
      </c>
      <c r="G1102" s="4">
        <v>18594.5</v>
      </c>
      <c r="H1102">
        <v>15805.325000000001</v>
      </c>
      <c r="I1102">
        <f>Orders[[#This Row],[Quantity]]*Orders[[#This Row],[Selling Price]]</f>
        <v>55783.5</v>
      </c>
      <c r="J1102">
        <f>Orders[[#This Row],[Quantity]]*Orders[[#This Row],[Cost Price]]</f>
        <v>47415.975000000006</v>
      </c>
      <c r="K1102">
        <f>Orders[[#This Row],[Revenue]]-Orders[[#This Row],[Expenses]]</f>
        <v>8367.5249999999942</v>
      </c>
      <c r="L1102" t="s">
        <v>2208</v>
      </c>
      <c r="M1102" t="str">
        <f>_xlfn.XLOOKUP(Orders[[#This Row],[CustomerID]],Customers[CustomerID],Customers[City])</f>
        <v>Illinois</v>
      </c>
      <c r="N1102" t="str">
        <f>_xlfn.XLOOKUP(Orders[[#This Row],[CustomerID]],Customers[CustomerID],Customers[CustomerName])</f>
        <v>Emeka Balogun</v>
      </c>
      <c r="O1102" t="str">
        <f>_xlfn.XLOOKUP(Orders[[#This Row],[CustomerID]],Customers[CustomerID],Customers[Gender])</f>
        <v>Male</v>
      </c>
      <c r="P1102">
        <f>_xlfn.XLOOKUP(Orders[[#This Row],[CustomerID]],Customers[CustomerID],Customers[CustomerAge])</f>
        <v>36</v>
      </c>
      <c r="Q1102" t="str">
        <f>IF(Orders[[#This Row],[Age]]&gt;=35,"older","young")</f>
        <v>older</v>
      </c>
      <c r="R1102" t="str">
        <f>_xlfn.XLOOKUP(Orders[[#This Row],[ProductID]],Products[ProductID],Products[ProductName])</f>
        <v>MONOPOLY</v>
      </c>
      <c r="S1102" t="str">
        <f>_xlfn.XLOOKUP(Orders[[#This Row],[ProductID]],Products!A:A,Products!C:C)</f>
        <v>Games</v>
      </c>
    </row>
    <row r="1103" spans="1:19" x14ac:dyDescent="0.2">
      <c r="A1103" s="4" t="s">
        <v>1292</v>
      </c>
      <c r="B1103" s="5">
        <v>45956</v>
      </c>
      <c r="C1103" s="15">
        <f>WEEKNUM(Orders[[#This Row],[OrderDate]])</f>
        <v>44</v>
      </c>
      <c r="D1103" s="4" t="s">
        <v>340</v>
      </c>
      <c r="E1103" s="4" t="s">
        <v>15</v>
      </c>
      <c r="F1103" s="4">
        <v>6</v>
      </c>
      <c r="G1103" s="4">
        <v>9479.7999999999993</v>
      </c>
      <c r="H1103">
        <v>8057.83</v>
      </c>
      <c r="I1103">
        <f>Orders[[#This Row],[Quantity]]*Orders[[#This Row],[Selling Price]]</f>
        <v>56878.799999999996</v>
      </c>
      <c r="J1103">
        <f>Orders[[#This Row],[Quantity]]*Orders[[#This Row],[Cost Price]]</f>
        <v>48346.979999999996</v>
      </c>
      <c r="K1103">
        <f>Orders[[#This Row],[Revenue]]-Orders[[#This Row],[Expenses]]</f>
        <v>8531.82</v>
      </c>
      <c r="L1103" t="s">
        <v>2220</v>
      </c>
      <c r="M1103" t="str">
        <f>_xlfn.XLOOKUP(Orders[[#This Row],[CustomerID]],Customers[CustomerID],Customers[City])</f>
        <v>Illinois</v>
      </c>
      <c r="N1103" t="str">
        <f>_xlfn.XLOOKUP(Orders[[#This Row],[CustomerID]],Customers[CustomerID],Customers[CustomerName])</f>
        <v>Uche Abubakar</v>
      </c>
      <c r="O1103" t="str">
        <f>_xlfn.XLOOKUP(Orders[[#This Row],[CustomerID]],Customers[CustomerID],Customers[Gender])</f>
        <v>Male</v>
      </c>
      <c r="P1103">
        <f>_xlfn.XLOOKUP(Orders[[#This Row],[CustomerID]],Customers[CustomerID],Customers[CustomerAge])</f>
        <v>18</v>
      </c>
      <c r="Q1103" t="str">
        <f>IF(Orders[[#This Row],[Age]]&gt;=35,"older","young")</f>
        <v>young</v>
      </c>
      <c r="R1103" t="str">
        <f>_xlfn.XLOOKUP(Orders[[#This Row],[ProductID]],Products[ProductID],Products[ProductName])</f>
        <v>MONOPOLY</v>
      </c>
      <c r="S1103" t="str">
        <f>_xlfn.XLOOKUP(Orders[[#This Row],[ProductID]],Products!A:A,Products!C:C)</f>
        <v>Games</v>
      </c>
    </row>
    <row r="1104" spans="1:19" x14ac:dyDescent="0.2">
      <c r="A1104" s="4" t="s">
        <v>1293</v>
      </c>
      <c r="B1104" s="5">
        <v>46021</v>
      </c>
      <c r="C1104" s="15">
        <f>WEEKNUM(Orders[[#This Row],[OrderDate]])</f>
        <v>53</v>
      </c>
      <c r="D1104" s="4" t="s">
        <v>388</v>
      </c>
      <c r="E1104" s="4" t="s">
        <v>66</v>
      </c>
      <c r="F1104" s="4">
        <v>6</v>
      </c>
      <c r="G1104" s="4">
        <v>18847.400000000001</v>
      </c>
      <c r="H1104">
        <v>16020.29</v>
      </c>
      <c r="I1104">
        <f>Orders[[#This Row],[Quantity]]*Orders[[#This Row],[Selling Price]]</f>
        <v>113084.40000000001</v>
      </c>
      <c r="J1104">
        <f>Orders[[#This Row],[Quantity]]*Orders[[#This Row],[Cost Price]]</f>
        <v>96121.74</v>
      </c>
      <c r="K1104">
        <f>Orders[[#This Row],[Revenue]]-Orders[[#This Row],[Expenses]]</f>
        <v>16962.660000000003</v>
      </c>
      <c r="L1104" t="s">
        <v>2208</v>
      </c>
      <c r="M1104" t="str">
        <f>_xlfn.XLOOKUP(Orders[[#This Row],[CustomerID]],Customers[CustomerID],Customers[City])</f>
        <v>Washington</v>
      </c>
      <c r="N1104" t="str">
        <f>_xlfn.XLOOKUP(Orders[[#This Row],[CustomerID]],Customers[CustomerID],Customers[CustomerName])</f>
        <v>Folasade Okonkwo</v>
      </c>
      <c r="O1104" t="str">
        <f>_xlfn.XLOOKUP(Orders[[#This Row],[CustomerID]],Customers[CustomerID],Customers[Gender])</f>
        <v>Female</v>
      </c>
      <c r="P1104">
        <f>_xlfn.XLOOKUP(Orders[[#This Row],[CustomerID]],Customers[CustomerID],Customers[CustomerAge])</f>
        <v>52</v>
      </c>
      <c r="Q1104" t="str">
        <f>IF(Orders[[#This Row],[Age]]&gt;=35,"older","young")</f>
        <v>older</v>
      </c>
      <c r="R1104" t="str">
        <f>_xlfn.XLOOKUP(Orders[[#This Row],[ProductID]],Products[ProductID],Products[ProductName])</f>
        <v>MICROWAVE</v>
      </c>
      <c r="S1104" t="str">
        <f>_xlfn.XLOOKUP(Orders[[#This Row],[ProductID]],Products!A:A,Products!C:C)</f>
        <v>Electronics</v>
      </c>
    </row>
    <row r="1105" spans="1:19" x14ac:dyDescent="0.2">
      <c r="A1105" s="4" t="s">
        <v>1294</v>
      </c>
      <c r="B1105" s="5">
        <v>46011</v>
      </c>
      <c r="C1105" s="15">
        <f>WEEKNUM(Orders[[#This Row],[OrderDate]])</f>
        <v>51</v>
      </c>
      <c r="D1105" s="4" t="s">
        <v>324</v>
      </c>
      <c r="E1105" s="4" t="s">
        <v>111</v>
      </c>
      <c r="F1105" s="4">
        <v>10</v>
      </c>
      <c r="G1105" s="4">
        <v>10645.4</v>
      </c>
      <c r="H1105">
        <v>9048.59</v>
      </c>
      <c r="I1105">
        <f>Orders[[#This Row],[Quantity]]*Orders[[#This Row],[Selling Price]]</f>
        <v>106454</v>
      </c>
      <c r="J1105">
        <f>Orders[[#This Row],[Quantity]]*Orders[[#This Row],[Cost Price]]</f>
        <v>90485.9</v>
      </c>
      <c r="K1105">
        <f>Orders[[#This Row],[Revenue]]-Orders[[#This Row],[Expenses]]</f>
        <v>15968.100000000006</v>
      </c>
      <c r="L1105" t="s">
        <v>2209</v>
      </c>
      <c r="M1105" t="str">
        <f>_xlfn.XLOOKUP(Orders[[#This Row],[CustomerID]],Customers[CustomerID],Customers[City])</f>
        <v>Texas</v>
      </c>
      <c r="N1105" t="str">
        <f>_xlfn.XLOOKUP(Orders[[#This Row],[CustomerID]],Customers[CustomerID],Customers[CustomerName])</f>
        <v>Tunde Okonkwo</v>
      </c>
      <c r="O1105" t="str">
        <f>_xlfn.XLOOKUP(Orders[[#This Row],[CustomerID]],Customers[CustomerID],Customers[Gender])</f>
        <v>Male</v>
      </c>
      <c r="P1105">
        <f>_xlfn.XLOOKUP(Orders[[#This Row],[CustomerID]],Customers[CustomerID],Customers[CustomerAge])</f>
        <v>25</v>
      </c>
      <c r="Q1105" t="str">
        <f>IF(Orders[[#This Row],[Age]]&gt;=35,"older","young")</f>
        <v>young</v>
      </c>
      <c r="R1105" t="str">
        <f>_xlfn.XLOOKUP(Orders[[#This Row],[ProductID]],Products[ProductID],Products[ProductName])</f>
        <v>REFRIGERATOR</v>
      </c>
      <c r="S1105" t="str">
        <f>_xlfn.XLOOKUP(Orders[[#This Row],[ProductID]],Products!A:A,Products!C:C)</f>
        <v>Electronics</v>
      </c>
    </row>
    <row r="1106" spans="1:19" x14ac:dyDescent="0.2">
      <c r="A1106" s="4" t="s">
        <v>1295</v>
      </c>
      <c r="B1106" s="5">
        <v>45963</v>
      </c>
      <c r="C1106" s="15">
        <f>WEEKNUM(Orders[[#This Row],[OrderDate]])</f>
        <v>45</v>
      </c>
      <c r="D1106" s="4" t="s">
        <v>607</v>
      </c>
      <c r="E1106" s="4" t="s">
        <v>76</v>
      </c>
      <c r="F1106" s="4">
        <v>3</v>
      </c>
      <c r="G1106" s="4">
        <v>16447.400000000001</v>
      </c>
      <c r="H1106">
        <v>13980.29</v>
      </c>
      <c r="I1106">
        <f>Orders[[#This Row],[Quantity]]*Orders[[#This Row],[Selling Price]]</f>
        <v>49342.200000000004</v>
      </c>
      <c r="J1106">
        <f>Orders[[#This Row],[Quantity]]*Orders[[#This Row],[Cost Price]]</f>
        <v>41940.870000000003</v>
      </c>
      <c r="K1106">
        <f>Orders[[#This Row],[Revenue]]-Orders[[#This Row],[Expenses]]</f>
        <v>7401.3300000000017</v>
      </c>
      <c r="L1106" t="s">
        <v>2204</v>
      </c>
      <c r="M1106" t="str">
        <f>_xlfn.XLOOKUP(Orders[[#This Row],[CustomerID]],Customers[CustomerID],Customers[City])</f>
        <v>Texas</v>
      </c>
      <c r="N1106" t="str">
        <f>_xlfn.XLOOKUP(Orders[[#This Row],[CustomerID]],Customers[CustomerID],Customers[CustomerName])</f>
        <v>Folasade Ojo</v>
      </c>
      <c r="O1106" t="str">
        <f>_xlfn.XLOOKUP(Orders[[#This Row],[CustomerID]],Customers[CustomerID],Customers[Gender])</f>
        <v>Female</v>
      </c>
      <c r="P1106">
        <f>_xlfn.XLOOKUP(Orders[[#This Row],[CustomerID]],Customers[CustomerID],Customers[CustomerAge])</f>
        <v>19</v>
      </c>
      <c r="Q1106" t="str">
        <f>IF(Orders[[#This Row],[Age]]&gt;=35,"older","young")</f>
        <v>young</v>
      </c>
      <c r="R1106" t="str">
        <f>_xlfn.XLOOKUP(Orders[[#This Row],[ProductID]],Products[ProductID],Products[ProductName])</f>
        <v>BLENDER</v>
      </c>
      <c r="S1106" t="str">
        <f>_xlfn.XLOOKUP(Orders[[#This Row],[ProductID]],Products!A:A,Products!C:C)</f>
        <v>Electronics</v>
      </c>
    </row>
    <row r="1107" spans="1:19" x14ac:dyDescent="0.2">
      <c r="A1107" s="4" t="s">
        <v>1296</v>
      </c>
      <c r="B1107" s="5">
        <v>45936</v>
      </c>
      <c r="C1107" s="15">
        <f>WEEKNUM(Orders[[#This Row],[OrderDate]])</f>
        <v>41</v>
      </c>
      <c r="D1107" s="4" t="s">
        <v>41</v>
      </c>
      <c r="E1107" s="4" t="s">
        <v>31</v>
      </c>
      <c r="F1107" s="4">
        <v>9</v>
      </c>
      <c r="G1107" s="4">
        <v>17865.2</v>
      </c>
      <c r="H1107">
        <v>15185.42</v>
      </c>
      <c r="I1107">
        <f>Orders[[#This Row],[Quantity]]*Orders[[#This Row],[Selling Price]]</f>
        <v>160786.80000000002</v>
      </c>
      <c r="J1107">
        <f>Orders[[#This Row],[Quantity]]*Orders[[#This Row],[Cost Price]]</f>
        <v>136668.78</v>
      </c>
      <c r="K1107">
        <f>Orders[[#This Row],[Revenue]]-Orders[[#This Row],[Expenses]]</f>
        <v>24118.020000000019</v>
      </c>
      <c r="L1107" t="s">
        <v>2199</v>
      </c>
      <c r="M1107" t="str">
        <f>_xlfn.XLOOKUP(Orders[[#This Row],[CustomerID]],Customers[CustomerID],Customers[City])</f>
        <v>Texas</v>
      </c>
      <c r="N1107" t="str">
        <f>_xlfn.XLOOKUP(Orders[[#This Row],[CustomerID]],Customers[CustomerID],Customers[CustomerName])</f>
        <v>Mustafa Balogun</v>
      </c>
      <c r="O1107" t="str">
        <f>_xlfn.XLOOKUP(Orders[[#This Row],[CustomerID]],Customers[CustomerID],Customers[Gender])</f>
        <v>Male</v>
      </c>
      <c r="P1107">
        <f>_xlfn.XLOOKUP(Orders[[#This Row],[CustomerID]],Customers[CustomerID],Customers[CustomerAge])</f>
        <v>40</v>
      </c>
      <c r="Q1107" t="str">
        <f>IF(Orders[[#This Row],[Age]]&gt;=35,"older","young")</f>
        <v>older</v>
      </c>
      <c r="R1107" t="str">
        <f>_xlfn.XLOOKUP(Orders[[#This Row],[ProductID]],Products[ProductID],Products[ProductName])</f>
        <v>KIDS GAMES</v>
      </c>
      <c r="S1107" t="str">
        <f>_xlfn.XLOOKUP(Orders[[#This Row],[ProductID]],Products!A:A,Products!C:C)</f>
        <v>Games</v>
      </c>
    </row>
    <row r="1108" spans="1:19" x14ac:dyDescent="0.2">
      <c r="A1108" s="4" t="s">
        <v>1297</v>
      </c>
      <c r="B1108" s="5">
        <v>45943</v>
      </c>
      <c r="C1108" s="15">
        <f>WEEKNUM(Orders[[#This Row],[OrderDate]])</f>
        <v>42</v>
      </c>
      <c r="D1108" s="4" t="s">
        <v>264</v>
      </c>
      <c r="E1108" s="4" t="s">
        <v>25</v>
      </c>
      <c r="F1108" s="4">
        <v>10</v>
      </c>
      <c r="G1108" s="4">
        <v>11020.8</v>
      </c>
      <c r="H1108">
        <v>9367.68</v>
      </c>
      <c r="I1108">
        <f>Orders[[#This Row],[Quantity]]*Orders[[#This Row],[Selling Price]]</f>
        <v>110208</v>
      </c>
      <c r="J1108">
        <f>Orders[[#This Row],[Quantity]]*Orders[[#This Row],[Cost Price]]</f>
        <v>93676.800000000003</v>
      </c>
      <c r="K1108">
        <f>Orders[[#This Row],[Revenue]]-Orders[[#This Row],[Expenses]]</f>
        <v>16531.199999999997</v>
      </c>
      <c r="L1108" t="s">
        <v>2217</v>
      </c>
      <c r="M1108" t="str">
        <f>_xlfn.XLOOKUP(Orders[[#This Row],[CustomerID]],Customers[CustomerID],Customers[City])</f>
        <v>Georgia</v>
      </c>
      <c r="N1108" t="str">
        <f>_xlfn.XLOOKUP(Orders[[#This Row],[CustomerID]],Customers[CustomerID],Customers[CustomerName])</f>
        <v>Ronke Adeyemi</v>
      </c>
      <c r="O1108" t="str">
        <f>_xlfn.XLOOKUP(Orders[[#This Row],[CustomerID]],Customers[CustomerID],Customers[Gender])</f>
        <v>Female</v>
      </c>
      <c r="P1108">
        <f>_xlfn.XLOOKUP(Orders[[#This Row],[CustomerID]],Customers[CustomerID],Customers[CustomerAge])</f>
        <v>19</v>
      </c>
      <c r="Q1108" t="str">
        <f>IF(Orders[[#This Row],[Age]]&gt;=35,"older","young")</f>
        <v>young</v>
      </c>
      <c r="R1108" t="str">
        <f>_xlfn.XLOOKUP(Orders[[#This Row],[ProductID]],Products[ProductID],Products[ProductName])</f>
        <v>GOLD RINGS</v>
      </c>
      <c r="S1108" t="str">
        <f>_xlfn.XLOOKUP(Orders[[#This Row],[ProductID]],Products!A:A,Products!C:C)</f>
        <v>Accessories</v>
      </c>
    </row>
    <row r="1109" spans="1:19" x14ac:dyDescent="0.2">
      <c r="A1109" s="4" t="s">
        <v>1298</v>
      </c>
      <c r="B1109" s="5">
        <v>45983</v>
      </c>
      <c r="C1109" s="15">
        <f>WEEKNUM(Orders[[#This Row],[OrderDate]])</f>
        <v>47</v>
      </c>
      <c r="D1109" s="4" t="s">
        <v>352</v>
      </c>
      <c r="E1109" s="4" t="s">
        <v>151</v>
      </c>
      <c r="F1109" s="4">
        <v>6</v>
      </c>
      <c r="G1109" s="4">
        <v>15263.900000000001</v>
      </c>
      <c r="H1109">
        <v>12974.315000000002</v>
      </c>
      <c r="I1109">
        <f>Orders[[#This Row],[Quantity]]*Orders[[#This Row],[Selling Price]]</f>
        <v>91583.400000000009</v>
      </c>
      <c r="J1109">
        <f>Orders[[#This Row],[Quantity]]*Orders[[#This Row],[Cost Price]]</f>
        <v>77845.890000000014</v>
      </c>
      <c r="K1109">
        <f>Orders[[#This Row],[Revenue]]-Orders[[#This Row],[Expenses]]</f>
        <v>13737.509999999995</v>
      </c>
      <c r="L1109" t="s">
        <v>2212</v>
      </c>
      <c r="M1109" t="str">
        <f>_xlfn.XLOOKUP(Orders[[#This Row],[CustomerID]],Customers[CustomerID],Customers[City])</f>
        <v>Texas</v>
      </c>
      <c r="N1109" t="str">
        <f>_xlfn.XLOOKUP(Orders[[#This Row],[CustomerID]],Customers[CustomerID],Customers[CustomerName])</f>
        <v>Zainab Eze</v>
      </c>
      <c r="O1109" t="str">
        <f>_xlfn.XLOOKUP(Orders[[#This Row],[CustomerID]],Customers[CustomerID],Customers[Gender])</f>
        <v>Female</v>
      </c>
      <c r="P1109">
        <f>_xlfn.XLOOKUP(Orders[[#This Row],[CustomerID]],Customers[CustomerID],Customers[CustomerAge])</f>
        <v>40</v>
      </c>
      <c r="Q1109" t="str">
        <f>IF(Orders[[#This Row],[Age]]&gt;=35,"older","young")</f>
        <v>older</v>
      </c>
      <c r="R1109" t="str">
        <f>_xlfn.XLOOKUP(Orders[[#This Row],[ProductID]],Products[ProductID],Products[ProductName])</f>
        <v>CHECKERS</v>
      </c>
      <c r="S1109" t="str">
        <f>_xlfn.XLOOKUP(Orders[[#This Row],[ProductID]],Products!A:A,Products!C:C)</f>
        <v>Games</v>
      </c>
    </row>
    <row r="1110" spans="1:19" x14ac:dyDescent="0.2">
      <c r="A1110" s="4" t="s">
        <v>1299</v>
      </c>
      <c r="B1110" s="5">
        <v>45954</v>
      </c>
      <c r="C1110" s="15">
        <f>WEEKNUM(Orders[[#This Row],[OrderDate]])</f>
        <v>43</v>
      </c>
      <c r="D1110" s="4" t="s">
        <v>142</v>
      </c>
      <c r="E1110" s="4" t="s">
        <v>189</v>
      </c>
      <c r="F1110" s="4">
        <v>10</v>
      </c>
      <c r="G1110" s="4">
        <v>659.80000000000007</v>
      </c>
      <c r="H1110">
        <v>560.83000000000004</v>
      </c>
      <c r="I1110">
        <f>Orders[[#This Row],[Quantity]]*Orders[[#This Row],[Selling Price]]</f>
        <v>6598.0000000000009</v>
      </c>
      <c r="J1110">
        <f>Orders[[#This Row],[Quantity]]*Orders[[#This Row],[Cost Price]]</f>
        <v>5608.3</v>
      </c>
      <c r="K1110">
        <f>Orders[[#This Row],[Revenue]]-Orders[[#This Row],[Expenses]]</f>
        <v>989.70000000000073</v>
      </c>
      <c r="L1110" t="s">
        <v>2201</v>
      </c>
      <c r="M1110" t="str">
        <f>_xlfn.XLOOKUP(Orders[[#This Row],[CustomerID]],Customers[CustomerID],Customers[City])</f>
        <v>Florida</v>
      </c>
      <c r="N1110" t="str">
        <f>_xlfn.XLOOKUP(Orders[[#This Row],[CustomerID]],Customers[CustomerID],Customers[CustomerName])</f>
        <v>Obi Adeyemi</v>
      </c>
      <c r="O1110" t="str">
        <f>_xlfn.XLOOKUP(Orders[[#This Row],[CustomerID]],Customers[CustomerID],Customers[Gender])</f>
        <v>Male</v>
      </c>
      <c r="P1110">
        <f>_xlfn.XLOOKUP(Orders[[#This Row],[CustomerID]],Customers[CustomerID],Customers[CustomerAge])</f>
        <v>31</v>
      </c>
      <c r="Q1110" t="str">
        <f>IF(Orders[[#This Row],[Age]]&gt;=35,"older","young")</f>
        <v>young</v>
      </c>
      <c r="R1110" t="str">
        <f>_xlfn.XLOOKUP(Orders[[#This Row],[ProductID]],Products[ProductID],Products[ProductName])</f>
        <v>SCRABBLE</v>
      </c>
      <c r="S1110" t="str">
        <f>_xlfn.XLOOKUP(Orders[[#This Row],[ProductID]],Products!A:A,Products!C:C)</f>
        <v>Games</v>
      </c>
    </row>
    <row r="1111" spans="1:19" x14ac:dyDescent="0.2">
      <c r="A1111" s="4" t="s">
        <v>1300</v>
      </c>
      <c r="B1111" s="5">
        <v>46011</v>
      </c>
      <c r="C1111" s="15">
        <f>WEEKNUM(Orders[[#This Row],[OrderDate]])</f>
        <v>51</v>
      </c>
      <c r="D1111" s="4" t="s">
        <v>150</v>
      </c>
      <c r="E1111" s="4" t="s">
        <v>125</v>
      </c>
      <c r="F1111" s="4">
        <v>3</v>
      </c>
      <c r="G1111" s="4">
        <v>16199.300000000001</v>
      </c>
      <c r="H1111">
        <v>13769.405000000001</v>
      </c>
      <c r="I1111">
        <f>Orders[[#This Row],[Quantity]]*Orders[[#This Row],[Selling Price]]</f>
        <v>48597.9</v>
      </c>
      <c r="J1111">
        <f>Orders[[#This Row],[Quantity]]*Orders[[#This Row],[Cost Price]]</f>
        <v>41308.215000000004</v>
      </c>
      <c r="K1111">
        <f>Orders[[#This Row],[Revenue]]-Orders[[#This Row],[Expenses]]</f>
        <v>7289.6849999999977</v>
      </c>
      <c r="L1111" t="s">
        <v>2208</v>
      </c>
      <c r="M1111" t="str">
        <f>_xlfn.XLOOKUP(Orders[[#This Row],[CustomerID]],Customers[CustomerID],Customers[City])</f>
        <v>Georgia</v>
      </c>
      <c r="N1111" t="str">
        <f>_xlfn.XLOOKUP(Orders[[#This Row],[CustomerID]],Customers[CustomerID],Customers[CustomerName])</f>
        <v>Ronke Eze</v>
      </c>
      <c r="O1111" t="str">
        <f>_xlfn.XLOOKUP(Orders[[#This Row],[CustomerID]],Customers[CustomerID],Customers[Gender])</f>
        <v>Female</v>
      </c>
      <c r="P1111">
        <f>_xlfn.XLOOKUP(Orders[[#This Row],[CustomerID]],Customers[CustomerID],Customers[CustomerAge])</f>
        <v>23</v>
      </c>
      <c r="Q1111" t="str">
        <f>IF(Orders[[#This Row],[Age]]&gt;=35,"older","young")</f>
        <v>young</v>
      </c>
      <c r="R1111" t="str">
        <f>_xlfn.XLOOKUP(Orders[[#This Row],[ProductID]],Products[ProductID],Products[ProductName])</f>
        <v>EARRINGS</v>
      </c>
      <c r="S1111" t="str">
        <f>_xlfn.XLOOKUP(Orders[[#This Row],[ProductID]],Products!A:A,Products!C:C)</f>
        <v>Accessories</v>
      </c>
    </row>
    <row r="1112" spans="1:19" x14ac:dyDescent="0.2">
      <c r="A1112" s="4" t="s">
        <v>1301</v>
      </c>
      <c r="B1112" s="5">
        <v>45980</v>
      </c>
      <c r="C1112" s="15">
        <f>WEEKNUM(Orders[[#This Row],[OrderDate]])</f>
        <v>47</v>
      </c>
      <c r="D1112" s="4" t="s">
        <v>468</v>
      </c>
      <c r="E1112" s="4" t="s">
        <v>37</v>
      </c>
      <c r="F1112" s="4">
        <v>8</v>
      </c>
      <c r="G1112" s="4">
        <v>9907.1</v>
      </c>
      <c r="H1112">
        <v>8421.0349999999999</v>
      </c>
      <c r="I1112">
        <f>Orders[[#This Row],[Quantity]]*Orders[[#This Row],[Selling Price]]</f>
        <v>79256.800000000003</v>
      </c>
      <c r="J1112">
        <f>Orders[[#This Row],[Quantity]]*Orders[[#This Row],[Cost Price]]</f>
        <v>67368.28</v>
      </c>
      <c r="K1112">
        <f>Orders[[#This Row],[Revenue]]-Orders[[#This Row],[Expenses]]</f>
        <v>11888.520000000004</v>
      </c>
      <c r="L1112" t="s">
        <v>2200</v>
      </c>
      <c r="M1112" t="str">
        <f>_xlfn.XLOOKUP(Orders[[#This Row],[CustomerID]],Customers[CustomerID],Customers[City])</f>
        <v>California</v>
      </c>
      <c r="N1112" t="str">
        <f>_xlfn.XLOOKUP(Orders[[#This Row],[CustomerID]],Customers[CustomerID],Customers[CustomerName])</f>
        <v>Chioma Adeyemi</v>
      </c>
      <c r="O1112" t="str">
        <f>_xlfn.XLOOKUP(Orders[[#This Row],[CustomerID]],Customers[CustomerID],Customers[Gender])</f>
        <v>Female</v>
      </c>
      <c r="P1112">
        <f>_xlfn.XLOOKUP(Orders[[#This Row],[CustomerID]],Customers[CustomerID],Customers[CustomerAge])</f>
        <v>23</v>
      </c>
      <c r="Q1112" t="str">
        <f>IF(Orders[[#This Row],[Age]]&gt;=35,"older","young")</f>
        <v>young</v>
      </c>
      <c r="R1112" t="str">
        <f>_xlfn.XLOOKUP(Orders[[#This Row],[ProductID]],Products[ProductID],Products[ProductName])</f>
        <v>IRON</v>
      </c>
      <c r="S1112" t="str">
        <f>_xlfn.XLOOKUP(Orders[[#This Row],[ProductID]],Products!A:A,Products!C:C)</f>
        <v>Electronics</v>
      </c>
    </row>
    <row r="1113" spans="1:19" x14ac:dyDescent="0.2">
      <c r="A1113" s="4" t="s">
        <v>1302</v>
      </c>
      <c r="B1113" s="5">
        <v>45948</v>
      </c>
      <c r="C1113" s="15">
        <f>WEEKNUM(Orders[[#This Row],[OrderDate]])</f>
        <v>42</v>
      </c>
      <c r="D1113" s="4" t="s">
        <v>52</v>
      </c>
      <c r="E1113" s="4" t="s">
        <v>15</v>
      </c>
      <c r="F1113" s="4">
        <v>8</v>
      </c>
      <c r="G1113" s="4">
        <v>11873.4</v>
      </c>
      <c r="H1113">
        <v>10092.39</v>
      </c>
      <c r="I1113">
        <f>Orders[[#This Row],[Quantity]]*Orders[[#This Row],[Selling Price]]</f>
        <v>94987.199999999997</v>
      </c>
      <c r="J1113">
        <f>Orders[[#This Row],[Quantity]]*Orders[[#This Row],[Cost Price]]</f>
        <v>80739.12</v>
      </c>
      <c r="K1113">
        <f>Orders[[#This Row],[Revenue]]-Orders[[#This Row],[Expenses]]</f>
        <v>14248.080000000002</v>
      </c>
      <c r="L1113" t="s">
        <v>2198</v>
      </c>
      <c r="M1113" t="str">
        <f>_xlfn.XLOOKUP(Orders[[#This Row],[CustomerID]],Customers[CustomerID],Customers[City])</f>
        <v>Texas</v>
      </c>
      <c r="N1113" t="str">
        <f>_xlfn.XLOOKUP(Orders[[#This Row],[CustomerID]],Customers[CustomerID],Customers[CustomerName])</f>
        <v>Folasade Ojo</v>
      </c>
      <c r="O1113" t="str">
        <f>_xlfn.XLOOKUP(Orders[[#This Row],[CustomerID]],Customers[CustomerID],Customers[Gender])</f>
        <v>Female</v>
      </c>
      <c r="P1113">
        <f>_xlfn.XLOOKUP(Orders[[#This Row],[CustomerID]],Customers[CustomerID],Customers[CustomerAge])</f>
        <v>29</v>
      </c>
      <c r="Q1113" t="str">
        <f>IF(Orders[[#This Row],[Age]]&gt;=35,"older","young")</f>
        <v>young</v>
      </c>
      <c r="R1113" t="str">
        <f>_xlfn.XLOOKUP(Orders[[#This Row],[ProductID]],Products[ProductID],Products[ProductName])</f>
        <v>MONOPOLY</v>
      </c>
      <c r="S1113" t="str">
        <f>_xlfn.XLOOKUP(Orders[[#This Row],[ProductID]],Products!A:A,Products!C:C)</f>
        <v>Games</v>
      </c>
    </row>
    <row r="1114" spans="1:19" x14ac:dyDescent="0.2">
      <c r="A1114" s="4" t="s">
        <v>1303</v>
      </c>
      <c r="B1114" s="5">
        <v>45986</v>
      </c>
      <c r="C1114" s="15">
        <f>WEEKNUM(Orders[[#This Row],[OrderDate]])</f>
        <v>48</v>
      </c>
      <c r="D1114" s="4" t="s">
        <v>118</v>
      </c>
      <c r="E1114" s="4" t="s">
        <v>31</v>
      </c>
      <c r="F1114" s="4">
        <v>2</v>
      </c>
      <c r="G1114" s="4">
        <v>5983.9</v>
      </c>
      <c r="H1114">
        <v>5086.3149999999996</v>
      </c>
      <c r="I1114">
        <f>Orders[[#This Row],[Quantity]]*Orders[[#This Row],[Selling Price]]</f>
        <v>11967.8</v>
      </c>
      <c r="J1114">
        <f>Orders[[#This Row],[Quantity]]*Orders[[#This Row],[Cost Price]]</f>
        <v>10172.629999999999</v>
      </c>
      <c r="K1114">
        <f>Orders[[#This Row],[Revenue]]-Orders[[#This Row],[Expenses]]</f>
        <v>1795.17</v>
      </c>
      <c r="L1114" t="s">
        <v>2202</v>
      </c>
      <c r="M1114" t="str">
        <f>_xlfn.XLOOKUP(Orders[[#This Row],[CustomerID]],Customers[CustomerID],Customers[City])</f>
        <v>Georgia</v>
      </c>
      <c r="N1114" t="str">
        <f>_xlfn.XLOOKUP(Orders[[#This Row],[CustomerID]],Customers[CustomerID],Customers[CustomerName])</f>
        <v>Ibrahim Balogun</v>
      </c>
      <c r="O1114" t="str">
        <f>_xlfn.XLOOKUP(Orders[[#This Row],[CustomerID]],Customers[CustomerID],Customers[Gender])</f>
        <v>Male</v>
      </c>
      <c r="P1114">
        <f>_xlfn.XLOOKUP(Orders[[#This Row],[CustomerID]],Customers[CustomerID],Customers[CustomerAge])</f>
        <v>55</v>
      </c>
      <c r="Q1114" t="str">
        <f>IF(Orders[[#This Row],[Age]]&gt;=35,"older","young")</f>
        <v>older</v>
      </c>
      <c r="R1114" t="str">
        <f>_xlfn.XLOOKUP(Orders[[#This Row],[ProductID]],Products[ProductID],Products[ProductName])</f>
        <v>KIDS GAMES</v>
      </c>
      <c r="S1114" t="str">
        <f>_xlfn.XLOOKUP(Orders[[#This Row],[ProductID]],Products!A:A,Products!C:C)</f>
        <v>Games</v>
      </c>
    </row>
    <row r="1115" spans="1:19" x14ac:dyDescent="0.2">
      <c r="A1115" s="4" t="s">
        <v>1304</v>
      </c>
      <c r="B1115" s="5">
        <v>45956</v>
      </c>
      <c r="C1115" s="15">
        <f>WEEKNUM(Orders[[#This Row],[OrderDate]])</f>
        <v>44</v>
      </c>
      <c r="D1115" s="4" t="s">
        <v>33</v>
      </c>
      <c r="E1115" s="4" t="s">
        <v>23</v>
      </c>
      <c r="F1115" s="4">
        <v>9</v>
      </c>
      <c r="G1115" s="4">
        <v>5398.4000000000005</v>
      </c>
      <c r="H1115">
        <v>4588.6400000000003</v>
      </c>
      <c r="I1115">
        <f>Orders[[#This Row],[Quantity]]*Orders[[#This Row],[Selling Price]]</f>
        <v>48585.600000000006</v>
      </c>
      <c r="J1115">
        <f>Orders[[#This Row],[Quantity]]*Orders[[#This Row],[Cost Price]]</f>
        <v>41297.760000000002</v>
      </c>
      <c r="K1115">
        <f>Orders[[#This Row],[Revenue]]-Orders[[#This Row],[Expenses]]</f>
        <v>7287.8400000000038</v>
      </c>
      <c r="L1115" t="s">
        <v>2202</v>
      </c>
      <c r="M1115" t="str">
        <f>_xlfn.XLOOKUP(Orders[[#This Row],[CustomerID]],Customers[CustomerID],Customers[City])</f>
        <v>Texas</v>
      </c>
      <c r="N1115" t="str">
        <f>_xlfn.XLOOKUP(Orders[[#This Row],[CustomerID]],Customers[CustomerID],Customers[CustomerName])</f>
        <v>Okon Balogun</v>
      </c>
      <c r="O1115" t="str">
        <f>_xlfn.XLOOKUP(Orders[[#This Row],[CustomerID]],Customers[CustomerID],Customers[Gender])</f>
        <v>Male</v>
      </c>
      <c r="P1115">
        <f>_xlfn.XLOOKUP(Orders[[#This Row],[CustomerID]],Customers[CustomerID],Customers[CustomerAge])</f>
        <v>28</v>
      </c>
      <c r="Q1115" t="str">
        <f>IF(Orders[[#This Row],[Age]]&gt;=35,"older","young")</f>
        <v>young</v>
      </c>
      <c r="R1115" t="str">
        <f>_xlfn.XLOOKUP(Orders[[#This Row],[ProductID]],Products[ProductID],Products[ProductName])</f>
        <v>GYM GLOVES</v>
      </c>
      <c r="S1115" t="str">
        <f>_xlfn.XLOOKUP(Orders[[#This Row],[ProductID]],Products!A:A,Products!C:C)</f>
        <v>Gym</v>
      </c>
    </row>
    <row r="1116" spans="1:19" x14ac:dyDescent="0.2">
      <c r="A1116" s="4" t="s">
        <v>1305</v>
      </c>
      <c r="B1116" s="5">
        <v>45985</v>
      </c>
      <c r="C1116" s="15">
        <f>WEEKNUM(Orders[[#This Row],[OrderDate]])</f>
        <v>48</v>
      </c>
      <c r="D1116" s="4" t="s">
        <v>43</v>
      </c>
      <c r="E1116" s="4" t="s">
        <v>84</v>
      </c>
      <c r="F1116" s="4">
        <v>3</v>
      </c>
      <c r="G1116" s="4">
        <v>6933.2000000000007</v>
      </c>
      <c r="H1116">
        <v>5893.2200000000012</v>
      </c>
      <c r="I1116">
        <f>Orders[[#This Row],[Quantity]]*Orders[[#This Row],[Selling Price]]</f>
        <v>20799.600000000002</v>
      </c>
      <c r="J1116">
        <f>Orders[[#This Row],[Quantity]]*Orders[[#This Row],[Cost Price]]</f>
        <v>17679.660000000003</v>
      </c>
      <c r="K1116">
        <f>Orders[[#This Row],[Revenue]]-Orders[[#This Row],[Expenses]]</f>
        <v>3119.9399999999987</v>
      </c>
      <c r="L1116" t="s">
        <v>2202</v>
      </c>
      <c r="M1116" t="str">
        <f>_xlfn.XLOOKUP(Orders[[#This Row],[CustomerID]],Customers[CustomerID],Customers[City])</f>
        <v>Georgia</v>
      </c>
      <c r="N1116" t="str">
        <f>_xlfn.XLOOKUP(Orders[[#This Row],[CustomerID]],Customers[CustomerID],Customers[CustomerName])</f>
        <v>Mustafa Danladi</v>
      </c>
      <c r="O1116" t="str">
        <f>_xlfn.XLOOKUP(Orders[[#This Row],[CustomerID]],Customers[CustomerID],Customers[Gender])</f>
        <v>Male</v>
      </c>
      <c r="P1116">
        <f>_xlfn.XLOOKUP(Orders[[#This Row],[CustomerID]],Customers[CustomerID],Customers[CustomerAge])</f>
        <v>49</v>
      </c>
      <c r="Q1116" t="str">
        <f>IF(Orders[[#This Row],[Age]]&gt;=35,"older","young")</f>
        <v>older</v>
      </c>
      <c r="R1116" t="str">
        <f>_xlfn.XLOOKUP(Orders[[#This Row],[ProductID]],Products[ProductID],Products[ProductName])</f>
        <v>GYM WEARS</v>
      </c>
      <c r="S1116" t="str">
        <f>_xlfn.XLOOKUP(Orders[[#This Row],[ProductID]],Products!A:A,Products!C:C)</f>
        <v>Clothing</v>
      </c>
    </row>
    <row r="1117" spans="1:19" x14ac:dyDescent="0.2">
      <c r="A1117" s="4" t="s">
        <v>1306</v>
      </c>
      <c r="B1117" s="5">
        <v>45991</v>
      </c>
      <c r="C1117" s="15">
        <f>WEEKNUM(Orders[[#This Row],[OrderDate]])</f>
        <v>49</v>
      </c>
      <c r="D1117" s="4" t="s">
        <v>176</v>
      </c>
      <c r="E1117" s="4" t="s">
        <v>168</v>
      </c>
      <c r="F1117" s="4">
        <v>3</v>
      </c>
      <c r="G1117" s="4">
        <v>18657.8</v>
      </c>
      <c r="H1117">
        <v>15859.13</v>
      </c>
      <c r="I1117">
        <f>Orders[[#This Row],[Quantity]]*Orders[[#This Row],[Selling Price]]</f>
        <v>55973.399999999994</v>
      </c>
      <c r="J1117">
        <f>Orders[[#This Row],[Quantity]]*Orders[[#This Row],[Cost Price]]</f>
        <v>47577.39</v>
      </c>
      <c r="K1117">
        <f>Orders[[#This Row],[Revenue]]-Orders[[#This Row],[Expenses]]</f>
        <v>8396.0099999999948</v>
      </c>
      <c r="L1117" t="s">
        <v>2203</v>
      </c>
      <c r="M1117" t="str">
        <f>_xlfn.XLOOKUP(Orders[[#This Row],[CustomerID]],Customers[CustomerID],Customers[City])</f>
        <v>Florida</v>
      </c>
      <c r="N1117" t="str">
        <f>_xlfn.XLOOKUP(Orders[[#This Row],[CustomerID]],Customers[CustomerID],Customers[CustomerName])</f>
        <v>Okon Eze</v>
      </c>
      <c r="O1117" t="str">
        <f>_xlfn.XLOOKUP(Orders[[#This Row],[CustomerID]],Customers[CustomerID],Customers[Gender])</f>
        <v>Male</v>
      </c>
      <c r="P1117">
        <f>_xlfn.XLOOKUP(Orders[[#This Row],[CustomerID]],Customers[CustomerID],Customers[CustomerAge])</f>
        <v>26</v>
      </c>
      <c r="Q1117" t="str">
        <f>IF(Orders[[#This Row],[Age]]&gt;=35,"older","young")</f>
        <v>young</v>
      </c>
      <c r="R1117" t="str">
        <f>_xlfn.XLOOKUP(Orders[[#This Row],[ProductID]],Products[ProductID],Products[ProductName])</f>
        <v>DUMB BELLS</v>
      </c>
      <c r="S1117" t="str">
        <f>_xlfn.XLOOKUP(Orders[[#This Row],[ProductID]],Products!A:A,Products!C:C)</f>
        <v>Gym</v>
      </c>
    </row>
    <row r="1118" spans="1:19" x14ac:dyDescent="0.2">
      <c r="A1118" s="4" t="s">
        <v>1307</v>
      </c>
      <c r="B1118" s="5">
        <v>45940</v>
      </c>
      <c r="C1118" s="15">
        <f>WEEKNUM(Orders[[#This Row],[OrderDate]])</f>
        <v>41</v>
      </c>
      <c r="D1118" s="4" t="s">
        <v>514</v>
      </c>
      <c r="E1118" s="4" t="s">
        <v>46</v>
      </c>
      <c r="F1118" s="4">
        <v>4</v>
      </c>
      <c r="G1118" s="4">
        <v>5685.5</v>
      </c>
      <c r="H1118">
        <v>4832.6750000000002</v>
      </c>
      <c r="I1118">
        <f>Orders[[#This Row],[Quantity]]*Orders[[#This Row],[Selling Price]]</f>
        <v>22742</v>
      </c>
      <c r="J1118">
        <f>Orders[[#This Row],[Quantity]]*Orders[[#This Row],[Cost Price]]</f>
        <v>19330.7</v>
      </c>
      <c r="K1118">
        <f>Orders[[#This Row],[Revenue]]-Orders[[#This Row],[Expenses]]</f>
        <v>3411.2999999999993</v>
      </c>
      <c r="L1118" t="s">
        <v>2210</v>
      </c>
      <c r="M1118" t="str">
        <f>_xlfn.XLOOKUP(Orders[[#This Row],[CustomerID]],Customers[CustomerID],Customers[City])</f>
        <v>Florida</v>
      </c>
      <c r="N1118" t="str">
        <f>_xlfn.XLOOKUP(Orders[[#This Row],[CustomerID]],Customers[CustomerID],Customers[CustomerName])</f>
        <v>Ibrahim Okonkwo</v>
      </c>
      <c r="O1118" t="str">
        <f>_xlfn.XLOOKUP(Orders[[#This Row],[CustomerID]],Customers[CustomerID],Customers[Gender])</f>
        <v>Male</v>
      </c>
      <c r="P1118">
        <f>_xlfn.XLOOKUP(Orders[[#This Row],[CustomerID]],Customers[CustomerID],Customers[CustomerAge])</f>
        <v>28</v>
      </c>
      <c r="Q1118" t="str">
        <f>IF(Orders[[#This Row],[Age]]&gt;=35,"older","young")</f>
        <v>young</v>
      </c>
      <c r="R1118" t="str">
        <f>_xlfn.XLOOKUP(Orders[[#This Row],[ProductID]],Products[ProductID],Products[ProductName])</f>
        <v>TURTLE NECK</v>
      </c>
      <c r="S1118" t="str">
        <f>_xlfn.XLOOKUP(Orders[[#This Row],[ProductID]],Products!A:A,Products!C:C)</f>
        <v>Clothing</v>
      </c>
    </row>
    <row r="1119" spans="1:19" x14ac:dyDescent="0.2">
      <c r="A1119" s="4" t="s">
        <v>1308</v>
      </c>
      <c r="B1119" s="5">
        <v>45957</v>
      </c>
      <c r="C1119" s="15">
        <f>WEEKNUM(Orders[[#This Row],[OrderDate]])</f>
        <v>44</v>
      </c>
      <c r="D1119" s="4" t="s">
        <v>203</v>
      </c>
      <c r="E1119" s="4" t="s">
        <v>151</v>
      </c>
      <c r="F1119" s="4">
        <v>9</v>
      </c>
      <c r="G1119" s="4">
        <v>7092.7999999999993</v>
      </c>
      <c r="H1119">
        <v>6028.8799999999992</v>
      </c>
      <c r="I1119">
        <f>Orders[[#This Row],[Quantity]]*Orders[[#This Row],[Selling Price]]</f>
        <v>63835.199999999997</v>
      </c>
      <c r="J1119">
        <f>Orders[[#This Row],[Quantity]]*Orders[[#This Row],[Cost Price]]</f>
        <v>54259.919999999991</v>
      </c>
      <c r="K1119">
        <f>Orders[[#This Row],[Revenue]]-Orders[[#This Row],[Expenses]]</f>
        <v>9575.2800000000061</v>
      </c>
      <c r="L1119" t="s">
        <v>2220</v>
      </c>
      <c r="M1119" t="str">
        <f>_xlfn.XLOOKUP(Orders[[#This Row],[CustomerID]],Customers[CustomerID],Customers[City])</f>
        <v>Texas</v>
      </c>
      <c r="N1119" t="str">
        <f>_xlfn.XLOOKUP(Orders[[#This Row],[CustomerID]],Customers[CustomerID],Customers[CustomerName])</f>
        <v>Okon Bello</v>
      </c>
      <c r="O1119" t="str">
        <f>_xlfn.XLOOKUP(Orders[[#This Row],[CustomerID]],Customers[CustomerID],Customers[Gender])</f>
        <v>Male</v>
      </c>
      <c r="P1119">
        <f>_xlfn.XLOOKUP(Orders[[#This Row],[CustomerID]],Customers[CustomerID],Customers[CustomerAge])</f>
        <v>20</v>
      </c>
      <c r="Q1119" t="str">
        <f>IF(Orders[[#This Row],[Age]]&gt;=35,"older","young")</f>
        <v>young</v>
      </c>
      <c r="R1119" t="str">
        <f>_xlfn.XLOOKUP(Orders[[#This Row],[ProductID]],Products[ProductID],Products[ProductName])</f>
        <v>CHECKERS</v>
      </c>
      <c r="S1119" t="str">
        <f>_xlfn.XLOOKUP(Orders[[#This Row],[ProductID]],Products!A:A,Products!C:C)</f>
        <v>Games</v>
      </c>
    </row>
    <row r="1120" spans="1:19" x14ac:dyDescent="0.2">
      <c r="A1120" s="4" t="s">
        <v>1309</v>
      </c>
      <c r="B1120" s="5">
        <v>45969</v>
      </c>
      <c r="C1120" s="15">
        <f>WEEKNUM(Orders[[#This Row],[OrderDate]])</f>
        <v>45</v>
      </c>
      <c r="D1120" s="4" t="s">
        <v>163</v>
      </c>
      <c r="E1120" s="4" t="s">
        <v>28</v>
      </c>
      <c r="F1120" s="4">
        <v>7</v>
      </c>
      <c r="G1120" s="4">
        <v>10704</v>
      </c>
      <c r="H1120">
        <v>9098.4</v>
      </c>
      <c r="I1120">
        <f>Orders[[#This Row],[Quantity]]*Orders[[#This Row],[Selling Price]]</f>
        <v>74928</v>
      </c>
      <c r="J1120">
        <f>Orders[[#This Row],[Quantity]]*Orders[[#This Row],[Cost Price]]</f>
        <v>63688.799999999996</v>
      </c>
      <c r="K1120">
        <f>Orders[[#This Row],[Revenue]]-Orders[[#This Row],[Expenses]]</f>
        <v>11239.200000000004</v>
      </c>
      <c r="L1120" t="s">
        <v>2213</v>
      </c>
      <c r="M1120" t="str">
        <f>_xlfn.XLOOKUP(Orders[[#This Row],[CustomerID]],Customers[CustomerID],Customers[City])</f>
        <v>Texas</v>
      </c>
      <c r="N1120" t="str">
        <f>_xlfn.XLOOKUP(Orders[[#This Row],[CustomerID]],Customers[CustomerID],Customers[CustomerName])</f>
        <v>Folasade Danladi</v>
      </c>
      <c r="O1120" t="str">
        <f>_xlfn.XLOOKUP(Orders[[#This Row],[CustomerID]],Customers[CustomerID],Customers[Gender])</f>
        <v>Female</v>
      </c>
      <c r="P1120">
        <f>_xlfn.XLOOKUP(Orders[[#This Row],[CustomerID]],Customers[CustomerID],Customers[CustomerAge])</f>
        <v>32</v>
      </c>
      <c r="Q1120" t="str">
        <f>IF(Orders[[#This Row],[Age]]&gt;=35,"older","young")</f>
        <v>young</v>
      </c>
      <c r="R1120" t="str">
        <f>_xlfn.XLOOKUP(Orders[[#This Row],[ProductID]],Products[ProductID],Products[ProductName])</f>
        <v>SNEAKERS</v>
      </c>
      <c r="S1120" t="str">
        <f>_xlfn.XLOOKUP(Orders[[#This Row],[ProductID]],Products!A:A,Products!C:C)</f>
        <v>Sports</v>
      </c>
    </row>
    <row r="1121" spans="1:19" x14ac:dyDescent="0.2">
      <c r="A1121" s="4" t="s">
        <v>1310</v>
      </c>
      <c r="B1121" s="5">
        <v>45932</v>
      </c>
      <c r="C1121" s="15">
        <f>WEEKNUM(Orders[[#This Row],[OrderDate]])</f>
        <v>40</v>
      </c>
      <c r="D1121" s="4" t="s">
        <v>291</v>
      </c>
      <c r="E1121" s="4" t="s">
        <v>57</v>
      </c>
      <c r="F1121" s="4">
        <v>4</v>
      </c>
      <c r="G1121" s="4">
        <v>1343.3000000000002</v>
      </c>
      <c r="H1121">
        <v>1141.8050000000001</v>
      </c>
      <c r="I1121">
        <f>Orders[[#This Row],[Quantity]]*Orders[[#This Row],[Selling Price]]</f>
        <v>5373.2000000000007</v>
      </c>
      <c r="J1121">
        <f>Orders[[#This Row],[Quantity]]*Orders[[#This Row],[Cost Price]]</f>
        <v>4567.22</v>
      </c>
      <c r="K1121">
        <f>Orders[[#This Row],[Revenue]]-Orders[[#This Row],[Expenses]]</f>
        <v>805.98000000000047</v>
      </c>
      <c r="L1121" t="s">
        <v>2211</v>
      </c>
      <c r="M1121" t="str">
        <f>_xlfn.XLOOKUP(Orders[[#This Row],[CustomerID]],Customers[CustomerID],Customers[City])</f>
        <v>Texas</v>
      </c>
      <c r="N1121" t="str">
        <f>_xlfn.XLOOKUP(Orders[[#This Row],[CustomerID]],Customers[CustomerID],Customers[CustomerName])</f>
        <v>Okon Igwe</v>
      </c>
      <c r="O1121" t="str">
        <f>_xlfn.XLOOKUP(Orders[[#This Row],[CustomerID]],Customers[CustomerID],Customers[Gender])</f>
        <v>Male</v>
      </c>
      <c r="P1121">
        <f>_xlfn.XLOOKUP(Orders[[#This Row],[CustomerID]],Customers[CustomerID],Customers[CustomerAge])</f>
        <v>33</v>
      </c>
      <c r="Q1121" t="str">
        <f>IF(Orders[[#This Row],[Age]]&gt;=35,"older","young")</f>
        <v>young</v>
      </c>
      <c r="R1121" t="str">
        <f>_xlfn.XLOOKUP(Orders[[#This Row],[ProductID]],Products[ProductID],Products[ProductName])</f>
        <v>BADMINTON RACKET</v>
      </c>
      <c r="S1121" t="str">
        <f>_xlfn.XLOOKUP(Orders[[#This Row],[ProductID]],Products!A:A,Products!C:C)</f>
        <v>Sports</v>
      </c>
    </row>
    <row r="1122" spans="1:19" x14ac:dyDescent="0.2">
      <c r="A1122" s="4" t="s">
        <v>1311</v>
      </c>
      <c r="B1122" s="5">
        <v>45964</v>
      </c>
      <c r="C1122" s="15">
        <f>WEEKNUM(Orders[[#This Row],[OrderDate]])</f>
        <v>45</v>
      </c>
      <c r="D1122" s="4" t="s">
        <v>468</v>
      </c>
      <c r="E1122" s="4" t="s">
        <v>9</v>
      </c>
      <c r="F1122" s="4">
        <v>9</v>
      </c>
      <c r="G1122" s="4">
        <v>19012.900000000001</v>
      </c>
      <c r="H1122">
        <v>16160.965000000002</v>
      </c>
      <c r="I1122">
        <f>Orders[[#This Row],[Quantity]]*Orders[[#This Row],[Selling Price]]</f>
        <v>171116.1</v>
      </c>
      <c r="J1122">
        <f>Orders[[#This Row],[Quantity]]*Orders[[#This Row],[Cost Price]]</f>
        <v>145448.68500000003</v>
      </c>
      <c r="K1122">
        <f>Orders[[#This Row],[Revenue]]-Orders[[#This Row],[Expenses]]</f>
        <v>25667.414999999979</v>
      </c>
      <c r="L1122" t="s">
        <v>2217</v>
      </c>
      <c r="M1122" t="str">
        <f>_xlfn.XLOOKUP(Orders[[#This Row],[CustomerID]],Customers[CustomerID],Customers[City])</f>
        <v>California</v>
      </c>
      <c r="N1122" t="str">
        <f>_xlfn.XLOOKUP(Orders[[#This Row],[CustomerID]],Customers[CustomerID],Customers[CustomerName])</f>
        <v>Chioma Adeyemi</v>
      </c>
      <c r="O1122" t="str">
        <f>_xlfn.XLOOKUP(Orders[[#This Row],[CustomerID]],Customers[CustomerID],Customers[Gender])</f>
        <v>Female</v>
      </c>
      <c r="P1122">
        <f>_xlfn.XLOOKUP(Orders[[#This Row],[CustomerID]],Customers[CustomerID],Customers[CustomerAge])</f>
        <v>23</v>
      </c>
      <c r="Q1122" t="str">
        <f>IF(Orders[[#This Row],[Age]]&gt;=35,"older","young")</f>
        <v>young</v>
      </c>
      <c r="R1122" t="str">
        <f>_xlfn.XLOOKUP(Orders[[#This Row],[ProductID]],Products[ProductID],Products[ProductName])</f>
        <v>BEADED EARRINGS AND NECKLACES</v>
      </c>
      <c r="S1122" t="str">
        <f>_xlfn.XLOOKUP(Orders[[#This Row],[ProductID]],Products!A:A,Products!C:C)</f>
        <v>Accessories</v>
      </c>
    </row>
    <row r="1123" spans="1:19" x14ac:dyDescent="0.2">
      <c r="A1123" s="4" t="s">
        <v>1312</v>
      </c>
      <c r="B1123" s="5">
        <v>45938</v>
      </c>
      <c r="C1123" s="15">
        <f>WEEKNUM(Orders[[#This Row],[OrderDate]])</f>
        <v>41</v>
      </c>
      <c r="D1123" s="4" t="s">
        <v>103</v>
      </c>
      <c r="E1123" s="4" t="s">
        <v>46</v>
      </c>
      <c r="F1123" s="4">
        <v>10</v>
      </c>
      <c r="G1123" s="4">
        <v>7741.2</v>
      </c>
      <c r="H1123">
        <v>6580.02</v>
      </c>
      <c r="I1123">
        <f>Orders[[#This Row],[Quantity]]*Orders[[#This Row],[Selling Price]]</f>
        <v>77412</v>
      </c>
      <c r="J1123">
        <f>Orders[[#This Row],[Quantity]]*Orders[[#This Row],[Cost Price]]</f>
        <v>65800.200000000012</v>
      </c>
      <c r="K1123">
        <f>Orders[[#This Row],[Revenue]]-Orders[[#This Row],[Expenses]]</f>
        <v>11611.799999999988</v>
      </c>
      <c r="L1123" t="s">
        <v>2198</v>
      </c>
      <c r="M1123" t="str">
        <f>_xlfn.XLOOKUP(Orders[[#This Row],[CustomerID]],Customers[CustomerID],Customers[City])</f>
        <v>Georgia</v>
      </c>
      <c r="N1123" t="str">
        <f>_xlfn.XLOOKUP(Orders[[#This Row],[CustomerID]],Customers[CustomerID],Customers[CustomerName])</f>
        <v>Chioma Adeyemi</v>
      </c>
      <c r="O1123" t="str">
        <f>_xlfn.XLOOKUP(Orders[[#This Row],[CustomerID]],Customers[CustomerID],Customers[Gender])</f>
        <v>Female</v>
      </c>
      <c r="P1123">
        <f>_xlfn.XLOOKUP(Orders[[#This Row],[CustomerID]],Customers[CustomerID],Customers[CustomerAge])</f>
        <v>31</v>
      </c>
      <c r="Q1123" t="str">
        <f>IF(Orders[[#This Row],[Age]]&gt;=35,"older","young")</f>
        <v>young</v>
      </c>
      <c r="R1123" t="str">
        <f>_xlfn.XLOOKUP(Orders[[#This Row],[ProductID]],Products[ProductID],Products[ProductName])</f>
        <v>TURTLE NECK</v>
      </c>
      <c r="S1123" t="str">
        <f>_xlfn.XLOOKUP(Orders[[#This Row],[ProductID]],Products!A:A,Products!C:C)</f>
        <v>Clothing</v>
      </c>
    </row>
    <row r="1124" spans="1:19" x14ac:dyDescent="0.2">
      <c r="A1124" s="4" t="s">
        <v>1313</v>
      </c>
      <c r="B1124" s="5">
        <v>45941</v>
      </c>
      <c r="C1124" s="15">
        <f>WEEKNUM(Orders[[#This Row],[OrderDate]])</f>
        <v>41</v>
      </c>
      <c r="D1124" s="4" t="s">
        <v>110</v>
      </c>
      <c r="E1124" s="4" t="s">
        <v>66</v>
      </c>
      <c r="F1124" s="4">
        <v>4</v>
      </c>
      <c r="G1124" s="4">
        <v>17478.3</v>
      </c>
      <c r="H1124">
        <v>14856.555</v>
      </c>
      <c r="I1124">
        <f>Orders[[#This Row],[Quantity]]*Orders[[#This Row],[Selling Price]]</f>
        <v>69913.2</v>
      </c>
      <c r="J1124">
        <f>Orders[[#This Row],[Quantity]]*Orders[[#This Row],[Cost Price]]</f>
        <v>59426.22</v>
      </c>
      <c r="K1124">
        <f>Orders[[#This Row],[Revenue]]-Orders[[#This Row],[Expenses]]</f>
        <v>10486.979999999996</v>
      </c>
      <c r="L1124" t="s">
        <v>2205</v>
      </c>
      <c r="M1124" t="str">
        <f>_xlfn.XLOOKUP(Orders[[#This Row],[CustomerID]],Customers[CustomerID],Customers[City])</f>
        <v>Washington</v>
      </c>
      <c r="N1124" t="str">
        <f>_xlfn.XLOOKUP(Orders[[#This Row],[CustomerID]],Customers[CustomerID],Customers[CustomerName])</f>
        <v>Ngozi Danladi</v>
      </c>
      <c r="O1124" t="str">
        <f>_xlfn.XLOOKUP(Orders[[#This Row],[CustomerID]],Customers[CustomerID],Customers[Gender])</f>
        <v>Female</v>
      </c>
      <c r="P1124">
        <f>_xlfn.XLOOKUP(Orders[[#This Row],[CustomerID]],Customers[CustomerID],Customers[CustomerAge])</f>
        <v>28</v>
      </c>
      <c r="Q1124" t="str">
        <f>IF(Orders[[#This Row],[Age]]&gt;=35,"older","young")</f>
        <v>young</v>
      </c>
      <c r="R1124" t="str">
        <f>_xlfn.XLOOKUP(Orders[[#This Row],[ProductID]],Products[ProductID],Products[ProductName])</f>
        <v>MICROWAVE</v>
      </c>
      <c r="S1124" t="str">
        <f>_xlfn.XLOOKUP(Orders[[#This Row],[ProductID]],Products!A:A,Products!C:C)</f>
        <v>Electronics</v>
      </c>
    </row>
    <row r="1125" spans="1:19" x14ac:dyDescent="0.2">
      <c r="A1125" s="4" t="s">
        <v>1314</v>
      </c>
      <c r="B1125" s="5">
        <v>46008</v>
      </c>
      <c r="C1125" s="15">
        <f>WEEKNUM(Orders[[#This Row],[OrderDate]])</f>
        <v>51</v>
      </c>
      <c r="D1125" s="4" t="s">
        <v>210</v>
      </c>
      <c r="E1125" s="4" t="s">
        <v>232</v>
      </c>
      <c r="F1125" s="4">
        <v>4</v>
      </c>
      <c r="G1125" s="4">
        <v>10944.7</v>
      </c>
      <c r="H1125">
        <v>9302.9950000000008</v>
      </c>
      <c r="I1125">
        <f>Orders[[#This Row],[Quantity]]*Orders[[#This Row],[Selling Price]]</f>
        <v>43778.8</v>
      </c>
      <c r="J1125">
        <f>Orders[[#This Row],[Quantity]]*Orders[[#This Row],[Cost Price]]</f>
        <v>37211.980000000003</v>
      </c>
      <c r="K1125">
        <f>Orders[[#This Row],[Revenue]]-Orders[[#This Row],[Expenses]]</f>
        <v>6566.82</v>
      </c>
      <c r="L1125" t="s">
        <v>2208</v>
      </c>
      <c r="M1125" t="str">
        <f>_xlfn.XLOOKUP(Orders[[#This Row],[CustomerID]],Customers[CustomerID],Customers[City])</f>
        <v>Illinois</v>
      </c>
      <c r="N1125" t="str">
        <f>_xlfn.XLOOKUP(Orders[[#This Row],[CustomerID]],Customers[CustomerID],Customers[CustomerName])</f>
        <v>Zainab Bello</v>
      </c>
      <c r="O1125" t="str">
        <f>_xlfn.XLOOKUP(Orders[[#This Row],[CustomerID]],Customers[CustomerID],Customers[Gender])</f>
        <v>Female</v>
      </c>
      <c r="P1125">
        <f>_xlfn.XLOOKUP(Orders[[#This Row],[CustomerID]],Customers[CustomerID],Customers[CustomerAge])</f>
        <v>27</v>
      </c>
      <c r="Q1125" t="str">
        <f>IF(Orders[[#This Row],[Age]]&gt;=35,"older","young")</f>
        <v>young</v>
      </c>
      <c r="R1125" t="str">
        <f>_xlfn.XLOOKUP(Orders[[#This Row],[ProductID]],Products[ProductID],Products[ProductName])</f>
        <v>ANKARA</v>
      </c>
      <c r="S1125" t="str">
        <f>_xlfn.XLOOKUP(Orders[[#This Row],[ProductID]],Products!A:A,Products!C:C)</f>
        <v>Clothing</v>
      </c>
    </row>
    <row r="1126" spans="1:19" x14ac:dyDescent="0.2">
      <c r="A1126" s="4" t="s">
        <v>1315</v>
      </c>
      <c r="B1126" s="5">
        <v>45935</v>
      </c>
      <c r="C1126" s="15">
        <f>WEEKNUM(Orders[[#This Row],[OrderDate]])</f>
        <v>41</v>
      </c>
      <c r="D1126" s="4" t="s">
        <v>291</v>
      </c>
      <c r="E1126" s="4" t="s">
        <v>20</v>
      </c>
      <c r="F1126" s="4">
        <v>2</v>
      </c>
      <c r="G1126" s="4">
        <v>6458.7</v>
      </c>
      <c r="H1126">
        <v>5489.8949999999995</v>
      </c>
      <c r="I1126">
        <f>Orders[[#This Row],[Quantity]]*Orders[[#This Row],[Selling Price]]</f>
        <v>12917.4</v>
      </c>
      <c r="J1126">
        <f>Orders[[#This Row],[Quantity]]*Orders[[#This Row],[Cost Price]]</f>
        <v>10979.789999999999</v>
      </c>
      <c r="K1126">
        <f>Orders[[#This Row],[Revenue]]-Orders[[#This Row],[Expenses]]</f>
        <v>1937.6100000000006</v>
      </c>
      <c r="L1126" t="s">
        <v>2218</v>
      </c>
      <c r="M1126" t="str">
        <f>_xlfn.XLOOKUP(Orders[[#This Row],[CustomerID]],Customers[CustomerID],Customers[City])</f>
        <v>Texas</v>
      </c>
      <c r="N1126" t="str">
        <f>_xlfn.XLOOKUP(Orders[[#This Row],[CustomerID]],Customers[CustomerID],Customers[CustomerName])</f>
        <v>Okon Igwe</v>
      </c>
      <c r="O1126" t="str">
        <f>_xlfn.XLOOKUP(Orders[[#This Row],[CustomerID]],Customers[CustomerID],Customers[Gender])</f>
        <v>Male</v>
      </c>
      <c r="P1126">
        <f>_xlfn.XLOOKUP(Orders[[#This Row],[CustomerID]],Customers[CustomerID],Customers[CustomerAge])</f>
        <v>33</v>
      </c>
      <c r="Q1126" t="str">
        <f>IF(Orders[[#This Row],[Age]]&gt;=35,"older","young")</f>
        <v>young</v>
      </c>
      <c r="R1126" t="str">
        <f>_xlfn.XLOOKUP(Orders[[#This Row],[ProductID]],Products[ProductID],Products[ProductName])</f>
        <v>GYM BAG</v>
      </c>
      <c r="S1126" t="str">
        <f>_xlfn.XLOOKUP(Orders[[#This Row],[ProductID]],Products!A:A,Products!C:C)</f>
        <v>Gym</v>
      </c>
    </row>
    <row r="1127" spans="1:19" x14ac:dyDescent="0.2">
      <c r="A1127" s="4" t="s">
        <v>1316</v>
      </c>
      <c r="B1127" s="5">
        <v>45934</v>
      </c>
      <c r="C1127" s="15">
        <f>WEEKNUM(Orders[[#This Row],[OrderDate]])</f>
        <v>40</v>
      </c>
      <c r="D1127" s="4" t="s">
        <v>138</v>
      </c>
      <c r="E1127" s="4" t="s">
        <v>208</v>
      </c>
      <c r="F1127" s="4">
        <v>4</v>
      </c>
      <c r="G1127" s="4">
        <v>10284.799999999999</v>
      </c>
      <c r="H1127">
        <v>8742.08</v>
      </c>
      <c r="I1127">
        <f>Orders[[#This Row],[Quantity]]*Orders[[#This Row],[Selling Price]]</f>
        <v>41139.199999999997</v>
      </c>
      <c r="J1127">
        <f>Orders[[#This Row],[Quantity]]*Orders[[#This Row],[Cost Price]]</f>
        <v>34968.32</v>
      </c>
      <c r="K1127">
        <f>Orders[[#This Row],[Revenue]]-Orders[[#This Row],[Expenses]]</f>
        <v>6170.8799999999974</v>
      </c>
      <c r="L1127" t="s">
        <v>2212</v>
      </c>
      <c r="M1127" t="str">
        <f>_xlfn.XLOOKUP(Orders[[#This Row],[CustomerID]],Customers[CustomerID],Customers[City])</f>
        <v>Washington</v>
      </c>
      <c r="N1127" t="str">
        <f>_xlfn.XLOOKUP(Orders[[#This Row],[CustomerID]],Customers[CustomerID],Customers[CustomerName])</f>
        <v>Efe Adeyemi</v>
      </c>
      <c r="O1127" t="str">
        <f>_xlfn.XLOOKUP(Orders[[#This Row],[CustomerID]],Customers[CustomerID],Customers[Gender])</f>
        <v>Female</v>
      </c>
      <c r="P1127">
        <f>_xlfn.XLOOKUP(Orders[[#This Row],[CustomerID]],Customers[CustomerID],Customers[CustomerAge])</f>
        <v>22</v>
      </c>
      <c r="Q1127" t="str">
        <f>IF(Orders[[#This Row],[Age]]&gt;=35,"older","young")</f>
        <v>young</v>
      </c>
      <c r="R1127" t="str">
        <f>_xlfn.XLOOKUP(Orders[[#This Row],[ProductID]],Products[ProductID],Products[ProductName])</f>
        <v>SKIPPING ROPE</v>
      </c>
      <c r="S1127" t="str">
        <f>_xlfn.XLOOKUP(Orders[[#This Row],[ProductID]],Products!A:A,Products!C:C)</f>
        <v>Sports</v>
      </c>
    </row>
    <row r="1128" spans="1:19" x14ac:dyDescent="0.2">
      <c r="A1128" s="4" t="s">
        <v>1317</v>
      </c>
      <c r="B1128" s="5">
        <v>45966</v>
      </c>
      <c r="C1128" s="15">
        <f>WEEKNUM(Orders[[#This Row],[OrderDate]])</f>
        <v>45</v>
      </c>
      <c r="D1128" s="4" t="s">
        <v>159</v>
      </c>
      <c r="E1128" s="4" t="s">
        <v>66</v>
      </c>
      <c r="F1128" s="4">
        <v>5</v>
      </c>
      <c r="G1128" s="4">
        <v>18526.8</v>
      </c>
      <c r="H1128">
        <v>15747.779999999999</v>
      </c>
      <c r="I1128">
        <f>Orders[[#This Row],[Quantity]]*Orders[[#This Row],[Selling Price]]</f>
        <v>92634</v>
      </c>
      <c r="J1128">
        <f>Orders[[#This Row],[Quantity]]*Orders[[#This Row],[Cost Price]]</f>
        <v>78738.899999999994</v>
      </c>
      <c r="K1128">
        <f>Orders[[#This Row],[Revenue]]-Orders[[#This Row],[Expenses]]</f>
        <v>13895.100000000006</v>
      </c>
      <c r="L1128" t="s">
        <v>2200</v>
      </c>
      <c r="M1128" t="str">
        <f>_xlfn.XLOOKUP(Orders[[#This Row],[CustomerID]],Customers[CustomerID],Customers[City])</f>
        <v>Florida</v>
      </c>
      <c r="N1128" t="str">
        <f>_xlfn.XLOOKUP(Orders[[#This Row],[CustomerID]],Customers[CustomerID],Customers[CustomerName])</f>
        <v>Ibrahim Okonkwo</v>
      </c>
      <c r="O1128" t="str">
        <f>_xlfn.XLOOKUP(Orders[[#This Row],[CustomerID]],Customers[CustomerID],Customers[Gender])</f>
        <v>Male</v>
      </c>
      <c r="P1128">
        <f>_xlfn.XLOOKUP(Orders[[#This Row],[CustomerID]],Customers[CustomerID],Customers[CustomerAge])</f>
        <v>49</v>
      </c>
      <c r="Q1128" t="str">
        <f>IF(Orders[[#This Row],[Age]]&gt;=35,"older","young")</f>
        <v>older</v>
      </c>
      <c r="R1128" t="str">
        <f>_xlfn.XLOOKUP(Orders[[#This Row],[ProductID]],Products[ProductID],Products[ProductName])</f>
        <v>MICROWAVE</v>
      </c>
      <c r="S1128" t="str">
        <f>_xlfn.XLOOKUP(Orders[[#This Row],[ProductID]],Products!A:A,Products!C:C)</f>
        <v>Electronics</v>
      </c>
    </row>
    <row r="1129" spans="1:19" x14ac:dyDescent="0.2">
      <c r="A1129" s="4" t="s">
        <v>1318</v>
      </c>
      <c r="B1129" s="5">
        <v>45993</v>
      </c>
      <c r="C1129" s="15">
        <f>WEEKNUM(Orders[[#This Row],[OrderDate]])</f>
        <v>49</v>
      </c>
      <c r="D1129" s="4" t="s">
        <v>388</v>
      </c>
      <c r="E1129" s="4" t="s">
        <v>253</v>
      </c>
      <c r="F1129" s="4">
        <v>8</v>
      </c>
      <c r="G1129" s="4">
        <v>3580.6</v>
      </c>
      <c r="H1129">
        <v>3043.51</v>
      </c>
      <c r="I1129">
        <f>Orders[[#This Row],[Quantity]]*Orders[[#This Row],[Selling Price]]</f>
        <v>28644.799999999999</v>
      </c>
      <c r="J1129">
        <f>Orders[[#This Row],[Quantity]]*Orders[[#This Row],[Cost Price]]</f>
        <v>24348.080000000002</v>
      </c>
      <c r="K1129">
        <f>Orders[[#This Row],[Revenue]]-Orders[[#This Row],[Expenses]]</f>
        <v>4296.7199999999975</v>
      </c>
      <c r="L1129" t="s">
        <v>2218</v>
      </c>
      <c r="M1129" t="str">
        <f>_xlfn.XLOOKUP(Orders[[#This Row],[CustomerID]],Customers[CustomerID],Customers[City])</f>
        <v>Washington</v>
      </c>
      <c r="N1129" t="str">
        <f>_xlfn.XLOOKUP(Orders[[#This Row],[CustomerID]],Customers[CustomerID],Customers[CustomerName])</f>
        <v>Folasade Okonkwo</v>
      </c>
      <c r="O1129" t="str">
        <f>_xlfn.XLOOKUP(Orders[[#This Row],[CustomerID]],Customers[CustomerID],Customers[Gender])</f>
        <v>Female</v>
      </c>
      <c r="P1129">
        <f>_xlfn.XLOOKUP(Orders[[#This Row],[CustomerID]],Customers[CustomerID],Customers[CustomerAge])</f>
        <v>52</v>
      </c>
      <c r="Q1129" t="str">
        <f>IF(Orders[[#This Row],[Age]]&gt;=35,"older","young")</f>
        <v>older</v>
      </c>
      <c r="R1129" t="str">
        <f>_xlfn.XLOOKUP(Orders[[#This Row],[ProductID]],Products[ProductID],Products[ProductName])</f>
        <v>NOSE RINGS</v>
      </c>
      <c r="S1129" t="str">
        <f>_xlfn.XLOOKUP(Orders[[#This Row],[ProductID]],Products!A:A,Products!C:C)</f>
        <v>Accessories</v>
      </c>
    </row>
    <row r="1130" spans="1:19" x14ac:dyDescent="0.2">
      <c r="A1130" s="4" t="s">
        <v>1319</v>
      </c>
      <c r="B1130" s="5">
        <v>45954</v>
      </c>
      <c r="C1130" s="15">
        <f>WEEKNUM(Orders[[#This Row],[OrderDate]])</f>
        <v>43</v>
      </c>
      <c r="D1130" s="4" t="s">
        <v>322</v>
      </c>
      <c r="E1130" s="4" t="s">
        <v>151</v>
      </c>
      <c r="F1130" s="4">
        <v>2</v>
      </c>
      <c r="G1130" s="4">
        <v>9150.9</v>
      </c>
      <c r="H1130">
        <v>7778.2649999999994</v>
      </c>
      <c r="I1130">
        <f>Orders[[#This Row],[Quantity]]*Orders[[#This Row],[Selling Price]]</f>
        <v>18301.8</v>
      </c>
      <c r="J1130">
        <f>Orders[[#This Row],[Quantity]]*Orders[[#This Row],[Cost Price]]</f>
        <v>15556.529999999999</v>
      </c>
      <c r="K1130">
        <f>Orders[[#This Row],[Revenue]]-Orders[[#This Row],[Expenses]]</f>
        <v>2745.2700000000004</v>
      </c>
      <c r="L1130" t="s">
        <v>2193</v>
      </c>
      <c r="M1130" t="str">
        <f>_xlfn.XLOOKUP(Orders[[#This Row],[CustomerID]],Customers[CustomerID],Customers[City])</f>
        <v>Washington</v>
      </c>
      <c r="N1130" t="str">
        <f>_xlfn.XLOOKUP(Orders[[#This Row],[CustomerID]],Customers[CustomerID],Customers[CustomerName])</f>
        <v>Ngozi Bello</v>
      </c>
      <c r="O1130" t="str">
        <f>_xlfn.XLOOKUP(Orders[[#This Row],[CustomerID]],Customers[CustomerID],Customers[Gender])</f>
        <v>Female</v>
      </c>
      <c r="P1130">
        <f>_xlfn.XLOOKUP(Orders[[#This Row],[CustomerID]],Customers[CustomerID],Customers[CustomerAge])</f>
        <v>32</v>
      </c>
      <c r="Q1130" t="str">
        <f>IF(Orders[[#This Row],[Age]]&gt;=35,"older","young")</f>
        <v>young</v>
      </c>
      <c r="R1130" t="str">
        <f>_xlfn.XLOOKUP(Orders[[#This Row],[ProductID]],Products[ProductID],Products[ProductName])</f>
        <v>CHECKERS</v>
      </c>
      <c r="S1130" t="str">
        <f>_xlfn.XLOOKUP(Orders[[#This Row],[ProductID]],Products!A:A,Products!C:C)</f>
        <v>Games</v>
      </c>
    </row>
    <row r="1131" spans="1:19" x14ac:dyDescent="0.2">
      <c r="A1131" s="4" t="s">
        <v>1320</v>
      </c>
      <c r="B1131" s="5">
        <v>45961</v>
      </c>
      <c r="C1131" s="15">
        <f>WEEKNUM(Orders[[#This Row],[OrderDate]])</f>
        <v>44</v>
      </c>
      <c r="D1131" s="4" t="s">
        <v>94</v>
      </c>
      <c r="E1131" s="4" t="s">
        <v>92</v>
      </c>
      <c r="F1131" s="4">
        <v>7</v>
      </c>
      <c r="G1131" s="4">
        <v>7770.4</v>
      </c>
      <c r="H1131">
        <v>6604.84</v>
      </c>
      <c r="I1131">
        <f>Orders[[#This Row],[Quantity]]*Orders[[#This Row],[Selling Price]]</f>
        <v>54392.799999999996</v>
      </c>
      <c r="J1131">
        <f>Orders[[#This Row],[Quantity]]*Orders[[#This Row],[Cost Price]]</f>
        <v>46233.880000000005</v>
      </c>
      <c r="K1131">
        <f>Orders[[#This Row],[Revenue]]-Orders[[#This Row],[Expenses]]</f>
        <v>8158.919999999991</v>
      </c>
      <c r="L1131" t="s">
        <v>2212</v>
      </c>
      <c r="M1131" t="str">
        <f>_xlfn.XLOOKUP(Orders[[#This Row],[CustomerID]],Customers[CustomerID],Customers[City])</f>
        <v>Texas</v>
      </c>
      <c r="N1131" t="str">
        <f>_xlfn.XLOOKUP(Orders[[#This Row],[CustomerID]],Customers[CustomerID],Customers[CustomerName])</f>
        <v>Uche Abubakar</v>
      </c>
      <c r="O1131" t="str">
        <f>_xlfn.XLOOKUP(Orders[[#This Row],[CustomerID]],Customers[CustomerID],Customers[Gender])</f>
        <v>Male</v>
      </c>
      <c r="P1131">
        <f>_xlfn.XLOOKUP(Orders[[#This Row],[CustomerID]],Customers[CustomerID],Customers[CustomerAge])</f>
        <v>26</v>
      </c>
      <c r="Q1131" t="str">
        <f>IF(Orders[[#This Row],[Age]]&gt;=35,"older","young")</f>
        <v>young</v>
      </c>
      <c r="R1131" t="str">
        <f>_xlfn.XLOOKUP(Orders[[#This Row],[ProductID]],Products[ProductID],Products[ProductName])</f>
        <v>CHEST EXPANDER</v>
      </c>
      <c r="S1131" t="str">
        <f>_xlfn.XLOOKUP(Orders[[#This Row],[ProductID]],Products!A:A,Products!C:C)</f>
        <v>Gym</v>
      </c>
    </row>
    <row r="1132" spans="1:19" x14ac:dyDescent="0.2">
      <c r="A1132" s="4" t="s">
        <v>1321</v>
      </c>
      <c r="B1132" s="5">
        <v>45948</v>
      </c>
      <c r="C1132" s="15">
        <f>WEEKNUM(Orders[[#This Row],[OrderDate]])</f>
        <v>42</v>
      </c>
      <c r="D1132" s="4" t="s">
        <v>19</v>
      </c>
      <c r="E1132" s="4" t="s">
        <v>76</v>
      </c>
      <c r="F1132" s="4">
        <v>6</v>
      </c>
      <c r="G1132" s="4">
        <v>19619.8</v>
      </c>
      <c r="H1132">
        <v>16676.829999999998</v>
      </c>
      <c r="I1132">
        <f>Orders[[#This Row],[Quantity]]*Orders[[#This Row],[Selling Price]]</f>
        <v>117718.79999999999</v>
      </c>
      <c r="J1132">
        <f>Orders[[#This Row],[Quantity]]*Orders[[#This Row],[Cost Price]]</f>
        <v>100060.97999999998</v>
      </c>
      <c r="K1132">
        <f>Orders[[#This Row],[Revenue]]-Orders[[#This Row],[Expenses]]</f>
        <v>17657.820000000007</v>
      </c>
      <c r="L1132" t="s">
        <v>2216</v>
      </c>
      <c r="M1132" t="str">
        <f>_xlfn.XLOOKUP(Orders[[#This Row],[CustomerID]],Customers[CustomerID],Customers[City])</f>
        <v>California</v>
      </c>
      <c r="N1132" t="str">
        <f>_xlfn.XLOOKUP(Orders[[#This Row],[CustomerID]],Customers[CustomerID],Customers[CustomerName])</f>
        <v>Obi Adeyemi</v>
      </c>
      <c r="O1132" t="str">
        <f>_xlfn.XLOOKUP(Orders[[#This Row],[CustomerID]],Customers[CustomerID],Customers[Gender])</f>
        <v>Male</v>
      </c>
      <c r="P1132">
        <f>_xlfn.XLOOKUP(Orders[[#This Row],[CustomerID]],Customers[CustomerID],Customers[CustomerAge])</f>
        <v>24</v>
      </c>
      <c r="Q1132" t="str">
        <f>IF(Orders[[#This Row],[Age]]&gt;=35,"older","young")</f>
        <v>young</v>
      </c>
      <c r="R1132" t="str">
        <f>_xlfn.XLOOKUP(Orders[[#This Row],[ProductID]],Products[ProductID],Products[ProductName])</f>
        <v>BLENDER</v>
      </c>
      <c r="S1132" t="str">
        <f>_xlfn.XLOOKUP(Orders[[#This Row],[ProductID]],Products!A:A,Products!C:C)</f>
        <v>Electronics</v>
      </c>
    </row>
    <row r="1133" spans="1:19" x14ac:dyDescent="0.2">
      <c r="A1133" s="4" t="s">
        <v>1322</v>
      </c>
      <c r="B1133" s="5">
        <v>45935</v>
      </c>
      <c r="C1133" s="15">
        <f>WEEKNUM(Orders[[#This Row],[OrderDate]])</f>
        <v>41</v>
      </c>
      <c r="D1133" s="4" t="s">
        <v>138</v>
      </c>
      <c r="E1133" s="4" t="s">
        <v>130</v>
      </c>
      <c r="F1133" s="4">
        <v>5</v>
      </c>
      <c r="G1133" s="4">
        <v>13376.7</v>
      </c>
      <c r="H1133">
        <v>11370.195</v>
      </c>
      <c r="I1133">
        <f>Orders[[#This Row],[Quantity]]*Orders[[#This Row],[Selling Price]]</f>
        <v>66883.5</v>
      </c>
      <c r="J1133">
        <f>Orders[[#This Row],[Quantity]]*Orders[[#This Row],[Cost Price]]</f>
        <v>56850.974999999999</v>
      </c>
      <c r="K1133">
        <f>Orders[[#This Row],[Revenue]]-Orders[[#This Row],[Expenses]]</f>
        <v>10032.525000000001</v>
      </c>
      <c r="L1133" t="s">
        <v>2199</v>
      </c>
      <c r="M1133" t="str">
        <f>_xlfn.XLOOKUP(Orders[[#This Row],[CustomerID]],Customers[CustomerID],Customers[City])</f>
        <v>Washington</v>
      </c>
      <c r="N1133" t="str">
        <f>_xlfn.XLOOKUP(Orders[[#This Row],[CustomerID]],Customers[CustomerID],Customers[CustomerName])</f>
        <v>Efe Adeyemi</v>
      </c>
      <c r="O1133" t="str">
        <f>_xlfn.XLOOKUP(Orders[[#This Row],[CustomerID]],Customers[CustomerID],Customers[Gender])</f>
        <v>Female</v>
      </c>
      <c r="P1133">
        <f>_xlfn.XLOOKUP(Orders[[#This Row],[CustomerID]],Customers[CustomerID],Customers[CustomerAge])</f>
        <v>22</v>
      </c>
      <c r="Q1133" t="str">
        <f>IF(Orders[[#This Row],[Age]]&gt;=35,"older","young")</f>
        <v>young</v>
      </c>
      <c r="R1133" t="str">
        <f>_xlfn.XLOOKUP(Orders[[#This Row],[ProductID]],Products[ProductID],Products[ProductName])</f>
        <v>GOLD EARRINGS AND NECKLACES</v>
      </c>
      <c r="S1133" t="str">
        <f>_xlfn.XLOOKUP(Orders[[#This Row],[ProductID]],Products!A:A,Products!C:C)</f>
        <v>Accessories</v>
      </c>
    </row>
    <row r="1134" spans="1:19" x14ac:dyDescent="0.2">
      <c r="A1134" s="4" t="s">
        <v>1323</v>
      </c>
      <c r="B1134" s="5">
        <v>46002</v>
      </c>
      <c r="C1134" s="15">
        <f>WEEKNUM(Orders[[#This Row],[OrderDate]])</f>
        <v>50</v>
      </c>
      <c r="D1134" s="4" t="s">
        <v>340</v>
      </c>
      <c r="E1134" s="4" t="s">
        <v>70</v>
      </c>
      <c r="F1134" s="4">
        <v>5</v>
      </c>
      <c r="G1134" s="4">
        <v>14719.400000000001</v>
      </c>
      <c r="H1134">
        <v>12511.490000000002</v>
      </c>
      <c r="I1134">
        <f>Orders[[#This Row],[Quantity]]*Orders[[#This Row],[Selling Price]]</f>
        <v>73597</v>
      </c>
      <c r="J1134">
        <f>Orders[[#This Row],[Quantity]]*Orders[[#This Row],[Cost Price]]</f>
        <v>62557.450000000012</v>
      </c>
      <c r="K1134">
        <f>Orders[[#This Row],[Revenue]]-Orders[[#This Row],[Expenses]]</f>
        <v>11039.549999999988</v>
      </c>
      <c r="L1134" t="s">
        <v>2208</v>
      </c>
      <c r="M1134" t="str">
        <f>_xlfn.XLOOKUP(Orders[[#This Row],[CustomerID]],Customers[CustomerID],Customers[City])</f>
        <v>Illinois</v>
      </c>
      <c r="N1134" t="str">
        <f>_xlfn.XLOOKUP(Orders[[#This Row],[CustomerID]],Customers[CustomerID],Customers[CustomerName])</f>
        <v>Uche Abubakar</v>
      </c>
      <c r="O1134" t="str">
        <f>_xlfn.XLOOKUP(Orders[[#This Row],[CustomerID]],Customers[CustomerID],Customers[Gender])</f>
        <v>Male</v>
      </c>
      <c r="P1134">
        <f>_xlfn.XLOOKUP(Orders[[#This Row],[CustomerID]],Customers[CustomerID],Customers[CustomerAge])</f>
        <v>18</v>
      </c>
      <c r="Q1134" t="str">
        <f>IF(Orders[[#This Row],[Age]]&gt;=35,"older","young")</f>
        <v>young</v>
      </c>
      <c r="R1134" t="str">
        <f>_xlfn.XLOOKUP(Orders[[#This Row],[ProductID]],Products[ProductID],Products[ProductName])</f>
        <v>YOGA MAT</v>
      </c>
      <c r="S1134" t="str">
        <f>_xlfn.XLOOKUP(Orders[[#This Row],[ProductID]],Products!A:A,Products!C:C)</f>
        <v>Gym</v>
      </c>
    </row>
    <row r="1135" spans="1:19" x14ac:dyDescent="0.2">
      <c r="A1135" s="4" t="s">
        <v>1324</v>
      </c>
      <c r="B1135" s="5">
        <v>45995</v>
      </c>
      <c r="C1135" s="15">
        <f>WEEKNUM(Orders[[#This Row],[OrderDate]])</f>
        <v>49</v>
      </c>
      <c r="D1135" s="4" t="s">
        <v>272</v>
      </c>
      <c r="E1135" s="4" t="s">
        <v>232</v>
      </c>
      <c r="F1135" s="4">
        <v>5</v>
      </c>
      <c r="G1135" s="4">
        <v>12223.4</v>
      </c>
      <c r="H1135">
        <v>10389.89</v>
      </c>
      <c r="I1135">
        <f>Orders[[#This Row],[Quantity]]*Orders[[#This Row],[Selling Price]]</f>
        <v>61117</v>
      </c>
      <c r="J1135">
        <f>Orders[[#This Row],[Quantity]]*Orders[[#This Row],[Cost Price]]</f>
        <v>51949.45</v>
      </c>
      <c r="K1135">
        <f>Orders[[#This Row],[Revenue]]-Orders[[#This Row],[Expenses]]</f>
        <v>9167.5500000000029</v>
      </c>
      <c r="L1135" t="s">
        <v>2214</v>
      </c>
      <c r="M1135" t="str">
        <f>_xlfn.XLOOKUP(Orders[[#This Row],[CustomerID]],Customers[CustomerID],Customers[City])</f>
        <v>Florida</v>
      </c>
      <c r="N1135" t="str">
        <f>_xlfn.XLOOKUP(Orders[[#This Row],[CustomerID]],Customers[CustomerID],Customers[CustomerName])</f>
        <v>Blessing Bello</v>
      </c>
      <c r="O1135" t="str">
        <f>_xlfn.XLOOKUP(Orders[[#This Row],[CustomerID]],Customers[CustomerID],Customers[Gender])</f>
        <v>Female</v>
      </c>
      <c r="P1135">
        <f>_xlfn.XLOOKUP(Orders[[#This Row],[CustomerID]],Customers[CustomerID],Customers[CustomerAge])</f>
        <v>38</v>
      </c>
      <c r="Q1135" t="str">
        <f>IF(Orders[[#This Row],[Age]]&gt;=35,"older","young")</f>
        <v>older</v>
      </c>
      <c r="R1135" t="str">
        <f>_xlfn.XLOOKUP(Orders[[#This Row],[ProductID]],Products[ProductID],Products[ProductName])</f>
        <v>ANKARA</v>
      </c>
      <c r="S1135" t="str">
        <f>_xlfn.XLOOKUP(Orders[[#This Row],[ProductID]],Products!A:A,Products!C:C)</f>
        <v>Clothing</v>
      </c>
    </row>
    <row r="1136" spans="1:19" x14ac:dyDescent="0.2">
      <c r="A1136" s="4" t="s">
        <v>1325</v>
      </c>
      <c r="B1136" s="5">
        <v>45964</v>
      </c>
      <c r="C1136" s="15">
        <f>WEEKNUM(Orders[[#This Row],[OrderDate]])</f>
        <v>45</v>
      </c>
      <c r="D1136" s="4" t="s">
        <v>214</v>
      </c>
      <c r="E1136" s="4" t="s">
        <v>111</v>
      </c>
      <c r="F1136" s="4">
        <v>5</v>
      </c>
      <c r="G1136" s="4">
        <v>5277.7999999999993</v>
      </c>
      <c r="H1136">
        <v>4486.1299999999992</v>
      </c>
      <c r="I1136">
        <f>Orders[[#This Row],[Quantity]]*Orders[[#This Row],[Selling Price]]</f>
        <v>26388.999999999996</v>
      </c>
      <c r="J1136">
        <f>Orders[[#This Row],[Quantity]]*Orders[[#This Row],[Cost Price]]</f>
        <v>22430.649999999994</v>
      </c>
      <c r="K1136">
        <f>Orders[[#This Row],[Revenue]]-Orders[[#This Row],[Expenses]]</f>
        <v>3958.3500000000022</v>
      </c>
      <c r="L1136" t="s">
        <v>2219</v>
      </c>
      <c r="M1136" t="str">
        <f>_xlfn.XLOOKUP(Orders[[#This Row],[CustomerID]],Customers[CustomerID],Customers[City])</f>
        <v>California</v>
      </c>
      <c r="N1136" t="str">
        <f>_xlfn.XLOOKUP(Orders[[#This Row],[CustomerID]],Customers[CustomerID],Customers[CustomerName])</f>
        <v>Adanma Okonkwo</v>
      </c>
      <c r="O1136" t="str">
        <f>_xlfn.XLOOKUP(Orders[[#This Row],[CustomerID]],Customers[CustomerID],Customers[Gender])</f>
        <v>Female</v>
      </c>
      <c r="P1136">
        <f>_xlfn.XLOOKUP(Orders[[#This Row],[CustomerID]],Customers[CustomerID],Customers[CustomerAge])</f>
        <v>20</v>
      </c>
      <c r="Q1136" t="str">
        <f>IF(Orders[[#This Row],[Age]]&gt;=35,"older","young")</f>
        <v>young</v>
      </c>
      <c r="R1136" t="str">
        <f>_xlfn.XLOOKUP(Orders[[#This Row],[ProductID]],Products[ProductID],Products[ProductName])</f>
        <v>REFRIGERATOR</v>
      </c>
      <c r="S1136" t="str">
        <f>_xlfn.XLOOKUP(Orders[[#This Row],[ProductID]],Products!A:A,Products!C:C)</f>
        <v>Electronics</v>
      </c>
    </row>
    <row r="1137" spans="1:19" x14ac:dyDescent="0.2">
      <c r="A1137" s="4" t="s">
        <v>1326</v>
      </c>
      <c r="B1137" s="5">
        <v>45997</v>
      </c>
      <c r="C1137" s="15">
        <f>WEEKNUM(Orders[[#This Row],[OrderDate]])</f>
        <v>49</v>
      </c>
      <c r="D1137" s="4" t="s">
        <v>68</v>
      </c>
      <c r="E1137" s="4" t="s">
        <v>20</v>
      </c>
      <c r="F1137" s="4">
        <v>4</v>
      </c>
      <c r="G1137" s="4">
        <v>5904.2999999999993</v>
      </c>
      <c r="H1137">
        <v>5018.6549999999997</v>
      </c>
      <c r="I1137">
        <f>Orders[[#This Row],[Quantity]]*Orders[[#This Row],[Selling Price]]</f>
        <v>23617.199999999997</v>
      </c>
      <c r="J1137">
        <f>Orders[[#This Row],[Quantity]]*Orders[[#This Row],[Cost Price]]</f>
        <v>20074.62</v>
      </c>
      <c r="K1137">
        <f>Orders[[#This Row],[Revenue]]-Orders[[#This Row],[Expenses]]</f>
        <v>3542.5799999999981</v>
      </c>
      <c r="L1137" t="s">
        <v>2214</v>
      </c>
      <c r="M1137" t="str">
        <f>_xlfn.XLOOKUP(Orders[[#This Row],[CustomerID]],Customers[CustomerID],Customers[City])</f>
        <v>Texas</v>
      </c>
      <c r="N1137" t="str">
        <f>_xlfn.XLOOKUP(Orders[[#This Row],[CustomerID]],Customers[CustomerID],Customers[CustomerName])</f>
        <v>Abiola Balogun</v>
      </c>
      <c r="O1137" t="str">
        <f>_xlfn.XLOOKUP(Orders[[#This Row],[CustomerID]],Customers[CustomerID],Customers[Gender])</f>
        <v>Male</v>
      </c>
      <c r="P1137">
        <f>_xlfn.XLOOKUP(Orders[[#This Row],[CustomerID]],Customers[CustomerID],Customers[CustomerAge])</f>
        <v>29</v>
      </c>
      <c r="Q1137" t="str">
        <f>IF(Orders[[#This Row],[Age]]&gt;=35,"older","young")</f>
        <v>young</v>
      </c>
      <c r="R1137" t="str">
        <f>_xlfn.XLOOKUP(Orders[[#This Row],[ProductID]],Products[ProductID],Products[ProductName])</f>
        <v>GYM BAG</v>
      </c>
      <c r="S1137" t="str">
        <f>_xlfn.XLOOKUP(Orders[[#This Row],[ProductID]],Products!A:A,Products!C:C)</f>
        <v>Gym</v>
      </c>
    </row>
    <row r="1138" spans="1:19" x14ac:dyDescent="0.2">
      <c r="A1138" s="4" t="s">
        <v>1327</v>
      </c>
      <c r="B1138" s="5">
        <v>45931</v>
      </c>
      <c r="C1138" s="15">
        <f>WEEKNUM(Orders[[#This Row],[OrderDate]])</f>
        <v>40</v>
      </c>
      <c r="D1138" s="4" t="s">
        <v>307</v>
      </c>
      <c r="E1138" s="4" t="s">
        <v>31</v>
      </c>
      <c r="F1138" s="4">
        <v>4</v>
      </c>
      <c r="G1138" s="4">
        <v>7458.6</v>
      </c>
      <c r="H1138">
        <v>6339.81</v>
      </c>
      <c r="I1138">
        <f>Orders[[#This Row],[Quantity]]*Orders[[#This Row],[Selling Price]]</f>
        <v>29834.400000000001</v>
      </c>
      <c r="J1138">
        <f>Orders[[#This Row],[Quantity]]*Orders[[#This Row],[Cost Price]]</f>
        <v>25359.24</v>
      </c>
      <c r="K1138">
        <f>Orders[[#This Row],[Revenue]]-Orders[[#This Row],[Expenses]]</f>
        <v>4475.16</v>
      </c>
      <c r="L1138" t="s">
        <v>2213</v>
      </c>
      <c r="M1138" t="str">
        <f>_xlfn.XLOOKUP(Orders[[#This Row],[CustomerID]],Customers[CustomerID],Customers[City])</f>
        <v>Illinois</v>
      </c>
      <c r="N1138" t="str">
        <f>_xlfn.XLOOKUP(Orders[[#This Row],[CustomerID]],Customers[CustomerID],Customers[CustomerName])</f>
        <v>Adanma Bello</v>
      </c>
      <c r="O1138" t="str">
        <f>_xlfn.XLOOKUP(Orders[[#This Row],[CustomerID]],Customers[CustomerID],Customers[Gender])</f>
        <v>Female</v>
      </c>
      <c r="P1138">
        <f>_xlfn.XLOOKUP(Orders[[#This Row],[CustomerID]],Customers[CustomerID],Customers[CustomerAge])</f>
        <v>51</v>
      </c>
      <c r="Q1138" t="str">
        <f>IF(Orders[[#This Row],[Age]]&gt;=35,"older","young")</f>
        <v>older</v>
      </c>
      <c r="R1138" t="str">
        <f>_xlfn.XLOOKUP(Orders[[#This Row],[ProductID]],Products[ProductID],Products[ProductName])</f>
        <v>KIDS GAMES</v>
      </c>
      <c r="S1138" t="str">
        <f>_xlfn.XLOOKUP(Orders[[#This Row],[ProductID]],Products!A:A,Products!C:C)</f>
        <v>Games</v>
      </c>
    </row>
    <row r="1139" spans="1:19" x14ac:dyDescent="0.2">
      <c r="A1139" s="4" t="s">
        <v>1328</v>
      </c>
      <c r="B1139" s="5">
        <v>45997</v>
      </c>
      <c r="C1139" s="15">
        <f>WEEKNUM(Orders[[#This Row],[OrderDate]])</f>
        <v>49</v>
      </c>
      <c r="D1139" s="4" t="s">
        <v>83</v>
      </c>
      <c r="E1139" s="4" t="s">
        <v>130</v>
      </c>
      <c r="F1139" s="4">
        <v>3</v>
      </c>
      <c r="G1139" s="4">
        <v>6832.6</v>
      </c>
      <c r="H1139">
        <v>5807.71</v>
      </c>
      <c r="I1139">
        <f>Orders[[#This Row],[Quantity]]*Orders[[#This Row],[Selling Price]]</f>
        <v>20497.800000000003</v>
      </c>
      <c r="J1139">
        <f>Orders[[#This Row],[Quantity]]*Orders[[#This Row],[Cost Price]]</f>
        <v>17423.13</v>
      </c>
      <c r="K1139">
        <f>Orders[[#This Row],[Revenue]]-Orders[[#This Row],[Expenses]]</f>
        <v>3074.6700000000019</v>
      </c>
      <c r="L1139" t="s">
        <v>2203</v>
      </c>
      <c r="M1139" t="str">
        <f>_xlfn.XLOOKUP(Orders[[#This Row],[CustomerID]],Customers[CustomerID],Customers[City])</f>
        <v>Florida</v>
      </c>
      <c r="N1139" t="str">
        <f>_xlfn.XLOOKUP(Orders[[#This Row],[CustomerID]],Customers[CustomerID],Customers[CustomerName])</f>
        <v>Funke Danladi</v>
      </c>
      <c r="O1139" t="str">
        <f>_xlfn.XLOOKUP(Orders[[#This Row],[CustomerID]],Customers[CustomerID],Customers[Gender])</f>
        <v>Female</v>
      </c>
      <c r="P1139">
        <f>_xlfn.XLOOKUP(Orders[[#This Row],[CustomerID]],Customers[CustomerID],Customers[CustomerAge])</f>
        <v>26</v>
      </c>
      <c r="Q1139" t="str">
        <f>IF(Orders[[#This Row],[Age]]&gt;=35,"older","young")</f>
        <v>young</v>
      </c>
      <c r="R1139" t="str">
        <f>_xlfn.XLOOKUP(Orders[[#This Row],[ProductID]],Products[ProductID],Products[ProductName])</f>
        <v>GOLD EARRINGS AND NECKLACES</v>
      </c>
      <c r="S1139" t="str">
        <f>_xlfn.XLOOKUP(Orders[[#This Row],[ProductID]],Products!A:A,Products!C:C)</f>
        <v>Accessories</v>
      </c>
    </row>
    <row r="1140" spans="1:19" x14ac:dyDescent="0.2">
      <c r="A1140" s="4" t="s">
        <v>1329</v>
      </c>
      <c r="B1140" s="5">
        <v>45933</v>
      </c>
      <c r="C1140" s="15">
        <f>WEEKNUM(Orders[[#This Row],[OrderDate]])</f>
        <v>40</v>
      </c>
      <c r="D1140" s="4" t="s">
        <v>203</v>
      </c>
      <c r="E1140" s="4" t="s">
        <v>189</v>
      </c>
      <c r="F1140" s="4">
        <v>3</v>
      </c>
      <c r="G1140" s="4">
        <v>6322.7999999999993</v>
      </c>
      <c r="H1140">
        <v>5374.3799999999992</v>
      </c>
      <c r="I1140">
        <f>Orders[[#This Row],[Quantity]]*Orders[[#This Row],[Selling Price]]</f>
        <v>18968.399999999998</v>
      </c>
      <c r="J1140">
        <f>Orders[[#This Row],[Quantity]]*Orders[[#This Row],[Cost Price]]</f>
        <v>16123.139999999998</v>
      </c>
      <c r="K1140">
        <f>Orders[[#This Row],[Revenue]]-Orders[[#This Row],[Expenses]]</f>
        <v>2845.26</v>
      </c>
      <c r="L1140" t="s">
        <v>2203</v>
      </c>
      <c r="M1140" t="str">
        <f>_xlfn.XLOOKUP(Orders[[#This Row],[CustomerID]],Customers[CustomerID],Customers[City])</f>
        <v>Texas</v>
      </c>
      <c r="N1140" t="str">
        <f>_xlfn.XLOOKUP(Orders[[#This Row],[CustomerID]],Customers[CustomerID],Customers[CustomerName])</f>
        <v>Okon Bello</v>
      </c>
      <c r="O1140" t="str">
        <f>_xlfn.XLOOKUP(Orders[[#This Row],[CustomerID]],Customers[CustomerID],Customers[Gender])</f>
        <v>Male</v>
      </c>
      <c r="P1140">
        <f>_xlfn.XLOOKUP(Orders[[#This Row],[CustomerID]],Customers[CustomerID],Customers[CustomerAge])</f>
        <v>20</v>
      </c>
      <c r="Q1140" t="str">
        <f>IF(Orders[[#This Row],[Age]]&gt;=35,"older","young")</f>
        <v>young</v>
      </c>
      <c r="R1140" t="str">
        <f>_xlfn.XLOOKUP(Orders[[#This Row],[ProductID]],Products[ProductID],Products[ProductName])</f>
        <v>SCRABBLE</v>
      </c>
      <c r="S1140" t="str">
        <f>_xlfn.XLOOKUP(Orders[[#This Row],[ProductID]],Products!A:A,Products!C:C)</f>
        <v>Games</v>
      </c>
    </row>
    <row r="1141" spans="1:19" x14ac:dyDescent="0.2">
      <c r="A1141" s="4" t="s">
        <v>1330</v>
      </c>
      <c r="B1141" s="5">
        <v>45982</v>
      </c>
      <c r="C1141" s="15">
        <f>WEEKNUM(Orders[[#This Row],[OrderDate]])</f>
        <v>47</v>
      </c>
      <c r="D1141" s="4" t="s">
        <v>89</v>
      </c>
      <c r="E1141" s="4" t="s">
        <v>31</v>
      </c>
      <c r="F1141" s="4">
        <v>1</v>
      </c>
      <c r="G1141" s="4">
        <v>11524</v>
      </c>
      <c r="H1141">
        <v>9795.4</v>
      </c>
      <c r="I1141">
        <f>Orders[[#This Row],[Quantity]]*Orders[[#This Row],[Selling Price]]</f>
        <v>11524</v>
      </c>
      <c r="J1141">
        <f>Orders[[#This Row],[Quantity]]*Orders[[#This Row],[Cost Price]]</f>
        <v>9795.4</v>
      </c>
      <c r="K1141">
        <f>Orders[[#This Row],[Revenue]]-Orders[[#This Row],[Expenses]]</f>
        <v>1728.6000000000004</v>
      </c>
      <c r="L1141" t="s">
        <v>2192</v>
      </c>
      <c r="M1141" t="str">
        <f>_xlfn.XLOOKUP(Orders[[#This Row],[CustomerID]],Customers[CustomerID],Customers[City])</f>
        <v>Washington</v>
      </c>
      <c r="N1141" t="str">
        <f>_xlfn.XLOOKUP(Orders[[#This Row],[CustomerID]],Customers[CustomerID],Customers[CustomerName])</f>
        <v>Blessing Balogun</v>
      </c>
      <c r="O1141" t="str">
        <f>_xlfn.XLOOKUP(Orders[[#This Row],[CustomerID]],Customers[CustomerID],Customers[Gender])</f>
        <v>Female</v>
      </c>
      <c r="P1141">
        <f>_xlfn.XLOOKUP(Orders[[#This Row],[CustomerID]],Customers[CustomerID],Customers[CustomerAge])</f>
        <v>19</v>
      </c>
      <c r="Q1141" t="str">
        <f>IF(Orders[[#This Row],[Age]]&gt;=35,"older","young")</f>
        <v>young</v>
      </c>
      <c r="R1141" t="str">
        <f>_xlfn.XLOOKUP(Orders[[#This Row],[ProductID]],Products[ProductID],Products[ProductName])</f>
        <v>KIDS GAMES</v>
      </c>
      <c r="S1141" t="str">
        <f>_xlfn.XLOOKUP(Orders[[#This Row],[ProductID]],Products!A:A,Products!C:C)</f>
        <v>Games</v>
      </c>
    </row>
    <row r="1142" spans="1:19" x14ac:dyDescent="0.2">
      <c r="A1142" s="4" t="s">
        <v>1331</v>
      </c>
      <c r="B1142" s="5">
        <v>45980</v>
      </c>
      <c r="C1142" s="15">
        <f>WEEKNUM(Orders[[#This Row],[OrderDate]])</f>
        <v>47</v>
      </c>
      <c r="D1142" s="4" t="s">
        <v>207</v>
      </c>
      <c r="E1142" s="4" t="s">
        <v>63</v>
      </c>
      <c r="F1142" s="4">
        <v>5</v>
      </c>
      <c r="G1142" s="4">
        <v>10137.9</v>
      </c>
      <c r="H1142">
        <v>8617.2150000000001</v>
      </c>
      <c r="I1142">
        <f>Orders[[#This Row],[Quantity]]*Orders[[#This Row],[Selling Price]]</f>
        <v>50689.5</v>
      </c>
      <c r="J1142">
        <f>Orders[[#This Row],[Quantity]]*Orders[[#This Row],[Cost Price]]</f>
        <v>43086.074999999997</v>
      </c>
      <c r="K1142">
        <f>Orders[[#This Row],[Revenue]]-Orders[[#This Row],[Expenses]]</f>
        <v>7603.4250000000029</v>
      </c>
      <c r="L1142" t="s">
        <v>2211</v>
      </c>
      <c r="M1142" t="str">
        <f>_xlfn.XLOOKUP(Orders[[#This Row],[CustomerID]],Customers[CustomerID],Customers[City])</f>
        <v>Florida</v>
      </c>
      <c r="N1142" t="str">
        <f>_xlfn.XLOOKUP(Orders[[#This Row],[CustomerID]],Customers[CustomerID],Customers[CustomerName])</f>
        <v>Bisi Eze</v>
      </c>
      <c r="O1142" t="str">
        <f>_xlfn.XLOOKUP(Orders[[#This Row],[CustomerID]],Customers[CustomerID],Customers[Gender])</f>
        <v>Female</v>
      </c>
      <c r="P1142">
        <f>_xlfn.XLOOKUP(Orders[[#This Row],[CustomerID]],Customers[CustomerID],Customers[CustomerAge])</f>
        <v>37</v>
      </c>
      <c r="Q1142" t="str">
        <f>IF(Orders[[#This Row],[Age]]&gt;=35,"older","young")</f>
        <v>older</v>
      </c>
      <c r="R1142" t="str">
        <f>_xlfn.XLOOKUP(Orders[[#This Row],[ProductID]],Products[ProductID],Products[ProductName])</f>
        <v>TENNIS BAT</v>
      </c>
      <c r="S1142" t="str">
        <f>_xlfn.XLOOKUP(Orders[[#This Row],[ProductID]],Products!A:A,Products!C:C)</f>
        <v>Sports</v>
      </c>
    </row>
    <row r="1143" spans="1:19" x14ac:dyDescent="0.2">
      <c r="A1143" s="4" t="s">
        <v>1332</v>
      </c>
      <c r="B1143" s="5">
        <v>45992</v>
      </c>
      <c r="C1143" s="15">
        <f>WEEKNUM(Orders[[#This Row],[OrderDate]])</f>
        <v>49</v>
      </c>
      <c r="D1143" s="4" t="s">
        <v>227</v>
      </c>
      <c r="E1143" s="4" t="s">
        <v>28</v>
      </c>
      <c r="F1143" s="4">
        <v>7</v>
      </c>
      <c r="G1143" s="4">
        <v>18133.900000000001</v>
      </c>
      <c r="H1143">
        <v>15413.815000000002</v>
      </c>
      <c r="I1143">
        <f>Orders[[#This Row],[Quantity]]*Orders[[#This Row],[Selling Price]]</f>
        <v>126937.30000000002</v>
      </c>
      <c r="J1143">
        <f>Orders[[#This Row],[Quantity]]*Orders[[#This Row],[Cost Price]]</f>
        <v>107896.70500000002</v>
      </c>
      <c r="K1143">
        <f>Orders[[#This Row],[Revenue]]-Orders[[#This Row],[Expenses]]</f>
        <v>19040.595000000001</v>
      </c>
      <c r="L1143" t="s">
        <v>2198</v>
      </c>
      <c r="M1143" t="str">
        <f>_xlfn.XLOOKUP(Orders[[#This Row],[CustomerID]],Customers[CustomerID],Customers[City])</f>
        <v>Washington</v>
      </c>
      <c r="N1143" t="str">
        <f>_xlfn.XLOOKUP(Orders[[#This Row],[CustomerID]],Customers[CustomerID],Customers[CustomerName])</f>
        <v>Emmanuel Victor</v>
      </c>
      <c r="O1143" t="str">
        <f>_xlfn.XLOOKUP(Orders[[#This Row],[CustomerID]],Customers[CustomerID],Customers[Gender])</f>
        <v>Male</v>
      </c>
      <c r="P1143">
        <f>_xlfn.XLOOKUP(Orders[[#This Row],[CustomerID]],Customers[CustomerID],Customers[CustomerAge])</f>
        <v>35</v>
      </c>
      <c r="Q1143" t="str">
        <f>IF(Orders[[#This Row],[Age]]&gt;=35,"older","young")</f>
        <v>older</v>
      </c>
      <c r="R1143" t="str">
        <f>_xlfn.XLOOKUP(Orders[[#This Row],[ProductID]],Products[ProductID],Products[ProductName])</f>
        <v>SNEAKERS</v>
      </c>
      <c r="S1143" t="str">
        <f>_xlfn.XLOOKUP(Orders[[#This Row],[ProductID]],Products!A:A,Products!C:C)</f>
        <v>Sports</v>
      </c>
    </row>
    <row r="1144" spans="1:19" x14ac:dyDescent="0.2">
      <c r="A1144" s="4" t="s">
        <v>1333</v>
      </c>
      <c r="B1144" s="5">
        <v>45936</v>
      </c>
      <c r="C1144" s="15">
        <f>WEEKNUM(Orders[[#This Row],[OrderDate]])</f>
        <v>41</v>
      </c>
      <c r="D1144" s="4" t="s">
        <v>103</v>
      </c>
      <c r="E1144" s="4" t="s">
        <v>63</v>
      </c>
      <c r="F1144" s="4">
        <v>10</v>
      </c>
      <c r="G1144" s="4">
        <v>13878.3</v>
      </c>
      <c r="H1144">
        <v>11796.555</v>
      </c>
      <c r="I1144">
        <f>Orders[[#This Row],[Quantity]]*Orders[[#This Row],[Selling Price]]</f>
        <v>138783</v>
      </c>
      <c r="J1144">
        <f>Orders[[#This Row],[Quantity]]*Orders[[#This Row],[Cost Price]]</f>
        <v>117965.55</v>
      </c>
      <c r="K1144">
        <f>Orders[[#This Row],[Revenue]]-Orders[[#This Row],[Expenses]]</f>
        <v>20817.449999999997</v>
      </c>
      <c r="L1144" t="s">
        <v>2211</v>
      </c>
      <c r="M1144" t="str">
        <f>_xlfn.XLOOKUP(Orders[[#This Row],[CustomerID]],Customers[CustomerID],Customers[City])</f>
        <v>Georgia</v>
      </c>
      <c r="N1144" t="str">
        <f>_xlfn.XLOOKUP(Orders[[#This Row],[CustomerID]],Customers[CustomerID],Customers[CustomerName])</f>
        <v>Chioma Adeyemi</v>
      </c>
      <c r="O1144" t="str">
        <f>_xlfn.XLOOKUP(Orders[[#This Row],[CustomerID]],Customers[CustomerID],Customers[Gender])</f>
        <v>Female</v>
      </c>
      <c r="P1144">
        <f>_xlfn.XLOOKUP(Orders[[#This Row],[CustomerID]],Customers[CustomerID],Customers[CustomerAge])</f>
        <v>31</v>
      </c>
      <c r="Q1144" t="str">
        <f>IF(Orders[[#This Row],[Age]]&gt;=35,"older","young")</f>
        <v>young</v>
      </c>
      <c r="R1144" t="str">
        <f>_xlfn.XLOOKUP(Orders[[#This Row],[ProductID]],Products[ProductID],Products[ProductName])</f>
        <v>TENNIS BAT</v>
      </c>
      <c r="S1144" t="str">
        <f>_xlfn.XLOOKUP(Orders[[#This Row],[ProductID]],Products!A:A,Products!C:C)</f>
        <v>Sports</v>
      </c>
    </row>
    <row r="1145" spans="1:19" x14ac:dyDescent="0.2">
      <c r="A1145" s="4" t="s">
        <v>1334</v>
      </c>
      <c r="B1145" s="5">
        <v>45977</v>
      </c>
      <c r="C1145" s="15">
        <f>WEEKNUM(Orders[[#This Row],[OrderDate]])</f>
        <v>47</v>
      </c>
      <c r="D1145" s="4" t="s">
        <v>264</v>
      </c>
      <c r="E1145" s="4" t="s">
        <v>76</v>
      </c>
      <c r="F1145" s="4">
        <v>3</v>
      </c>
      <c r="G1145" s="4">
        <v>15177.7</v>
      </c>
      <c r="H1145">
        <v>12901.045</v>
      </c>
      <c r="I1145">
        <f>Orders[[#This Row],[Quantity]]*Orders[[#This Row],[Selling Price]]</f>
        <v>45533.100000000006</v>
      </c>
      <c r="J1145">
        <f>Orders[[#This Row],[Quantity]]*Orders[[#This Row],[Cost Price]]</f>
        <v>38703.135000000002</v>
      </c>
      <c r="K1145">
        <f>Orders[[#This Row],[Revenue]]-Orders[[#This Row],[Expenses]]</f>
        <v>6829.9650000000038</v>
      </c>
      <c r="L1145" t="s">
        <v>2219</v>
      </c>
      <c r="M1145" t="str">
        <f>_xlfn.XLOOKUP(Orders[[#This Row],[CustomerID]],Customers[CustomerID],Customers[City])</f>
        <v>Georgia</v>
      </c>
      <c r="N1145" t="str">
        <f>_xlfn.XLOOKUP(Orders[[#This Row],[CustomerID]],Customers[CustomerID],Customers[CustomerName])</f>
        <v>Ronke Adeyemi</v>
      </c>
      <c r="O1145" t="str">
        <f>_xlfn.XLOOKUP(Orders[[#This Row],[CustomerID]],Customers[CustomerID],Customers[Gender])</f>
        <v>Female</v>
      </c>
      <c r="P1145">
        <f>_xlfn.XLOOKUP(Orders[[#This Row],[CustomerID]],Customers[CustomerID],Customers[CustomerAge])</f>
        <v>19</v>
      </c>
      <c r="Q1145" t="str">
        <f>IF(Orders[[#This Row],[Age]]&gt;=35,"older","young")</f>
        <v>young</v>
      </c>
      <c r="R1145" t="str">
        <f>_xlfn.XLOOKUP(Orders[[#This Row],[ProductID]],Products[ProductID],Products[ProductName])</f>
        <v>BLENDER</v>
      </c>
      <c r="S1145" t="str">
        <f>_xlfn.XLOOKUP(Orders[[#This Row],[ProductID]],Products!A:A,Products!C:C)</f>
        <v>Electronics</v>
      </c>
    </row>
    <row r="1146" spans="1:19" x14ac:dyDescent="0.2">
      <c r="A1146" s="4" t="s">
        <v>1335</v>
      </c>
      <c r="B1146" s="5">
        <v>45966</v>
      </c>
      <c r="C1146" s="15">
        <f>WEEKNUM(Orders[[#This Row],[OrderDate]])</f>
        <v>45</v>
      </c>
      <c r="D1146" s="4" t="s">
        <v>98</v>
      </c>
      <c r="E1146" s="4" t="s">
        <v>70</v>
      </c>
      <c r="F1146" s="4">
        <v>9</v>
      </c>
      <c r="G1146" s="4">
        <v>8880.5999999999985</v>
      </c>
      <c r="H1146">
        <v>7548.5099999999984</v>
      </c>
      <c r="I1146">
        <f>Orders[[#This Row],[Quantity]]*Orders[[#This Row],[Selling Price]]</f>
        <v>79925.399999999994</v>
      </c>
      <c r="J1146">
        <f>Orders[[#This Row],[Quantity]]*Orders[[#This Row],[Cost Price]]</f>
        <v>67936.589999999982</v>
      </c>
      <c r="K1146">
        <f>Orders[[#This Row],[Revenue]]-Orders[[#This Row],[Expenses]]</f>
        <v>11988.810000000012</v>
      </c>
      <c r="L1146" t="s">
        <v>2201</v>
      </c>
      <c r="M1146" t="str">
        <f>_xlfn.XLOOKUP(Orders[[#This Row],[CustomerID]],Customers[CustomerID],Customers[City])</f>
        <v>Illinois</v>
      </c>
      <c r="N1146" t="str">
        <f>_xlfn.XLOOKUP(Orders[[#This Row],[CustomerID]],Customers[CustomerID],Customers[CustomerName])</f>
        <v>Chioma Adeyemi</v>
      </c>
      <c r="O1146" t="str">
        <f>_xlfn.XLOOKUP(Orders[[#This Row],[CustomerID]],Customers[CustomerID],Customers[Gender])</f>
        <v>Female</v>
      </c>
      <c r="P1146">
        <f>_xlfn.XLOOKUP(Orders[[#This Row],[CustomerID]],Customers[CustomerID],Customers[CustomerAge])</f>
        <v>23</v>
      </c>
      <c r="Q1146" t="str">
        <f>IF(Orders[[#This Row],[Age]]&gt;=35,"older","young")</f>
        <v>young</v>
      </c>
      <c r="R1146" t="str">
        <f>_xlfn.XLOOKUP(Orders[[#This Row],[ProductID]],Products[ProductID],Products[ProductName])</f>
        <v>YOGA MAT</v>
      </c>
      <c r="S1146" t="str">
        <f>_xlfn.XLOOKUP(Orders[[#This Row],[ProductID]],Products!A:A,Products!C:C)</f>
        <v>Gym</v>
      </c>
    </row>
    <row r="1147" spans="1:19" x14ac:dyDescent="0.2">
      <c r="A1147" s="4" t="s">
        <v>1336</v>
      </c>
      <c r="B1147" s="5">
        <v>46008</v>
      </c>
      <c r="C1147" s="15">
        <f>WEEKNUM(Orders[[#This Row],[OrderDate]])</f>
        <v>51</v>
      </c>
      <c r="D1147" s="4" t="s">
        <v>239</v>
      </c>
      <c r="E1147" s="4" t="s">
        <v>31</v>
      </c>
      <c r="F1147" s="4">
        <v>6</v>
      </c>
      <c r="G1147" s="4">
        <v>7004.2</v>
      </c>
      <c r="H1147">
        <v>5953.57</v>
      </c>
      <c r="I1147">
        <f>Orders[[#This Row],[Quantity]]*Orders[[#This Row],[Selling Price]]</f>
        <v>42025.2</v>
      </c>
      <c r="J1147">
        <f>Orders[[#This Row],[Quantity]]*Orders[[#This Row],[Cost Price]]</f>
        <v>35721.42</v>
      </c>
      <c r="K1147">
        <f>Orders[[#This Row],[Revenue]]-Orders[[#This Row],[Expenses]]</f>
        <v>6303.7799999999988</v>
      </c>
      <c r="L1147" t="s">
        <v>2197</v>
      </c>
      <c r="M1147" t="str">
        <f>_xlfn.XLOOKUP(Orders[[#This Row],[CustomerID]],Customers[CustomerID],Customers[City])</f>
        <v>Florida</v>
      </c>
      <c r="N1147" t="str">
        <f>_xlfn.XLOOKUP(Orders[[#This Row],[CustomerID]],Customers[CustomerID],Customers[CustomerName])</f>
        <v>Emeka Danladi</v>
      </c>
      <c r="O1147" t="str">
        <f>_xlfn.XLOOKUP(Orders[[#This Row],[CustomerID]],Customers[CustomerID],Customers[Gender])</f>
        <v>Male</v>
      </c>
      <c r="P1147">
        <f>_xlfn.XLOOKUP(Orders[[#This Row],[CustomerID]],Customers[CustomerID],Customers[CustomerAge])</f>
        <v>23</v>
      </c>
      <c r="Q1147" t="str">
        <f>IF(Orders[[#This Row],[Age]]&gt;=35,"older","young")</f>
        <v>young</v>
      </c>
      <c r="R1147" t="str">
        <f>_xlfn.XLOOKUP(Orders[[#This Row],[ProductID]],Products[ProductID],Products[ProductName])</f>
        <v>KIDS GAMES</v>
      </c>
      <c r="S1147" t="str">
        <f>_xlfn.XLOOKUP(Orders[[#This Row],[ProductID]],Products!A:A,Products!C:C)</f>
        <v>Games</v>
      </c>
    </row>
    <row r="1148" spans="1:19" x14ac:dyDescent="0.2">
      <c r="A1148" s="4" t="s">
        <v>1337</v>
      </c>
      <c r="B1148" s="5">
        <v>45952</v>
      </c>
      <c r="C1148" s="15">
        <f>WEEKNUM(Orders[[#This Row],[OrderDate]])</f>
        <v>43</v>
      </c>
      <c r="D1148" s="4" t="s">
        <v>524</v>
      </c>
      <c r="E1148" s="4" t="s">
        <v>168</v>
      </c>
      <c r="F1148" s="4">
        <v>2</v>
      </c>
      <c r="G1148" s="4">
        <v>989.80000000000007</v>
      </c>
      <c r="H1148">
        <v>841.33</v>
      </c>
      <c r="I1148">
        <f>Orders[[#This Row],[Quantity]]*Orders[[#This Row],[Selling Price]]</f>
        <v>1979.6000000000001</v>
      </c>
      <c r="J1148">
        <f>Orders[[#This Row],[Quantity]]*Orders[[#This Row],[Cost Price]]</f>
        <v>1682.66</v>
      </c>
      <c r="K1148">
        <f>Orders[[#This Row],[Revenue]]-Orders[[#This Row],[Expenses]]</f>
        <v>296.94000000000005</v>
      </c>
      <c r="L1148" t="s">
        <v>2216</v>
      </c>
      <c r="M1148" t="str">
        <f>_xlfn.XLOOKUP(Orders[[#This Row],[CustomerID]],Customers[CustomerID],Customers[City])</f>
        <v>Florida</v>
      </c>
      <c r="N1148" t="str">
        <f>_xlfn.XLOOKUP(Orders[[#This Row],[CustomerID]],Customers[CustomerID],Customers[CustomerName])</f>
        <v>Chinedu Igwe</v>
      </c>
      <c r="O1148" t="str">
        <f>_xlfn.XLOOKUP(Orders[[#This Row],[CustomerID]],Customers[CustomerID],Customers[Gender])</f>
        <v>Male</v>
      </c>
      <c r="P1148">
        <f>_xlfn.XLOOKUP(Orders[[#This Row],[CustomerID]],Customers[CustomerID],Customers[CustomerAge])</f>
        <v>21</v>
      </c>
      <c r="Q1148" t="str">
        <f>IF(Orders[[#This Row],[Age]]&gt;=35,"older","young")</f>
        <v>young</v>
      </c>
      <c r="R1148" t="str">
        <f>_xlfn.XLOOKUP(Orders[[#This Row],[ProductID]],Products[ProductID],Products[ProductName])</f>
        <v>DUMB BELLS</v>
      </c>
      <c r="S1148" t="str">
        <f>_xlfn.XLOOKUP(Orders[[#This Row],[ProductID]],Products!A:A,Products!C:C)</f>
        <v>Gym</v>
      </c>
    </row>
    <row r="1149" spans="1:19" x14ac:dyDescent="0.2">
      <c r="A1149" s="4" t="s">
        <v>1338</v>
      </c>
      <c r="B1149" s="5">
        <v>46017</v>
      </c>
      <c r="C1149" s="15">
        <f>WEEKNUM(Orders[[#This Row],[OrderDate]])</f>
        <v>52</v>
      </c>
      <c r="D1149" s="4" t="s">
        <v>418</v>
      </c>
      <c r="E1149" s="4" t="s">
        <v>37</v>
      </c>
      <c r="F1149" s="4">
        <v>10</v>
      </c>
      <c r="G1149" s="4">
        <v>3604.5</v>
      </c>
      <c r="H1149">
        <v>3063.8249999999998</v>
      </c>
      <c r="I1149">
        <f>Orders[[#This Row],[Quantity]]*Orders[[#This Row],[Selling Price]]</f>
        <v>36045</v>
      </c>
      <c r="J1149">
        <f>Orders[[#This Row],[Quantity]]*Orders[[#This Row],[Cost Price]]</f>
        <v>30638.25</v>
      </c>
      <c r="K1149">
        <f>Orders[[#This Row],[Revenue]]-Orders[[#This Row],[Expenses]]</f>
        <v>5406.75</v>
      </c>
      <c r="L1149" t="s">
        <v>2217</v>
      </c>
      <c r="M1149" t="str">
        <f>_xlfn.XLOOKUP(Orders[[#This Row],[CustomerID]],Customers[CustomerID],Customers[City])</f>
        <v>Illinois</v>
      </c>
      <c r="N1149" t="str">
        <f>_xlfn.XLOOKUP(Orders[[#This Row],[CustomerID]],Customers[CustomerID],Customers[CustomerName])</f>
        <v>Amina Danladi</v>
      </c>
      <c r="O1149" t="str">
        <f>_xlfn.XLOOKUP(Orders[[#This Row],[CustomerID]],Customers[CustomerID],Customers[Gender])</f>
        <v>Female</v>
      </c>
      <c r="P1149">
        <f>_xlfn.XLOOKUP(Orders[[#This Row],[CustomerID]],Customers[CustomerID],Customers[CustomerAge])</f>
        <v>20</v>
      </c>
      <c r="Q1149" t="str">
        <f>IF(Orders[[#This Row],[Age]]&gt;=35,"older","young")</f>
        <v>young</v>
      </c>
      <c r="R1149" t="str">
        <f>_xlfn.XLOOKUP(Orders[[#This Row],[ProductID]],Products[ProductID],Products[ProductName])</f>
        <v>IRON</v>
      </c>
      <c r="S1149" t="str">
        <f>_xlfn.XLOOKUP(Orders[[#This Row],[ProductID]],Products!A:A,Products!C:C)</f>
        <v>Electronics</v>
      </c>
    </row>
    <row r="1150" spans="1:19" x14ac:dyDescent="0.2">
      <c r="A1150" s="4" t="s">
        <v>1339</v>
      </c>
      <c r="B1150" s="5">
        <v>45970</v>
      </c>
      <c r="C1150" s="15">
        <f>WEEKNUM(Orders[[#This Row],[OrderDate]])</f>
        <v>46</v>
      </c>
      <c r="D1150" s="4" t="s">
        <v>201</v>
      </c>
      <c r="E1150" s="4" t="s">
        <v>92</v>
      </c>
      <c r="F1150" s="4">
        <v>1</v>
      </c>
      <c r="G1150" s="4">
        <v>8850.2999999999993</v>
      </c>
      <c r="H1150">
        <v>7522.7549999999992</v>
      </c>
      <c r="I1150">
        <f>Orders[[#This Row],[Quantity]]*Orders[[#This Row],[Selling Price]]</f>
        <v>8850.2999999999993</v>
      </c>
      <c r="J1150">
        <f>Orders[[#This Row],[Quantity]]*Orders[[#This Row],[Cost Price]]</f>
        <v>7522.7549999999992</v>
      </c>
      <c r="K1150">
        <f>Orders[[#This Row],[Revenue]]-Orders[[#This Row],[Expenses]]</f>
        <v>1327.5450000000001</v>
      </c>
      <c r="L1150" t="s">
        <v>2195</v>
      </c>
      <c r="M1150" t="str">
        <f>_xlfn.XLOOKUP(Orders[[#This Row],[CustomerID]],Customers[CustomerID],Customers[City])</f>
        <v>Georgia</v>
      </c>
      <c r="N1150" t="str">
        <f>_xlfn.XLOOKUP(Orders[[#This Row],[CustomerID]],Customers[CustomerID],Customers[CustomerName])</f>
        <v>Sani Igwe</v>
      </c>
      <c r="O1150" t="str">
        <f>_xlfn.XLOOKUP(Orders[[#This Row],[CustomerID]],Customers[CustomerID],Customers[Gender])</f>
        <v>Male</v>
      </c>
      <c r="P1150">
        <f>_xlfn.XLOOKUP(Orders[[#This Row],[CustomerID]],Customers[CustomerID],Customers[CustomerAge])</f>
        <v>20</v>
      </c>
      <c r="Q1150" t="str">
        <f>IF(Orders[[#This Row],[Age]]&gt;=35,"older","young")</f>
        <v>young</v>
      </c>
      <c r="R1150" t="str">
        <f>_xlfn.XLOOKUP(Orders[[#This Row],[ProductID]],Products[ProductID],Products[ProductName])</f>
        <v>CHEST EXPANDER</v>
      </c>
      <c r="S1150" t="str">
        <f>_xlfn.XLOOKUP(Orders[[#This Row],[ProductID]],Products!A:A,Products!C:C)</f>
        <v>Gym</v>
      </c>
    </row>
    <row r="1151" spans="1:19" x14ac:dyDescent="0.2">
      <c r="A1151" s="4" t="s">
        <v>1340</v>
      </c>
      <c r="B1151" s="5">
        <v>45956</v>
      </c>
      <c r="C1151" s="15">
        <f>WEEKNUM(Orders[[#This Row],[OrderDate]])</f>
        <v>44</v>
      </c>
      <c r="D1151" s="4" t="s">
        <v>369</v>
      </c>
      <c r="E1151" s="4" t="s">
        <v>57</v>
      </c>
      <c r="F1151" s="4">
        <v>4</v>
      </c>
      <c r="G1151" s="4">
        <v>9586.5</v>
      </c>
      <c r="H1151">
        <v>8148.5249999999996</v>
      </c>
      <c r="I1151">
        <f>Orders[[#This Row],[Quantity]]*Orders[[#This Row],[Selling Price]]</f>
        <v>38346</v>
      </c>
      <c r="J1151">
        <f>Orders[[#This Row],[Quantity]]*Orders[[#This Row],[Cost Price]]</f>
        <v>32594.1</v>
      </c>
      <c r="K1151">
        <f>Orders[[#This Row],[Revenue]]-Orders[[#This Row],[Expenses]]</f>
        <v>5751.9000000000015</v>
      </c>
      <c r="L1151" t="s">
        <v>2198</v>
      </c>
      <c r="M1151" t="str">
        <f>_xlfn.XLOOKUP(Orders[[#This Row],[CustomerID]],Customers[CustomerID],Customers[City])</f>
        <v>Washington</v>
      </c>
      <c r="N1151" t="str">
        <f>_xlfn.XLOOKUP(Orders[[#This Row],[CustomerID]],Customers[CustomerID],Customers[CustomerName])</f>
        <v>Ibrahim Bello</v>
      </c>
      <c r="O1151" t="str">
        <f>_xlfn.XLOOKUP(Orders[[#This Row],[CustomerID]],Customers[CustomerID],Customers[Gender])</f>
        <v>Male</v>
      </c>
      <c r="P1151">
        <f>_xlfn.XLOOKUP(Orders[[#This Row],[CustomerID]],Customers[CustomerID],Customers[CustomerAge])</f>
        <v>40</v>
      </c>
      <c r="Q1151" t="str">
        <f>IF(Orders[[#This Row],[Age]]&gt;=35,"older","young")</f>
        <v>older</v>
      </c>
      <c r="R1151" t="str">
        <f>_xlfn.XLOOKUP(Orders[[#This Row],[ProductID]],Products[ProductID],Products[ProductName])</f>
        <v>BADMINTON RACKET</v>
      </c>
      <c r="S1151" t="str">
        <f>_xlfn.XLOOKUP(Orders[[#This Row],[ProductID]],Products!A:A,Products!C:C)</f>
        <v>Sports</v>
      </c>
    </row>
    <row r="1152" spans="1:19" x14ac:dyDescent="0.2">
      <c r="A1152" s="4" t="s">
        <v>1341</v>
      </c>
      <c r="B1152" s="5">
        <v>45962</v>
      </c>
      <c r="C1152" s="15">
        <f>WEEKNUM(Orders[[#This Row],[OrderDate]])</f>
        <v>44</v>
      </c>
      <c r="D1152" s="4" t="s">
        <v>305</v>
      </c>
      <c r="E1152" s="4" t="s">
        <v>111</v>
      </c>
      <c r="F1152" s="4">
        <v>5</v>
      </c>
      <c r="G1152" s="4">
        <v>2019.6000000000001</v>
      </c>
      <c r="H1152">
        <v>1716.66</v>
      </c>
      <c r="I1152">
        <f>Orders[[#This Row],[Quantity]]*Orders[[#This Row],[Selling Price]]</f>
        <v>10098</v>
      </c>
      <c r="J1152">
        <f>Orders[[#This Row],[Quantity]]*Orders[[#This Row],[Cost Price]]</f>
        <v>8583.3000000000011</v>
      </c>
      <c r="K1152">
        <f>Orders[[#This Row],[Revenue]]-Orders[[#This Row],[Expenses]]</f>
        <v>1514.6999999999989</v>
      </c>
      <c r="L1152" t="s">
        <v>2215</v>
      </c>
      <c r="M1152" t="str">
        <f>_xlfn.XLOOKUP(Orders[[#This Row],[CustomerID]],Customers[CustomerID],Customers[City])</f>
        <v>California</v>
      </c>
      <c r="N1152" t="str">
        <f>_xlfn.XLOOKUP(Orders[[#This Row],[CustomerID]],Customers[CustomerID],Customers[CustomerName])</f>
        <v>Tunde Danladi</v>
      </c>
      <c r="O1152" t="str">
        <f>_xlfn.XLOOKUP(Orders[[#This Row],[CustomerID]],Customers[CustomerID],Customers[Gender])</f>
        <v>Male</v>
      </c>
      <c r="P1152">
        <f>_xlfn.XLOOKUP(Orders[[#This Row],[CustomerID]],Customers[CustomerID],Customers[CustomerAge])</f>
        <v>40</v>
      </c>
      <c r="Q1152" t="str">
        <f>IF(Orders[[#This Row],[Age]]&gt;=35,"older","young")</f>
        <v>older</v>
      </c>
      <c r="R1152" t="str">
        <f>_xlfn.XLOOKUP(Orders[[#This Row],[ProductID]],Products[ProductID],Products[ProductName])</f>
        <v>REFRIGERATOR</v>
      </c>
      <c r="S1152" t="str">
        <f>_xlfn.XLOOKUP(Orders[[#This Row],[ProductID]],Products!A:A,Products!C:C)</f>
        <v>Electronics</v>
      </c>
    </row>
    <row r="1153" spans="1:19" x14ac:dyDescent="0.2">
      <c r="A1153" s="4" t="s">
        <v>1342</v>
      </c>
      <c r="B1153" s="5">
        <v>45943</v>
      </c>
      <c r="C1153" s="15">
        <f>WEEKNUM(Orders[[#This Row],[OrderDate]])</f>
        <v>42</v>
      </c>
      <c r="D1153" s="4" t="s">
        <v>96</v>
      </c>
      <c r="E1153" s="4" t="s">
        <v>120</v>
      </c>
      <c r="F1153" s="4">
        <v>1</v>
      </c>
      <c r="G1153" s="4">
        <v>16461.099999999999</v>
      </c>
      <c r="H1153">
        <v>13991.934999999999</v>
      </c>
      <c r="I1153">
        <f>Orders[[#This Row],[Quantity]]*Orders[[#This Row],[Selling Price]]</f>
        <v>16461.099999999999</v>
      </c>
      <c r="J1153">
        <f>Orders[[#This Row],[Quantity]]*Orders[[#This Row],[Cost Price]]</f>
        <v>13991.934999999999</v>
      </c>
      <c r="K1153">
        <f>Orders[[#This Row],[Revenue]]-Orders[[#This Row],[Expenses]]</f>
        <v>2469.1649999999991</v>
      </c>
      <c r="L1153" t="s">
        <v>2193</v>
      </c>
      <c r="M1153" t="str">
        <f>_xlfn.XLOOKUP(Orders[[#This Row],[CustomerID]],Customers[CustomerID],Customers[City])</f>
        <v>Texas</v>
      </c>
      <c r="N1153" t="str">
        <f>_xlfn.XLOOKUP(Orders[[#This Row],[CustomerID]],Customers[CustomerID],Customers[CustomerName])</f>
        <v>Amina Abubakar</v>
      </c>
      <c r="O1153" t="str">
        <f>_xlfn.XLOOKUP(Orders[[#This Row],[CustomerID]],Customers[CustomerID],Customers[Gender])</f>
        <v>Female</v>
      </c>
      <c r="P1153">
        <f>_xlfn.XLOOKUP(Orders[[#This Row],[CustomerID]],Customers[CustomerID],Customers[CustomerAge])</f>
        <v>35</v>
      </c>
      <c r="Q1153" t="str">
        <f>IF(Orders[[#This Row],[Age]]&gt;=35,"older","young")</f>
        <v>older</v>
      </c>
      <c r="R1153" t="str">
        <f>_xlfn.XLOOKUP(Orders[[#This Row],[ProductID]],Products[ProductID],Products[ProductName])</f>
        <v>CHESS</v>
      </c>
      <c r="S1153" t="str">
        <f>_xlfn.XLOOKUP(Orders[[#This Row],[ProductID]],Products!A:A,Products!C:C)</f>
        <v>Games</v>
      </c>
    </row>
    <row r="1154" spans="1:19" x14ac:dyDescent="0.2">
      <c r="A1154" s="4" t="s">
        <v>1343</v>
      </c>
      <c r="B1154" s="5">
        <v>45969</v>
      </c>
      <c r="C1154" s="15">
        <f>WEEKNUM(Orders[[#This Row],[OrderDate]])</f>
        <v>45</v>
      </c>
      <c r="D1154" s="4" t="s">
        <v>91</v>
      </c>
      <c r="E1154" s="4" t="s">
        <v>81</v>
      </c>
      <c r="F1154" s="4">
        <v>10</v>
      </c>
      <c r="G1154" s="4">
        <v>729.7</v>
      </c>
      <c r="H1154">
        <v>620.245</v>
      </c>
      <c r="I1154">
        <f>Orders[[#This Row],[Quantity]]*Orders[[#This Row],[Selling Price]]</f>
        <v>7297</v>
      </c>
      <c r="J1154">
        <f>Orders[[#This Row],[Quantity]]*Orders[[#This Row],[Cost Price]]</f>
        <v>6202.45</v>
      </c>
      <c r="K1154">
        <f>Orders[[#This Row],[Revenue]]-Orders[[#This Row],[Expenses]]</f>
        <v>1094.5500000000002</v>
      </c>
      <c r="L1154" t="s">
        <v>2195</v>
      </c>
      <c r="M1154" t="str">
        <f>_xlfn.XLOOKUP(Orders[[#This Row],[CustomerID]],Customers[CustomerID],Customers[City])</f>
        <v>Florida</v>
      </c>
      <c r="N1154" t="str">
        <f>_xlfn.XLOOKUP(Orders[[#This Row],[CustomerID]],Customers[CustomerID],Customers[CustomerName])</f>
        <v>Uche Abubakar</v>
      </c>
      <c r="O1154" t="str">
        <f>_xlfn.XLOOKUP(Orders[[#This Row],[CustomerID]],Customers[CustomerID],Customers[Gender])</f>
        <v>Male</v>
      </c>
      <c r="P1154">
        <f>_xlfn.XLOOKUP(Orders[[#This Row],[CustomerID]],Customers[CustomerID],Customers[CustomerAge])</f>
        <v>28</v>
      </c>
      <c r="Q1154" t="str">
        <f>IF(Orders[[#This Row],[Age]]&gt;=35,"older","young")</f>
        <v>young</v>
      </c>
      <c r="R1154" t="str">
        <f>_xlfn.XLOOKUP(Orders[[#This Row],[ProductID]],Products[ProductID],Products[ProductName])</f>
        <v>TROUSERS</v>
      </c>
      <c r="S1154" t="str">
        <f>_xlfn.XLOOKUP(Orders[[#This Row],[ProductID]],Products!A:A,Products!C:C)</f>
        <v>Clothing</v>
      </c>
    </row>
    <row r="1155" spans="1:19" x14ac:dyDescent="0.2">
      <c r="A1155" s="4" t="s">
        <v>1344</v>
      </c>
      <c r="B1155" s="5">
        <v>46001</v>
      </c>
      <c r="C1155" s="15">
        <f>WEEKNUM(Orders[[#This Row],[OrderDate]])</f>
        <v>50</v>
      </c>
      <c r="D1155" s="4" t="s">
        <v>418</v>
      </c>
      <c r="E1155" s="4" t="s">
        <v>70</v>
      </c>
      <c r="F1155" s="4">
        <v>5</v>
      </c>
      <c r="G1155" s="4">
        <v>11739.1</v>
      </c>
      <c r="H1155">
        <v>9978.2350000000006</v>
      </c>
      <c r="I1155">
        <f>Orders[[#This Row],[Quantity]]*Orders[[#This Row],[Selling Price]]</f>
        <v>58695.5</v>
      </c>
      <c r="J1155">
        <f>Orders[[#This Row],[Quantity]]*Orders[[#This Row],[Cost Price]]</f>
        <v>49891.175000000003</v>
      </c>
      <c r="K1155">
        <f>Orders[[#This Row],[Revenue]]-Orders[[#This Row],[Expenses]]</f>
        <v>8804.3249999999971</v>
      </c>
      <c r="L1155" t="s">
        <v>2219</v>
      </c>
      <c r="M1155" t="str">
        <f>_xlfn.XLOOKUP(Orders[[#This Row],[CustomerID]],Customers[CustomerID],Customers[City])</f>
        <v>Illinois</v>
      </c>
      <c r="N1155" t="str">
        <f>_xlfn.XLOOKUP(Orders[[#This Row],[CustomerID]],Customers[CustomerID],Customers[CustomerName])</f>
        <v>Amina Danladi</v>
      </c>
      <c r="O1155" t="str">
        <f>_xlfn.XLOOKUP(Orders[[#This Row],[CustomerID]],Customers[CustomerID],Customers[Gender])</f>
        <v>Female</v>
      </c>
      <c r="P1155">
        <f>_xlfn.XLOOKUP(Orders[[#This Row],[CustomerID]],Customers[CustomerID],Customers[CustomerAge])</f>
        <v>20</v>
      </c>
      <c r="Q1155" t="str">
        <f>IF(Orders[[#This Row],[Age]]&gt;=35,"older","young")</f>
        <v>young</v>
      </c>
      <c r="R1155" t="str">
        <f>_xlfn.XLOOKUP(Orders[[#This Row],[ProductID]],Products[ProductID],Products[ProductName])</f>
        <v>YOGA MAT</v>
      </c>
      <c r="S1155" t="str">
        <f>_xlfn.XLOOKUP(Orders[[#This Row],[ProductID]],Products!A:A,Products!C:C)</f>
        <v>Gym</v>
      </c>
    </row>
    <row r="1156" spans="1:19" x14ac:dyDescent="0.2">
      <c r="A1156" s="4" t="s">
        <v>1345</v>
      </c>
      <c r="B1156" s="5">
        <v>46012</v>
      </c>
      <c r="C1156" s="15">
        <f>WEEKNUM(Orders[[#This Row],[OrderDate]])</f>
        <v>52</v>
      </c>
      <c r="D1156" s="4" t="s">
        <v>201</v>
      </c>
      <c r="E1156" s="4" t="s">
        <v>37</v>
      </c>
      <c r="F1156" s="4">
        <v>8</v>
      </c>
      <c r="G1156" s="4">
        <v>15615.5</v>
      </c>
      <c r="H1156">
        <v>13273.174999999999</v>
      </c>
      <c r="I1156">
        <f>Orders[[#This Row],[Quantity]]*Orders[[#This Row],[Selling Price]]</f>
        <v>124924</v>
      </c>
      <c r="J1156">
        <f>Orders[[#This Row],[Quantity]]*Orders[[#This Row],[Cost Price]]</f>
        <v>106185.4</v>
      </c>
      <c r="K1156">
        <f>Orders[[#This Row],[Revenue]]-Orders[[#This Row],[Expenses]]</f>
        <v>18738.600000000006</v>
      </c>
      <c r="L1156" t="s">
        <v>2219</v>
      </c>
      <c r="M1156" t="str">
        <f>_xlfn.XLOOKUP(Orders[[#This Row],[CustomerID]],Customers[CustomerID],Customers[City])</f>
        <v>Georgia</v>
      </c>
      <c r="N1156" t="str">
        <f>_xlfn.XLOOKUP(Orders[[#This Row],[CustomerID]],Customers[CustomerID],Customers[CustomerName])</f>
        <v>Sani Igwe</v>
      </c>
      <c r="O1156" t="str">
        <f>_xlfn.XLOOKUP(Orders[[#This Row],[CustomerID]],Customers[CustomerID],Customers[Gender])</f>
        <v>Male</v>
      </c>
      <c r="P1156">
        <f>_xlfn.XLOOKUP(Orders[[#This Row],[CustomerID]],Customers[CustomerID],Customers[CustomerAge])</f>
        <v>20</v>
      </c>
      <c r="Q1156" t="str">
        <f>IF(Orders[[#This Row],[Age]]&gt;=35,"older","young")</f>
        <v>young</v>
      </c>
      <c r="R1156" t="str">
        <f>_xlfn.XLOOKUP(Orders[[#This Row],[ProductID]],Products[ProductID],Products[ProductName])</f>
        <v>IRON</v>
      </c>
      <c r="S1156" t="str">
        <f>_xlfn.XLOOKUP(Orders[[#This Row],[ProductID]],Products!A:A,Products!C:C)</f>
        <v>Electronics</v>
      </c>
    </row>
    <row r="1157" spans="1:19" x14ac:dyDescent="0.2">
      <c r="A1157" s="4" t="s">
        <v>1346</v>
      </c>
      <c r="B1157" s="5">
        <v>46000</v>
      </c>
      <c r="C1157" s="15">
        <f>WEEKNUM(Orders[[#This Row],[OrderDate]])</f>
        <v>50</v>
      </c>
      <c r="D1157" s="4" t="s">
        <v>302</v>
      </c>
      <c r="E1157" s="4" t="s">
        <v>189</v>
      </c>
      <c r="F1157" s="4">
        <v>1</v>
      </c>
      <c r="G1157" s="4">
        <v>8218</v>
      </c>
      <c r="H1157">
        <v>6985.3</v>
      </c>
      <c r="I1157">
        <f>Orders[[#This Row],[Quantity]]*Orders[[#This Row],[Selling Price]]</f>
        <v>8218</v>
      </c>
      <c r="J1157">
        <f>Orders[[#This Row],[Quantity]]*Orders[[#This Row],[Cost Price]]</f>
        <v>6985.3</v>
      </c>
      <c r="K1157">
        <f>Orders[[#This Row],[Revenue]]-Orders[[#This Row],[Expenses]]</f>
        <v>1232.6999999999998</v>
      </c>
      <c r="L1157" t="s">
        <v>2214</v>
      </c>
      <c r="M1157" t="str">
        <f>_xlfn.XLOOKUP(Orders[[#This Row],[CustomerID]],Customers[CustomerID],Customers[City])</f>
        <v>Washington</v>
      </c>
      <c r="N1157" t="str">
        <f>_xlfn.XLOOKUP(Orders[[#This Row],[CustomerID]],Customers[CustomerID],Customers[CustomerName])</f>
        <v>Sani Bello</v>
      </c>
      <c r="O1157" t="str">
        <f>_xlfn.XLOOKUP(Orders[[#This Row],[CustomerID]],Customers[CustomerID],Customers[Gender])</f>
        <v>Male</v>
      </c>
      <c r="P1157">
        <f>_xlfn.XLOOKUP(Orders[[#This Row],[CustomerID]],Customers[CustomerID],Customers[CustomerAge])</f>
        <v>23</v>
      </c>
      <c r="Q1157" t="str">
        <f>IF(Orders[[#This Row],[Age]]&gt;=35,"older","young")</f>
        <v>young</v>
      </c>
      <c r="R1157" t="str">
        <f>_xlfn.XLOOKUP(Orders[[#This Row],[ProductID]],Products[ProductID],Products[ProductName])</f>
        <v>SCRABBLE</v>
      </c>
      <c r="S1157" t="str">
        <f>_xlfn.XLOOKUP(Orders[[#This Row],[ProductID]],Products!A:A,Products!C:C)</f>
        <v>Games</v>
      </c>
    </row>
    <row r="1158" spans="1:19" x14ac:dyDescent="0.2">
      <c r="A1158" s="4" t="s">
        <v>1347</v>
      </c>
      <c r="B1158" s="5">
        <v>45980</v>
      </c>
      <c r="C1158" s="15">
        <f>WEEKNUM(Orders[[#This Row],[OrderDate]])</f>
        <v>47</v>
      </c>
      <c r="D1158" s="4" t="s">
        <v>244</v>
      </c>
      <c r="E1158" s="4" t="s">
        <v>130</v>
      </c>
      <c r="F1158" s="4">
        <v>9</v>
      </c>
      <c r="G1158" s="4">
        <v>18961</v>
      </c>
      <c r="H1158">
        <v>16116.85</v>
      </c>
      <c r="I1158">
        <f>Orders[[#This Row],[Quantity]]*Orders[[#This Row],[Selling Price]]</f>
        <v>170649</v>
      </c>
      <c r="J1158">
        <f>Orders[[#This Row],[Quantity]]*Orders[[#This Row],[Cost Price]]</f>
        <v>145051.65</v>
      </c>
      <c r="K1158">
        <f>Orders[[#This Row],[Revenue]]-Orders[[#This Row],[Expenses]]</f>
        <v>25597.350000000006</v>
      </c>
      <c r="L1158" t="s">
        <v>2212</v>
      </c>
      <c r="M1158" t="str">
        <f>_xlfn.XLOOKUP(Orders[[#This Row],[CustomerID]],Customers[CustomerID],Customers[City])</f>
        <v>Texas</v>
      </c>
      <c r="N1158" t="str">
        <f>_xlfn.XLOOKUP(Orders[[#This Row],[CustomerID]],Customers[CustomerID],Customers[CustomerName])</f>
        <v>Zainab Abubakar</v>
      </c>
      <c r="O1158" t="str">
        <f>_xlfn.XLOOKUP(Orders[[#This Row],[CustomerID]],Customers[CustomerID],Customers[Gender])</f>
        <v>Female</v>
      </c>
      <c r="P1158">
        <f>_xlfn.XLOOKUP(Orders[[#This Row],[CustomerID]],Customers[CustomerID],Customers[CustomerAge])</f>
        <v>33</v>
      </c>
      <c r="Q1158" t="str">
        <f>IF(Orders[[#This Row],[Age]]&gt;=35,"older","young")</f>
        <v>young</v>
      </c>
      <c r="R1158" t="str">
        <f>_xlfn.XLOOKUP(Orders[[#This Row],[ProductID]],Products[ProductID],Products[ProductName])</f>
        <v>GOLD EARRINGS AND NECKLACES</v>
      </c>
      <c r="S1158" t="str">
        <f>_xlfn.XLOOKUP(Orders[[#This Row],[ProductID]],Products!A:A,Products!C:C)</f>
        <v>Accessories</v>
      </c>
    </row>
    <row r="1159" spans="1:19" x14ac:dyDescent="0.2">
      <c r="A1159" s="4" t="s">
        <v>1348</v>
      </c>
      <c r="B1159" s="5">
        <v>46011</v>
      </c>
      <c r="C1159" s="15">
        <f>WEEKNUM(Orders[[#This Row],[OrderDate]])</f>
        <v>51</v>
      </c>
      <c r="D1159" s="4" t="s">
        <v>388</v>
      </c>
      <c r="E1159" s="4" t="s">
        <v>9</v>
      </c>
      <c r="F1159" s="4">
        <v>5</v>
      </c>
      <c r="G1159" s="4">
        <v>8474</v>
      </c>
      <c r="H1159">
        <v>7202.9</v>
      </c>
      <c r="I1159">
        <f>Orders[[#This Row],[Quantity]]*Orders[[#This Row],[Selling Price]]</f>
        <v>42370</v>
      </c>
      <c r="J1159">
        <f>Orders[[#This Row],[Quantity]]*Orders[[#This Row],[Cost Price]]</f>
        <v>36014.5</v>
      </c>
      <c r="K1159">
        <f>Orders[[#This Row],[Revenue]]-Orders[[#This Row],[Expenses]]</f>
        <v>6355.5</v>
      </c>
      <c r="L1159" t="s">
        <v>2208</v>
      </c>
      <c r="M1159" t="str">
        <f>_xlfn.XLOOKUP(Orders[[#This Row],[CustomerID]],Customers[CustomerID],Customers[City])</f>
        <v>Washington</v>
      </c>
      <c r="N1159" t="str">
        <f>_xlfn.XLOOKUP(Orders[[#This Row],[CustomerID]],Customers[CustomerID],Customers[CustomerName])</f>
        <v>Folasade Okonkwo</v>
      </c>
      <c r="O1159" t="str">
        <f>_xlfn.XLOOKUP(Orders[[#This Row],[CustomerID]],Customers[CustomerID],Customers[Gender])</f>
        <v>Female</v>
      </c>
      <c r="P1159">
        <f>_xlfn.XLOOKUP(Orders[[#This Row],[CustomerID]],Customers[CustomerID],Customers[CustomerAge])</f>
        <v>52</v>
      </c>
      <c r="Q1159" t="str">
        <f>IF(Orders[[#This Row],[Age]]&gt;=35,"older","young")</f>
        <v>older</v>
      </c>
      <c r="R1159" t="str">
        <f>_xlfn.XLOOKUP(Orders[[#This Row],[ProductID]],Products[ProductID],Products[ProductName])</f>
        <v>BEADED EARRINGS AND NECKLACES</v>
      </c>
      <c r="S1159" t="str">
        <f>_xlfn.XLOOKUP(Orders[[#This Row],[ProductID]],Products!A:A,Products!C:C)</f>
        <v>Accessories</v>
      </c>
    </row>
    <row r="1160" spans="1:19" x14ac:dyDescent="0.2">
      <c r="A1160" s="4" t="s">
        <v>1349</v>
      </c>
      <c r="B1160" s="5">
        <v>45949</v>
      </c>
      <c r="C1160" s="15">
        <f>WEEKNUM(Orders[[#This Row],[OrderDate]])</f>
        <v>43</v>
      </c>
      <c r="D1160" s="4" t="s">
        <v>80</v>
      </c>
      <c r="E1160" s="4" t="s">
        <v>34</v>
      </c>
      <c r="F1160" s="4">
        <v>4</v>
      </c>
      <c r="G1160" s="4">
        <v>19666.099999999999</v>
      </c>
      <c r="H1160">
        <v>16716.184999999998</v>
      </c>
      <c r="I1160">
        <f>Orders[[#This Row],[Quantity]]*Orders[[#This Row],[Selling Price]]</f>
        <v>78664.399999999994</v>
      </c>
      <c r="J1160">
        <f>Orders[[#This Row],[Quantity]]*Orders[[#This Row],[Cost Price]]</f>
        <v>66864.739999999991</v>
      </c>
      <c r="K1160">
        <f>Orders[[#This Row],[Revenue]]-Orders[[#This Row],[Expenses]]</f>
        <v>11799.660000000003</v>
      </c>
      <c r="L1160" t="s">
        <v>2192</v>
      </c>
      <c r="M1160" t="str">
        <f>_xlfn.XLOOKUP(Orders[[#This Row],[CustomerID]],Customers[CustomerID],Customers[City])</f>
        <v>Texas</v>
      </c>
      <c r="N1160" t="str">
        <f>_xlfn.XLOOKUP(Orders[[#This Row],[CustomerID]],Customers[CustomerID],Customers[CustomerName])</f>
        <v>Sani Ojo</v>
      </c>
      <c r="O1160" t="str">
        <f>_xlfn.XLOOKUP(Orders[[#This Row],[CustomerID]],Customers[CustomerID],Customers[Gender])</f>
        <v>Male</v>
      </c>
      <c r="P1160">
        <f>_xlfn.XLOOKUP(Orders[[#This Row],[CustomerID]],Customers[CustomerID],Customers[CustomerAge])</f>
        <v>35</v>
      </c>
      <c r="Q1160" t="str">
        <f>IF(Orders[[#This Row],[Age]]&gt;=35,"older","young")</f>
        <v>older</v>
      </c>
      <c r="R1160" t="str">
        <f>_xlfn.XLOOKUP(Orders[[#This Row],[ProductID]],Products[ProductID],Products[ProductName])</f>
        <v>GOLD BRACELETS</v>
      </c>
      <c r="S1160" t="str">
        <f>_xlfn.XLOOKUP(Orders[[#This Row],[ProductID]],Products!A:A,Products!C:C)</f>
        <v>Accessories</v>
      </c>
    </row>
    <row r="1161" spans="1:19" x14ac:dyDescent="0.2">
      <c r="A1161" s="4" t="s">
        <v>1350</v>
      </c>
      <c r="B1161" s="5">
        <v>45995</v>
      </c>
      <c r="C1161" s="15">
        <f>WEEKNUM(Orders[[#This Row],[OrderDate]])</f>
        <v>49</v>
      </c>
      <c r="D1161" s="4" t="s">
        <v>19</v>
      </c>
      <c r="E1161" s="4" t="s">
        <v>157</v>
      </c>
      <c r="F1161" s="4">
        <v>3</v>
      </c>
      <c r="G1161" s="4">
        <v>6736.7999999999993</v>
      </c>
      <c r="H1161">
        <v>5726.28</v>
      </c>
      <c r="I1161">
        <f>Orders[[#This Row],[Quantity]]*Orders[[#This Row],[Selling Price]]</f>
        <v>20210.399999999998</v>
      </c>
      <c r="J1161">
        <f>Orders[[#This Row],[Quantity]]*Orders[[#This Row],[Cost Price]]</f>
        <v>17178.84</v>
      </c>
      <c r="K1161">
        <f>Orders[[#This Row],[Revenue]]-Orders[[#This Row],[Expenses]]</f>
        <v>3031.5599999999977</v>
      </c>
      <c r="L1161" t="s">
        <v>2216</v>
      </c>
      <c r="M1161" t="str">
        <f>_xlfn.XLOOKUP(Orders[[#This Row],[CustomerID]],Customers[CustomerID],Customers[City])</f>
        <v>California</v>
      </c>
      <c r="N1161" t="str">
        <f>_xlfn.XLOOKUP(Orders[[#This Row],[CustomerID]],Customers[CustomerID],Customers[CustomerName])</f>
        <v>Obi Adeyemi</v>
      </c>
      <c r="O1161" t="str">
        <f>_xlfn.XLOOKUP(Orders[[#This Row],[CustomerID]],Customers[CustomerID],Customers[Gender])</f>
        <v>Male</v>
      </c>
      <c r="P1161">
        <f>_xlfn.XLOOKUP(Orders[[#This Row],[CustomerID]],Customers[CustomerID],Customers[CustomerAge])</f>
        <v>24</v>
      </c>
      <c r="Q1161" t="str">
        <f>IF(Orders[[#This Row],[Age]]&gt;=35,"older","young")</f>
        <v>young</v>
      </c>
      <c r="R1161" t="str">
        <f>_xlfn.XLOOKUP(Orders[[#This Row],[ProductID]],Products[ProductID],Products[ProductName])</f>
        <v>FOOTBALL</v>
      </c>
      <c r="S1161" t="str">
        <f>_xlfn.XLOOKUP(Orders[[#This Row],[ProductID]],Products!A:A,Products!C:C)</f>
        <v>Sports</v>
      </c>
    </row>
    <row r="1162" spans="1:19" x14ac:dyDescent="0.2">
      <c r="A1162" s="4" t="s">
        <v>1351</v>
      </c>
      <c r="B1162" s="5">
        <v>45951</v>
      </c>
      <c r="C1162" s="15">
        <f>WEEKNUM(Orders[[#This Row],[OrderDate]])</f>
        <v>43</v>
      </c>
      <c r="D1162" s="4" t="s">
        <v>596</v>
      </c>
      <c r="E1162" s="4" t="s">
        <v>353</v>
      </c>
      <c r="F1162" s="4">
        <v>10</v>
      </c>
      <c r="G1162" s="4">
        <v>1691.3</v>
      </c>
      <c r="H1162">
        <v>1437.605</v>
      </c>
      <c r="I1162">
        <f>Orders[[#This Row],[Quantity]]*Orders[[#This Row],[Selling Price]]</f>
        <v>16913</v>
      </c>
      <c r="J1162">
        <f>Orders[[#This Row],[Quantity]]*Orders[[#This Row],[Cost Price]]</f>
        <v>14376.05</v>
      </c>
      <c r="K1162">
        <f>Orders[[#This Row],[Revenue]]-Orders[[#This Row],[Expenses]]</f>
        <v>2536.9500000000007</v>
      </c>
      <c r="L1162" t="s">
        <v>2217</v>
      </c>
      <c r="M1162" t="str">
        <f>_xlfn.XLOOKUP(Orders[[#This Row],[CustomerID]],Customers[CustomerID],Customers[City])</f>
        <v>Texas</v>
      </c>
      <c r="N1162" t="str">
        <f>_xlfn.XLOOKUP(Orders[[#This Row],[CustomerID]],Customers[CustomerID],Customers[CustomerName])</f>
        <v>Blessing Balogun</v>
      </c>
      <c r="O1162" t="str">
        <f>_xlfn.XLOOKUP(Orders[[#This Row],[CustomerID]],Customers[CustomerID],Customers[Gender])</f>
        <v>Female</v>
      </c>
      <c r="P1162">
        <f>_xlfn.XLOOKUP(Orders[[#This Row],[CustomerID]],Customers[CustomerID],Customers[CustomerAge])</f>
        <v>26</v>
      </c>
      <c r="Q1162" t="str">
        <f>IF(Orders[[#This Row],[Age]]&gt;=35,"older","young")</f>
        <v>young</v>
      </c>
      <c r="R1162" t="str">
        <f>_xlfn.XLOOKUP(Orders[[#This Row],[ProductID]],Products[ProductID],Products[ProductName])</f>
        <v>SILVER EARRINGS AND NECKLACES</v>
      </c>
      <c r="S1162" t="str">
        <f>_xlfn.XLOOKUP(Orders[[#This Row],[ProductID]],Products!A:A,Products!C:C)</f>
        <v>Accessories</v>
      </c>
    </row>
    <row r="1163" spans="1:19" x14ac:dyDescent="0.2">
      <c r="A1163" s="4" t="s">
        <v>1352</v>
      </c>
      <c r="B1163" s="5">
        <v>45936</v>
      </c>
      <c r="C1163" s="15">
        <f>WEEKNUM(Orders[[#This Row],[OrderDate]])</f>
        <v>41</v>
      </c>
      <c r="D1163" s="4" t="s">
        <v>244</v>
      </c>
      <c r="E1163" s="4" t="s">
        <v>37</v>
      </c>
      <c r="F1163" s="4">
        <v>10</v>
      </c>
      <c r="G1163" s="4">
        <v>2726.3</v>
      </c>
      <c r="H1163">
        <v>2317.355</v>
      </c>
      <c r="I1163">
        <f>Orders[[#This Row],[Quantity]]*Orders[[#This Row],[Selling Price]]</f>
        <v>27263</v>
      </c>
      <c r="J1163">
        <f>Orders[[#This Row],[Quantity]]*Orders[[#This Row],[Cost Price]]</f>
        <v>23173.55</v>
      </c>
      <c r="K1163">
        <f>Orders[[#This Row],[Revenue]]-Orders[[#This Row],[Expenses]]</f>
        <v>4089.4500000000007</v>
      </c>
      <c r="L1163" t="s">
        <v>2219</v>
      </c>
      <c r="M1163" t="str">
        <f>_xlfn.XLOOKUP(Orders[[#This Row],[CustomerID]],Customers[CustomerID],Customers[City])</f>
        <v>Texas</v>
      </c>
      <c r="N1163" t="str">
        <f>_xlfn.XLOOKUP(Orders[[#This Row],[CustomerID]],Customers[CustomerID],Customers[CustomerName])</f>
        <v>Zainab Abubakar</v>
      </c>
      <c r="O1163" t="str">
        <f>_xlfn.XLOOKUP(Orders[[#This Row],[CustomerID]],Customers[CustomerID],Customers[Gender])</f>
        <v>Female</v>
      </c>
      <c r="P1163">
        <f>_xlfn.XLOOKUP(Orders[[#This Row],[CustomerID]],Customers[CustomerID],Customers[CustomerAge])</f>
        <v>33</v>
      </c>
      <c r="Q1163" t="str">
        <f>IF(Orders[[#This Row],[Age]]&gt;=35,"older","young")</f>
        <v>young</v>
      </c>
      <c r="R1163" t="str">
        <f>_xlfn.XLOOKUP(Orders[[#This Row],[ProductID]],Products[ProductID],Products[ProductName])</f>
        <v>IRON</v>
      </c>
      <c r="S1163" t="str">
        <f>_xlfn.XLOOKUP(Orders[[#This Row],[ProductID]],Products!A:A,Products!C:C)</f>
        <v>Electronics</v>
      </c>
    </row>
    <row r="1164" spans="1:19" x14ac:dyDescent="0.2">
      <c r="A1164" s="4" t="s">
        <v>1353</v>
      </c>
      <c r="B1164" s="5">
        <v>45981</v>
      </c>
      <c r="C1164" s="15">
        <f>WEEKNUM(Orders[[#This Row],[OrderDate]])</f>
        <v>47</v>
      </c>
      <c r="D1164" s="4" t="s">
        <v>89</v>
      </c>
      <c r="E1164" s="4" t="s">
        <v>130</v>
      </c>
      <c r="F1164" s="4">
        <v>6</v>
      </c>
      <c r="G1164" s="4">
        <v>5874.6</v>
      </c>
      <c r="H1164">
        <v>4993.41</v>
      </c>
      <c r="I1164">
        <f>Orders[[#This Row],[Quantity]]*Orders[[#This Row],[Selling Price]]</f>
        <v>35247.600000000006</v>
      </c>
      <c r="J1164">
        <f>Orders[[#This Row],[Quantity]]*Orders[[#This Row],[Cost Price]]</f>
        <v>29960.46</v>
      </c>
      <c r="K1164">
        <f>Orders[[#This Row],[Revenue]]-Orders[[#This Row],[Expenses]]</f>
        <v>5287.1400000000067</v>
      </c>
      <c r="L1164" t="s">
        <v>2197</v>
      </c>
      <c r="M1164" t="str">
        <f>_xlfn.XLOOKUP(Orders[[#This Row],[CustomerID]],Customers[CustomerID],Customers[City])</f>
        <v>Washington</v>
      </c>
      <c r="N1164" t="str">
        <f>_xlfn.XLOOKUP(Orders[[#This Row],[CustomerID]],Customers[CustomerID],Customers[CustomerName])</f>
        <v>Blessing Balogun</v>
      </c>
      <c r="O1164" t="str">
        <f>_xlfn.XLOOKUP(Orders[[#This Row],[CustomerID]],Customers[CustomerID],Customers[Gender])</f>
        <v>Female</v>
      </c>
      <c r="P1164">
        <f>_xlfn.XLOOKUP(Orders[[#This Row],[CustomerID]],Customers[CustomerID],Customers[CustomerAge])</f>
        <v>19</v>
      </c>
      <c r="Q1164" t="str">
        <f>IF(Orders[[#This Row],[Age]]&gt;=35,"older","young")</f>
        <v>young</v>
      </c>
      <c r="R1164" t="str">
        <f>_xlfn.XLOOKUP(Orders[[#This Row],[ProductID]],Products[ProductID],Products[ProductName])</f>
        <v>GOLD EARRINGS AND NECKLACES</v>
      </c>
      <c r="S1164" t="str">
        <f>_xlfn.XLOOKUP(Orders[[#This Row],[ProductID]],Products!A:A,Products!C:C)</f>
        <v>Accessories</v>
      </c>
    </row>
    <row r="1165" spans="1:19" x14ac:dyDescent="0.2">
      <c r="A1165" s="4" t="s">
        <v>1354</v>
      </c>
      <c r="B1165" s="5">
        <v>45932</v>
      </c>
      <c r="C1165" s="15">
        <f>WEEKNUM(Orders[[#This Row],[OrderDate]])</f>
        <v>40</v>
      </c>
      <c r="D1165" s="4" t="s">
        <v>340</v>
      </c>
      <c r="E1165" s="4" t="s">
        <v>120</v>
      </c>
      <c r="F1165" s="4">
        <v>6</v>
      </c>
      <c r="G1165" s="4">
        <v>869.2</v>
      </c>
      <c r="H1165">
        <v>738.82</v>
      </c>
      <c r="I1165">
        <f>Orders[[#This Row],[Quantity]]*Orders[[#This Row],[Selling Price]]</f>
        <v>5215.2000000000007</v>
      </c>
      <c r="J1165">
        <f>Orders[[#This Row],[Quantity]]*Orders[[#This Row],[Cost Price]]</f>
        <v>4432.92</v>
      </c>
      <c r="K1165">
        <f>Orders[[#This Row],[Revenue]]-Orders[[#This Row],[Expenses]]</f>
        <v>782.28000000000065</v>
      </c>
      <c r="L1165" t="s">
        <v>2213</v>
      </c>
      <c r="M1165" t="str">
        <f>_xlfn.XLOOKUP(Orders[[#This Row],[CustomerID]],Customers[CustomerID],Customers[City])</f>
        <v>Illinois</v>
      </c>
      <c r="N1165" t="str">
        <f>_xlfn.XLOOKUP(Orders[[#This Row],[CustomerID]],Customers[CustomerID],Customers[CustomerName])</f>
        <v>Uche Abubakar</v>
      </c>
      <c r="O1165" t="str">
        <f>_xlfn.XLOOKUP(Orders[[#This Row],[CustomerID]],Customers[CustomerID],Customers[Gender])</f>
        <v>Male</v>
      </c>
      <c r="P1165">
        <f>_xlfn.XLOOKUP(Orders[[#This Row],[CustomerID]],Customers[CustomerID],Customers[CustomerAge])</f>
        <v>18</v>
      </c>
      <c r="Q1165" t="str">
        <f>IF(Orders[[#This Row],[Age]]&gt;=35,"older","young")</f>
        <v>young</v>
      </c>
      <c r="R1165" t="str">
        <f>_xlfn.XLOOKUP(Orders[[#This Row],[ProductID]],Products[ProductID],Products[ProductName])</f>
        <v>CHESS</v>
      </c>
      <c r="S1165" t="str">
        <f>_xlfn.XLOOKUP(Orders[[#This Row],[ProductID]],Products!A:A,Products!C:C)</f>
        <v>Games</v>
      </c>
    </row>
    <row r="1166" spans="1:19" x14ac:dyDescent="0.2">
      <c r="A1166" s="4" t="s">
        <v>1355</v>
      </c>
      <c r="B1166" s="5">
        <v>45970</v>
      </c>
      <c r="C1166" s="15">
        <f>WEEKNUM(Orders[[#This Row],[OrderDate]])</f>
        <v>46</v>
      </c>
      <c r="D1166" s="4" t="s">
        <v>260</v>
      </c>
      <c r="E1166" s="4" t="s">
        <v>12</v>
      </c>
      <c r="F1166" s="4">
        <v>10</v>
      </c>
      <c r="G1166" s="4">
        <v>3202.4</v>
      </c>
      <c r="H1166">
        <v>2722.04</v>
      </c>
      <c r="I1166">
        <f>Orders[[#This Row],[Quantity]]*Orders[[#This Row],[Selling Price]]</f>
        <v>32024</v>
      </c>
      <c r="J1166">
        <f>Orders[[#This Row],[Quantity]]*Orders[[#This Row],[Cost Price]]</f>
        <v>27220.400000000001</v>
      </c>
      <c r="K1166">
        <f>Orders[[#This Row],[Revenue]]-Orders[[#This Row],[Expenses]]</f>
        <v>4803.5999999999985</v>
      </c>
      <c r="L1166" t="s">
        <v>2213</v>
      </c>
      <c r="M1166" t="str">
        <f>_xlfn.XLOOKUP(Orders[[#This Row],[CustomerID]],Customers[CustomerID],Customers[City])</f>
        <v>Florida</v>
      </c>
      <c r="N1166" t="str">
        <f>_xlfn.XLOOKUP(Orders[[#This Row],[CustomerID]],Customers[CustomerID],Customers[CustomerName])</f>
        <v>Amina Obi</v>
      </c>
      <c r="O1166" t="str">
        <f>_xlfn.XLOOKUP(Orders[[#This Row],[CustomerID]],Customers[CustomerID],Customers[Gender])</f>
        <v>Female</v>
      </c>
      <c r="P1166">
        <f>_xlfn.XLOOKUP(Orders[[#This Row],[CustomerID]],Customers[CustomerID],Customers[CustomerAge])</f>
        <v>29</v>
      </c>
      <c r="Q1166" t="str">
        <f>IF(Orders[[#This Row],[Age]]&gt;=35,"older","young")</f>
        <v>young</v>
      </c>
      <c r="R1166" t="str">
        <f>_xlfn.XLOOKUP(Orders[[#This Row],[ProductID]],Products[ProductID],Products[ProductName])</f>
        <v>BOUBOU</v>
      </c>
      <c r="S1166" t="str">
        <f>_xlfn.XLOOKUP(Orders[[#This Row],[ProductID]],Products!A:A,Products!C:C)</f>
        <v>Clothing</v>
      </c>
    </row>
    <row r="1167" spans="1:19" x14ac:dyDescent="0.2">
      <c r="A1167" s="4" t="s">
        <v>1356</v>
      </c>
      <c r="B1167" s="5">
        <v>45934</v>
      </c>
      <c r="C1167" s="15">
        <f>WEEKNUM(Orders[[#This Row],[OrderDate]])</f>
        <v>40</v>
      </c>
      <c r="D1167" s="4" t="s">
        <v>507</v>
      </c>
      <c r="E1167" s="4" t="s">
        <v>53</v>
      </c>
      <c r="F1167" s="4">
        <v>6</v>
      </c>
      <c r="G1167" s="4">
        <v>9666.5</v>
      </c>
      <c r="H1167">
        <v>8216.5249999999996</v>
      </c>
      <c r="I1167">
        <f>Orders[[#This Row],[Quantity]]*Orders[[#This Row],[Selling Price]]</f>
        <v>57999</v>
      </c>
      <c r="J1167">
        <f>Orders[[#This Row],[Quantity]]*Orders[[#This Row],[Cost Price]]</f>
        <v>49299.149999999994</v>
      </c>
      <c r="K1167">
        <f>Orders[[#This Row],[Revenue]]-Orders[[#This Row],[Expenses]]</f>
        <v>8699.8500000000058</v>
      </c>
      <c r="L1167" t="s">
        <v>2211</v>
      </c>
      <c r="M1167" t="str">
        <f>_xlfn.XLOOKUP(Orders[[#This Row],[CustomerID]],Customers[CustomerID],Customers[City])</f>
        <v>Washington</v>
      </c>
      <c r="N1167" t="str">
        <f>_xlfn.XLOOKUP(Orders[[#This Row],[CustomerID]],Customers[CustomerID],Customers[CustomerName])</f>
        <v>Temi Okonkwo</v>
      </c>
      <c r="O1167" t="str">
        <f>_xlfn.XLOOKUP(Orders[[#This Row],[CustomerID]],Customers[CustomerID],Customers[Gender])</f>
        <v>Female</v>
      </c>
      <c r="P1167">
        <f>_xlfn.XLOOKUP(Orders[[#This Row],[CustomerID]],Customers[CustomerID],Customers[CustomerAge])</f>
        <v>35</v>
      </c>
      <c r="Q1167" t="str">
        <f>IF(Orders[[#This Row],[Age]]&gt;=35,"older","young")</f>
        <v>older</v>
      </c>
      <c r="R1167" t="str">
        <f>_xlfn.XLOOKUP(Orders[[#This Row],[ProductID]],Products[ProductID],Products[ProductName])</f>
        <v>SILVER BANGLES</v>
      </c>
      <c r="S1167" t="str">
        <f>_xlfn.XLOOKUP(Orders[[#This Row],[ProductID]],Products!A:A,Products!C:C)</f>
        <v>Accessories</v>
      </c>
    </row>
    <row r="1168" spans="1:19" x14ac:dyDescent="0.2">
      <c r="A1168" s="4" t="s">
        <v>1357</v>
      </c>
      <c r="B1168" s="5">
        <v>46002</v>
      </c>
      <c r="C1168" s="15">
        <f>WEEKNUM(Orders[[#This Row],[OrderDate]])</f>
        <v>50</v>
      </c>
      <c r="D1168" s="4" t="s">
        <v>607</v>
      </c>
      <c r="E1168" s="4" t="s">
        <v>66</v>
      </c>
      <c r="F1168" s="4">
        <v>1</v>
      </c>
      <c r="G1168" s="4">
        <v>3037.7</v>
      </c>
      <c r="H1168">
        <v>2582.0450000000001</v>
      </c>
      <c r="I1168">
        <f>Orders[[#This Row],[Quantity]]*Orders[[#This Row],[Selling Price]]</f>
        <v>3037.7</v>
      </c>
      <c r="J1168">
        <f>Orders[[#This Row],[Quantity]]*Orders[[#This Row],[Cost Price]]</f>
        <v>2582.0450000000001</v>
      </c>
      <c r="K1168">
        <f>Orders[[#This Row],[Revenue]]-Orders[[#This Row],[Expenses]]</f>
        <v>455.65499999999975</v>
      </c>
      <c r="L1168" t="s">
        <v>2199</v>
      </c>
      <c r="M1168" t="str">
        <f>_xlfn.XLOOKUP(Orders[[#This Row],[CustomerID]],Customers[CustomerID],Customers[City])</f>
        <v>Texas</v>
      </c>
      <c r="N1168" t="str">
        <f>_xlfn.XLOOKUP(Orders[[#This Row],[CustomerID]],Customers[CustomerID],Customers[CustomerName])</f>
        <v>Folasade Ojo</v>
      </c>
      <c r="O1168" t="str">
        <f>_xlfn.XLOOKUP(Orders[[#This Row],[CustomerID]],Customers[CustomerID],Customers[Gender])</f>
        <v>Female</v>
      </c>
      <c r="P1168">
        <f>_xlfn.XLOOKUP(Orders[[#This Row],[CustomerID]],Customers[CustomerID],Customers[CustomerAge])</f>
        <v>19</v>
      </c>
      <c r="Q1168" t="str">
        <f>IF(Orders[[#This Row],[Age]]&gt;=35,"older","young")</f>
        <v>young</v>
      </c>
      <c r="R1168" t="str">
        <f>_xlfn.XLOOKUP(Orders[[#This Row],[ProductID]],Products[ProductID],Products[ProductName])</f>
        <v>MICROWAVE</v>
      </c>
      <c r="S1168" t="str">
        <f>_xlfn.XLOOKUP(Orders[[#This Row],[ProductID]],Products!A:A,Products!C:C)</f>
        <v>Electronics</v>
      </c>
    </row>
    <row r="1169" spans="1:19" x14ac:dyDescent="0.2">
      <c r="A1169" s="4" t="s">
        <v>1358</v>
      </c>
      <c r="B1169" s="5">
        <v>46005</v>
      </c>
      <c r="C1169" s="15">
        <f>WEEKNUM(Orders[[#This Row],[OrderDate]])</f>
        <v>51</v>
      </c>
      <c r="D1169" s="4" t="s">
        <v>671</v>
      </c>
      <c r="E1169" s="4" t="s">
        <v>111</v>
      </c>
      <c r="F1169" s="4">
        <v>6</v>
      </c>
      <c r="G1169" s="4">
        <v>8364.1</v>
      </c>
      <c r="H1169">
        <v>7109.4850000000006</v>
      </c>
      <c r="I1169">
        <f>Orders[[#This Row],[Quantity]]*Orders[[#This Row],[Selling Price]]</f>
        <v>50184.600000000006</v>
      </c>
      <c r="J1169">
        <f>Orders[[#This Row],[Quantity]]*Orders[[#This Row],[Cost Price]]</f>
        <v>42656.91</v>
      </c>
      <c r="K1169">
        <f>Orders[[#This Row],[Revenue]]-Orders[[#This Row],[Expenses]]</f>
        <v>7527.6900000000023</v>
      </c>
      <c r="L1169" t="s">
        <v>2204</v>
      </c>
      <c r="M1169" t="str">
        <f>_xlfn.XLOOKUP(Orders[[#This Row],[CustomerID]],Customers[CustomerID],Customers[City])</f>
        <v>Texas</v>
      </c>
      <c r="N1169" t="str">
        <f>_xlfn.XLOOKUP(Orders[[#This Row],[CustomerID]],Customers[CustomerID],Customers[CustomerName])</f>
        <v>Tunde Abubakar</v>
      </c>
      <c r="O1169" t="str">
        <f>_xlfn.XLOOKUP(Orders[[#This Row],[CustomerID]],Customers[CustomerID],Customers[Gender])</f>
        <v>Male</v>
      </c>
      <c r="P1169">
        <f>_xlfn.XLOOKUP(Orders[[#This Row],[CustomerID]],Customers[CustomerID],Customers[CustomerAge])</f>
        <v>26</v>
      </c>
      <c r="Q1169" t="str">
        <f>IF(Orders[[#This Row],[Age]]&gt;=35,"older","young")</f>
        <v>young</v>
      </c>
      <c r="R1169" t="str">
        <f>_xlfn.XLOOKUP(Orders[[#This Row],[ProductID]],Products[ProductID],Products[ProductName])</f>
        <v>REFRIGERATOR</v>
      </c>
      <c r="S1169" t="str">
        <f>_xlfn.XLOOKUP(Orders[[#This Row],[ProductID]],Products!A:A,Products!C:C)</f>
        <v>Electronics</v>
      </c>
    </row>
    <row r="1170" spans="1:19" x14ac:dyDescent="0.2">
      <c r="A1170" s="4" t="s">
        <v>1359</v>
      </c>
      <c r="B1170" s="5">
        <v>45959</v>
      </c>
      <c r="C1170" s="15">
        <f>WEEKNUM(Orders[[#This Row],[OrderDate]])</f>
        <v>44</v>
      </c>
      <c r="D1170" s="4" t="s">
        <v>757</v>
      </c>
      <c r="E1170" s="4" t="s">
        <v>46</v>
      </c>
      <c r="F1170" s="4">
        <v>1</v>
      </c>
      <c r="G1170" s="4">
        <v>8080.1</v>
      </c>
      <c r="H1170">
        <v>6868.085</v>
      </c>
      <c r="I1170">
        <f>Orders[[#This Row],[Quantity]]*Orders[[#This Row],[Selling Price]]</f>
        <v>8080.1</v>
      </c>
      <c r="J1170">
        <f>Orders[[#This Row],[Quantity]]*Orders[[#This Row],[Cost Price]]</f>
        <v>6868.085</v>
      </c>
      <c r="K1170">
        <f>Orders[[#This Row],[Revenue]]-Orders[[#This Row],[Expenses]]</f>
        <v>1212.0150000000003</v>
      </c>
      <c r="L1170" t="s">
        <v>2206</v>
      </c>
      <c r="M1170" t="str">
        <f>_xlfn.XLOOKUP(Orders[[#This Row],[CustomerID]],Customers[CustomerID],Customers[City])</f>
        <v>Texas</v>
      </c>
      <c r="N1170" t="str">
        <f>_xlfn.XLOOKUP(Orders[[#This Row],[CustomerID]],Customers[CustomerID],Customers[CustomerName])</f>
        <v>Okon Balogun</v>
      </c>
      <c r="O1170" t="str">
        <f>_xlfn.XLOOKUP(Orders[[#This Row],[CustomerID]],Customers[CustomerID],Customers[Gender])</f>
        <v>Male</v>
      </c>
      <c r="P1170">
        <f>_xlfn.XLOOKUP(Orders[[#This Row],[CustomerID]],Customers[CustomerID],Customers[CustomerAge])</f>
        <v>20</v>
      </c>
      <c r="Q1170" t="str">
        <f>IF(Orders[[#This Row],[Age]]&gt;=35,"older","young")</f>
        <v>young</v>
      </c>
      <c r="R1170" t="str">
        <f>_xlfn.XLOOKUP(Orders[[#This Row],[ProductID]],Products[ProductID],Products[ProductName])</f>
        <v>TURTLE NECK</v>
      </c>
      <c r="S1170" t="str">
        <f>_xlfn.XLOOKUP(Orders[[#This Row],[ProductID]],Products!A:A,Products!C:C)</f>
        <v>Clothing</v>
      </c>
    </row>
    <row r="1171" spans="1:19" x14ac:dyDescent="0.2">
      <c r="A1171" s="4" t="s">
        <v>1360</v>
      </c>
      <c r="B1171" s="5">
        <v>45993</v>
      </c>
      <c r="C1171" s="15">
        <f>WEEKNUM(Orders[[#This Row],[OrderDate]])</f>
        <v>49</v>
      </c>
      <c r="D1171" s="4" t="s">
        <v>280</v>
      </c>
      <c r="E1171" s="4" t="s">
        <v>120</v>
      </c>
      <c r="F1171" s="4">
        <v>4</v>
      </c>
      <c r="G1171" s="4">
        <v>4594.3</v>
      </c>
      <c r="H1171">
        <v>3905.1550000000002</v>
      </c>
      <c r="I1171">
        <f>Orders[[#This Row],[Quantity]]*Orders[[#This Row],[Selling Price]]</f>
        <v>18377.2</v>
      </c>
      <c r="J1171">
        <f>Orders[[#This Row],[Quantity]]*Orders[[#This Row],[Cost Price]]</f>
        <v>15620.62</v>
      </c>
      <c r="K1171">
        <f>Orders[[#This Row],[Revenue]]-Orders[[#This Row],[Expenses]]</f>
        <v>2756.58</v>
      </c>
      <c r="L1171" t="s">
        <v>2201</v>
      </c>
      <c r="M1171" t="str">
        <f>_xlfn.XLOOKUP(Orders[[#This Row],[CustomerID]],Customers[CustomerID],Customers[City])</f>
        <v>Texas</v>
      </c>
      <c r="N1171" t="str">
        <f>_xlfn.XLOOKUP(Orders[[#This Row],[CustomerID]],Customers[CustomerID],Customers[CustomerName])</f>
        <v>Folasade Okonkwo</v>
      </c>
      <c r="O1171" t="str">
        <f>_xlfn.XLOOKUP(Orders[[#This Row],[CustomerID]],Customers[CustomerID],Customers[Gender])</f>
        <v>Female</v>
      </c>
      <c r="P1171">
        <f>_xlfn.XLOOKUP(Orders[[#This Row],[CustomerID]],Customers[CustomerID],Customers[CustomerAge])</f>
        <v>21</v>
      </c>
      <c r="Q1171" t="str">
        <f>IF(Orders[[#This Row],[Age]]&gt;=35,"older","young")</f>
        <v>young</v>
      </c>
      <c r="R1171" t="str">
        <f>_xlfn.XLOOKUP(Orders[[#This Row],[ProductID]],Products[ProductID],Products[ProductName])</f>
        <v>CHESS</v>
      </c>
      <c r="S1171" t="str">
        <f>_xlfn.XLOOKUP(Orders[[#This Row],[ProductID]],Products!A:A,Products!C:C)</f>
        <v>Games</v>
      </c>
    </row>
    <row r="1172" spans="1:19" x14ac:dyDescent="0.2">
      <c r="A1172" s="4" t="s">
        <v>1361</v>
      </c>
      <c r="B1172" s="5">
        <v>45997</v>
      </c>
      <c r="C1172" s="15">
        <f>WEEKNUM(Orders[[#This Row],[OrderDate]])</f>
        <v>49</v>
      </c>
      <c r="D1172" s="4" t="s">
        <v>524</v>
      </c>
      <c r="E1172" s="4" t="s">
        <v>28</v>
      </c>
      <c r="F1172" s="4">
        <v>10</v>
      </c>
      <c r="G1172" s="4">
        <v>17627.3</v>
      </c>
      <c r="H1172">
        <v>14983.205</v>
      </c>
      <c r="I1172">
        <f>Orders[[#This Row],[Quantity]]*Orders[[#This Row],[Selling Price]]</f>
        <v>176273</v>
      </c>
      <c r="J1172">
        <f>Orders[[#This Row],[Quantity]]*Orders[[#This Row],[Cost Price]]</f>
        <v>149832.04999999999</v>
      </c>
      <c r="K1172">
        <f>Orders[[#This Row],[Revenue]]-Orders[[#This Row],[Expenses]]</f>
        <v>26440.950000000012</v>
      </c>
      <c r="L1172" t="s">
        <v>2215</v>
      </c>
      <c r="M1172" t="str">
        <f>_xlfn.XLOOKUP(Orders[[#This Row],[CustomerID]],Customers[CustomerID],Customers[City])</f>
        <v>Florida</v>
      </c>
      <c r="N1172" t="str">
        <f>_xlfn.XLOOKUP(Orders[[#This Row],[CustomerID]],Customers[CustomerID],Customers[CustomerName])</f>
        <v>Chinedu Igwe</v>
      </c>
      <c r="O1172" t="str">
        <f>_xlfn.XLOOKUP(Orders[[#This Row],[CustomerID]],Customers[CustomerID],Customers[Gender])</f>
        <v>Male</v>
      </c>
      <c r="P1172">
        <f>_xlfn.XLOOKUP(Orders[[#This Row],[CustomerID]],Customers[CustomerID],Customers[CustomerAge])</f>
        <v>21</v>
      </c>
      <c r="Q1172" t="str">
        <f>IF(Orders[[#This Row],[Age]]&gt;=35,"older","young")</f>
        <v>young</v>
      </c>
      <c r="R1172" t="str">
        <f>_xlfn.XLOOKUP(Orders[[#This Row],[ProductID]],Products[ProductID],Products[ProductName])</f>
        <v>SNEAKERS</v>
      </c>
      <c r="S1172" t="str">
        <f>_xlfn.XLOOKUP(Orders[[#This Row],[ProductID]],Products!A:A,Products!C:C)</f>
        <v>Sports</v>
      </c>
    </row>
    <row r="1173" spans="1:19" x14ac:dyDescent="0.2">
      <c r="A1173" s="4" t="s">
        <v>1362</v>
      </c>
      <c r="B1173" s="5">
        <v>45957</v>
      </c>
      <c r="C1173" s="15">
        <f>WEEKNUM(Orders[[#This Row],[OrderDate]])</f>
        <v>44</v>
      </c>
      <c r="D1173" s="4" t="s">
        <v>314</v>
      </c>
      <c r="E1173" s="4" t="s">
        <v>28</v>
      </c>
      <c r="F1173" s="4">
        <v>1</v>
      </c>
      <c r="G1173" s="4">
        <v>15860.699999999999</v>
      </c>
      <c r="H1173">
        <v>13481.594999999999</v>
      </c>
      <c r="I1173">
        <f>Orders[[#This Row],[Quantity]]*Orders[[#This Row],[Selling Price]]</f>
        <v>15860.699999999999</v>
      </c>
      <c r="J1173">
        <f>Orders[[#This Row],[Quantity]]*Orders[[#This Row],[Cost Price]]</f>
        <v>13481.594999999999</v>
      </c>
      <c r="K1173">
        <f>Orders[[#This Row],[Revenue]]-Orders[[#This Row],[Expenses]]</f>
        <v>2379.1049999999996</v>
      </c>
      <c r="L1173" t="s">
        <v>2218</v>
      </c>
      <c r="M1173" t="str">
        <f>_xlfn.XLOOKUP(Orders[[#This Row],[CustomerID]],Customers[CustomerID],Customers[City])</f>
        <v>Washington</v>
      </c>
      <c r="N1173" t="str">
        <f>_xlfn.XLOOKUP(Orders[[#This Row],[CustomerID]],Customers[CustomerID],Customers[CustomerName])</f>
        <v>Bisi Ojo</v>
      </c>
      <c r="O1173" t="str">
        <f>_xlfn.XLOOKUP(Orders[[#This Row],[CustomerID]],Customers[CustomerID],Customers[Gender])</f>
        <v>Female</v>
      </c>
      <c r="P1173">
        <f>_xlfn.XLOOKUP(Orders[[#This Row],[CustomerID]],Customers[CustomerID],Customers[CustomerAge])</f>
        <v>18</v>
      </c>
      <c r="Q1173" t="str">
        <f>IF(Orders[[#This Row],[Age]]&gt;=35,"older","young")</f>
        <v>young</v>
      </c>
      <c r="R1173" t="str">
        <f>_xlfn.XLOOKUP(Orders[[#This Row],[ProductID]],Products[ProductID],Products[ProductName])</f>
        <v>SNEAKERS</v>
      </c>
      <c r="S1173" t="str">
        <f>_xlfn.XLOOKUP(Orders[[#This Row],[ProductID]],Products!A:A,Products!C:C)</f>
        <v>Sports</v>
      </c>
    </row>
    <row r="1174" spans="1:19" x14ac:dyDescent="0.2">
      <c r="A1174" s="4" t="s">
        <v>1363</v>
      </c>
      <c r="B1174" s="5">
        <v>45964</v>
      </c>
      <c r="C1174" s="15">
        <f>WEEKNUM(Orders[[#This Row],[OrderDate]])</f>
        <v>45</v>
      </c>
      <c r="D1174" s="4" t="s">
        <v>103</v>
      </c>
      <c r="E1174" s="4" t="s">
        <v>12</v>
      </c>
      <c r="F1174" s="4">
        <v>2</v>
      </c>
      <c r="G1174" s="4">
        <v>2831.1000000000004</v>
      </c>
      <c r="H1174">
        <v>2406.4350000000004</v>
      </c>
      <c r="I1174">
        <f>Orders[[#This Row],[Quantity]]*Orders[[#This Row],[Selling Price]]</f>
        <v>5662.2000000000007</v>
      </c>
      <c r="J1174">
        <f>Orders[[#This Row],[Quantity]]*Orders[[#This Row],[Cost Price]]</f>
        <v>4812.8700000000008</v>
      </c>
      <c r="K1174">
        <f>Orders[[#This Row],[Revenue]]-Orders[[#This Row],[Expenses]]</f>
        <v>849.32999999999993</v>
      </c>
      <c r="L1174" t="s">
        <v>2210</v>
      </c>
      <c r="M1174" t="str">
        <f>_xlfn.XLOOKUP(Orders[[#This Row],[CustomerID]],Customers[CustomerID],Customers[City])</f>
        <v>Georgia</v>
      </c>
      <c r="N1174" t="str">
        <f>_xlfn.XLOOKUP(Orders[[#This Row],[CustomerID]],Customers[CustomerID],Customers[CustomerName])</f>
        <v>Chioma Adeyemi</v>
      </c>
      <c r="O1174" t="str">
        <f>_xlfn.XLOOKUP(Orders[[#This Row],[CustomerID]],Customers[CustomerID],Customers[Gender])</f>
        <v>Female</v>
      </c>
      <c r="P1174">
        <f>_xlfn.XLOOKUP(Orders[[#This Row],[CustomerID]],Customers[CustomerID],Customers[CustomerAge])</f>
        <v>31</v>
      </c>
      <c r="Q1174" t="str">
        <f>IF(Orders[[#This Row],[Age]]&gt;=35,"older","young")</f>
        <v>young</v>
      </c>
      <c r="R1174" t="str">
        <f>_xlfn.XLOOKUP(Orders[[#This Row],[ProductID]],Products[ProductID],Products[ProductName])</f>
        <v>BOUBOU</v>
      </c>
      <c r="S1174" t="str">
        <f>_xlfn.XLOOKUP(Orders[[#This Row],[ProductID]],Products!A:A,Products!C:C)</f>
        <v>Clothing</v>
      </c>
    </row>
    <row r="1175" spans="1:19" x14ac:dyDescent="0.2">
      <c r="A1175" s="4" t="s">
        <v>1364</v>
      </c>
      <c r="B1175" s="5">
        <v>45946</v>
      </c>
      <c r="C1175" s="15">
        <f>WEEKNUM(Orders[[#This Row],[OrderDate]])</f>
        <v>42</v>
      </c>
      <c r="D1175" s="4" t="s">
        <v>757</v>
      </c>
      <c r="E1175" s="4" t="s">
        <v>84</v>
      </c>
      <c r="F1175" s="4">
        <v>7</v>
      </c>
      <c r="G1175" s="4">
        <v>16730.899999999998</v>
      </c>
      <c r="H1175">
        <v>14221.264999999998</v>
      </c>
      <c r="I1175">
        <f>Orders[[#This Row],[Quantity]]*Orders[[#This Row],[Selling Price]]</f>
        <v>117116.29999999999</v>
      </c>
      <c r="J1175">
        <f>Orders[[#This Row],[Quantity]]*Orders[[#This Row],[Cost Price]]</f>
        <v>99548.854999999981</v>
      </c>
      <c r="K1175">
        <f>Orders[[#This Row],[Revenue]]-Orders[[#This Row],[Expenses]]</f>
        <v>17567.445000000007</v>
      </c>
      <c r="L1175" t="s">
        <v>2197</v>
      </c>
      <c r="M1175" t="str">
        <f>_xlfn.XLOOKUP(Orders[[#This Row],[CustomerID]],Customers[CustomerID],Customers[City])</f>
        <v>Texas</v>
      </c>
      <c r="N1175" t="str">
        <f>_xlfn.XLOOKUP(Orders[[#This Row],[CustomerID]],Customers[CustomerID],Customers[CustomerName])</f>
        <v>Okon Balogun</v>
      </c>
      <c r="O1175" t="str">
        <f>_xlfn.XLOOKUP(Orders[[#This Row],[CustomerID]],Customers[CustomerID],Customers[Gender])</f>
        <v>Male</v>
      </c>
      <c r="P1175">
        <f>_xlfn.XLOOKUP(Orders[[#This Row],[CustomerID]],Customers[CustomerID],Customers[CustomerAge])</f>
        <v>20</v>
      </c>
      <c r="Q1175" t="str">
        <f>IF(Orders[[#This Row],[Age]]&gt;=35,"older","young")</f>
        <v>young</v>
      </c>
      <c r="R1175" t="str">
        <f>_xlfn.XLOOKUP(Orders[[#This Row],[ProductID]],Products[ProductID],Products[ProductName])</f>
        <v>GYM WEARS</v>
      </c>
      <c r="S1175" t="str">
        <f>_xlfn.XLOOKUP(Orders[[#This Row],[ProductID]],Products!A:A,Products!C:C)</f>
        <v>Clothing</v>
      </c>
    </row>
    <row r="1176" spans="1:19" x14ac:dyDescent="0.2">
      <c r="A1176" s="4" t="s">
        <v>1365</v>
      </c>
      <c r="B1176" s="5">
        <v>45979</v>
      </c>
      <c r="C1176" s="15">
        <f>WEEKNUM(Orders[[#This Row],[OrderDate]])</f>
        <v>47</v>
      </c>
      <c r="D1176" s="4" t="s">
        <v>33</v>
      </c>
      <c r="E1176" s="4" t="s">
        <v>28</v>
      </c>
      <c r="F1176" s="4">
        <v>6</v>
      </c>
      <c r="G1176" s="4">
        <v>15694.400000000001</v>
      </c>
      <c r="H1176">
        <v>13340.240000000002</v>
      </c>
      <c r="I1176">
        <f>Orders[[#This Row],[Quantity]]*Orders[[#This Row],[Selling Price]]</f>
        <v>94166.400000000009</v>
      </c>
      <c r="J1176">
        <f>Orders[[#This Row],[Quantity]]*Orders[[#This Row],[Cost Price]]</f>
        <v>80041.440000000002</v>
      </c>
      <c r="K1176">
        <f>Orders[[#This Row],[Revenue]]-Orders[[#This Row],[Expenses]]</f>
        <v>14124.960000000006</v>
      </c>
      <c r="L1176" t="s">
        <v>2202</v>
      </c>
      <c r="M1176" t="str">
        <f>_xlfn.XLOOKUP(Orders[[#This Row],[CustomerID]],Customers[CustomerID],Customers[City])</f>
        <v>Texas</v>
      </c>
      <c r="N1176" t="str">
        <f>_xlfn.XLOOKUP(Orders[[#This Row],[CustomerID]],Customers[CustomerID],Customers[CustomerName])</f>
        <v>Okon Balogun</v>
      </c>
      <c r="O1176" t="str">
        <f>_xlfn.XLOOKUP(Orders[[#This Row],[CustomerID]],Customers[CustomerID],Customers[Gender])</f>
        <v>Male</v>
      </c>
      <c r="P1176">
        <f>_xlfn.XLOOKUP(Orders[[#This Row],[CustomerID]],Customers[CustomerID],Customers[CustomerAge])</f>
        <v>28</v>
      </c>
      <c r="Q1176" t="str">
        <f>IF(Orders[[#This Row],[Age]]&gt;=35,"older","young")</f>
        <v>young</v>
      </c>
      <c r="R1176" t="str">
        <f>_xlfn.XLOOKUP(Orders[[#This Row],[ProductID]],Products[ProductID],Products[ProductName])</f>
        <v>SNEAKERS</v>
      </c>
      <c r="S1176" t="str">
        <f>_xlfn.XLOOKUP(Orders[[#This Row],[ProductID]],Products!A:A,Products!C:C)</f>
        <v>Sports</v>
      </c>
    </row>
    <row r="1177" spans="1:19" x14ac:dyDescent="0.2">
      <c r="A1177" s="4" t="s">
        <v>1366</v>
      </c>
      <c r="B1177" s="5">
        <v>45971</v>
      </c>
      <c r="C1177" s="15">
        <f>WEEKNUM(Orders[[#This Row],[OrderDate]])</f>
        <v>46</v>
      </c>
      <c r="D1177" s="4" t="s">
        <v>212</v>
      </c>
      <c r="E1177" s="4" t="s">
        <v>353</v>
      </c>
      <c r="F1177" s="4">
        <v>8</v>
      </c>
      <c r="G1177" s="4">
        <v>600.6</v>
      </c>
      <c r="H1177">
        <v>510.51</v>
      </c>
      <c r="I1177">
        <f>Orders[[#This Row],[Quantity]]*Orders[[#This Row],[Selling Price]]</f>
        <v>4804.8</v>
      </c>
      <c r="J1177">
        <f>Orders[[#This Row],[Quantity]]*Orders[[#This Row],[Cost Price]]</f>
        <v>4084.08</v>
      </c>
      <c r="K1177">
        <f>Orders[[#This Row],[Revenue]]-Orders[[#This Row],[Expenses]]</f>
        <v>720.72000000000025</v>
      </c>
      <c r="L1177" t="s">
        <v>2193</v>
      </c>
      <c r="M1177" t="str">
        <f>_xlfn.XLOOKUP(Orders[[#This Row],[CustomerID]],Customers[CustomerID],Customers[City])</f>
        <v>Illinois</v>
      </c>
      <c r="N1177" t="str">
        <f>_xlfn.XLOOKUP(Orders[[#This Row],[CustomerID]],Customers[CustomerID],Customers[CustomerName])</f>
        <v>Ngozi Ojo</v>
      </c>
      <c r="O1177" t="str">
        <f>_xlfn.XLOOKUP(Orders[[#This Row],[CustomerID]],Customers[CustomerID],Customers[Gender])</f>
        <v>Female</v>
      </c>
      <c r="P1177">
        <f>_xlfn.XLOOKUP(Orders[[#This Row],[CustomerID]],Customers[CustomerID],Customers[CustomerAge])</f>
        <v>53</v>
      </c>
      <c r="Q1177" t="str">
        <f>IF(Orders[[#This Row],[Age]]&gt;=35,"older","young")</f>
        <v>older</v>
      </c>
      <c r="R1177" t="str">
        <f>_xlfn.XLOOKUP(Orders[[#This Row],[ProductID]],Products[ProductID],Products[ProductName])</f>
        <v>SILVER EARRINGS AND NECKLACES</v>
      </c>
      <c r="S1177" t="str">
        <f>_xlfn.XLOOKUP(Orders[[#This Row],[ProductID]],Products!A:A,Products!C:C)</f>
        <v>Accessories</v>
      </c>
    </row>
    <row r="1178" spans="1:19" x14ac:dyDescent="0.2">
      <c r="A1178" s="4" t="s">
        <v>1367</v>
      </c>
      <c r="B1178" s="5">
        <v>45968</v>
      </c>
      <c r="C1178" s="15">
        <f>WEEKNUM(Orders[[#This Row],[OrderDate]])</f>
        <v>45</v>
      </c>
      <c r="D1178" s="4" t="s">
        <v>118</v>
      </c>
      <c r="E1178" s="4" t="s">
        <v>70</v>
      </c>
      <c r="F1178" s="4">
        <v>5</v>
      </c>
      <c r="G1178" s="4">
        <v>1441.6999999999998</v>
      </c>
      <c r="H1178">
        <v>1225.4449999999999</v>
      </c>
      <c r="I1178">
        <f>Orders[[#This Row],[Quantity]]*Orders[[#This Row],[Selling Price]]</f>
        <v>7208.4999999999991</v>
      </c>
      <c r="J1178">
        <f>Orders[[#This Row],[Quantity]]*Orders[[#This Row],[Cost Price]]</f>
        <v>6127.2249999999995</v>
      </c>
      <c r="K1178">
        <f>Orders[[#This Row],[Revenue]]-Orders[[#This Row],[Expenses]]</f>
        <v>1081.2749999999996</v>
      </c>
      <c r="L1178" t="s">
        <v>2217</v>
      </c>
      <c r="M1178" t="str">
        <f>_xlfn.XLOOKUP(Orders[[#This Row],[CustomerID]],Customers[CustomerID],Customers[City])</f>
        <v>Georgia</v>
      </c>
      <c r="N1178" t="str">
        <f>_xlfn.XLOOKUP(Orders[[#This Row],[CustomerID]],Customers[CustomerID],Customers[CustomerName])</f>
        <v>Ibrahim Balogun</v>
      </c>
      <c r="O1178" t="str">
        <f>_xlfn.XLOOKUP(Orders[[#This Row],[CustomerID]],Customers[CustomerID],Customers[Gender])</f>
        <v>Male</v>
      </c>
      <c r="P1178">
        <f>_xlfn.XLOOKUP(Orders[[#This Row],[CustomerID]],Customers[CustomerID],Customers[CustomerAge])</f>
        <v>55</v>
      </c>
      <c r="Q1178" t="str">
        <f>IF(Orders[[#This Row],[Age]]&gt;=35,"older","young")</f>
        <v>older</v>
      </c>
      <c r="R1178" t="str">
        <f>_xlfn.XLOOKUP(Orders[[#This Row],[ProductID]],Products[ProductID],Products[ProductName])</f>
        <v>YOGA MAT</v>
      </c>
      <c r="S1178" t="str">
        <f>_xlfn.XLOOKUP(Orders[[#This Row],[ProductID]],Products!A:A,Products!C:C)</f>
        <v>Gym</v>
      </c>
    </row>
    <row r="1179" spans="1:19" x14ac:dyDescent="0.2">
      <c r="A1179" s="4" t="s">
        <v>1368</v>
      </c>
      <c r="B1179" s="5">
        <v>46010</v>
      </c>
      <c r="C1179" s="15">
        <f>WEEKNUM(Orders[[#This Row],[OrderDate]])</f>
        <v>51</v>
      </c>
      <c r="D1179" s="4" t="s">
        <v>103</v>
      </c>
      <c r="E1179" s="4" t="s">
        <v>232</v>
      </c>
      <c r="F1179" s="4">
        <v>10</v>
      </c>
      <c r="G1179" s="4">
        <v>17867.599999999999</v>
      </c>
      <c r="H1179">
        <v>15187.46</v>
      </c>
      <c r="I1179">
        <f>Orders[[#This Row],[Quantity]]*Orders[[#This Row],[Selling Price]]</f>
        <v>178676</v>
      </c>
      <c r="J1179">
        <f>Orders[[#This Row],[Quantity]]*Orders[[#This Row],[Cost Price]]</f>
        <v>151874.59999999998</v>
      </c>
      <c r="K1179">
        <f>Orders[[#This Row],[Revenue]]-Orders[[#This Row],[Expenses]]</f>
        <v>26801.400000000023</v>
      </c>
      <c r="L1179" t="s">
        <v>2210</v>
      </c>
      <c r="M1179" t="str">
        <f>_xlfn.XLOOKUP(Orders[[#This Row],[CustomerID]],Customers[CustomerID],Customers[City])</f>
        <v>Georgia</v>
      </c>
      <c r="N1179" t="str">
        <f>_xlfn.XLOOKUP(Orders[[#This Row],[CustomerID]],Customers[CustomerID],Customers[CustomerName])</f>
        <v>Chioma Adeyemi</v>
      </c>
      <c r="O1179" t="str">
        <f>_xlfn.XLOOKUP(Orders[[#This Row],[CustomerID]],Customers[CustomerID],Customers[Gender])</f>
        <v>Female</v>
      </c>
      <c r="P1179">
        <f>_xlfn.XLOOKUP(Orders[[#This Row],[CustomerID]],Customers[CustomerID],Customers[CustomerAge])</f>
        <v>31</v>
      </c>
      <c r="Q1179" t="str">
        <f>IF(Orders[[#This Row],[Age]]&gt;=35,"older","young")</f>
        <v>young</v>
      </c>
      <c r="R1179" t="str">
        <f>_xlfn.XLOOKUP(Orders[[#This Row],[ProductID]],Products[ProductID],Products[ProductName])</f>
        <v>ANKARA</v>
      </c>
      <c r="S1179" t="str">
        <f>_xlfn.XLOOKUP(Orders[[#This Row],[ProductID]],Products!A:A,Products!C:C)</f>
        <v>Clothing</v>
      </c>
    </row>
    <row r="1180" spans="1:19" x14ac:dyDescent="0.2">
      <c r="A1180" s="4" t="s">
        <v>1369</v>
      </c>
      <c r="B1180" s="5">
        <v>45983</v>
      </c>
      <c r="C1180" s="15">
        <f>WEEKNUM(Orders[[#This Row],[OrderDate]])</f>
        <v>47</v>
      </c>
      <c r="D1180" s="4" t="s">
        <v>435</v>
      </c>
      <c r="E1180" s="4" t="s">
        <v>84</v>
      </c>
      <c r="F1180" s="4">
        <v>6</v>
      </c>
      <c r="G1180" s="4">
        <v>19840.5</v>
      </c>
      <c r="H1180">
        <v>16864.424999999999</v>
      </c>
      <c r="I1180">
        <f>Orders[[#This Row],[Quantity]]*Orders[[#This Row],[Selling Price]]</f>
        <v>119043</v>
      </c>
      <c r="J1180">
        <f>Orders[[#This Row],[Quantity]]*Orders[[#This Row],[Cost Price]]</f>
        <v>101186.54999999999</v>
      </c>
      <c r="K1180">
        <f>Orders[[#This Row],[Revenue]]-Orders[[#This Row],[Expenses]]</f>
        <v>17856.450000000012</v>
      </c>
      <c r="L1180" t="s">
        <v>2208</v>
      </c>
      <c r="M1180" t="str">
        <f>_xlfn.XLOOKUP(Orders[[#This Row],[CustomerID]],Customers[CustomerID],Customers[City])</f>
        <v>Texas</v>
      </c>
      <c r="N1180" t="str">
        <f>_xlfn.XLOOKUP(Orders[[#This Row],[CustomerID]],Customers[CustomerID],Customers[CustomerName])</f>
        <v>Amina Balogun</v>
      </c>
      <c r="O1180" t="str">
        <f>_xlfn.XLOOKUP(Orders[[#This Row],[CustomerID]],Customers[CustomerID],Customers[Gender])</f>
        <v>Female</v>
      </c>
      <c r="P1180">
        <f>_xlfn.XLOOKUP(Orders[[#This Row],[CustomerID]],Customers[CustomerID],Customers[CustomerAge])</f>
        <v>32</v>
      </c>
      <c r="Q1180" t="str">
        <f>IF(Orders[[#This Row],[Age]]&gt;=35,"older","young")</f>
        <v>young</v>
      </c>
      <c r="R1180" t="str">
        <f>_xlfn.XLOOKUP(Orders[[#This Row],[ProductID]],Products[ProductID],Products[ProductName])</f>
        <v>GYM WEARS</v>
      </c>
      <c r="S1180" t="str">
        <f>_xlfn.XLOOKUP(Orders[[#This Row],[ProductID]],Products!A:A,Products!C:C)</f>
        <v>Clothing</v>
      </c>
    </row>
    <row r="1181" spans="1:19" x14ac:dyDescent="0.2">
      <c r="A1181" s="4" t="s">
        <v>1370</v>
      </c>
      <c r="B1181" s="5">
        <v>45964</v>
      </c>
      <c r="C1181" s="15">
        <f>WEEKNUM(Orders[[#This Row],[OrderDate]])</f>
        <v>45</v>
      </c>
      <c r="D1181" s="4" t="s">
        <v>252</v>
      </c>
      <c r="E1181" s="4" t="s">
        <v>353</v>
      </c>
      <c r="F1181" s="4">
        <v>3</v>
      </c>
      <c r="G1181" s="4">
        <v>3640.4</v>
      </c>
      <c r="H1181">
        <v>3094.34</v>
      </c>
      <c r="I1181">
        <f>Orders[[#This Row],[Quantity]]*Orders[[#This Row],[Selling Price]]</f>
        <v>10921.2</v>
      </c>
      <c r="J1181">
        <f>Orders[[#This Row],[Quantity]]*Orders[[#This Row],[Cost Price]]</f>
        <v>9283.02</v>
      </c>
      <c r="K1181">
        <f>Orders[[#This Row],[Revenue]]-Orders[[#This Row],[Expenses]]</f>
        <v>1638.1800000000003</v>
      </c>
      <c r="L1181" t="s">
        <v>2209</v>
      </c>
      <c r="M1181" t="str">
        <f>_xlfn.XLOOKUP(Orders[[#This Row],[CustomerID]],Customers[CustomerID],Customers[City])</f>
        <v>Texas</v>
      </c>
      <c r="N1181" t="str">
        <f>_xlfn.XLOOKUP(Orders[[#This Row],[CustomerID]],Customers[CustomerID],Customers[CustomerName])</f>
        <v>Chioma Adeyemi</v>
      </c>
      <c r="O1181" t="str">
        <f>_xlfn.XLOOKUP(Orders[[#This Row],[CustomerID]],Customers[CustomerID],Customers[Gender])</f>
        <v>Female</v>
      </c>
      <c r="P1181">
        <f>_xlfn.XLOOKUP(Orders[[#This Row],[CustomerID]],Customers[CustomerID],Customers[CustomerAge])</f>
        <v>20</v>
      </c>
      <c r="Q1181" t="str">
        <f>IF(Orders[[#This Row],[Age]]&gt;=35,"older","young")</f>
        <v>young</v>
      </c>
      <c r="R1181" t="str">
        <f>_xlfn.XLOOKUP(Orders[[#This Row],[ProductID]],Products[ProductID],Products[ProductName])</f>
        <v>SILVER EARRINGS AND NECKLACES</v>
      </c>
      <c r="S1181" t="str">
        <f>_xlfn.XLOOKUP(Orders[[#This Row],[ProductID]],Products!A:A,Products!C:C)</f>
        <v>Accessories</v>
      </c>
    </row>
    <row r="1182" spans="1:19" x14ac:dyDescent="0.2">
      <c r="A1182" s="4" t="s">
        <v>1371</v>
      </c>
      <c r="B1182" s="5">
        <v>45931</v>
      </c>
      <c r="C1182" s="15">
        <f>WEEKNUM(Orders[[#This Row],[OrderDate]])</f>
        <v>40</v>
      </c>
      <c r="D1182" s="4" t="s">
        <v>468</v>
      </c>
      <c r="E1182" s="4" t="s">
        <v>28</v>
      </c>
      <c r="F1182" s="4">
        <v>1</v>
      </c>
      <c r="G1182" s="4">
        <v>6111.3</v>
      </c>
      <c r="H1182">
        <v>5194.6050000000005</v>
      </c>
      <c r="I1182">
        <f>Orders[[#This Row],[Quantity]]*Orders[[#This Row],[Selling Price]]</f>
        <v>6111.3</v>
      </c>
      <c r="J1182">
        <f>Orders[[#This Row],[Quantity]]*Orders[[#This Row],[Cost Price]]</f>
        <v>5194.6050000000005</v>
      </c>
      <c r="K1182">
        <f>Orders[[#This Row],[Revenue]]-Orders[[#This Row],[Expenses]]</f>
        <v>916.69499999999971</v>
      </c>
      <c r="L1182" t="s">
        <v>2216</v>
      </c>
      <c r="M1182" t="str">
        <f>_xlfn.XLOOKUP(Orders[[#This Row],[CustomerID]],Customers[CustomerID],Customers[City])</f>
        <v>California</v>
      </c>
      <c r="N1182" t="str">
        <f>_xlfn.XLOOKUP(Orders[[#This Row],[CustomerID]],Customers[CustomerID],Customers[CustomerName])</f>
        <v>Chioma Adeyemi</v>
      </c>
      <c r="O1182" t="str">
        <f>_xlfn.XLOOKUP(Orders[[#This Row],[CustomerID]],Customers[CustomerID],Customers[Gender])</f>
        <v>Female</v>
      </c>
      <c r="P1182">
        <f>_xlfn.XLOOKUP(Orders[[#This Row],[CustomerID]],Customers[CustomerID],Customers[CustomerAge])</f>
        <v>23</v>
      </c>
      <c r="Q1182" t="str">
        <f>IF(Orders[[#This Row],[Age]]&gt;=35,"older","young")</f>
        <v>young</v>
      </c>
      <c r="R1182" t="str">
        <f>_xlfn.XLOOKUP(Orders[[#This Row],[ProductID]],Products[ProductID],Products[ProductName])</f>
        <v>SNEAKERS</v>
      </c>
      <c r="S1182" t="str">
        <f>_xlfn.XLOOKUP(Orders[[#This Row],[ProductID]],Products!A:A,Products!C:C)</f>
        <v>Sports</v>
      </c>
    </row>
    <row r="1183" spans="1:19" x14ac:dyDescent="0.2">
      <c r="A1183" s="4" t="s">
        <v>1372</v>
      </c>
      <c r="B1183" s="5">
        <v>45938</v>
      </c>
      <c r="C1183" s="15">
        <f>WEEKNUM(Orders[[#This Row],[OrderDate]])</f>
        <v>41</v>
      </c>
      <c r="D1183" s="4" t="s">
        <v>416</v>
      </c>
      <c r="E1183" s="4" t="s">
        <v>66</v>
      </c>
      <c r="F1183" s="4">
        <v>10</v>
      </c>
      <c r="G1183" s="4">
        <v>11395.4</v>
      </c>
      <c r="H1183">
        <v>9686.09</v>
      </c>
      <c r="I1183">
        <f>Orders[[#This Row],[Quantity]]*Orders[[#This Row],[Selling Price]]</f>
        <v>113954</v>
      </c>
      <c r="J1183">
        <f>Orders[[#This Row],[Quantity]]*Orders[[#This Row],[Cost Price]]</f>
        <v>96860.9</v>
      </c>
      <c r="K1183">
        <f>Orders[[#This Row],[Revenue]]-Orders[[#This Row],[Expenses]]</f>
        <v>17093.100000000006</v>
      </c>
      <c r="L1183" t="s">
        <v>2214</v>
      </c>
      <c r="M1183" t="str">
        <f>_xlfn.XLOOKUP(Orders[[#This Row],[CustomerID]],Customers[CustomerID],Customers[City])</f>
        <v>Texas</v>
      </c>
      <c r="N1183" t="str">
        <f>_xlfn.XLOOKUP(Orders[[#This Row],[CustomerID]],Customers[CustomerID],Customers[CustomerName])</f>
        <v>Chinedu Igwe</v>
      </c>
      <c r="O1183" t="str">
        <f>_xlfn.XLOOKUP(Orders[[#This Row],[CustomerID]],Customers[CustomerID],Customers[Gender])</f>
        <v>Male</v>
      </c>
      <c r="P1183">
        <f>_xlfn.XLOOKUP(Orders[[#This Row],[CustomerID]],Customers[CustomerID],Customers[CustomerAge])</f>
        <v>26</v>
      </c>
      <c r="Q1183" t="str">
        <f>IF(Orders[[#This Row],[Age]]&gt;=35,"older","young")</f>
        <v>young</v>
      </c>
      <c r="R1183" t="str">
        <f>_xlfn.XLOOKUP(Orders[[#This Row],[ProductID]],Products[ProductID],Products[ProductName])</f>
        <v>MICROWAVE</v>
      </c>
      <c r="S1183" t="str">
        <f>_xlfn.XLOOKUP(Orders[[#This Row],[ProductID]],Products!A:A,Products!C:C)</f>
        <v>Electronics</v>
      </c>
    </row>
    <row r="1184" spans="1:19" x14ac:dyDescent="0.2">
      <c r="A1184" s="4" t="s">
        <v>1373</v>
      </c>
      <c r="B1184" s="5">
        <v>45941</v>
      </c>
      <c r="C1184" s="15">
        <f>WEEKNUM(Orders[[#This Row],[OrderDate]])</f>
        <v>41</v>
      </c>
      <c r="D1184" s="4" t="s">
        <v>314</v>
      </c>
      <c r="E1184" s="4" t="s">
        <v>15</v>
      </c>
      <c r="F1184" s="4">
        <v>10</v>
      </c>
      <c r="G1184" s="4">
        <v>5703.0999999999995</v>
      </c>
      <c r="H1184">
        <v>4847.6349999999993</v>
      </c>
      <c r="I1184">
        <f>Orders[[#This Row],[Quantity]]*Orders[[#This Row],[Selling Price]]</f>
        <v>57030.999999999993</v>
      </c>
      <c r="J1184">
        <f>Orders[[#This Row],[Quantity]]*Orders[[#This Row],[Cost Price]]</f>
        <v>48476.349999999991</v>
      </c>
      <c r="K1184">
        <f>Orders[[#This Row],[Revenue]]-Orders[[#This Row],[Expenses]]</f>
        <v>8554.6500000000015</v>
      </c>
      <c r="L1184" t="s">
        <v>2194</v>
      </c>
      <c r="M1184" t="str">
        <f>_xlfn.XLOOKUP(Orders[[#This Row],[CustomerID]],Customers[CustomerID],Customers[City])</f>
        <v>Washington</v>
      </c>
      <c r="N1184" t="str">
        <f>_xlfn.XLOOKUP(Orders[[#This Row],[CustomerID]],Customers[CustomerID],Customers[CustomerName])</f>
        <v>Bisi Ojo</v>
      </c>
      <c r="O1184" t="str">
        <f>_xlfn.XLOOKUP(Orders[[#This Row],[CustomerID]],Customers[CustomerID],Customers[Gender])</f>
        <v>Female</v>
      </c>
      <c r="P1184">
        <f>_xlfn.XLOOKUP(Orders[[#This Row],[CustomerID]],Customers[CustomerID],Customers[CustomerAge])</f>
        <v>18</v>
      </c>
      <c r="Q1184" t="str">
        <f>IF(Orders[[#This Row],[Age]]&gt;=35,"older","young")</f>
        <v>young</v>
      </c>
      <c r="R1184" t="str">
        <f>_xlfn.XLOOKUP(Orders[[#This Row],[ProductID]],Products[ProductID],Products[ProductName])</f>
        <v>MONOPOLY</v>
      </c>
      <c r="S1184" t="str">
        <f>_xlfn.XLOOKUP(Orders[[#This Row],[ProductID]],Products!A:A,Products!C:C)</f>
        <v>Games</v>
      </c>
    </row>
    <row r="1185" spans="1:19" x14ac:dyDescent="0.2">
      <c r="A1185" s="4" t="s">
        <v>1374</v>
      </c>
      <c r="B1185" s="5">
        <v>46005</v>
      </c>
      <c r="C1185" s="15">
        <f>WEEKNUM(Orders[[#This Row],[OrderDate]])</f>
        <v>51</v>
      </c>
      <c r="D1185" s="4" t="s">
        <v>19</v>
      </c>
      <c r="E1185" s="4" t="s">
        <v>57</v>
      </c>
      <c r="F1185" s="4">
        <v>2</v>
      </c>
      <c r="G1185" s="4">
        <v>1841.1000000000001</v>
      </c>
      <c r="H1185">
        <v>1564.9350000000002</v>
      </c>
      <c r="I1185">
        <f>Orders[[#This Row],[Quantity]]*Orders[[#This Row],[Selling Price]]</f>
        <v>3682.2000000000003</v>
      </c>
      <c r="J1185">
        <f>Orders[[#This Row],[Quantity]]*Orders[[#This Row],[Cost Price]]</f>
        <v>3129.8700000000003</v>
      </c>
      <c r="K1185">
        <f>Orders[[#This Row],[Revenue]]-Orders[[#This Row],[Expenses]]</f>
        <v>552.32999999999993</v>
      </c>
      <c r="L1185" t="s">
        <v>2210</v>
      </c>
      <c r="M1185" t="str">
        <f>_xlfn.XLOOKUP(Orders[[#This Row],[CustomerID]],Customers[CustomerID],Customers[City])</f>
        <v>California</v>
      </c>
      <c r="N1185" t="str">
        <f>_xlfn.XLOOKUP(Orders[[#This Row],[CustomerID]],Customers[CustomerID],Customers[CustomerName])</f>
        <v>Obi Adeyemi</v>
      </c>
      <c r="O1185" t="str">
        <f>_xlfn.XLOOKUP(Orders[[#This Row],[CustomerID]],Customers[CustomerID],Customers[Gender])</f>
        <v>Male</v>
      </c>
      <c r="P1185">
        <f>_xlfn.XLOOKUP(Orders[[#This Row],[CustomerID]],Customers[CustomerID],Customers[CustomerAge])</f>
        <v>24</v>
      </c>
      <c r="Q1185" t="str">
        <f>IF(Orders[[#This Row],[Age]]&gt;=35,"older","young")</f>
        <v>young</v>
      </c>
      <c r="R1185" t="str">
        <f>_xlfn.XLOOKUP(Orders[[#This Row],[ProductID]],Products[ProductID],Products[ProductName])</f>
        <v>BADMINTON RACKET</v>
      </c>
      <c r="S1185" t="str">
        <f>_xlfn.XLOOKUP(Orders[[#This Row],[ProductID]],Products!A:A,Products!C:C)</f>
        <v>Sports</v>
      </c>
    </row>
    <row r="1186" spans="1:19" x14ac:dyDescent="0.2">
      <c r="A1186" s="4" t="s">
        <v>1375</v>
      </c>
      <c r="B1186" s="5">
        <v>45991</v>
      </c>
      <c r="C1186" s="15">
        <f>WEEKNUM(Orders[[#This Row],[OrderDate]])</f>
        <v>49</v>
      </c>
      <c r="D1186" s="4" t="s">
        <v>50</v>
      </c>
      <c r="E1186" s="4" t="s">
        <v>57</v>
      </c>
      <c r="F1186" s="4">
        <v>1</v>
      </c>
      <c r="G1186" s="4">
        <v>4006</v>
      </c>
      <c r="H1186">
        <v>3405.1</v>
      </c>
      <c r="I1186">
        <f>Orders[[#This Row],[Quantity]]*Orders[[#This Row],[Selling Price]]</f>
        <v>4006</v>
      </c>
      <c r="J1186">
        <f>Orders[[#This Row],[Quantity]]*Orders[[#This Row],[Cost Price]]</f>
        <v>3405.1</v>
      </c>
      <c r="K1186">
        <f>Orders[[#This Row],[Revenue]]-Orders[[#This Row],[Expenses]]</f>
        <v>600.90000000000009</v>
      </c>
      <c r="L1186" t="s">
        <v>2195</v>
      </c>
      <c r="M1186" t="str">
        <f>_xlfn.XLOOKUP(Orders[[#This Row],[CustomerID]],Customers[CustomerID],Customers[City])</f>
        <v>California</v>
      </c>
      <c r="N1186" t="str">
        <f>_xlfn.XLOOKUP(Orders[[#This Row],[CustomerID]],Customers[CustomerID],Customers[CustomerName])</f>
        <v>Funke Danladi</v>
      </c>
      <c r="O1186" t="str">
        <f>_xlfn.XLOOKUP(Orders[[#This Row],[CustomerID]],Customers[CustomerID],Customers[Gender])</f>
        <v>Female</v>
      </c>
      <c r="P1186">
        <f>_xlfn.XLOOKUP(Orders[[#This Row],[CustomerID]],Customers[CustomerID],Customers[CustomerAge])</f>
        <v>31</v>
      </c>
      <c r="Q1186" t="str">
        <f>IF(Orders[[#This Row],[Age]]&gt;=35,"older","young")</f>
        <v>young</v>
      </c>
      <c r="R1186" t="str">
        <f>_xlfn.XLOOKUP(Orders[[#This Row],[ProductID]],Products[ProductID],Products[ProductName])</f>
        <v>BADMINTON RACKET</v>
      </c>
      <c r="S1186" t="str">
        <f>_xlfn.XLOOKUP(Orders[[#This Row],[ProductID]],Products!A:A,Products!C:C)</f>
        <v>Sports</v>
      </c>
    </row>
    <row r="1187" spans="1:19" x14ac:dyDescent="0.2">
      <c r="A1187" s="4" t="s">
        <v>1376</v>
      </c>
      <c r="B1187" s="5">
        <v>45987</v>
      </c>
      <c r="C1187" s="15">
        <f>WEEKNUM(Orders[[#This Row],[OrderDate]])</f>
        <v>48</v>
      </c>
      <c r="D1187" s="4" t="s">
        <v>258</v>
      </c>
      <c r="E1187" s="4" t="s">
        <v>46</v>
      </c>
      <c r="F1187" s="4">
        <v>1</v>
      </c>
      <c r="G1187" s="4">
        <v>7881.5</v>
      </c>
      <c r="H1187">
        <v>6699.2749999999996</v>
      </c>
      <c r="I1187">
        <f>Orders[[#This Row],[Quantity]]*Orders[[#This Row],[Selling Price]]</f>
        <v>7881.5</v>
      </c>
      <c r="J1187">
        <f>Orders[[#This Row],[Quantity]]*Orders[[#This Row],[Cost Price]]</f>
        <v>6699.2749999999996</v>
      </c>
      <c r="K1187">
        <f>Orders[[#This Row],[Revenue]]-Orders[[#This Row],[Expenses]]</f>
        <v>1182.2250000000004</v>
      </c>
      <c r="L1187" t="s">
        <v>2199</v>
      </c>
      <c r="M1187" t="str">
        <f>_xlfn.XLOOKUP(Orders[[#This Row],[CustomerID]],Customers[CustomerID],Customers[City])</f>
        <v>Washington</v>
      </c>
      <c r="N1187" t="str">
        <f>_xlfn.XLOOKUP(Orders[[#This Row],[CustomerID]],Customers[CustomerID],Customers[CustomerName])</f>
        <v>Sani Abubakar</v>
      </c>
      <c r="O1187" t="str">
        <f>_xlfn.XLOOKUP(Orders[[#This Row],[CustomerID]],Customers[CustomerID],Customers[Gender])</f>
        <v>Male</v>
      </c>
      <c r="P1187">
        <f>_xlfn.XLOOKUP(Orders[[#This Row],[CustomerID]],Customers[CustomerID],Customers[CustomerAge])</f>
        <v>37</v>
      </c>
      <c r="Q1187" t="str">
        <f>IF(Orders[[#This Row],[Age]]&gt;=35,"older","young")</f>
        <v>older</v>
      </c>
      <c r="R1187" t="str">
        <f>_xlfn.XLOOKUP(Orders[[#This Row],[ProductID]],Products[ProductID],Products[ProductName])</f>
        <v>TURTLE NECK</v>
      </c>
      <c r="S1187" t="str">
        <f>_xlfn.XLOOKUP(Orders[[#This Row],[ProductID]],Products!A:A,Products!C:C)</f>
        <v>Clothing</v>
      </c>
    </row>
    <row r="1188" spans="1:19" x14ac:dyDescent="0.2">
      <c r="A1188" s="4" t="s">
        <v>1377</v>
      </c>
      <c r="B1188" s="5">
        <v>45981</v>
      </c>
      <c r="C1188" s="15">
        <f>WEEKNUM(Orders[[#This Row],[OrderDate]])</f>
        <v>47</v>
      </c>
      <c r="D1188" s="4" t="s">
        <v>237</v>
      </c>
      <c r="E1188" s="4" t="s">
        <v>208</v>
      </c>
      <c r="F1188" s="4">
        <v>2</v>
      </c>
      <c r="G1188" s="4">
        <v>14928.900000000001</v>
      </c>
      <c r="H1188">
        <v>12689.565000000002</v>
      </c>
      <c r="I1188">
        <f>Orders[[#This Row],[Quantity]]*Orders[[#This Row],[Selling Price]]</f>
        <v>29857.800000000003</v>
      </c>
      <c r="J1188">
        <f>Orders[[#This Row],[Quantity]]*Orders[[#This Row],[Cost Price]]</f>
        <v>25379.130000000005</v>
      </c>
      <c r="K1188">
        <f>Orders[[#This Row],[Revenue]]-Orders[[#This Row],[Expenses]]</f>
        <v>4478.6699999999983</v>
      </c>
      <c r="L1188" t="s">
        <v>2192</v>
      </c>
      <c r="M1188" t="str">
        <f>_xlfn.XLOOKUP(Orders[[#This Row],[CustomerID]],Customers[CustomerID],Customers[City])</f>
        <v>Florida</v>
      </c>
      <c r="N1188" t="str">
        <f>_xlfn.XLOOKUP(Orders[[#This Row],[CustomerID]],Customers[CustomerID],Customers[CustomerName])</f>
        <v>Ronke Danladi</v>
      </c>
      <c r="O1188" t="str">
        <f>_xlfn.XLOOKUP(Orders[[#This Row],[CustomerID]],Customers[CustomerID],Customers[Gender])</f>
        <v>Female</v>
      </c>
      <c r="P1188">
        <f>_xlfn.XLOOKUP(Orders[[#This Row],[CustomerID]],Customers[CustomerID],Customers[CustomerAge])</f>
        <v>25</v>
      </c>
      <c r="Q1188" t="str">
        <f>IF(Orders[[#This Row],[Age]]&gt;=35,"older","young")</f>
        <v>young</v>
      </c>
      <c r="R1188" t="str">
        <f>_xlfn.XLOOKUP(Orders[[#This Row],[ProductID]],Products[ProductID],Products[ProductName])</f>
        <v>SKIPPING ROPE</v>
      </c>
      <c r="S1188" t="str">
        <f>_xlfn.XLOOKUP(Orders[[#This Row],[ProductID]],Products!A:A,Products!C:C)</f>
        <v>Sports</v>
      </c>
    </row>
    <row r="1189" spans="1:19" x14ac:dyDescent="0.2">
      <c r="A1189" s="4" t="s">
        <v>1378</v>
      </c>
      <c r="B1189" s="5">
        <v>46015</v>
      </c>
      <c r="C1189" s="15">
        <f>WEEKNUM(Orders[[#This Row],[OrderDate]])</f>
        <v>52</v>
      </c>
      <c r="D1189" s="4" t="s">
        <v>138</v>
      </c>
      <c r="E1189" s="4" t="s">
        <v>60</v>
      </c>
      <c r="F1189" s="4">
        <v>1</v>
      </c>
      <c r="G1189" s="4">
        <v>17566.099999999999</v>
      </c>
      <c r="H1189">
        <v>14931.184999999999</v>
      </c>
      <c r="I1189">
        <f>Orders[[#This Row],[Quantity]]*Orders[[#This Row],[Selling Price]]</f>
        <v>17566.099999999999</v>
      </c>
      <c r="J1189">
        <f>Orders[[#This Row],[Quantity]]*Orders[[#This Row],[Cost Price]]</f>
        <v>14931.184999999999</v>
      </c>
      <c r="K1189">
        <f>Orders[[#This Row],[Revenue]]-Orders[[#This Row],[Expenses]]</f>
        <v>2634.9149999999991</v>
      </c>
      <c r="L1189" t="s">
        <v>2199</v>
      </c>
      <c r="M1189" t="str">
        <f>_xlfn.XLOOKUP(Orders[[#This Row],[CustomerID]],Customers[CustomerID],Customers[City])</f>
        <v>Washington</v>
      </c>
      <c r="N1189" t="str">
        <f>_xlfn.XLOOKUP(Orders[[#This Row],[CustomerID]],Customers[CustomerID],Customers[CustomerName])</f>
        <v>Efe Adeyemi</v>
      </c>
      <c r="O1189" t="str">
        <f>_xlfn.XLOOKUP(Orders[[#This Row],[CustomerID]],Customers[CustomerID],Customers[Gender])</f>
        <v>Female</v>
      </c>
      <c r="P1189">
        <f>_xlfn.XLOOKUP(Orders[[#This Row],[CustomerID]],Customers[CustomerID],Customers[CustomerAge])</f>
        <v>22</v>
      </c>
      <c r="Q1189" t="str">
        <f>IF(Orders[[#This Row],[Age]]&gt;=35,"older","young")</f>
        <v>young</v>
      </c>
      <c r="R1189" t="str">
        <f>_xlfn.XLOOKUP(Orders[[#This Row],[ProductID]],Products[ProductID],Products[ProductName])</f>
        <v>SILVER RINGS</v>
      </c>
      <c r="S1189" t="str">
        <f>_xlfn.XLOOKUP(Orders[[#This Row],[ProductID]],Products!A:A,Products!C:C)</f>
        <v>Accessories</v>
      </c>
    </row>
    <row r="1190" spans="1:19" x14ac:dyDescent="0.2">
      <c r="A1190" s="4" t="s">
        <v>1379</v>
      </c>
      <c r="B1190" s="5">
        <v>45958</v>
      </c>
      <c r="C1190" s="15">
        <f>WEEKNUM(Orders[[#This Row],[OrderDate]])</f>
        <v>44</v>
      </c>
      <c r="D1190" s="4" t="s">
        <v>110</v>
      </c>
      <c r="E1190" s="4" t="s">
        <v>125</v>
      </c>
      <c r="F1190" s="4">
        <v>3</v>
      </c>
      <c r="G1190" s="4">
        <v>19369.2</v>
      </c>
      <c r="H1190">
        <v>16463.82</v>
      </c>
      <c r="I1190">
        <f>Orders[[#This Row],[Quantity]]*Orders[[#This Row],[Selling Price]]</f>
        <v>58107.600000000006</v>
      </c>
      <c r="J1190">
        <f>Orders[[#This Row],[Quantity]]*Orders[[#This Row],[Cost Price]]</f>
        <v>49391.46</v>
      </c>
      <c r="K1190">
        <f>Orders[[#This Row],[Revenue]]-Orders[[#This Row],[Expenses]]</f>
        <v>8716.1400000000067</v>
      </c>
      <c r="L1190" t="s">
        <v>2192</v>
      </c>
      <c r="M1190" t="str">
        <f>_xlfn.XLOOKUP(Orders[[#This Row],[CustomerID]],Customers[CustomerID],Customers[City])</f>
        <v>Washington</v>
      </c>
      <c r="N1190" t="str">
        <f>_xlfn.XLOOKUP(Orders[[#This Row],[CustomerID]],Customers[CustomerID],Customers[CustomerName])</f>
        <v>Ngozi Danladi</v>
      </c>
      <c r="O1190" t="str">
        <f>_xlfn.XLOOKUP(Orders[[#This Row],[CustomerID]],Customers[CustomerID],Customers[Gender])</f>
        <v>Female</v>
      </c>
      <c r="P1190">
        <f>_xlfn.XLOOKUP(Orders[[#This Row],[CustomerID]],Customers[CustomerID],Customers[CustomerAge])</f>
        <v>28</v>
      </c>
      <c r="Q1190" t="str">
        <f>IF(Orders[[#This Row],[Age]]&gt;=35,"older","young")</f>
        <v>young</v>
      </c>
      <c r="R1190" t="str">
        <f>_xlfn.XLOOKUP(Orders[[#This Row],[ProductID]],Products[ProductID],Products[ProductName])</f>
        <v>EARRINGS</v>
      </c>
      <c r="S1190" t="str">
        <f>_xlfn.XLOOKUP(Orders[[#This Row],[ProductID]],Products!A:A,Products!C:C)</f>
        <v>Accessories</v>
      </c>
    </row>
    <row r="1191" spans="1:19" x14ac:dyDescent="0.2">
      <c r="A1191" s="4" t="s">
        <v>1380</v>
      </c>
      <c r="B1191" s="5">
        <v>45931</v>
      </c>
      <c r="C1191" s="15">
        <f>WEEKNUM(Orders[[#This Row],[OrderDate]])</f>
        <v>40</v>
      </c>
      <c r="D1191" s="4" t="s">
        <v>272</v>
      </c>
      <c r="E1191" s="4" t="s">
        <v>60</v>
      </c>
      <c r="F1191" s="4">
        <v>10</v>
      </c>
      <c r="G1191" s="4">
        <v>17507</v>
      </c>
      <c r="H1191">
        <v>14880.95</v>
      </c>
      <c r="I1191">
        <f>Orders[[#This Row],[Quantity]]*Orders[[#This Row],[Selling Price]]</f>
        <v>175070</v>
      </c>
      <c r="J1191">
        <f>Orders[[#This Row],[Quantity]]*Orders[[#This Row],[Cost Price]]</f>
        <v>148809.5</v>
      </c>
      <c r="K1191">
        <f>Orders[[#This Row],[Revenue]]-Orders[[#This Row],[Expenses]]</f>
        <v>26260.5</v>
      </c>
      <c r="L1191" t="s">
        <v>2220</v>
      </c>
      <c r="M1191" t="str">
        <f>_xlfn.XLOOKUP(Orders[[#This Row],[CustomerID]],Customers[CustomerID],Customers[City])</f>
        <v>Florida</v>
      </c>
      <c r="N1191" t="str">
        <f>_xlfn.XLOOKUP(Orders[[#This Row],[CustomerID]],Customers[CustomerID],Customers[CustomerName])</f>
        <v>Blessing Bello</v>
      </c>
      <c r="O1191" t="str">
        <f>_xlfn.XLOOKUP(Orders[[#This Row],[CustomerID]],Customers[CustomerID],Customers[Gender])</f>
        <v>Female</v>
      </c>
      <c r="P1191">
        <f>_xlfn.XLOOKUP(Orders[[#This Row],[CustomerID]],Customers[CustomerID],Customers[CustomerAge])</f>
        <v>38</v>
      </c>
      <c r="Q1191" t="str">
        <f>IF(Orders[[#This Row],[Age]]&gt;=35,"older","young")</f>
        <v>older</v>
      </c>
      <c r="R1191" t="str">
        <f>_xlfn.XLOOKUP(Orders[[#This Row],[ProductID]],Products[ProductID],Products[ProductName])</f>
        <v>SILVER RINGS</v>
      </c>
      <c r="S1191" t="str">
        <f>_xlfn.XLOOKUP(Orders[[#This Row],[ProductID]],Products!A:A,Products!C:C)</f>
        <v>Accessories</v>
      </c>
    </row>
    <row r="1192" spans="1:19" x14ac:dyDescent="0.2">
      <c r="A1192" s="4" t="s">
        <v>1381</v>
      </c>
      <c r="B1192" s="5">
        <v>45946</v>
      </c>
      <c r="C1192" s="15">
        <f>WEEKNUM(Orders[[#This Row],[OrderDate]])</f>
        <v>42</v>
      </c>
      <c r="D1192" s="4" t="s">
        <v>178</v>
      </c>
      <c r="E1192" s="4" t="s">
        <v>46</v>
      </c>
      <c r="F1192" s="4">
        <v>5</v>
      </c>
      <c r="G1192" s="4">
        <v>16085.8</v>
      </c>
      <c r="H1192">
        <v>13672.93</v>
      </c>
      <c r="I1192">
        <f>Orders[[#This Row],[Quantity]]*Orders[[#This Row],[Selling Price]]</f>
        <v>80429</v>
      </c>
      <c r="J1192">
        <f>Orders[[#This Row],[Quantity]]*Orders[[#This Row],[Cost Price]]</f>
        <v>68364.649999999994</v>
      </c>
      <c r="K1192">
        <f>Orders[[#This Row],[Revenue]]-Orders[[#This Row],[Expenses]]</f>
        <v>12064.350000000006</v>
      </c>
      <c r="L1192" t="s">
        <v>2202</v>
      </c>
      <c r="M1192" t="str">
        <f>_xlfn.XLOOKUP(Orders[[#This Row],[CustomerID]],Customers[CustomerID],Customers[City])</f>
        <v>Florida</v>
      </c>
      <c r="N1192" t="str">
        <f>_xlfn.XLOOKUP(Orders[[#This Row],[CustomerID]],Customers[CustomerID],Customers[CustomerName])</f>
        <v>Ibrahim Igwe</v>
      </c>
      <c r="O1192" t="str">
        <f>_xlfn.XLOOKUP(Orders[[#This Row],[CustomerID]],Customers[CustomerID],Customers[Gender])</f>
        <v>Male</v>
      </c>
      <c r="P1192">
        <f>_xlfn.XLOOKUP(Orders[[#This Row],[CustomerID]],Customers[CustomerID],Customers[CustomerAge])</f>
        <v>19</v>
      </c>
      <c r="Q1192" t="str">
        <f>IF(Orders[[#This Row],[Age]]&gt;=35,"older","young")</f>
        <v>young</v>
      </c>
      <c r="R1192" t="str">
        <f>_xlfn.XLOOKUP(Orders[[#This Row],[ProductID]],Products[ProductID],Products[ProductName])</f>
        <v>TURTLE NECK</v>
      </c>
      <c r="S1192" t="str">
        <f>_xlfn.XLOOKUP(Orders[[#This Row],[ProductID]],Products!A:A,Products!C:C)</f>
        <v>Clothing</v>
      </c>
    </row>
    <row r="1193" spans="1:19" x14ac:dyDescent="0.2">
      <c r="A1193" s="4" t="s">
        <v>1382</v>
      </c>
      <c r="B1193" s="5">
        <v>46004</v>
      </c>
      <c r="C1193" s="15">
        <f>WEEKNUM(Orders[[#This Row],[OrderDate]])</f>
        <v>50</v>
      </c>
      <c r="D1193" s="4" t="s">
        <v>383</v>
      </c>
      <c r="E1193" s="4" t="s">
        <v>70</v>
      </c>
      <c r="F1193" s="4">
        <v>2</v>
      </c>
      <c r="G1193" s="4">
        <v>16120.8</v>
      </c>
      <c r="H1193">
        <v>13702.68</v>
      </c>
      <c r="I1193">
        <f>Orders[[#This Row],[Quantity]]*Orders[[#This Row],[Selling Price]]</f>
        <v>32241.599999999999</v>
      </c>
      <c r="J1193">
        <f>Orders[[#This Row],[Quantity]]*Orders[[#This Row],[Cost Price]]</f>
        <v>27405.360000000001</v>
      </c>
      <c r="K1193">
        <f>Orders[[#This Row],[Revenue]]-Orders[[#This Row],[Expenses]]</f>
        <v>4836.239999999998</v>
      </c>
      <c r="L1193" t="s">
        <v>2206</v>
      </c>
      <c r="M1193" t="str">
        <f>_xlfn.XLOOKUP(Orders[[#This Row],[CustomerID]],Customers[CustomerID],Customers[City])</f>
        <v>Florida</v>
      </c>
      <c r="N1193" t="str">
        <f>_xlfn.XLOOKUP(Orders[[#This Row],[CustomerID]],Customers[CustomerID],Customers[CustomerName])</f>
        <v>Ibrahim Balogun</v>
      </c>
      <c r="O1193" t="str">
        <f>_xlfn.XLOOKUP(Orders[[#This Row],[CustomerID]],Customers[CustomerID],Customers[Gender])</f>
        <v>Male</v>
      </c>
      <c r="P1193">
        <f>_xlfn.XLOOKUP(Orders[[#This Row],[CustomerID]],Customers[CustomerID],Customers[CustomerAge])</f>
        <v>27</v>
      </c>
      <c r="Q1193" t="str">
        <f>IF(Orders[[#This Row],[Age]]&gt;=35,"older","young")</f>
        <v>young</v>
      </c>
      <c r="R1193" t="str">
        <f>_xlfn.XLOOKUP(Orders[[#This Row],[ProductID]],Products[ProductID],Products[ProductName])</f>
        <v>YOGA MAT</v>
      </c>
      <c r="S1193" t="str">
        <f>_xlfn.XLOOKUP(Orders[[#This Row],[ProductID]],Products!A:A,Products!C:C)</f>
        <v>Gym</v>
      </c>
    </row>
    <row r="1194" spans="1:19" x14ac:dyDescent="0.2">
      <c r="A1194" s="4" t="s">
        <v>1383</v>
      </c>
      <c r="B1194" s="5">
        <v>45966</v>
      </c>
      <c r="C1194" s="15">
        <f>WEEKNUM(Orders[[#This Row],[OrderDate]])</f>
        <v>45</v>
      </c>
      <c r="D1194" s="4" t="s">
        <v>352</v>
      </c>
      <c r="E1194" s="4" t="s">
        <v>28</v>
      </c>
      <c r="F1194" s="4">
        <v>6</v>
      </c>
      <c r="G1194" s="4">
        <v>14836.800000000001</v>
      </c>
      <c r="H1194">
        <v>12611.28</v>
      </c>
      <c r="I1194">
        <f>Orders[[#This Row],[Quantity]]*Orders[[#This Row],[Selling Price]]</f>
        <v>89020.800000000003</v>
      </c>
      <c r="J1194">
        <f>Orders[[#This Row],[Quantity]]*Orders[[#This Row],[Cost Price]]</f>
        <v>75667.680000000008</v>
      </c>
      <c r="K1194">
        <f>Orders[[#This Row],[Revenue]]-Orders[[#This Row],[Expenses]]</f>
        <v>13353.119999999995</v>
      </c>
      <c r="L1194" t="s">
        <v>2209</v>
      </c>
      <c r="M1194" t="str">
        <f>_xlfn.XLOOKUP(Orders[[#This Row],[CustomerID]],Customers[CustomerID],Customers[City])</f>
        <v>Texas</v>
      </c>
      <c r="N1194" t="str">
        <f>_xlfn.XLOOKUP(Orders[[#This Row],[CustomerID]],Customers[CustomerID],Customers[CustomerName])</f>
        <v>Zainab Eze</v>
      </c>
      <c r="O1194" t="str">
        <f>_xlfn.XLOOKUP(Orders[[#This Row],[CustomerID]],Customers[CustomerID],Customers[Gender])</f>
        <v>Female</v>
      </c>
      <c r="P1194">
        <f>_xlfn.XLOOKUP(Orders[[#This Row],[CustomerID]],Customers[CustomerID],Customers[CustomerAge])</f>
        <v>40</v>
      </c>
      <c r="Q1194" t="str">
        <f>IF(Orders[[#This Row],[Age]]&gt;=35,"older","young")</f>
        <v>older</v>
      </c>
      <c r="R1194" t="str">
        <f>_xlfn.XLOOKUP(Orders[[#This Row],[ProductID]],Products[ProductID],Products[ProductName])</f>
        <v>SNEAKERS</v>
      </c>
      <c r="S1194" t="str">
        <f>_xlfn.XLOOKUP(Orders[[#This Row],[ProductID]],Products!A:A,Products!C:C)</f>
        <v>Sports</v>
      </c>
    </row>
    <row r="1195" spans="1:19" x14ac:dyDescent="0.2">
      <c r="A1195" s="4" t="s">
        <v>1384</v>
      </c>
      <c r="B1195" s="5">
        <v>45932</v>
      </c>
      <c r="C1195" s="15">
        <f>WEEKNUM(Orders[[#This Row],[OrderDate]])</f>
        <v>40</v>
      </c>
      <c r="D1195" s="4" t="s">
        <v>138</v>
      </c>
      <c r="E1195" s="4" t="s">
        <v>9</v>
      </c>
      <c r="F1195" s="4">
        <v>3</v>
      </c>
      <c r="G1195" s="4">
        <v>18564.900000000001</v>
      </c>
      <c r="H1195">
        <v>15780.165000000001</v>
      </c>
      <c r="I1195">
        <f>Orders[[#This Row],[Quantity]]*Orders[[#This Row],[Selling Price]]</f>
        <v>55694.700000000004</v>
      </c>
      <c r="J1195">
        <f>Orders[[#This Row],[Quantity]]*Orders[[#This Row],[Cost Price]]</f>
        <v>47340.495000000003</v>
      </c>
      <c r="K1195">
        <f>Orders[[#This Row],[Revenue]]-Orders[[#This Row],[Expenses]]</f>
        <v>8354.2050000000017</v>
      </c>
      <c r="L1195" t="s">
        <v>2204</v>
      </c>
      <c r="M1195" t="str">
        <f>_xlfn.XLOOKUP(Orders[[#This Row],[CustomerID]],Customers[CustomerID],Customers[City])</f>
        <v>Washington</v>
      </c>
      <c r="N1195" t="str">
        <f>_xlfn.XLOOKUP(Orders[[#This Row],[CustomerID]],Customers[CustomerID],Customers[CustomerName])</f>
        <v>Efe Adeyemi</v>
      </c>
      <c r="O1195" t="str">
        <f>_xlfn.XLOOKUP(Orders[[#This Row],[CustomerID]],Customers[CustomerID],Customers[Gender])</f>
        <v>Female</v>
      </c>
      <c r="P1195">
        <f>_xlfn.XLOOKUP(Orders[[#This Row],[CustomerID]],Customers[CustomerID],Customers[CustomerAge])</f>
        <v>22</v>
      </c>
      <c r="Q1195" t="str">
        <f>IF(Orders[[#This Row],[Age]]&gt;=35,"older","young")</f>
        <v>young</v>
      </c>
      <c r="R1195" t="str">
        <f>_xlfn.XLOOKUP(Orders[[#This Row],[ProductID]],Products[ProductID],Products[ProductName])</f>
        <v>BEADED EARRINGS AND NECKLACES</v>
      </c>
      <c r="S1195" t="str">
        <f>_xlfn.XLOOKUP(Orders[[#This Row],[ProductID]],Products!A:A,Products!C:C)</f>
        <v>Accessories</v>
      </c>
    </row>
    <row r="1196" spans="1:19" x14ac:dyDescent="0.2">
      <c r="A1196" s="4" t="s">
        <v>1385</v>
      </c>
      <c r="B1196" s="5">
        <v>46012</v>
      </c>
      <c r="C1196" s="15">
        <f>WEEKNUM(Orders[[#This Row],[OrderDate]])</f>
        <v>52</v>
      </c>
      <c r="D1196" s="4" t="s">
        <v>552</v>
      </c>
      <c r="E1196" s="4" t="s">
        <v>111</v>
      </c>
      <c r="F1196" s="4">
        <v>8</v>
      </c>
      <c r="G1196" s="4">
        <v>3810.6</v>
      </c>
      <c r="H1196">
        <v>3239.01</v>
      </c>
      <c r="I1196">
        <f>Orders[[#This Row],[Quantity]]*Orders[[#This Row],[Selling Price]]</f>
        <v>30484.799999999999</v>
      </c>
      <c r="J1196">
        <f>Orders[[#This Row],[Quantity]]*Orders[[#This Row],[Cost Price]]</f>
        <v>25912.080000000002</v>
      </c>
      <c r="K1196">
        <f>Orders[[#This Row],[Revenue]]-Orders[[#This Row],[Expenses]]</f>
        <v>4572.7199999999975</v>
      </c>
      <c r="L1196" t="s">
        <v>2198</v>
      </c>
      <c r="M1196" t="str">
        <f>_xlfn.XLOOKUP(Orders[[#This Row],[CustomerID]],Customers[CustomerID],Customers[City])</f>
        <v>Georgia</v>
      </c>
      <c r="N1196" t="str">
        <f>_xlfn.XLOOKUP(Orders[[#This Row],[CustomerID]],Customers[CustomerID],Customers[CustomerName])</f>
        <v>Chioma Eze</v>
      </c>
      <c r="O1196" t="str">
        <f>_xlfn.XLOOKUP(Orders[[#This Row],[CustomerID]],Customers[CustomerID],Customers[Gender])</f>
        <v>Female</v>
      </c>
      <c r="P1196">
        <f>_xlfn.XLOOKUP(Orders[[#This Row],[CustomerID]],Customers[CustomerID],Customers[CustomerAge])</f>
        <v>40</v>
      </c>
      <c r="Q1196" t="str">
        <f>IF(Orders[[#This Row],[Age]]&gt;=35,"older","young")</f>
        <v>older</v>
      </c>
      <c r="R1196" t="str">
        <f>_xlfn.XLOOKUP(Orders[[#This Row],[ProductID]],Products[ProductID],Products[ProductName])</f>
        <v>REFRIGERATOR</v>
      </c>
      <c r="S1196" t="str">
        <f>_xlfn.XLOOKUP(Orders[[#This Row],[ProductID]],Products!A:A,Products!C:C)</f>
        <v>Electronics</v>
      </c>
    </row>
    <row r="1197" spans="1:19" x14ac:dyDescent="0.2">
      <c r="A1197" s="4" t="s">
        <v>1386</v>
      </c>
      <c r="B1197" s="5">
        <v>45952</v>
      </c>
      <c r="C1197" s="15">
        <f>WEEKNUM(Orders[[#This Row],[OrderDate]])</f>
        <v>43</v>
      </c>
      <c r="D1197" s="4" t="s">
        <v>649</v>
      </c>
      <c r="E1197" s="4" t="s">
        <v>151</v>
      </c>
      <c r="F1197" s="4">
        <v>6</v>
      </c>
      <c r="G1197" s="4">
        <v>5593.3</v>
      </c>
      <c r="H1197">
        <v>4754.3050000000003</v>
      </c>
      <c r="I1197">
        <f>Orders[[#This Row],[Quantity]]*Orders[[#This Row],[Selling Price]]</f>
        <v>33559.800000000003</v>
      </c>
      <c r="J1197">
        <f>Orders[[#This Row],[Quantity]]*Orders[[#This Row],[Cost Price]]</f>
        <v>28525.83</v>
      </c>
      <c r="K1197">
        <f>Orders[[#This Row],[Revenue]]-Orders[[#This Row],[Expenses]]</f>
        <v>5033.9700000000012</v>
      </c>
      <c r="L1197" t="s">
        <v>2220</v>
      </c>
      <c r="M1197" t="str">
        <f>_xlfn.XLOOKUP(Orders[[#This Row],[CustomerID]],Customers[CustomerID],Customers[City])</f>
        <v>Washington</v>
      </c>
      <c r="N1197" t="str">
        <f>_xlfn.XLOOKUP(Orders[[#This Row],[CustomerID]],Customers[CustomerID],Customers[CustomerName])</f>
        <v>Bisi Abubakar</v>
      </c>
      <c r="O1197" t="str">
        <f>_xlfn.XLOOKUP(Orders[[#This Row],[CustomerID]],Customers[CustomerID],Customers[Gender])</f>
        <v>Female</v>
      </c>
      <c r="P1197">
        <f>_xlfn.XLOOKUP(Orders[[#This Row],[CustomerID]],Customers[CustomerID],Customers[CustomerAge])</f>
        <v>35</v>
      </c>
      <c r="Q1197" t="str">
        <f>IF(Orders[[#This Row],[Age]]&gt;=35,"older","young")</f>
        <v>older</v>
      </c>
      <c r="R1197" t="str">
        <f>_xlfn.XLOOKUP(Orders[[#This Row],[ProductID]],Products[ProductID],Products[ProductName])</f>
        <v>CHECKERS</v>
      </c>
      <c r="S1197" t="str">
        <f>_xlfn.XLOOKUP(Orders[[#This Row],[ProductID]],Products!A:A,Products!C:C)</f>
        <v>Games</v>
      </c>
    </row>
    <row r="1198" spans="1:19" x14ac:dyDescent="0.2">
      <c r="A1198" s="4" t="s">
        <v>1387</v>
      </c>
      <c r="B1198" s="5">
        <v>46002</v>
      </c>
      <c r="C1198" s="15">
        <f>WEEKNUM(Orders[[#This Row],[OrderDate]])</f>
        <v>50</v>
      </c>
      <c r="D1198" s="4" t="s">
        <v>8</v>
      </c>
      <c r="E1198" s="4" t="s">
        <v>31</v>
      </c>
      <c r="F1198" s="4">
        <v>3</v>
      </c>
      <c r="G1198" s="4">
        <v>7424.5</v>
      </c>
      <c r="H1198">
        <v>6310.8249999999998</v>
      </c>
      <c r="I1198">
        <f>Orders[[#This Row],[Quantity]]*Orders[[#This Row],[Selling Price]]</f>
        <v>22273.5</v>
      </c>
      <c r="J1198">
        <f>Orders[[#This Row],[Quantity]]*Orders[[#This Row],[Cost Price]]</f>
        <v>18932.474999999999</v>
      </c>
      <c r="K1198">
        <f>Orders[[#This Row],[Revenue]]-Orders[[#This Row],[Expenses]]</f>
        <v>3341.0250000000015</v>
      </c>
      <c r="L1198" t="s">
        <v>2207</v>
      </c>
      <c r="M1198" t="str">
        <f>_xlfn.XLOOKUP(Orders[[#This Row],[CustomerID]],Customers[CustomerID],Customers[City])</f>
        <v>Washington</v>
      </c>
      <c r="N1198" t="str">
        <f>_xlfn.XLOOKUP(Orders[[#This Row],[CustomerID]],Customers[CustomerID],Customers[CustomerName])</f>
        <v>Bi si Bello</v>
      </c>
      <c r="O1198" t="str">
        <f>_xlfn.XLOOKUP(Orders[[#This Row],[CustomerID]],Customers[CustomerID],Customers[Gender])</f>
        <v>Female</v>
      </c>
      <c r="P1198">
        <f>_xlfn.XLOOKUP(Orders[[#This Row],[CustomerID]],Customers[CustomerID],Customers[CustomerAge])</f>
        <v>38</v>
      </c>
      <c r="Q1198" t="str">
        <f>IF(Orders[[#This Row],[Age]]&gt;=35,"older","young")</f>
        <v>older</v>
      </c>
      <c r="R1198" t="str">
        <f>_xlfn.XLOOKUP(Orders[[#This Row],[ProductID]],Products[ProductID],Products[ProductName])</f>
        <v>KIDS GAMES</v>
      </c>
      <c r="S1198" t="str">
        <f>_xlfn.XLOOKUP(Orders[[#This Row],[ProductID]],Products!A:A,Products!C:C)</f>
        <v>Games</v>
      </c>
    </row>
    <row r="1199" spans="1:19" x14ac:dyDescent="0.2">
      <c r="A1199" s="4" t="s">
        <v>1388</v>
      </c>
      <c r="B1199" s="5">
        <v>45940</v>
      </c>
      <c r="C1199" s="15">
        <f>WEEKNUM(Orders[[#This Row],[OrderDate]])</f>
        <v>41</v>
      </c>
      <c r="D1199" s="4" t="s">
        <v>324</v>
      </c>
      <c r="E1199" s="4" t="s">
        <v>151</v>
      </c>
      <c r="F1199" s="4">
        <v>7</v>
      </c>
      <c r="G1199" s="4">
        <v>4629.5999999999995</v>
      </c>
      <c r="H1199">
        <v>3935.1599999999994</v>
      </c>
      <c r="I1199">
        <f>Orders[[#This Row],[Quantity]]*Orders[[#This Row],[Selling Price]]</f>
        <v>32407.199999999997</v>
      </c>
      <c r="J1199">
        <f>Orders[[#This Row],[Quantity]]*Orders[[#This Row],[Cost Price]]</f>
        <v>27546.119999999995</v>
      </c>
      <c r="K1199">
        <f>Orders[[#This Row],[Revenue]]-Orders[[#This Row],[Expenses]]</f>
        <v>4861.0800000000017</v>
      </c>
      <c r="L1199" t="s">
        <v>2198</v>
      </c>
      <c r="M1199" t="str">
        <f>_xlfn.XLOOKUP(Orders[[#This Row],[CustomerID]],Customers[CustomerID],Customers[City])</f>
        <v>Texas</v>
      </c>
      <c r="N1199" t="str">
        <f>_xlfn.XLOOKUP(Orders[[#This Row],[CustomerID]],Customers[CustomerID],Customers[CustomerName])</f>
        <v>Tunde Okonkwo</v>
      </c>
      <c r="O1199" t="str">
        <f>_xlfn.XLOOKUP(Orders[[#This Row],[CustomerID]],Customers[CustomerID],Customers[Gender])</f>
        <v>Male</v>
      </c>
      <c r="P1199">
        <f>_xlfn.XLOOKUP(Orders[[#This Row],[CustomerID]],Customers[CustomerID],Customers[CustomerAge])</f>
        <v>25</v>
      </c>
      <c r="Q1199" t="str">
        <f>IF(Orders[[#This Row],[Age]]&gt;=35,"older","young")</f>
        <v>young</v>
      </c>
      <c r="R1199" t="str">
        <f>_xlfn.XLOOKUP(Orders[[#This Row],[ProductID]],Products[ProductID],Products[ProductName])</f>
        <v>CHECKERS</v>
      </c>
      <c r="S1199" t="str">
        <f>_xlfn.XLOOKUP(Orders[[#This Row],[ProductID]],Products!A:A,Products!C:C)</f>
        <v>Games</v>
      </c>
    </row>
    <row r="1200" spans="1:19" x14ac:dyDescent="0.2">
      <c r="A1200" s="4" t="s">
        <v>1389</v>
      </c>
      <c r="B1200" s="5">
        <v>45948</v>
      </c>
      <c r="C1200" s="15">
        <f>WEEKNUM(Orders[[#This Row],[OrderDate]])</f>
        <v>42</v>
      </c>
      <c r="D1200" s="4" t="s">
        <v>282</v>
      </c>
      <c r="E1200" s="4" t="s">
        <v>232</v>
      </c>
      <c r="F1200" s="4">
        <v>2</v>
      </c>
      <c r="G1200" s="4">
        <v>13757.2</v>
      </c>
      <c r="H1200">
        <v>11693.62</v>
      </c>
      <c r="I1200">
        <f>Orders[[#This Row],[Quantity]]*Orders[[#This Row],[Selling Price]]</f>
        <v>27514.400000000001</v>
      </c>
      <c r="J1200">
        <f>Orders[[#This Row],[Quantity]]*Orders[[#This Row],[Cost Price]]</f>
        <v>23387.24</v>
      </c>
      <c r="K1200">
        <f>Orders[[#This Row],[Revenue]]-Orders[[#This Row],[Expenses]]</f>
        <v>4127.16</v>
      </c>
      <c r="L1200" t="s">
        <v>2206</v>
      </c>
      <c r="M1200" t="str">
        <f>_xlfn.XLOOKUP(Orders[[#This Row],[CustomerID]],Customers[CustomerID],Customers[City])</f>
        <v>Texas</v>
      </c>
      <c r="N1200" t="str">
        <f>_xlfn.XLOOKUP(Orders[[#This Row],[CustomerID]],Customers[CustomerID],Customers[CustomerName])</f>
        <v>Bisi Ojo</v>
      </c>
      <c r="O1200" t="str">
        <f>_xlfn.XLOOKUP(Orders[[#This Row],[CustomerID]],Customers[CustomerID],Customers[Gender])</f>
        <v>Female</v>
      </c>
      <c r="P1200">
        <f>_xlfn.XLOOKUP(Orders[[#This Row],[CustomerID]],Customers[CustomerID],Customers[CustomerAge])</f>
        <v>26</v>
      </c>
      <c r="Q1200" t="str">
        <f>IF(Orders[[#This Row],[Age]]&gt;=35,"older","young")</f>
        <v>young</v>
      </c>
      <c r="R1200" t="str">
        <f>_xlfn.XLOOKUP(Orders[[#This Row],[ProductID]],Products[ProductID],Products[ProductName])</f>
        <v>ANKARA</v>
      </c>
      <c r="S1200" t="str">
        <f>_xlfn.XLOOKUP(Orders[[#This Row],[ProductID]],Products!A:A,Products!C:C)</f>
        <v>Clothing</v>
      </c>
    </row>
    <row r="1201" spans="1:19" x14ac:dyDescent="0.2">
      <c r="A1201" s="4" t="s">
        <v>1390</v>
      </c>
      <c r="B1201" s="5">
        <v>45943</v>
      </c>
      <c r="C1201" s="15">
        <f>WEEKNUM(Orders[[#This Row],[OrderDate]])</f>
        <v>42</v>
      </c>
      <c r="D1201" s="4" t="s">
        <v>78</v>
      </c>
      <c r="E1201" s="4" t="s">
        <v>37</v>
      </c>
      <c r="F1201" s="4">
        <v>9</v>
      </c>
      <c r="G1201" s="4">
        <v>7829</v>
      </c>
      <c r="H1201">
        <v>6654.65</v>
      </c>
      <c r="I1201">
        <f>Orders[[#This Row],[Quantity]]*Orders[[#This Row],[Selling Price]]</f>
        <v>70461</v>
      </c>
      <c r="J1201">
        <f>Orders[[#This Row],[Quantity]]*Orders[[#This Row],[Cost Price]]</f>
        <v>59891.85</v>
      </c>
      <c r="K1201">
        <f>Orders[[#This Row],[Revenue]]-Orders[[#This Row],[Expenses]]</f>
        <v>10569.150000000001</v>
      </c>
      <c r="L1201" t="s">
        <v>2203</v>
      </c>
      <c r="M1201" t="str">
        <f>_xlfn.XLOOKUP(Orders[[#This Row],[CustomerID]],Customers[CustomerID],Customers[City])</f>
        <v>Washington</v>
      </c>
      <c r="N1201" t="str">
        <f>_xlfn.XLOOKUP(Orders[[#This Row],[CustomerID]],Customers[CustomerID],Customers[CustomerName])</f>
        <v>Chinedu Obi</v>
      </c>
      <c r="O1201" t="str">
        <f>_xlfn.XLOOKUP(Orders[[#This Row],[CustomerID]],Customers[CustomerID],Customers[Gender])</f>
        <v>Male</v>
      </c>
      <c r="P1201">
        <f>_xlfn.XLOOKUP(Orders[[#This Row],[CustomerID]],Customers[CustomerID],Customers[CustomerAge])</f>
        <v>38</v>
      </c>
      <c r="Q1201" t="str">
        <f>IF(Orders[[#This Row],[Age]]&gt;=35,"older","young")</f>
        <v>older</v>
      </c>
      <c r="R1201" t="str">
        <f>_xlfn.XLOOKUP(Orders[[#This Row],[ProductID]],Products[ProductID],Products[ProductName])</f>
        <v>IRON</v>
      </c>
      <c r="S1201" t="str">
        <f>_xlfn.XLOOKUP(Orders[[#This Row],[ProductID]],Products!A:A,Products!C:C)</f>
        <v>Electronics</v>
      </c>
    </row>
    <row r="1202" spans="1:19" x14ac:dyDescent="0.2">
      <c r="A1202" s="4" t="s">
        <v>1391</v>
      </c>
      <c r="B1202" s="5">
        <v>45985</v>
      </c>
      <c r="C1202" s="15">
        <f>WEEKNUM(Orders[[#This Row],[OrderDate]])</f>
        <v>48</v>
      </c>
      <c r="D1202" s="4" t="s">
        <v>343</v>
      </c>
      <c r="E1202" s="4" t="s">
        <v>120</v>
      </c>
      <c r="F1202" s="4">
        <v>2</v>
      </c>
      <c r="G1202" s="4">
        <v>5594.0999999999995</v>
      </c>
      <c r="H1202">
        <v>4754.9849999999997</v>
      </c>
      <c r="I1202">
        <f>Orders[[#This Row],[Quantity]]*Orders[[#This Row],[Selling Price]]</f>
        <v>11188.199999999999</v>
      </c>
      <c r="J1202">
        <f>Orders[[#This Row],[Quantity]]*Orders[[#This Row],[Cost Price]]</f>
        <v>9509.9699999999993</v>
      </c>
      <c r="K1202">
        <f>Orders[[#This Row],[Revenue]]-Orders[[#This Row],[Expenses]]</f>
        <v>1678.2299999999996</v>
      </c>
      <c r="L1202" t="s">
        <v>2195</v>
      </c>
      <c r="M1202" t="str">
        <f>_xlfn.XLOOKUP(Orders[[#This Row],[CustomerID]],Customers[CustomerID],Customers[City])</f>
        <v>Washington</v>
      </c>
      <c r="N1202" t="str">
        <f>_xlfn.XLOOKUP(Orders[[#This Row],[CustomerID]],Customers[CustomerID],Customers[CustomerName])</f>
        <v>Ronke Obi</v>
      </c>
      <c r="O1202" t="str">
        <f>_xlfn.XLOOKUP(Orders[[#This Row],[CustomerID]],Customers[CustomerID],Customers[Gender])</f>
        <v>Female</v>
      </c>
      <c r="P1202">
        <f>_xlfn.XLOOKUP(Orders[[#This Row],[CustomerID]],Customers[CustomerID],Customers[CustomerAge])</f>
        <v>31</v>
      </c>
      <c r="Q1202" t="str">
        <f>IF(Orders[[#This Row],[Age]]&gt;=35,"older","young")</f>
        <v>young</v>
      </c>
      <c r="R1202" t="str">
        <f>_xlfn.XLOOKUP(Orders[[#This Row],[ProductID]],Products[ProductID],Products[ProductName])</f>
        <v>CHESS</v>
      </c>
      <c r="S1202" t="str">
        <f>_xlfn.XLOOKUP(Orders[[#This Row],[ProductID]],Products!A:A,Products!C:C)</f>
        <v>Games</v>
      </c>
    </row>
    <row r="1203" spans="1:19" x14ac:dyDescent="0.2">
      <c r="A1203" s="4" t="s">
        <v>1392</v>
      </c>
      <c r="B1203" s="5">
        <v>45988</v>
      </c>
      <c r="C1203" s="15">
        <f>WEEKNUM(Orders[[#This Row],[OrderDate]])</f>
        <v>48</v>
      </c>
      <c r="D1203" s="4" t="s">
        <v>8</v>
      </c>
      <c r="E1203" s="4" t="s">
        <v>23</v>
      </c>
      <c r="F1203" s="4">
        <v>2</v>
      </c>
      <c r="G1203" s="4">
        <v>19178.099999999999</v>
      </c>
      <c r="H1203">
        <v>16301.384999999998</v>
      </c>
      <c r="I1203">
        <f>Orders[[#This Row],[Quantity]]*Orders[[#This Row],[Selling Price]]</f>
        <v>38356.199999999997</v>
      </c>
      <c r="J1203">
        <f>Orders[[#This Row],[Quantity]]*Orders[[#This Row],[Cost Price]]</f>
        <v>32602.769999999997</v>
      </c>
      <c r="K1203">
        <f>Orders[[#This Row],[Revenue]]-Orders[[#This Row],[Expenses]]</f>
        <v>5753.43</v>
      </c>
      <c r="L1203" t="s">
        <v>2218</v>
      </c>
      <c r="M1203" t="str">
        <f>_xlfn.XLOOKUP(Orders[[#This Row],[CustomerID]],Customers[CustomerID],Customers[City])</f>
        <v>Washington</v>
      </c>
      <c r="N1203" t="str">
        <f>_xlfn.XLOOKUP(Orders[[#This Row],[CustomerID]],Customers[CustomerID],Customers[CustomerName])</f>
        <v>Bi si Bello</v>
      </c>
      <c r="O1203" t="str">
        <f>_xlfn.XLOOKUP(Orders[[#This Row],[CustomerID]],Customers[CustomerID],Customers[Gender])</f>
        <v>Female</v>
      </c>
      <c r="P1203">
        <f>_xlfn.XLOOKUP(Orders[[#This Row],[CustomerID]],Customers[CustomerID],Customers[CustomerAge])</f>
        <v>38</v>
      </c>
      <c r="Q1203" t="str">
        <f>IF(Orders[[#This Row],[Age]]&gt;=35,"older","young")</f>
        <v>older</v>
      </c>
      <c r="R1203" t="str">
        <f>_xlfn.XLOOKUP(Orders[[#This Row],[ProductID]],Products[ProductID],Products[ProductName])</f>
        <v>GYM GLOVES</v>
      </c>
      <c r="S1203" t="str">
        <f>_xlfn.XLOOKUP(Orders[[#This Row],[ProductID]],Products!A:A,Products!C:C)</f>
        <v>Gym</v>
      </c>
    </row>
    <row r="1204" spans="1:19" x14ac:dyDescent="0.2">
      <c r="A1204" s="4" t="s">
        <v>1393</v>
      </c>
      <c r="B1204" s="5">
        <v>45995</v>
      </c>
      <c r="C1204" s="15">
        <f>WEEKNUM(Orders[[#This Row],[OrderDate]])</f>
        <v>49</v>
      </c>
      <c r="D1204" s="4" t="s">
        <v>346</v>
      </c>
      <c r="E1204" s="4" t="s">
        <v>23</v>
      </c>
      <c r="F1204" s="4">
        <v>1</v>
      </c>
      <c r="G1204" s="4">
        <v>3456.6000000000004</v>
      </c>
      <c r="H1204">
        <v>2938.1100000000006</v>
      </c>
      <c r="I1204">
        <f>Orders[[#This Row],[Quantity]]*Orders[[#This Row],[Selling Price]]</f>
        <v>3456.6000000000004</v>
      </c>
      <c r="J1204">
        <f>Orders[[#This Row],[Quantity]]*Orders[[#This Row],[Cost Price]]</f>
        <v>2938.1100000000006</v>
      </c>
      <c r="K1204">
        <f>Orders[[#This Row],[Revenue]]-Orders[[#This Row],[Expenses]]</f>
        <v>518.48999999999978</v>
      </c>
      <c r="L1204" t="s">
        <v>2205</v>
      </c>
      <c r="M1204" t="str">
        <f>_xlfn.XLOOKUP(Orders[[#This Row],[CustomerID]],Customers[CustomerID],Customers[City])</f>
        <v>California</v>
      </c>
      <c r="N1204" t="str">
        <f>_xlfn.XLOOKUP(Orders[[#This Row],[CustomerID]],Customers[CustomerID],Customers[CustomerName])</f>
        <v>Ngozi Danladi</v>
      </c>
      <c r="O1204" t="str">
        <f>_xlfn.XLOOKUP(Orders[[#This Row],[CustomerID]],Customers[CustomerID],Customers[Gender])</f>
        <v>Female</v>
      </c>
      <c r="P1204">
        <f>_xlfn.XLOOKUP(Orders[[#This Row],[CustomerID]],Customers[CustomerID],Customers[CustomerAge])</f>
        <v>30</v>
      </c>
      <c r="Q1204" t="str">
        <f>IF(Orders[[#This Row],[Age]]&gt;=35,"older","young")</f>
        <v>young</v>
      </c>
      <c r="R1204" t="str">
        <f>_xlfn.XLOOKUP(Orders[[#This Row],[ProductID]],Products[ProductID],Products[ProductName])</f>
        <v>GYM GLOVES</v>
      </c>
      <c r="S1204" t="str">
        <f>_xlfn.XLOOKUP(Orders[[#This Row],[ProductID]],Products!A:A,Products!C:C)</f>
        <v>Gym</v>
      </c>
    </row>
    <row r="1205" spans="1:19" x14ac:dyDescent="0.2">
      <c r="A1205" s="4" t="s">
        <v>1394</v>
      </c>
      <c r="B1205" s="5">
        <v>45978</v>
      </c>
      <c r="C1205" s="15">
        <f>WEEKNUM(Orders[[#This Row],[OrderDate]])</f>
        <v>47</v>
      </c>
      <c r="D1205" s="4" t="s">
        <v>73</v>
      </c>
      <c r="E1205" s="4" t="s">
        <v>23</v>
      </c>
      <c r="F1205" s="4">
        <v>10</v>
      </c>
      <c r="G1205" s="4">
        <v>11799.9</v>
      </c>
      <c r="H1205">
        <v>10029.914999999999</v>
      </c>
      <c r="I1205">
        <f>Orders[[#This Row],[Quantity]]*Orders[[#This Row],[Selling Price]]</f>
        <v>117999</v>
      </c>
      <c r="J1205">
        <f>Orders[[#This Row],[Quantity]]*Orders[[#This Row],[Cost Price]]</f>
        <v>100299.15</v>
      </c>
      <c r="K1205">
        <f>Orders[[#This Row],[Revenue]]-Orders[[#This Row],[Expenses]]</f>
        <v>17699.850000000006</v>
      </c>
      <c r="L1205" t="s">
        <v>2200</v>
      </c>
      <c r="M1205" t="str">
        <f>_xlfn.XLOOKUP(Orders[[#This Row],[CustomerID]],Customers[CustomerID],Customers[City])</f>
        <v>California</v>
      </c>
      <c r="N1205" t="str">
        <f>_xlfn.XLOOKUP(Orders[[#This Row],[CustomerID]],Customers[CustomerID],Customers[CustomerName])</f>
        <v>Ronke Okonkwo</v>
      </c>
      <c r="O1205" t="str">
        <f>_xlfn.XLOOKUP(Orders[[#This Row],[CustomerID]],Customers[CustomerID],Customers[Gender])</f>
        <v>Female</v>
      </c>
      <c r="P1205">
        <f>_xlfn.XLOOKUP(Orders[[#This Row],[CustomerID]],Customers[CustomerID],Customers[CustomerAge])</f>
        <v>20</v>
      </c>
      <c r="Q1205" t="str">
        <f>IF(Orders[[#This Row],[Age]]&gt;=35,"older","young")</f>
        <v>young</v>
      </c>
      <c r="R1205" t="str">
        <f>_xlfn.XLOOKUP(Orders[[#This Row],[ProductID]],Products[ProductID],Products[ProductName])</f>
        <v>GYM GLOVES</v>
      </c>
      <c r="S1205" t="str">
        <f>_xlfn.XLOOKUP(Orders[[#This Row],[ProductID]],Products!A:A,Products!C:C)</f>
        <v>Gym</v>
      </c>
    </row>
    <row r="1206" spans="1:19" x14ac:dyDescent="0.2">
      <c r="A1206" s="4" t="s">
        <v>1395</v>
      </c>
      <c r="B1206" s="5">
        <v>46021</v>
      </c>
      <c r="C1206" s="15">
        <f>WEEKNUM(Orders[[#This Row],[OrderDate]])</f>
        <v>53</v>
      </c>
      <c r="D1206" s="4" t="s">
        <v>212</v>
      </c>
      <c r="E1206" s="4" t="s">
        <v>12</v>
      </c>
      <c r="F1206" s="4">
        <v>3</v>
      </c>
      <c r="G1206" s="4">
        <v>16764</v>
      </c>
      <c r="H1206">
        <v>14249.4</v>
      </c>
      <c r="I1206">
        <f>Orders[[#This Row],[Quantity]]*Orders[[#This Row],[Selling Price]]</f>
        <v>50292</v>
      </c>
      <c r="J1206">
        <f>Orders[[#This Row],[Quantity]]*Orders[[#This Row],[Cost Price]]</f>
        <v>42748.2</v>
      </c>
      <c r="K1206">
        <f>Orders[[#This Row],[Revenue]]-Orders[[#This Row],[Expenses]]</f>
        <v>7543.8000000000029</v>
      </c>
      <c r="L1206" t="s">
        <v>2219</v>
      </c>
      <c r="M1206" t="str">
        <f>_xlfn.XLOOKUP(Orders[[#This Row],[CustomerID]],Customers[CustomerID],Customers[City])</f>
        <v>Illinois</v>
      </c>
      <c r="N1206" t="str">
        <f>_xlfn.XLOOKUP(Orders[[#This Row],[CustomerID]],Customers[CustomerID],Customers[CustomerName])</f>
        <v>Ngozi Ojo</v>
      </c>
      <c r="O1206" t="str">
        <f>_xlfn.XLOOKUP(Orders[[#This Row],[CustomerID]],Customers[CustomerID],Customers[Gender])</f>
        <v>Female</v>
      </c>
      <c r="P1206">
        <f>_xlfn.XLOOKUP(Orders[[#This Row],[CustomerID]],Customers[CustomerID],Customers[CustomerAge])</f>
        <v>53</v>
      </c>
      <c r="Q1206" t="str">
        <f>IF(Orders[[#This Row],[Age]]&gt;=35,"older","young")</f>
        <v>older</v>
      </c>
      <c r="R1206" t="str">
        <f>_xlfn.XLOOKUP(Orders[[#This Row],[ProductID]],Products[ProductID],Products[ProductName])</f>
        <v>BOUBOU</v>
      </c>
      <c r="S1206" t="str">
        <f>_xlfn.XLOOKUP(Orders[[#This Row],[ProductID]],Products!A:A,Products!C:C)</f>
        <v>Clothing</v>
      </c>
    </row>
    <row r="1207" spans="1:19" x14ac:dyDescent="0.2">
      <c r="A1207" s="4" t="s">
        <v>1396</v>
      </c>
      <c r="B1207" s="5">
        <v>45980</v>
      </c>
      <c r="C1207" s="15">
        <f>WEEKNUM(Orders[[#This Row],[OrderDate]])</f>
        <v>47</v>
      </c>
      <c r="D1207" s="4" t="s">
        <v>244</v>
      </c>
      <c r="E1207" s="4" t="s">
        <v>84</v>
      </c>
      <c r="F1207" s="4">
        <v>4</v>
      </c>
      <c r="G1207" s="4">
        <v>10314.400000000001</v>
      </c>
      <c r="H1207">
        <v>8767.2400000000016</v>
      </c>
      <c r="I1207">
        <f>Orders[[#This Row],[Quantity]]*Orders[[#This Row],[Selling Price]]</f>
        <v>41257.600000000006</v>
      </c>
      <c r="J1207">
        <f>Orders[[#This Row],[Quantity]]*Orders[[#This Row],[Cost Price]]</f>
        <v>35068.960000000006</v>
      </c>
      <c r="K1207">
        <f>Orders[[#This Row],[Revenue]]-Orders[[#This Row],[Expenses]]</f>
        <v>6188.6399999999994</v>
      </c>
      <c r="L1207" t="s">
        <v>2203</v>
      </c>
      <c r="M1207" t="str">
        <f>_xlfn.XLOOKUP(Orders[[#This Row],[CustomerID]],Customers[CustomerID],Customers[City])</f>
        <v>Texas</v>
      </c>
      <c r="N1207" t="str">
        <f>_xlfn.XLOOKUP(Orders[[#This Row],[CustomerID]],Customers[CustomerID],Customers[CustomerName])</f>
        <v>Zainab Abubakar</v>
      </c>
      <c r="O1207" t="str">
        <f>_xlfn.XLOOKUP(Orders[[#This Row],[CustomerID]],Customers[CustomerID],Customers[Gender])</f>
        <v>Female</v>
      </c>
      <c r="P1207">
        <f>_xlfn.XLOOKUP(Orders[[#This Row],[CustomerID]],Customers[CustomerID],Customers[CustomerAge])</f>
        <v>33</v>
      </c>
      <c r="Q1207" t="str">
        <f>IF(Orders[[#This Row],[Age]]&gt;=35,"older","young")</f>
        <v>young</v>
      </c>
      <c r="R1207" t="str">
        <f>_xlfn.XLOOKUP(Orders[[#This Row],[ProductID]],Products[ProductID],Products[ProductName])</f>
        <v>GYM WEARS</v>
      </c>
      <c r="S1207" t="str">
        <f>_xlfn.XLOOKUP(Orders[[#This Row],[ProductID]],Products!A:A,Products!C:C)</f>
        <v>Clothing</v>
      </c>
    </row>
    <row r="1208" spans="1:19" x14ac:dyDescent="0.2">
      <c r="A1208" s="4" t="s">
        <v>1397</v>
      </c>
      <c r="B1208" s="5">
        <v>46005</v>
      </c>
      <c r="C1208" s="15">
        <f>WEEKNUM(Orders[[#This Row],[OrderDate]])</f>
        <v>51</v>
      </c>
      <c r="D1208" s="4" t="s">
        <v>940</v>
      </c>
      <c r="E1208" s="4" t="s">
        <v>25</v>
      </c>
      <c r="F1208" s="4">
        <v>10</v>
      </c>
      <c r="G1208" s="4">
        <v>9589.1999999999989</v>
      </c>
      <c r="H1208">
        <v>8150.8199999999988</v>
      </c>
      <c r="I1208">
        <f>Orders[[#This Row],[Quantity]]*Orders[[#This Row],[Selling Price]]</f>
        <v>95891.999999999985</v>
      </c>
      <c r="J1208">
        <f>Orders[[#This Row],[Quantity]]*Orders[[#This Row],[Cost Price]]</f>
        <v>81508.199999999983</v>
      </c>
      <c r="K1208">
        <f>Orders[[#This Row],[Revenue]]-Orders[[#This Row],[Expenses]]</f>
        <v>14383.800000000003</v>
      </c>
      <c r="L1208" t="s">
        <v>2197</v>
      </c>
      <c r="M1208" t="str">
        <f>_xlfn.XLOOKUP(Orders[[#This Row],[CustomerID]],Customers[CustomerID],Customers[City])</f>
        <v>Texas</v>
      </c>
      <c r="N1208" t="str">
        <f>_xlfn.XLOOKUP(Orders[[#This Row],[CustomerID]],Customers[CustomerID],Customers[CustomerName])</f>
        <v>Okon Ojo</v>
      </c>
      <c r="O1208" t="str">
        <f>_xlfn.XLOOKUP(Orders[[#This Row],[CustomerID]],Customers[CustomerID],Customers[Gender])</f>
        <v>Male</v>
      </c>
      <c r="P1208">
        <f>_xlfn.XLOOKUP(Orders[[#This Row],[CustomerID]],Customers[CustomerID],Customers[CustomerAge])</f>
        <v>25</v>
      </c>
      <c r="Q1208" t="str">
        <f>IF(Orders[[#This Row],[Age]]&gt;=35,"older","young")</f>
        <v>young</v>
      </c>
      <c r="R1208" t="str">
        <f>_xlfn.XLOOKUP(Orders[[#This Row],[ProductID]],Products[ProductID],Products[ProductName])</f>
        <v>GOLD RINGS</v>
      </c>
      <c r="S1208" t="str">
        <f>_xlfn.XLOOKUP(Orders[[#This Row],[ProductID]],Products!A:A,Products!C:C)</f>
        <v>Accessories</v>
      </c>
    </row>
    <row r="1209" spans="1:19" x14ac:dyDescent="0.2">
      <c r="A1209" s="4" t="s">
        <v>1398</v>
      </c>
      <c r="B1209" s="5">
        <v>45944</v>
      </c>
      <c r="C1209" s="15">
        <f>WEEKNUM(Orders[[#This Row],[OrderDate]])</f>
        <v>42</v>
      </c>
      <c r="D1209" s="4" t="s">
        <v>184</v>
      </c>
      <c r="E1209" s="4" t="s">
        <v>25</v>
      </c>
      <c r="F1209" s="4">
        <v>3</v>
      </c>
      <c r="G1209" s="4">
        <v>19630.599999999999</v>
      </c>
      <c r="H1209">
        <v>16686.009999999998</v>
      </c>
      <c r="I1209">
        <f>Orders[[#This Row],[Quantity]]*Orders[[#This Row],[Selling Price]]</f>
        <v>58891.799999999996</v>
      </c>
      <c r="J1209">
        <f>Orders[[#This Row],[Quantity]]*Orders[[#This Row],[Cost Price]]</f>
        <v>50058.03</v>
      </c>
      <c r="K1209">
        <f>Orders[[#This Row],[Revenue]]-Orders[[#This Row],[Expenses]]</f>
        <v>8833.7699999999968</v>
      </c>
      <c r="L1209" t="s">
        <v>2199</v>
      </c>
      <c r="M1209" t="str">
        <f>_xlfn.XLOOKUP(Orders[[#This Row],[CustomerID]],Customers[CustomerID],Customers[City])</f>
        <v>Washington</v>
      </c>
      <c r="N1209" t="str">
        <f>_xlfn.XLOOKUP(Orders[[#This Row],[CustomerID]],Customers[CustomerID],Customers[CustomerName])</f>
        <v>Ngozi Obi</v>
      </c>
      <c r="O1209" t="str">
        <f>_xlfn.XLOOKUP(Orders[[#This Row],[CustomerID]],Customers[CustomerID],Customers[Gender])</f>
        <v>Female</v>
      </c>
      <c r="P1209">
        <f>_xlfn.XLOOKUP(Orders[[#This Row],[CustomerID]],Customers[CustomerID],Customers[CustomerAge])</f>
        <v>32</v>
      </c>
      <c r="Q1209" t="str">
        <f>IF(Orders[[#This Row],[Age]]&gt;=35,"older","young")</f>
        <v>young</v>
      </c>
      <c r="R1209" t="str">
        <f>_xlfn.XLOOKUP(Orders[[#This Row],[ProductID]],Products[ProductID],Products[ProductName])</f>
        <v>GOLD RINGS</v>
      </c>
      <c r="S1209" t="str">
        <f>_xlfn.XLOOKUP(Orders[[#This Row],[ProductID]],Products!A:A,Products!C:C)</f>
        <v>Accessories</v>
      </c>
    </row>
    <row r="1210" spans="1:19" x14ac:dyDescent="0.2">
      <c r="A1210" s="4" t="s">
        <v>1399</v>
      </c>
      <c r="B1210" s="5">
        <v>46013</v>
      </c>
      <c r="C1210" s="15">
        <f>WEEKNUM(Orders[[#This Row],[OrderDate]])</f>
        <v>52</v>
      </c>
      <c r="D1210" s="4" t="s">
        <v>116</v>
      </c>
      <c r="E1210" s="4" t="s">
        <v>34</v>
      </c>
      <c r="F1210" s="4">
        <v>4</v>
      </c>
      <c r="G1210" s="4">
        <v>11474.5</v>
      </c>
      <c r="H1210">
        <v>9753.3250000000007</v>
      </c>
      <c r="I1210">
        <f>Orders[[#This Row],[Quantity]]*Orders[[#This Row],[Selling Price]]</f>
        <v>45898</v>
      </c>
      <c r="J1210">
        <f>Orders[[#This Row],[Quantity]]*Orders[[#This Row],[Cost Price]]</f>
        <v>39013.300000000003</v>
      </c>
      <c r="K1210">
        <f>Orders[[#This Row],[Revenue]]-Orders[[#This Row],[Expenses]]</f>
        <v>6884.6999999999971</v>
      </c>
      <c r="L1210" t="s">
        <v>2207</v>
      </c>
      <c r="M1210" t="str">
        <f>_xlfn.XLOOKUP(Orders[[#This Row],[CustomerID]],Customers[CustomerID],Customers[City])</f>
        <v>Texas</v>
      </c>
      <c r="N1210" t="str">
        <f>_xlfn.XLOOKUP(Orders[[#This Row],[CustomerID]],Customers[CustomerID],Customers[CustomerName])</f>
        <v>Uche Bello</v>
      </c>
      <c r="O1210" t="str">
        <f>_xlfn.XLOOKUP(Orders[[#This Row],[CustomerID]],Customers[CustomerID],Customers[Gender])</f>
        <v>Male</v>
      </c>
      <c r="P1210">
        <f>_xlfn.XLOOKUP(Orders[[#This Row],[CustomerID]],Customers[CustomerID],Customers[CustomerAge])</f>
        <v>21</v>
      </c>
      <c r="Q1210" t="str">
        <f>IF(Orders[[#This Row],[Age]]&gt;=35,"older","young")</f>
        <v>young</v>
      </c>
      <c r="R1210" t="str">
        <f>_xlfn.XLOOKUP(Orders[[#This Row],[ProductID]],Products[ProductID],Products[ProductName])</f>
        <v>GOLD BRACELETS</v>
      </c>
      <c r="S1210" t="str">
        <f>_xlfn.XLOOKUP(Orders[[#This Row],[ProductID]],Products!A:A,Products!C:C)</f>
        <v>Accessories</v>
      </c>
    </row>
    <row r="1211" spans="1:19" x14ac:dyDescent="0.2">
      <c r="A1211" s="4" t="s">
        <v>1400</v>
      </c>
      <c r="B1211" s="5">
        <v>46006</v>
      </c>
      <c r="C1211" s="15">
        <f>WEEKNUM(Orders[[#This Row],[OrderDate]])</f>
        <v>51</v>
      </c>
      <c r="D1211" s="4" t="s">
        <v>514</v>
      </c>
      <c r="E1211" s="4" t="s">
        <v>20</v>
      </c>
      <c r="F1211" s="4">
        <v>8</v>
      </c>
      <c r="G1211" s="4">
        <v>14952.3</v>
      </c>
      <c r="H1211">
        <v>12709.455</v>
      </c>
      <c r="I1211">
        <f>Orders[[#This Row],[Quantity]]*Orders[[#This Row],[Selling Price]]</f>
        <v>119618.4</v>
      </c>
      <c r="J1211">
        <f>Orders[[#This Row],[Quantity]]*Orders[[#This Row],[Cost Price]]</f>
        <v>101675.64</v>
      </c>
      <c r="K1211">
        <f>Orders[[#This Row],[Revenue]]-Orders[[#This Row],[Expenses]]</f>
        <v>17942.759999999995</v>
      </c>
      <c r="L1211" t="s">
        <v>2207</v>
      </c>
      <c r="M1211" t="str">
        <f>_xlfn.XLOOKUP(Orders[[#This Row],[CustomerID]],Customers[CustomerID],Customers[City])</f>
        <v>Florida</v>
      </c>
      <c r="N1211" t="str">
        <f>_xlfn.XLOOKUP(Orders[[#This Row],[CustomerID]],Customers[CustomerID],Customers[CustomerName])</f>
        <v>Ibrahim Okonkwo</v>
      </c>
      <c r="O1211" t="str">
        <f>_xlfn.XLOOKUP(Orders[[#This Row],[CustomerID]],Customers[CustomerID],Customers[Gender])</f>
        <v>Male</v>
      </c>
      <c r="P1211">
        <f>_xlfn.XLOOKUP(Orders[[#This Row],[CustomerID]],Customers[CustomerID],Customers[CustomerAge])</f>
        <v>28</v>
      </c>
      <c r="Q1211" t="str">
        <f>IF(Orders[[#This Row],[Age]]&gt;=35,"older","young")</f>
        <v>young</v>
      </c>
      <c r="R1211" t="str">
        <f>_xlfn.XLOOKUP(Orders[[#This Row],[ProductID]],Products[ProductID],Products[ProductName])</f>
        <v>GYM BAG</v>
      </c>
      <c r="S1211" t="str">
        <f>_xlfn.XLOOKUP(Orders[[#This Row],[ProductID]],Products!A:A,Products!C:C)</f>
        <v>Gym</v>
      </c>
    </row>
    <row r="1212" spans="1:19" x14ac:dyDescent="0.2">
      <c r="A1212" s="4" t="s">
        <v>1401</v>
      </c>
      <c r="B1212" s="5">
        <v>45959</v>
      </c>
      <c r="C1212" s="15">
        <f>WEEKNUM(Orders[[#This Row],[OrderDate]])</f>
        <v>44</v>
      </c>
      <c r="D1212" s="4" t="s">
        <v>182</v>
      </c>
      <c r="E1212" s="4" t="s">
        <v>15</v>
      </c>
      <c r="F1212" s="4">
        <v>3</v>
      </c>
      <c r="G1212" s="4">
        <v>17901.400000000001</v>
      </c>
      <c r="H1212">
        <v>15216.190000000002</v>
      </c>
      <c r="I1212">
        <f>Orders[[#This Row],[Quantity]]*Orders[[#This Row],[Selling Price]]</f>
        <v>53704.200000000004</v>
      </c>
      <c r="J1212">
        <f>Orders[[#This Row],[Quantity]]*Orders[[#This Row],[Cost Price]]</f>
        <v>45648.570000000007</v>
      </c>
      <c r="K1212">
        <f>Orders[[#This Row],[Revenue]]-Orders[[#This Row],[Expenses]]</f>
        <v>8055.6299999999974</v>
      </c>
      <c r="L1212" t="s">
        <v>2195</v>
      </c>
      <c r="M1212" t="str">
        <f>_xlfn.XLOOKUP(Orders[[#This Row],[CustomerID]],Customers[CustomerID],Customers[City])</f>
        <v>Georgia</v>
      </c>
      <c r="N1212" t="str">
        <f>_xlfn.XLOOKUP(Orders[[#This Row],[CustomerID]],Customers[CustomerID],Customers[CustomerName])</f>
        <v>Abiola Okonkwo</v>
      </c>
      <c r="O1212" t="str">
        <f>_xlfn.XLOOKUP(Orders[[#This Row],[CustomerID]],Customers[CustomerID],Customers[Gender])</f>
        <v>Male</v>
      </c>
      <c r="P1212">
        <f>_xlfn.XLOOKUP(Orders[[#This Row],[CustomerID]],Customers[CustomerID],Customers[CustomerAge])</f>
        <v>39</v>
      </c>
      <c r="Q1212" t="str">
        <f>IF(Orders[[#This Row],[Age]]&gt;=35,"older","young")</f>
        <v>older</v>
      </c>
      <c r="R1212" t="str">
        <f>_xlfn.XLOOKUP(Orders[[#This Row],[ProductID]],Products[ProductID],Products[ProductName])</f>
        <v>MONOPOLY</v>
      </c>
      <c r="S1212" t="str">
        <f>_xlfn.XLOOKUP(Orders[[#This Row],[ProductID]],Products!A:A,Products!C:C)</f>
        <v>Games</v>
      </c>
    </row>
    <row r="1213" spans="1:19" x14ac:dyDescent="0.2">
      <c r="A1213" s="4" t="s">
        <v>1402</v>
      </c>
      <c r="B1213" s="5">
        <v>46003</v>
      </c>
      <c r="C1213" s="15">
        <f>WEEKNUM(Orders[[#This Row],[OrderDate]])</f>
        <v>50</v>
      </c>
      <c r="D1213" s="4" t="s">
        <v>435</v>
      </c>
      <c r="E1213" s="4" t="s">
        <v>60</v>
      </c>
      <c r="F1213" s="4">
        <v>6</v>
      </c>
      <c r="G1213" s="4">
        <v>14888.800000000001</v>
      </c>
      <c r="H1213">
        <v>12655.480000000001</v>
      </c>
      <c r="I1213">
        <f>Orders[[#This Row],[Quantity]]*Orders[[#This Row],[Selling Price]]</f>
        <v>89332.800000000003</v>
      </c>
      <c r="J1213">
        <f>Orders[[#This Row],[Quantity]]*Orders[[#This Row],[Cost Price]]</f>
        <v>75932.88</v>
      </c>
      <c r="K1213">
        <f>Orders[[#This Row],[Revenue]]-Orders[[#This Row],[Expenses]]</f>
        <v>13399.919999999998</v>
      </c>
      <c r="L1213" t="s">
        <v>2208</v>
      </c>
      <c r="M1213" t="str">
        <f>_xlfn.XLOOKUP(Orders[[#This Row],[CustomerID]],Customers[CustomerID],Customers[City])</f>
        <v>Texas</v>
      </c>
      <c r="N1213" t="str">
        <f>_xlfn.XLOOKUP(Orders[[#This Row],[CustomerID]],Customers[CustomerID],Customers[CustomerName])</f>
        <v>Amina Balogun</v>
      </c>
      <c r="O1213" t="str">
        <f>_xlfn.XLOOKUP(Orders[[#This Row],[CustomerID]],Customers[CustomerID],Customers[Gender])</f>
        <v>Female</v>
      </c>
      <c r="P1213">
        <f>_xlfn.XLOOKUP(Orders[[#This Row],[CustomerID]],Customers[CustomerID],Customers[CustomerAge])</f>
        <v>32</v>
      </c>
      <c r="Q1213" t="str">
        <f>IF(Orders[[#This Row],[Age]]&gt;=35,"older","young")</f>
        <v>young</v>
      </c>
      <c r="R1213" t="str">
        <f>_xlfn.XLOOKUP(Orders[[#This Row],[ProductID]],Products[ProductID],Products[ProductName])</f>
        <v>SILVER RINGS</v>
      </c>
      <c r="S1213" t="str">
        <f>_xlfn.XLOOKUP(Orders[[#This Row],[ProductID]],Products!A:A,Products!C:C)</f>
        <v>Accessories</v>
      </c>
    </row>
    <row r="1214" spans="1:19" x14ac:dyDescent="0.2">
      <c r="A1214" s="4" t="s">
        <v>1403</v>
      </c>
      <c r="B1214" s="5">
        <v>45942</v>
      </c>
      <c r="C1214" s="15">
        <f>WEEKNUM(Orders[[#This Row],[OrderDate]])</f>
        <v>42</v>
      </c>
      <c r="D1214" s="4" t="s">
        <v>514</v>
      </c>
      <c r="E1214" s="4" t="s">
        <v>37</v>
      </c>
      <c r="F1214" s="4">
        <v>3</v>
      </c>
      <c r="G1214" s="4">
        <v>15832.7</v>
      </c>
      <c r="H1214">
        <v>13457.795</v>
      </c>
      <c r="I1214">
        <f>Orders[[#This Row],[Quantity]]*Orders[[#This Row],[Selling Price]]</f>
        <v>47498.100000000006</v>
      </c>
      <c r="J1214">
        <f>Orders[[#This Row],[Quantity]]*Orders[[#This Row],[Cost Price]]</f>
        <v>40373.385000000002</v>
      </c>
      <c r="K1214">
        <f>Orders[[#This Row],[Revenue]]-Orders[[#This Row],[Expenses]]</f>
        <v>7124.7150000000038</v>
      </c>
      <c r="L1214" t="s">
        <v>2215</v>
      </c>
      <c r="M1214" t="str">
        <f>_xlfn.XLOOKUP(Orders[[#This Row],[CustomerID]],Customers[CustomerID],Customers[City])</f>
        <v>Florida</v>
      </c>
      <c r="N1214" t="str">
        <f>_xlfn.XLOOKUP(Orders[[#This Row],[CustomerID]],Customers[CustomerID],Customers[CustomerName])</f>
        <v>Ibrahim Okonkwo</v>
      </c>
      <c r="O1214" t="str">
        <f>_xlfn.XLOOKUP(Orders[[#This Row],[CustomerID]],Customers[CustomerID],Customers[Gender])</f>
        <v>Male</v>
      </c>
      <c r="P1214">
        <f>_xlfn.XLOOKUP(Orders[[#This Row],[CustomerID]],Customers[CustomerID],Customers[CustomerAge])</f>
        <v>28</v>
      </c>
      <c r="Q1214" t="str">
        <f>IF(Orders[[#This Row],[Age]]&gt;=35,"older","young")</f>
        <v>young</v>
      </c>
      <c r="R1214" t="str">
        <f>_xlfn.XLOOKUP(Orders[[#This Row],[ProductID]],Products[ProductID],Products[ProductName])</f>
        <v>IRON</v>
      </c>
      <c r="S1214" t="str">
        <f>_xlfn.XLOOKUP(Orders[[#This Row],[ProductID]],Products!A:A,Products!C:C)</f>
        <v>Electronics</v>
      </c>
    </row>
    <row r="1215" spans="1:19" x14ac:dyDescent="0.2">
      <c r="A1215" s="4" t="s">
        <v>1404</v>
      </c>
      <c r="B1215" s="5">
        <v>46002</v>
      </c>
      <c r="C1215" s="15">
        <f>WEEKNUM(Orders[[#This Row],[OrderDate]])</f>
        <v>50</v>
      </c>
      <c r="D1215" s="4" t="s">
        <v>142</v>
      </c>
      <c r="E1215" s="4" t="s">
        <v>92</v>
      </c>
      <c r="F1215" s="4">
        <v>10</v>
      </c>
      <c r="G1215" s="4">
        <v>18316.199999999997</v>
      </c>
      <c r="H1215">
        <v>15568.769999999997</v>
      </c>
      <c r="I1215">
        <f>Orders[[#This Row],[Quantity]]*Orders[[#This Row],[Selling Price]]</f>
        <v>183161.99999999997</v>
      </c>
      <c r="J1215">
        <f>Orders[[#This Row],[Quantity]]*Orders[[#This Row],[Cost Price]]</f>
        <v>155687.69999999995</v>
      </c>
      <c r="K1215">
        <f>Orders[[#This Row],[Revenue]]-Orders[[#This Row],[Expenses]]</f>
        <v>27474.300000000017</v>
      </c>
      <c r="L1215" t="s">
        <v>2203</v>
      </c>
      <c r="M1215" t="str">
        <f>_xlfn.XLOOKUP(Orders[[#This Row],[CustomerID]],Customers[CustomerID],Customers[City])</f>
        <v>Florida</v>
      </c>
      <c r="N1215" t="str">
        <f>_xlfn.XLOOKUP(Orders[[#This Row],[CustomerID]],Customers[CustomerID],Customers[CustomerName])</f>
        <v>Obi Adeyemi</v>
      </c>
      <c r="O1215" t="str">
        <f>_xlfn.XLOOKUP(Orders[[#This Row],[CustomerID]],Customers[CustomerID],Customers[Gender])</f>
        <v>Male</v>
      </c>
      <c r="P1215">
        <f>_xlfn.XLOOKUP(Orders[[#This Row],[CustomerID]],Customers[CustomerID],Customers[CustomerAge])</f>
        <v>31</v>
      </c>
      <c r="Q1215" t="str">
        <f>IF(Orders[[#This Row],[Age]]&gt;=35,"older","young")</f>
        <v>young</v>
      </c>
      <c r="R1215" t="str">
        <f>_xlfn.XLOOKUP(Orders[[#This Row],[ProductID]],Products[ProductID],Products[ProductName])</f>
        <v>CHEST EXPANDER</v>
      </c>
      <c r="S1215" t="str">
        <f>_xlfn.XLOOKUP(Orders[[#This Row],[ProductID]],Products!A:A,Products!C:C)</f>
        <v>Gym</v>
      </c>
    </row>
    <row r="1216" spans="1:19" x14ac:dyDescent="0.2">
      <c r="A1216" s="4" t="s">
        <v>1405</v>
      </c>
      <c r="B1216" s="5">
        <v>45951</v>
      </c>
      <c r="C1216" s="15">
        <f>WEEKNUM(Orders[[#This Row],[OrderDate]])</f>
        <v>43</v>
      </c>
      <c r="D1216" s="4" t="s">
        <v>285</v>
      </c>
      <c r="E1216" s="4" t="s">
        <v>60</v>
      </c>
      <c r="F1216" s="4">
        <v>4</v>
      </c>
      <c r="G1216" s="4">
        <v>17009.8</v>
      </c>
      <c r="H1216">
        <v>14458.33</v>
      </c>
      <c r="I1216">
        <f>Orders[[#This Row],[Quantity]]*Orders[[#This Row],[Selling Price]]</f>
        <v>68039.199999999997</v>
      </c>
      <c r="J1216">
        <f>Orders[[#This Row],[Quantity]]*Orders[[#This Row],[Cost Price]]</f>
        <v>57833.32</v>
      </c>
      <c r="K1216">
        <f>Orders[[#This Row],[Revenue]]-Orders[[#This Row],[Expenses]]</f>
        <v>10205.879999999997</v>
      </c>
      <c r="L1216" t="s">
        <v>2203</v>
      </c>
      <c r="M1216" t="str">
        <f>_xlfn.XLOOKUP(Orders[[#This Row],[CustomerID]],Customers[CustomerID],Customers[City])</f>
        <v>California</v>
      </c>
      <c r="N1216" t="str">
        <f>_xlfn.XLOOKUP(Orders[[#This Row],[CustomerID]],Customers[CustomerID],Customers[CustomerName])</f>
        <v>Sani Balogun</v>
      </c>
      <c r="O1216" t="str">
        <f>_xlfn.XLOOKUP(Orders[[#This Row],[CustomerID]],Customers[CustomerID],Customers[Gender])</f>
        <v>Male</v>
      </c>
      <c r="P1216">
        <f>_xlfn.XLOOKUP(Orders[[#This Row],[CustomerID]],Customers[CustomerID],Customers[CustomerAge])</f>
        <v>27</v>
      </c>
      <c r="Q1216" t="str">
        <f>IF(Orders[[#This Row],[Age]]&gt;=35,"older","young")</f>
        <v>young</v>
      </c>
      <c r="R1216" t="str">
        <f>_xlfn.XLOOKUP(Orders[[#This Row],[ProductID]],Products[ProductID],Products[ProductName])</f>
        <v>SILVER RINGS</v>
      </c>
      <c r="S1216" t="str">
        <f>_xlfn.XLOOKUP(Orders[[#This Row],[ProductID]],Products!A:A,Products!C:C)</f>
        <v>Accessories</v>
      </c>
    </row>
    <row r="1217" spans="1:19" x14ac:dyDescent="0.2">
      <c r="A1217" s="4" t="s">
        <v>1406</v>
      </c>
      <c r="B1217" s="5">
        <v>46005</v>
      </c>
      <c r="C1217" s="15">
        <f>WEEKNUM(Orders[[#This Row],[OrderDate]])</f>
        <v>51</v>
      </c>
      <c r="D1217" s="4" t="s">
        <v>156</v>
      </c>
      <c r="E1217" s="4" t="s">
        <v>151</v>
      </c>
      <c r="F1217" s="4">
        <v>9</v>
      </c>
      <c r="G1217" s="4">
        <v>11677.6</v>
      </c>
      <c r="H1217">
        <v>9925.9600000000009</v>
      </c>
      <c r="I1217">
        <f>Orders[[#This Row],[Quantity]]*Orders[[#This Row],[Selling Price]]</f>
        <v>105098.40000000001</v>
      </c>
      <c r="J1217">
        <f>Orders[[#This Row],[Quantity]]*Orders[[#This Row],[Cost Price]]</f>
        <v>89333.640000000014</v>
      </c>
      <c r="K1217">
        <f>Orders[[#This Row],[Revenue]]-Orders[[#This Row],[Expenses]]</f>
        <v>15764.759999999995</v>
      </c>
      <c r="L1217" t="s">
        <v>2199</v>
      </c>
      <c r="M1217" t="str">
        <f>_xlfn.XLOOKUP(Orders[[#This Row],[CustomerID]],Customers[CustomerID],Customers[City])</f>
        <v>Florida</v>
      </c>
      <c r="N1217" t="str">
        <f>_xlfn.XLOOKUP(Orders[[#This Row],[CustomerID]],Customers[CustomerID],Customers[CustomerName])</f>
        <v>Obi Okonkwo</v>
      </c>
      <c r="O1217" t="str">
        <f>_xlfn.XLOOKUP(Orders[[#This Row],[CustomerID]],Customers[CustomerID],Customers[Gender])</f>
        <v>Male</v>
      </c>
      <c r="P1217">
        <f>_xlfn.XLOOKUP(Orders[[#This Row],[CustomerID]],Customers[CustomerID],Customers[CustomerAge])</f>
        <v>52</v>
      </c>
      <c r="Q1217" t="str">
        <f>IF(Orders[[#This Row],[Age]]&gt;=35,"older","young")</f>
        <v>older</v>
      </c>
      <c r="R1217" t="str">
        <f>_xlfn.XLOOKUP(Orders[[#This Row],[ProductID]],Products[ProductID],Products[ProductName])</f>
        <v>CHECKERS</v>
      </c>
      <c r="S1217" t="str">
        <f>_xlfn.XLOOKUP(Orders[[#This Row],[ProductID]],Products!A:A,Products!C:C)</f>
        <v>Games</v>
      </c>
    </row>
    <row r="1218" spans="1:19" x14ac:dyDescent="0.2">
      <c r="A1218" s="4" t="s">
        <v>1407</v>
      </c>
      <c r="B1218" s="5">
        <v>45941</v>
      </c>
      <c r="C1218" s="15">
        <f>WEEKNUM(Orders[[#This Row],[OrderDate]])</f>
        <v>41</v>
      </c>
      <c r="D1218" s="4" t="s">
        <v>27</v>
      </c>
      <c r="E1218" s="4" t="s">
        <v>63</v>
      </c>
      <c r="F1218" s="4">
        <v>1</v>
      </c>
      <c r="G1218" s="4">
        <v>586.5</v>
      </c>
      <c r="H1218">
        <v>498.52499999999998</v>
      </c>
      <c r="I1218">
        <f>Orders[[#This Row],[Quantity]]*Orders[[#This Row],[Selling Price]]</f>
        <v>586.5</v>
      </c>
      <c r="J1218">
        <f>Orders[[#This Row],[Quantity]]*Orders[[#This Row],[Cost Price]]</f>
        <v>498.52499999999998</v>
      </c>
      <c r="K1218">
        <f>Orders[[#This Row],[Revenue]]-Orders[[#This Row],[Expenses]]</f>
        <v>87.975000000000023</v>
      </c>
      <c r="L1218" t="s">
        <v>2218</v>
      </c>
      <c r="M1218" t="str">
        <f>_xlfn.XLOOKUP(Orders[[#This Row],[CustomerID]],Customers[CustomerID],Customers[City])</f>
        <v>Illinois</v>
      </c>
      <c r="N1218" t="str">
        <f>_xlfn.XLOOKUP(Orders[[#This Row],[CustomerID]],Customers[CustomerID],Customers[CustomerName])</f>
        <v>Okon Ojo</v>
      </c>
      <c r="O1218" t="str">
        <f>_xlfn.XLOOKUP(Orders[[#This Row],[CustomerID]],Customers[CustomerID],Customers[Gender])</f>
        <v>Male</v>
      </c>
      <c r="P1218">
        <f>_xlfn.XLOOKUP(Orders[[#This Row],[CustomerID]],Customers[CustomerID],Customers[CustomerAge])</f>
        <v>32</v>
      </c>
      <c r="Q1218" t="str">
        <f>IF(Orders[[#This Row],[Age]]&gt;=35,"older","young")</f>
        <v>young</v>
      </c>
      <c r="R1218" t="str">
        <f>_xlfn.XLOOKUP(Orders[[#This Row],[ProductID]],Products[ProductID],Products[ProductName])</f>
        <v>TENNIS BAT</v>
      </c>
      <c r="S1218" t="str">
        <f>_xlfn.XLOOKUP(Orders[[#This Row],[ProductID]],Products!A:A,Products!C:C)</f>
        <v>Sports</v>
      </c>
    </row>
    <row r="1219" spans="1:19" x14ac:dyDescent="0.2">
      <c r="A1219" s="4" t="s">
        <v>1408</v>
      </c>
      <c r="B1219" s="5">
        <v>46021</v>
      </c>
      <c r="C1219" s="15">
        <f>WEEKNUM(Orders[[#This Row],[OrderDate]])</f>
        <v>53</v>
      </c>
      <c r="D1219" s="4" t="s">
        <v>468</v>
      </c>
      <c r="E1219" s="4" t="s">
        <v>63</v>
      </c>
      <c r="F1219" s="4">
        <v>6</v>
      </c>
      <c r="G1219" s="4">
        <v>12690</v>
      </c>
      <c r="H1219">
        <v>10786.5</v>
      </c>
      <c r="I1219">
        <f>Orders[[#This Row],[Quantity]]*Orders[[#This Row],[Selling Price]]</f>
        <v>76140</v>
      </c>
      <c r="J1219">
        <f>Orders[[#This Row],[Quantity]]*Orders[[#This Row],[Cost Price]]</f>
        <v>64719</v>
      </c>
      <c r="K1219">
        <f>Orders[[#This Row],[Revenue]]-Orders[[#This Row],[Expenses]]</f>
        <v>11421</v>
      </c>
      <c r="L1219" t="s">
        <v>2218</v>
      </c>
      <c r="M1219" t="str">
        <f>_xlfn.XLOOKUP(Orders[[#This Row],[CustomerID]],Customers[CustomerID],Customers[City])</f>
        <v>California</v>
      </c>
      <c r="N1219" t="str">
        <f>_xlfn.XLOOKUP(Orders[[#This Row],[CustomerID]],Customers[CustomerID],Customers[CustomerName])</f>
        <v>Chioma Adeyemi</v>
      </c>
      <c r="O1219" t="str">
        <f>_xlfn.XLOOKUP(Orders[[#This Row],[CustomerID]],Customers[CustomerID],Customers[Gender])</f>
        <v>Female</v>
      </c>
      <c r="P1219">
        <f>_xlfn.XLOOKUP(Orders[[#This Row],[CustomerID]],Customers[CustomerID],Customers[CustomerAge])</f>
        <v>23</v>
      </c>
      <c r="Q1219" t="str">
        <f>IF(Orders[[#This Row],[Age]]&gt;=35,"older","young")</f>
        <v>young</v>
      </c>
      <c r="R1219" t="str">
        <f>_xlfn.XLOOKUP(Orders[[#This Row],[ProductID]],Products[ProductID],Products[ProductName])</f>
        <v>TENNIS BAT</v>
      </c>
      <c r="S1219" t="str">
        <f>_xlfn.XLOOKUP(Orders[[#This Row],[ProductID]],Products!A:A,Products!C:C)</f>
        <v>Sports</v>
      </c>
    </row>
    <row r="1220" spans="1:19" x14ac:dyDescent="0.2">
      <c r="A1220" s="4" t="s">
        <v>1409</v>
      </c>
      <c r="B1220" s="5">
        <v>45981</v>
      </c>
      <c r="C1220" s="15">
        <f>WEEKNUM(Orders[[#This Row],[OrderDate]])</f>
        <v>47</v>
      </c>
      <c r="D1220" s="4" t="s">
        <v>22</v>
      </c>
      <c r="E1220" s="4" t="s">
        <v>37</v>
      </c>
      <c r="F1220" s="4">
        <v>7</v>
      </c>
      <c r="G1220" s="4">
        <v>5694.5</v>
      </c>
      <c r="H1220">
        <v>4840.3249999999998</v>
      </c>
      <c r="I1220">
        <f>Orders[[#This Row],[Quantity]]*Orders[[#This Row],[Selling Price]]</f>
        <v>39861.5</v>
      </c>
      <c r="J1220">
        <f>Orders[[#This Row],[Quantity]]*Orders[[#This Row],[Cost Price]]</f>
        <v>33882.275000000001</v>
      </c>
      <c r="K1220">
        <f>Orders[[#This Row],[Revenue]]-Orders[[#This Row],[Expenses]]</f>
        <v>5979.2249999999985</v>
      </c>
      <c r="L1220" t="s">
        <v>2205</v>
      </c>
      <c r="M1220" t="str">
        <f>_xlfn.XLOOKUP(Orders[[#This Row],[CustomerID]],Customers[CustomerID],Customers[City])</f>
        <v>Texas</v>
      </c>
      <c r="N1220" t="str">
        <f>_xlfn.XLOOKUP(Orders[[#This Row],[CustomerID]],Customers[CustomerID],Customers[CustomerName])</f>
        <v>Temi Bello</v>
      </c>
      <c r="O1220" t="str">
        <f>_xlfn.XLOOKUP(Orders[[#This Row],[CustomerID]],Customers[CustomerID],Customers[Gender])</f>
        <v>Female</v>
      </c>
      <c r="P1220">
        <f>_xlfn.XLOOKUP(Orders[[#This Row],[CustomerID]],Customers[CustomerID],Customers[CustomerAge])</f>
        <v>52</v>
      </c>
      <c r="Q1220" t="str">
        <f>IF(Orders[[#This Row],[Age]]&gt;=35,"older","young")</f>
        <v>older</v>
      </c>
      <c r="R1220" t="str">
        <f>_xlfn.XLOOKUP(Orders[[#This Row],[ProductID]],Products[ProductID],Products[ProductName])</f>
        <v>IRON</v>
      </c>
      <c r="S1220" t="str">
        <f>_xlfn.XLOOKUP(Orders[[#This Row],[ProductID]],Products!A:A,Products!C:C)</f>
        <v>Electronics</v>
      </c>
    </row>
    <row r="1221" spans="1:19" x14ac:dyDescent="0.2">
      <c r="A1221" s="4" t="s">
        <v>1410</v>
      </c>
      <c r="B1221" s="5">
        <v>45946</v>
      </c>
      <c r="C1221" s="15">
        <f>WEEKNUM(Orders[[#This Row],[OrderDate]])</f>
        <v>42</v>
      </c>
      <c r="D1221" s="4" t="s">
        <v>83</v>
      </c>
      <c r="E1221" s="4" t="s">
        <v>53</v>
      </c>
      <c r="F1221" s="4">
        <v>8</v>
      </c>
      <c r="G1221" s="4">
        <v>9082.5</v>
      </c>
      <c r="H1221">
        <v>7720.125</v>
      </c>
      <c r="I1221">
        <f>Orders[[#This Row],[Quantity]]*Orders[[#This Row],[Selling Price]]</f>
        <v>72660</v>
      </c>
      <c r="J1221">
        <f>Orders[[#This Row],[Quantity]]*Orders[[#This Row],[Cost Price]]</f>
        <v>61761</v>
      </c>
      <c r="K1221">
        <f>Orders[[#This Row],[Revenue]]-Orders[[#This Row],[Expenses]]</f>
        <v>10899</v>
      </c>
      <c r="L1221" t="s">
        <v>2197</v>
      </c>
      <c r="M1221" t="str">
        <f>_xlfn.XLOOKUP(Orders[[#This Row],[CustomerID]],Customers[CustomerID],Customers[City])</f>
        <v>Florida</v>
      </c>
      <c r="N1221" t="str">
        <f>_xlfn.XLOOKUP(Orders[[#This Row],[CustomerID]],Customers[CustomerID],Customers[CustomerName])</f>
        <v>Funke Danladi</v>
      </c>
      <c r="O1221" t="str">
        <f>_xlfn.XLOOKUP(Orders[[#This Row],[CustomerID]],Customers[CustomerID],Customers[Gender])</f>
        <v>Female</v>
      </c>
      <c r="P1221">
        <f>_xlfn.XLOOKUP(Orders[[#This Row],[CustomerID]],Customers[CustomerID],Customers[CustomerAge])</f>
        <v>26</v>
      </c>
      <c r="Q1221" t="str">
        <f>IF(Orders[[#This Row],[Age]]&gt;=35,"older","young")</f>
        <v>young</v>
      </c>
      <c r="R1221" t="str">
        <f>_xlfn.XLOOKUP(Orders[[#This Row],[ProductID]],Products[ProductID],Products[ProductName])</f>
        <v>SILVER BANGLES</v>
      </c>
      <c r="S1221" t="str">
        <f>_xlfn.XLOOKUP(Orders[[#This Row],[ProductID]],Products!A:A,Products!C:C)</f>
        <v>Accessories</v>
      </c>
    </row>
    <row r="1222" spans="1:19" x14ac:dyDescent="0.2">
      <c r="A1222" s="4" t="s">
        <v>1411</v>
      </c>
      <c r="B1222" s="5">
        <v>46007</v>
      </c>
      <c r="C1222" s="15">
        <f>WEEKNUM(Orders[[#This Row],[OrderDate]])</f>
        <v>51</v>
      </c>
      <c r="D1222" s="4" t="s">
        <v>216</v>
      </c>
      <c r="E1222" s="4" t="s">
        <v>232</v>
      </c>
      <c r="F1222" s="4">
        <v>4</v>
      </c>
      <c r="G1222" s="4">
        <v>7723.0999999999995</v>
      </c>
      <c r="H1222">
        <v>6564.6349999999993</v>
      </c>
      <c r="I1222">
        <f>Orders[[#This Row],[Quantity]]*Orders[[#This Row],[Selling Price]]</f>
        <v>30892.399999999998</v>
      </c>
      <c r="J1222">
        <f>Orders[[#This Row],[Quantity]]*Orders[[#This Row],[Cost Price]]</f>
        <v>26258.539999999997</v>
      </c>
      <c r="K1222">
        <f>Orders[[#This Row],[Revenue]]-Orders[[#This Row],[Expenses]]</f>
        <v>4633.8600000000006</v>
      </c>
      <c r="L1222" t="s">
        <v>2218</v>
      </c>
      <c r="M1222" t="str">
        <f>_xlfn.XLOOKUP(Orders[[#This Row],[CustomerID]],Customers[CustomerID],Customers[City])</f>
        <v>California</v>
      </c>
      <c r="N1222" t="str">
        <f>_xlfn.XLOOKUP(Orders[[#This Row],[CustomerID]],Customers[CustomerID],Customers[CustomerName])</f>
        <v>Ngozi Obi</v>
      </c>
      <c r="O1222" t="str">
        <f>_xlfn.XLOOKUP(Orders[[#This Row],[CustomerID]],Customers[CustomerID],Customers[Gender])</f>
        <v>Female</v>
      </c>
      <c r="P1222">
        <f>_xlfn.XLOOKUP(Orders[[#This Row],[CustomerID]],Customers[CustomerID],Customers[CustomerAge])</f>
        <v>54</v>
      </c>
      <c r="Q1222" t="str">
        <f>IF(Orders[[#This Row],[Age]]&gt;=35,"older","young")</f>
        <v>older</v>
      </c>
      <c r="R1222" t="str">
        <f>_xlfn.XLOOKUP(Orders[[#This Row],[ProductID]],Products[ProductID],Products[ProductName])</f>
        <v>ANKARA</v>
      </c>
      <c r="S1222" t="str">
        <f>_xlfn.XLOOKUP(Orders[[#This Row],[ProductID]],Products!A:A,Products!C:C)</f>
        <v>Clothing</v>
      </c>
    </row>
    <row r="1223" spans="1:19" x14ac:dyDescent="0.2">
      <c r="A1223" s="4" t="s">
        <v>1412</v>
      </c>
      <c r="B1223" s="5">
        <v>46005</v>
      </c>
      <c r="C1223" s="15">
        <f>WEEKNUM(Orders[[#This Row],[OrderDate]])</f>
        <v>51</v>
      </c>
      <c r="D1223" s="4" t="s">
        <v>239</v>
      </c>
      <c r="E1223" s="4" t="s">
        <v>57</v>
      </c>
      <c r="F1223" s="4">
        <v>8</v>
      </c>
      <c r="G1223" s="4">
        <v>4662.9000000000005</v>
      </c>
      <c r="H1223">
        <v>3963.4650000000006</v>
      </c>
      <c r="I1223">
        <f>Orders[[#This Row],[Quantity]]*Orders[[#This Row],[Selling Price]]</f>
        <v>37303.200000000004</v>
      </c>
      <c r="J1223">
        <f>Orders[[#This Row],[Quantity]]*Orders[[#This Row],[Cost Price]]</f>
        <v>31707.720000000005</v>
      </c>
      <c r="K1223">
        <f>Orders[[#This Row],[Revenue]]-Orders[[#This Row],[Expenses]]</f>
        <v>5595.48</v>
      </c>
      <c r="L1223" t="s">
        <v>2201</v>
      </c>
      <c r="M1223" t="str">
        <f>_xlfn.XLOOKUP(Orders[[#This Row],[CustomerID]],Customers[CustomerID],Customers[City])</f>
        <v>Florida</v>
      </c>
      <c r="N1223" t="str">
        <f>_xlfn.XLOOKUP(Orders[[#This Row],[CustomerID]],Customers[CustomerID],Customers[CustomerName])</f>
        <v>Emeka Danladi</v>
      </c>
      <c r="O1223" t="str">
        <f>_xlfn.XLOOKUP(Orders[[#This Row],[CustomerID]],Customers[CustomerID],Customers[Gender])</f>
        <v>Male</v>
      </c>
      <c r="P1223">
        <f>_xlfn.XLOOKUP(Orders[[#This Row],[CustomerID]],Customers[CustomerID],Customers[CustomerAge])</f>
        <v>23</v>
      </c>
      <c r="Q1223" t="str">
        <f>IF(Orders[[#This Row],[Age]]&gt;=35,"older","young")</f>
        <v>young</v>
      </c>
      <c r="R1223" t="str">
        <f>_xlfn.XLOOKUP(Orders[[#This Row],[ProductID]],Products[ProductID],Products[ProductName])</f>
        <v>BADMINTON RACKET</v>
      </c>
      <c r="S1223" t="str">
        <f>_xlfn.XLOOKUP(Orders[[#This Row],[ProductID]],Products!A:A,Products!C:C)</f>
        <v>Sports</v>
      </c>
    </row>
    <row r="1224" spans="1:19" x14ac:dyDescent="0.2">
      <c r="A1224" s="4" t="s">
        <v>1413</v>
      </c>
      <c r="B1224" s="5">
        <v>45962</v>
      </c>
      <c r="C1224" s="15">
        <f>WEEKNUM(Orders[[#This Row],[OrderDate]])</f>
        <v>44</v>
      </c>
      <c r="D1224" s="4" t="s">
        <v>87</v>
      </c>
      <c r="E1224" s="4" t="s">
        <v>127</v>
      </c>
      <c r="F1224" s="4">
        <v>1</v>
      </c>
      <c r="G1224" s="4">
        <v>12445.9</v>
      </c>
      <c r="H1224">
        <v>10579.014999999999</v>
      </c>
      <c r="I1224">
        <f>Orders[[#This Row],[Quantity]]*Orders[[#This Row],[Selling Price]]</f>
        <v>12445.9</v>
      </c>
      <c r="J1224">
        <f>Orders[[#This Row],[Quantity]]*Orders[[#This Row],[Cost Price]]</f>
        <v>10579.014999999999</v>
      </c>
      <c r="K1224">
        <f>Orders[[#This Row],[Revenue]]-Orders[[#This Row],[Expenses]]</f>
        <v>1866.8850000000002</v>
      </c>
      <c r="L1224" t="s">
        <v>2196</v>
      </c>
      <c r="M1224" t="str">
        <f>_xlfn.XLOOKUP(Orders[[#This Row],[CustomerID]],Customers[CustomerID],Customers[City])</f>
        <v>Illinois</v>
      </c>
      <c r="N1224" t="str">
        <f>_xlfn.XLOOKUP(Orders[[#This Row],[CustomerID]],Customers[CustomerID],Customers[CustomerName])</f>
        <v>Efe Igwe</v>
      </c>
      <c r="O1224" t="str">
        <f>_xlfn.XLOOKUP(Orders[[#This Row],[CustomerID]],Customers[CustomerID],Customers[Gender])</f>
        <v>Female</v>
      </c>
      <c r="P1224">
        <f>_xlfn.XLOOKUP(Orders[[#This Row],[CustomerID]],Customers[CustomerID],Customers[CustomerAge])</f>
        <v>34</v>
      </c>
      <c r="Q1224" t="str">
        <f>IF(Orders[[#This Row],[Age]]&gt;=35,"older","young")</f>
        <v>young</v>
      </c>
      <c r="R1224" t="str">
        <f>_xlfn.XLOOKUP(Orders[[#This Row],[ProductID]],Products[ProductID],Products[ProductName])</f>
        <v>TOPS</v>
      </c>
      <c r="S1224" t="str">
        <f>_xlfn.XLOOKUP(Orders[[#This Row],[ProductID]],Products!A:A,Products!C:C)</f>
        <v>Clothing</v>
      </c>
    </row>
    <row r="1225" spans="1:19" x14ac:dyDescent="0.2">
      <c r="A1225" s="4" t="s">
        <v>1414</v>
      </c>
      <c r="B1225" s="5">
        <v>45953</v>
      </c>
      <c r="C1225" s="15">
        <f>WEEKNUM(Orders[[#This Row],[OrderDate]])</f>
        <v>43</v>
      </c>
      <c r="D1225" s="4" t="s">
        <v>291</v>
      </c>
      <c r="E1225" s="4" t="s">
        <v>66</v>
      </c>
      <c r="F1225" s="4">
        <v>4</v>
      </c>
      <c r="G1225" s="4">
        <v>19823.699999999997</v>
      </c>
      <c r="H1225">
        <v>16850.144999999997</v>
      </c>
      <c r="I1225">
        <f>Orders[[#This Row],[Quantity]]*Orders[[#This Row],[Selling Price]]</f>
        <v>79294.799999999988</v>
      </c>
      <c r="J1225">
        <f>Orders[[#This Row],[Quantity]]*Orders[[#This Row],[Cost Price]]</f>
        <v>67400.579999999987</v>
      </c>
      <c r="K1225">
        <f>Orders[[#This Row],[Revenue]]-Orders[[#This Row],[Expenses]]</f>
        <v>11894.220000000001</v>
      </c>
      <c r="L1225" t="s">
        <v>2197</v>
      </c>
      <c r="M1225" t="str">
        <f>_xlfn.XLOOKUP(Orders[[#This Row],[CustomerID]],Customers[CustomerID],Customers[City])</f>
        <v>Texas</v>
      </c>
      <c r="N1225" t="str">
        <f>_xlfn.XLOOKUP(Orders[[#This Row],[CustomerID]],Customers[CustomerID],Customers[CustomerName])</f>
        <v>Okon Igwe</v>
      </c>
      <c r="O1225" t="str">
        <f>_xlfn.XLOOKUP(Orders[[#This Row],[CustomerID]],Customers[CustomerID],Customers[Gender])</f>
        <v>Male</v>
      </c>
      <c r="P1225">
        <f>_xlfn.XLOOKUP(Orders[[#This Row],[CustomerID]],Customers[CustomerID],Customers[CustomerAge])</f>
        <v>33</v>
      </c>
      <c r="Q1225" t="str">
        <f>IF(Orders[[#This Row],[Age]]&gt;=35,"older","young")</f>
        <v>young</v>
      </c>
      <c r="R1225" t="str">
        <f>_xlfn.XLOOKUP(Orders[[#This Row],[ProductID]],Products[ProductID],Products[ProductName])</f>
        <v>MICROWAVE</v>
      </c>
      <c r="S1225" t="str">
        <f>_xlfn.XLOOKUP(Orders[[#This Row],[ProductID]],Products!A:A,Products!C:C)</f>
        <v>Electronics</v>
      </c>
    </row>
    <row r="1226" spans="1:19" x14ac:dyDescent="0.2">
      <c r="A1226" s="4" t="s">
        <v>1415</v>
      </c>
      <c r="B1226" s="5">
        <v>45949</v>
      </c>
      <c r="C1226" s="15">
        <f>WEEKNUM(Orders[[#This Row],[OrderDate]])</f>
        <v>43</v>
      </c>
      <c r="D1226" s="4" t="s">
        <v>116</v>
      </c>
      <c r="E1226" s="4" t="s">
        <v>37</v>
      </c>
      <c r="F1226" s="4">
        <v>7</v>
      </c>
      <c r="G1226" s="4">
        <v>9120</v>
      </c>
      <c r="H1226">
        <v>7752</v>
      </c>
      <c r="I1226">
        <f>Orders[[#This Row],[Quantity]]*Orders[[#This Row],[Selling Price]]</f>
        <v>63840</v>
      </c>
      <c r="J1226">
        <f>Orders[[#This Row],[Quantity]]*Orders[[#This Row],[Cost Price]]</f>
        <v>54264</v>
      </c>
      <c r="K1226">
        <f>Orders[[#This Row],[Revenue]]-Orders[[#This Row],[Expenses]]</f>
        <v>9576</v>
      </c>
      <c r="L1226" t="s">
        <v>2209</v>
      </c>
      <c r="M1226" t="str">
        <f>_xlfn.XLOOKUP(Orders[[#This Row],[CustomerID]],Customers[CustomerID],Customers[City])</f>
        <v>Texas</v>
      </c>
      <c r="N1226" t="str">
        <f>_xlfn.XLOOKUP(Orders[[#This Row],[CustomerID]],Customers[CustomerID],Customers[CustomerName])</f>
        <v>Uche Bello</v>
      </c>
      <c r="O1226" t="str">
        <f>_xlfn.XLOOKUP(Orders[[#This Row],[CustomerID]],Customers[CustomerID],Customers[Gender])</f>
        <v>Male</v>
      </c>
      <c r="P1226">
        <f>_xlfn.XLOOKUP(Orders[[#This Row],[CustomerID]],Customers[CustomerID],Customers[CustomerAge])</f>
        <v>21</v>
      </c>
      <c r="Q1226" t="str">
        <f>IF(Orders[[#This Row],[Age]]&gt;=35,"older","young")</f>
        <v>young</v>
      </c>
      <c r="R1226" t="str">
        <f>_xlfn.XLOOKUP(Orders[[#This Row],[ProductID]],Products[ProductID],Products[ProductName])</f>
        <v>IRON</v>
      </c>
      <c r="S1226" t="str">
        <f>_xlfn.XLOOKUP(Orders[[#This Row],[ProductID]],Products!A:A,Products!C:C)</f>
        <v>Electronics</v>
      </c>
    </row>
    <row r="1227" spans="1:19" x14ac:dyDescent="0.2">
      <c r="A1227" s="4" t="s">
        <v>1416</v>
      </c>
      <c r="B1227" s="5">
        <v>45938</v>
      </c>
      <c r="C1227" s="15">
        <f>WEEKNUM(Orders[[#This Row],[OrderDate]])</f>
        <v>41</v>
      </c>
      <c r="D1227" s="4" t="s">
        <v>98</v>
      </c>
      <c r="E1227" s="4" t="s">
        <v>120</v>
      </c>
      <c r="F1227" s="4">
        <v>2</v>
      </c>
      <c r="G1227" s="4">
        <v>14838</v>
      </c>
      <c r="H1227">
        <v>12612.3</v>
      </c>
      <c r="I1227">
        <f>Orders[[#This Row],[Quantity]]*Orders[[#This Row],[Selling Price]]</f>
        <v>29676</v>
      </c>
      <c r="J1227">
        <f>Orders[[#This Row],[Quantity]]*Orders[[#This Row],[Cost Price]]</f>
        <v>25224.6</v>
      </c>
      <c r="K1227">
        <f>Orders[[#This Row],[Revenue]]-Orders[[#This Row],[Expenses]]</f>
        <v>4451.4000000000015</v>
      </c>
      <c r="L1227" t="s">
        <v>2219</v>
      </c>
      <c r="M1227" t="str">
        <f>_xlfn.XLOOKUP(Orders[[#This Row],[CustomerID]],Customers[CustomerID],Customers[City])</f>
        <v>Illinois</v>
      </c>
      <c r="N1227" t="str">
        <f>_xlfn.XLOOKUP(Orders[[#This Row],[CustomerID]],Customers[CustomerID],Customers[CustomerName])</f>
        <v>Chioma Adeyemi</v>
      </c>
      <c r="O1227" t="str">
        <f>_xlfn.XLOOKUP(Orders[[#This Row],[CustomerID]],Customers[CustomerID],Customers[Gender])</f>
        <v>Female</v>
      </c>
      <c r="P1227">
        <f>_xlfn.XLOOKUP(Orders[[#This Row],[CustomerID]],Customers[CustomerID],Customers[CustomerAge])</f>
        <v>23</v>
      </c>
      <c r="Q1227" t="str">
        <f>IF(Orders[[#This Row],[Age]]&gt;=35,"older","young")</f>
        <v>young</v>
      </c>
      <c r="R1227" t="str">
        <f>_xlfn.XLOOKUP(Orders[[#This Row],[ProductID]],Products[ProductID],Products[ProductName])</f>
        <v>CHESS</v>
      </c>
      <c r="S1227" t="str">
        <f>_xlfn.XLOOKUP(Orders[[#This Row],[ProductID]],Products!A:A,Products!C:C)</f>
        <v>Games</v>
      </c>
    </row>
    <row r="1228" spans="1:19" x14ac:dyDescent="0.2">
      <c r="A1228" s="4" t="s">
        <v>1417</v>
      </c>
      <c r="B1228" s="5">
        <v>45937</v>
      </c>
      <c r="C1228" s="15">
        <f>WEEKNUM(Orders[[#This Row],[OrderDate]])</f>
        <v>41</v>
      </c>
      <c r="D1228" s="4" t="s">
        <v>30</v>
      </c>
      <c r="E1228" s="4" t="s">
        <v>63</v>
      </c>
      <c r="F1228" s="4">
        <v>10</v>
      </c>
      <c r="G1228" s="4">
        <v>11665.699999999999</v>
      </c>
      <c r="H1228">
        <v>9915.8449999999993</v>
      </c>
      <c r="I1228">
        <f>Orders[[#This Row],[Quantity]]*Orders[[#This Row],[Selling Price]]</f>
        <v>116656.99999999999</v>
      </c>
      <c r="J1228">
        <f>Orders[[#This Row],[Quantity]]*Orders[[#This Row],[Cost Price]]</f>
        <v>99158.45</v>
      </c>
      <c r="K1228">
        <f>Orders[[#This Row],[Revenue]]-Orders[[#This Row],[Expenses]]</f>
        <v>17498.549999999988</v>
      </c>
      <c r="L1228" t="s">
        <v>2201</v>
      </c>
      <c r="M1228" t="str">
        <f>_xlfn.XLOOKUP(Orders[[#This Row],[CustomerID]],Customers[CustomerID],Customers[City])</f>
        <v>Florida</v>
      </c>
      <c r="N1228" t="str">
        <f>_xlfn.XLOOKUP(Orders[[#This Row],[CustomerID]],Customers[CustomerID],Customers[CustomerName])</f>
        <v>Amina Danladi</v>
      </c>
      <c r="O1228" t="str">
        <f>_xlfn.XLOOKUP(Orders[[#This Row],[CustomerID]],Customers[CustomerID],Customers[Gender])</f>
        <v>Female</v>
      </c>
      <c r="P1228">
        <f>_xlfn.XLOOKUP(Orders[[#This Row],[CustomerID]],Customers[CustomerID],Customers[CustomerAge])</f>
        <v>42</v>
      </c>
      <c r="Q1228" t="str">
        <f>IF(Orders[[#This Row],[Age]]&gt;=35,"older","young")</f>
        <v>older</v>
      </c>
      <c r="R1228" t="str">
        <f>_xlfn.XLOOKUP(Orders[[#This Row],[ProductID]],Products[ProductID],Products[ProductName])</f>
        <v>TENNIS BAT</v>
      </c>
      <c r="S1228" t="str">
        <f>_xlfn.XLOOKUP(Orders[[#This Row],[ProductID]],Products!A:A,Products!C:C)</f>
        <v>Sports</v>
      </c>
    </row>
    <row r="1229" spans="1:19" x14ac:dyDescent="0.2">
      <c r="A1229" s="4" t="s">
        <v>1418</v>
      </c>
      <c r="B1229" s="5">
        <v>45953</v>
      </c>
      <c r="C1229" s="15">
        <f>WEEKNUM(Orders[[#This Row],[OrderDate]])</f>
        <v>43</v>
      </c>
      <c r="D1229" s="4" t="s">
        <v>369</v>
      </c>
      <c r="E1229" s="4" t="s">
        <v>168</v>
      </c>
      <c r="F1229" s="4">
        <v>5</v>
      </c>
      <c r="G1229" s="4">
        <v>13863.5</v>
      </c>
      <c r="H1229">
        <v>11783.975</v>
      </c>
      <c r="I1229">
        <f>Orders[[#This Row],[Quantity]]*Orders[[#This Row],[Selling Price]]</f>
        <v>69317.5</v>
      </c>
      <c r="J1229">
        <f>Orders[[#This Row],[Quantity]]*Orders[[#This Row],[Cost Price]]</f>
        <v>58919.875</v>
      </c>
      <c r="K1229">
        <f>Orders[[#This Row],[Revenue]]-Orders[[#This Row],[Expenses]]</f>
        <v>10397.625</v>
      </c>
      <c r="L1229" t="s">
        <v>2209</v>
      </c>
      <c r="M1229" t="str">
        <f>_xlfn.XLOOKUP(Orders[[#This Row],[CustomerID]],Customers[CustomerID],Customers[City])</f>
        <v>Washington</v>
      </c>
      <c r="N1229" t="str">
        <f>_xlfn.XLOOKUP(Orders[[#This Row],[CustomerID]],Customers[CustomerID],Customers[CustomerName])</f>
        <v>Ibrahim Bello</v>
      </c>
      <c r="O1229" t="str">
        <f>_xlfn.XLOOKUP(Orders[[#This Row],[CustomerID]],Customers[CustomerID],Customers[Gender])</f>
        <v>Male</v>
      </c>
      <c r="P1229">
        <f>_xlfn.XLOOKUP(Orders[[#This Row],[CustomerID]],Customers[CustomerID],Customers[CustomerAge])</f>
        <v>40</v>
      </c>
      <c r="Q1229" t="str">
        <f>IF(Orders[[#This Row],[Age]]&gt;=35,"older","young")</f>
        <v>older</v>
      </c>
      <c r="R1229" t="str">
        <f>_xlfn.XLOOKUP(Orders[[#This Row],[ProductID]],Products[ProductID],Products[ProductName])</f>
        <v>DUMB BELLS</v>
      </c>
      <c r="S1229" t="str">
        <f>_xlfn.XLOOKUP(Orders[[#This Row],[ProductID]],Products!A:A,Products!C:C)</f>
        <v>Gym</v>
      </c>
    </row>
    <row r="1230" spans="1:19" x14ac:dyDescent="0.2">
      <c r="A1230" s="4" t="s">
        <v>1419</v>
      </c>
      <c r="B1230" s="5">
        <v>45969</v>
      </c>
      <c r="C1230" s="15">
        <f>WEEKNUM(Orders[[#This Row],[OrderDate]])</f>
        <v>45</v>
      </c>
      <c r="D1230" s="4" t="s">
        <v>110</v>
      </c>
      <c r="E1230" s="4" t="s">
        <v>46</v>
      </c>
      <c r="F1230" s="4">
        <v>4</v>
      </c>
      <c r="G1230" s="4">
        <v>3381.7000000000003</v>
      </c>
      <c r="H1230">
        <v>2874.4450000000002</v>
      </c>
      <c r="I1230">
        <f>Orders[[#This Row],[Quantity]]*Orders[[#This Row],[Selling Price]]</f>
        <v>13526.800000000001</v>
      </c>
      <c r="J1230">
        <f>Orders[[#This Row],[Quantity]]*Orders[[#This Row],[Cost Price]]</f>
        <v>11497.78</v>
      </c>
      <c r="K1230">
        <f>Orders[[#This Row],[Revenue]]-Orders[[#This Row],[Expenses]]</f>
        <v>2029.0200000000004</v>
      </c>
      <c r="L1230" t="s">
        <v>2193</v>
      </c>
      <c r="M1230" t="str">
        <f>_xlfn.XLOOKUP(Orders[[#This Row],[CustomerID]],Customers[CustomerID],Customers[City])</f>
        <v>Washington</v>
      </c>
      <c r="N1230" t="str">
        <f>_xlfn.XLOOKUP(Orders[[#This Row],[CustomerID]],Customers[CustomerID],Customers[CustomerName])</f>
        <v>Ngozi Danladi</v>
      </c>
      <c r="O1230" t="str">
        <f>_xlfn.XLOOKUP(Orders[[#This Row],[CustomerID]],Customers[CustomerID],Customers[Gender])</f>
        <v>Female</v>
      </c>
      <c r="P1230">
        <f>_xlfn.XLOOKUP(Orders[[#This Row],[CustomerID]],Customers[CustomerID],Customers[CustomerAge])</f>
        <v>28</v>
      </c>
      <c r="Q1230" t="str">
        <f>IF(Orders[[#This Row],[Age]]&gt;=35,"older","young")</f>
        <v>young</v>
      </c>
      <c r="R1230" t="str">
        <f>_xlfn.XLOOKUP(Orders[[#This Row],[ProductID]],Products[ProductID],Products[ProductName])</f>
        <v>TURTLE NECK</v>
      </c>
      <c r="S1230" t="str">
        <f>_xlfn.XLOOKUP(Orders[[#This Row],[ProductID]],Products!A:A,Products!C:C)</f>
        <v>Clothing</v>
      </c>
    </row>
    <row r="1231" spans="1:19" x14ac:dyDescent="0.2">
      <c r="A1231" s="4" t="s">
        <v>1420</v>
      </c>
      <c r="B1231" s="5">
        <v>45985</v>
      </c>
      <c r="C1231" s="15">
        <f>WEEKNUM(Orders[[#This Row],[OrderDate]])</f>
        <v>48</v>
      </c>
      <c r="D1231" s="4" t="s">
        <v>237</v>
      </c>
      <c r="E1231" s="4" t="s">
        <v>70</v>
      </c>
      <c r="F1231" s="4">
        <v>3</v>
      </c>
      <c r="G1231" s="4">
        <v>15702.3</v>
      </c>
      <c r="H1231">
        <v>13346.955</v>
      </c>
      <c r="I1231">
        <f>Orders[[#This Row],[Quantity]]*Orders[[#This Row],[Selling Price]]</f>
        <v>47106.899999999994</v>
      </c>
      <c r="J1231">
        <f>Orders[[#This Row],[Quantity]]*Orders[[#This Row],[Cost Price]]</f>
        <v>40040.864999999998</v>
      </c>
      <c r="K1231">
        <f>Orders[[#This Row],[Revenue]]-Orders[[#This Row],[Expenses]]</f>
        <v>7066.0349999999962</v>
      </c>
      <c r="L1231" t="s">
        <v>2196</v>
      </c>
      <c r="M1231" t="str">
        <f>_xlfn.XLOOKUP(Orders[[#This Row],[CustomerID]],Customers[CustomerID],Customers[City])</f>
        <v>Florida</v>
      </c>
      <c r="N1231" t="str">
        <f>_xlfn.XLOOKUP(Orders[[#This Row],[CustomerID]],Customers[CustomerID],Customers[CustomerName])</f>
        <v>Ronke Danladi</v>
      </c>
      <c r="O1231" t="str">
        <f>_xlfn.XLOOKUP(Orders[[#This Row],[CustomerID]],Customers[CustomerID],Customers[Gender])</f>
        <v>Female</v>
      </c>
      <c r="P1231">
        <f>_xlfn.XLOOKUP(Orders[[#This Row],[CustomerID]],Customers[CustomerID],Customers[CustomerAge])</f>
        <v>25</v>
      </c>
      <c r="Q1231" t="str">
        <f>IF(Orders[[#This Row],[Age]]&gt;=35,"older","young")</f>
        <v>young</v>
      </c>
      <c r="R1231" t="str">
        <f>_xlfn.XLOOKUP(Orders[[#This Row],[ProductID]],Products[ProductID],Products[ProductName])</f>
        <v>YOGA MAT</v>
      </c>
      <c r="S1231" t="str">
        <f>_xlfn.XLOOKUP(Orders[[#This Row],[ProductID]],Products!A:A,Products!C:C)</f>
        <v>Gym</v>
      </c>
    </row>
    <row r="1232" spans="1:19" x14ac:dyDescent="0.2">
      <c r="A1232" s="4" t="s">
        <v>1421</v>
      </c>
      <c r="B1232" s="5">
        <v>45965</v>
      </c>
      <c r="C1232" s="15">
        <f>WEEKNUM(Orders[[#This Row],[OrderDate]])</f>
        <v>45</v>
      </c>
      <c r="D1232" s="4" t="s">
        <v>302</v>
      </c>
      <c r="E1232" s="4" t="s">
        <v>66</v>
      </c>
      <c r="F1232" s="4">
        <v>6</v>
      </c>
      <c r="G1232" s="4">
        <v>8423.3000000000011</v>
      </c>
      <c r="H1232">
        <v>7159.8050000000012</v>
      </c>
      <c r="I1232">
        <f>Orders[[#This Row],[Quantity]]*Orders[[#This Row],[Selling Price]]</f>
        <v>50539.8</v>
      </c>
      <c r="J1232">
        <f>Orders[[#This Row],[Quantity]]*Orders[[#This Row],[Cost Price]]</f>
        <v>42958.830000000009</v>
      </c>
      <c r="K1232">
        <f>Orders[[#This Row],[Revenue]]-Orders[[#This Row],[Expenses]]</f>
        <v>7580.9699999999939</v>
      </c>
      <c r="L1232" t="s">
        <v>2217</v>
      </c>
      <c r="M1232" t="str">
        <f>_xlfn.XLOOKUP(Orders[[#This Row],[CustomerID]],Customers[CustomerID],Customers[City])</f>
        <v>Washington</v>
      </c>
      <c r="N1232" t="str">
        <f>_xlfn.XLOOKUP(Orders[[#This Row],[CustomerID]],Customers[CustomerID],Customers[CustomerName])</f>
        <v>Sani Bello</v>
      </c>
      <c r="O1232" t="str">
        <f>_xlfn.XLOOKUP(Orders[[#This Row],[CustomerID]],Customers[CustomerID],Customers[Gender])</f>
        <v>Male</v>
      </c>
      <c r="P1232">
        <f>_xlfn.XLOOKUP(Orders[[#This Row],[CustomerID]],Customers[CustomerID],Customers[CustomerAge])</f>
        <v>23</v>
      </c>
      <c r="Q1232" t="str">
        <f>IF(Orders[[#This Row],[Age]]&gt;=35,"older","young")</f>
        <v>young</v>
      </c>
      <c r="R1232" t="str">
        <f>_xlfn.XLOOKUP(Orders[[#This Row],[ProductID]],Products[ProductID],Products[ProductName])</f>
        <v>MICROWAVE</v>
      </c>
      <c r="S1232" t="str">
        <f>_xlfn.XLOOKUP(Orders[[#This Row],[ProductID]],Products!A:A,Products!C:C)</f>
        <v>Electronics</v>
      </c>
    </row>
    <row r="1233" spans="1:19" x14ac:dyDescent="0.2">
      <c r="A1233" s="4" t="s">
        <v>1422</v>
      </c>
      <c r="B1233" s="5">
        <v>45997</v>
      </c>
      <c r="C1233" s="15">
        <f>WEEKNUM(Orders[[#This Row],[OrderDate]])</f>
        <v>49</v>
      </c>
      <c r="D1233" s="4" t="s">
        <v>48</v>
      </c>
      <c r="E1233" s="4" t="s">
        <v>20</v>
      </c>
      <c r="F1233" s="4">
        <v>1</v>
      </c>
      <c r="G1233" s="4">
        <v>4103.5</v>
      </c>
      <c r="H1233">
        <v>3487.9749999999999</v>
      </c>
      <c r="I1233">
        <f>Orders[[#This Row],[Quantity]]*Orders[[#This Row],[Selling Price]]</f>
        <v>4103.5</v>
      </c>
      <c r="J1233">
        <f>Orders[[#This Row],[Quantity]]*Orders[[#This Row],[Cost Price]]</f>
        <v>3487.9749999999999</v>
      </c>
      <c r="K1233">
        <f>Orders[[#This Row],[Revenue]]-Orders[[#This Row],[Expenses]]</f>
        <v>615.52500000000009</v>
      </c>
      <c r="L1233" t="s">
        <v>2195</v>
      </c>
      <c r="M1233" t="str">
        <f>_xlfn.XLOOKUP(Orders[[#This Row],[CustomerID]],Customers[CustomerID],Customers[City])</f>
        <v>California</v>
      </c>
      <c r="N1233" t="str">
        <f>_xlfn.XLOOKUP(Orders[[#This Row],[CustomerID]],Customers[CustomerID],Customers[CustomerName])</f>
        <v>Mustafa Obi</v>
      </c>
      <c r="O1233" t="str">
        <f>_xlfn.XLOOKUP(Orders[[#This Row],[CustomerID]],Customers[CustomerID],Customers[Gender])</f>
        <v>Male</v>
      </c>
      <c r="P1233">
        <f>_xlfn.XLOOKUP(Orders[[#This Row],[CustomerID]],Customers[CustomerID],Customers[CustomerAge])</f>
        <v>23</v>
      </c>
      <c r="Q1233" t="str">
        <f>IF(Orders[[#This Row],[Age]]&gt;=35,"older","young")</f>
        <v>young</v>
      </c>
      <c r="R1233" t="str">
        <f>_xlfn.XLOOKUP(Orders[[#This Row],[ProductID]],Products[ProductID],Products[ProductName])</f>
        <v>GYM BAG</v>
      </c>
      <c r="S1233" t="str">
        <f>_xlfn.XLOOKUP(Orders[[#This Row],[ProductID]],Products!A:A,Products!C:C)</f>
        <v>Gym</v>
      </c>
    </row>
    <row r="1234" spans="1:19" x14ac:dyDescent="0.2">
      <c r="A1234" s="4" t="s">
        <v>1423</v>
      </c>
      <c r="B1234" s="5">
        <v>45956</v>
      </c>
      <c r="C1234" s="15">
        <f>WEEKNUM(Orders[[#This Row],[OrderDate]])</f>
        <v>44</v>
      </c>
      <c r="D1234" s="4" t="s">
        <v>369</v>
      </c>
      <c r="E1234" s="4" t="s">
        <v>168</v>
      </c>
      <c r="F1234" s="4">
        <v>1</v>
      </c>
      <c r="G1234" s="4">
        <v>3013.5</v>
      </c>
      <c r="H1234">
        <v>2561.4749999999999</v>
      </c>
      <c r="I1234">
        <f>Orders[[#This Row],[Quantity]]*Orders[[#This Row],[Selling Price]]</f>
        <v>3013.5</v>
      </c>
      <c r="J1234">
        <f>Orders[[#This Row],[Quantity]]*Orders[[#This Row],[Cost Price]]</f>
        <v>2561.4749999999999</v>
      </c>
      <c r="K1234">
        <f>Orders[[#This Row],[Revenue]]-Orders[[#This Row],[Expenses]]</f>
        <v>452.02500000000009</v>
      </c>
      <c r="L1234" t="s">
        <v>2196</v>
      </c>
      <c r="M1234" t="str">
        <f>_xlfn.XLOOKUP(Orders[[#This Row],[CustomerID]],Customers[CustomerID],Customers[City])</f>
        <v>Washington</v>
      </c>
      <c r="N1234" t="str">
        <f>_xlfn.XLOOKUP(Orders[[#This Row],[CustomerID]],Customers[CustomerID],Customers[CustomerName])</f>
        <v>Ibrahim Bello</v>
      </c>
      <c r="O1234" t="str">
        <f>_xlfn.XLOOKUP(Orders[[#This Row],[CustomerID]],Customers[CustomerID],Customers[Gender])</f>
        <v>Male</v>
      </c>
      <c r="P1234">
        <f>_xlfn.XLOOKUP(Orders[[#This Row],[CustomerID]],Customers[CustomerID],Customers[CustomerAge])</f>
        <v>40</v>
      </c>
      <c r="Q1234" t="str">
        <f>IF(Orders[[#This Row],[Age]]&gt;=35,"older","young")</f>
        <v>older</v>
      </c>
      <c r="R1234" t="str">
        <f>_xlfn.XLOOKUP(Orders[[#This Row],[ProductID]],Products[ProductID],Products[ProductName])</f>
        <v>DUMB BELLS</v>
      </c>
      <c r="S1234" t="str">
        <f>_xlfn.XLOOKUP(Orders[[#This Row],[ProductID]],Products!A:A,Products!C:C)</f>
        <v>Gym</v>
      </c>
    </row>
    <row r="1235" spans="1:19" x14ac:dyDescent="0.2">
      <c r="A1235" s="4" t="s">
        <v>1424</v>
      </c>
      <c r="B1235" s="5">
        <v>45949</v>
      </c>
      <c r="C1235" s="15">
        <f>WEEKNUM(Orders[[#This Row],[OrderDate]])</f>
        <v>43</v>
      </c>
      <c r="D1235" s="4" t="s">
        <v>110</v>
      </c>
      <c r="E1235" s="4" t="s">
        <v>76</v>
      </c>
      <c r="F1235" s="4">
        <v>6</v>
      </c>
      <c r="G1235" s="4">
        <v>11914.400000000001</v>
      </c>
      <c r="H1235">
        <v>10127.240000000002</v>
      </c>
      <c r="I1235">
        <f>Orders[[#This Row],[Quantity]]*Orders[[#This Row],[Selling Price]]</f>
        <v>71486.400000000009</v>
      </c>
      <c r="J1235">
        <f>Orders[[#This Row],[Quantity]]*Orders[[#This Row],[Cost Price]]</f>
        <v>60763.44000000001</v>
      </c>
      <c r="K1235">
        <f>Orders[[#This Row],[Revenue]]-Orders[[#This Row],[Expenses]]</f>
        <v>10722.96</v>
      </c>
      <c r="L1235" t="s">
        <v>2209</v>
      </c>
      <c r="M1235" t="str">
        <f>_xlfn.XLOOKUP(Orders[[#This Row],[CustomerID]],Customers[CustomerID],Customers[City])</f>
        <v>Washington</v>
      </c>
      <c r="N1235" t="str">
        <f>_xlfn.XLOOKUP(Orders[[#This Row],[CustomerID]],Customers[CustomerID],Customers[CustomerName])</f>
        <v>Ngozi Danladi</v>
      </c>
      <c r="O1235" t="str">
        <f>_xlfn.XLOOKUP(Orders[[#This Row],[CustomerID]],Customers[CustomerID],Customers[Gender])</f>
        <v>Female</v>
      </c>
      <c r="P1235">
        <f>_xlfn.XLOOKUP(Orders[[#This Row],[CustomerID]],Customers[CustomerID],Customers[CustomerAge])</f>
        <v>28</v>
      </c>
      <c r="Q1235" t="str">
        <f>IF(Orders[[#This Row],[Age]]&gt;=35,"older","young")</f>
        <v>young</v>
      </c>
      <c r="R1235" t="str">
        <f>_xlfn.XLOOKUP(Orders[[#This Row],[ProductID]],Products[ProductID],Products[ProductName])</f>
        <v>BLENDER</v>
      </c>
      <c r="S1235" t="str">
        <f>_xlfn.XLOOKUP(Orders[[#This Row],[ProductID]],Products!A:A,Products!C:C)</f>
        <v>Electronics</v>
      </c>
    </row>
    <row r="1236" spans="1:19" x14ac:dyDescent="0.2">
      <c r="A1236" s="4" t="s">
        <v>1425</v>
      </c>
      <c r="B1236" s="5">
        <v>45957</v>
      </c>
      <c r="C1236" s="15">
        <f>WEEKNUM(Orders[[#This Row],[OrderDate]])</f>
        <v>44</v>
      </c>
      <c r="D1236" s="4" t="s">
        <v>374</v>
      </c>
      <c r="E1236" s="4" t="s">
        <v>84</v>
      </c>
      <c r="F1236" s="4">
        <v>4</v>
      </c>
      <c r="G1236" s="4">
        <v>13751</v>
      </c>
      <c r="H1236">
        <v>11688.35</v>
      </c>
      <c r="I1236">
        <f>Orders[[#This Row],[Quantity]]*Orders[[#This Row],[Selling Price]]</f>
        <v>55004</v>
      </c>
      <c r="J1236">
        <f>Orders[[#This Row],[Quantity]]*Orders[[#This Row],[Cost Price]]</f>
        <v>46753.4</v>
      </c>
      <c r="K1236">
        <f>Orders[[#This Row],[Revenue]]-Orders[[#This Row],[Expenses]]</f>
        <v>8250.5999999999985</v>
      </c>
      <c r="L1236" t="s">
        <v>2219</v>
      </c>
      <c r="M1236" t="str">
        <f>_xlfn.XLOOKUP(Orders[[#This Row],[CustomerID]],Customers[CustomerID],Customers[City])</f>
        <v>Texas</v>
      </c>
      <c r="N1236" t="str">
        <f>_xlfn.XLOOKUP(Orders[[#This Row],[CustomerID]],Customers[CustomerID],Customers[CustomerName])</f>
        <v>Uche Okonkwo</v>
      </c>
      <c r="O1236" t="str">
        <f>_xlfn.XLOOKUP(Orders[[#This Row],[CustomerID]],Customers[CustomerID],Customers[Gender])</f>
        <v>Male</v>
      </c>
      <c r="P1236">
        <f>_xlfn.XLOOKUP(Orders[[#This Row],[CustomerID]],Customers[CustomerID],Customers[CustomerAge])</f>
        <v>27</v>
      </c>
      <c r="Q1236" t="str">
        <f>IF(Orders[[#This Row],[Age]]&gt;=35,"older","young")</f>
        <v>young</v>
      </c>
      <c r="R1236" t="str">
        <f>_xlfn.XLOOKUP(Orders[[#This Row],[ProductID]],Products[ProductID],Products[ProductName])</f>
        <v>GYM WEARS</v>
      </c>
      <c r="S1236" t="str">
        <f>_xlfn.XLOOKUP(Orders[[#This Row],[ProductID]],Products!A:A,Products!C:C)</f>
        <v>Clothing</v>
      </c>
    </row>
    <row r="1237" spans="1:19" x14ac:dyDescent="0.2">
      <c r="A1237" s="4" t="s">
        <v>1426</v>
      </c>
      <c r="B1237" s="5">
        <v>46007</v>
      </c>
      <c r="C1237" s="15">
        <f>WEEKNUM(Orders[[#This Row],[OrderDate]])</f>
        <v>51</v>
      </c>
      <c r="D1237" s="4" t="s">
        <v>386</v>
      </c>
      <c r="E1237" s="4" t="s">
        <v>189</v>
      </c>
      <c r="F1237" s="4">
        <v>8</v>
      </c>
      <c r="G1237" s="4">
        <v>8826.7999999999993</v>
      </c>
      <c r="H1237">
        <v>7502.78</v>
      </c>
      <c r="I1237">
        <f>Orders[[#This Row],[Quantity]]*Orders[[#This Row],[Selling Price]]</f>
        <v>70614.399999999994</v>
      </c>
      <c r="J1237">
        <f>Orders[[#This Row],[Quantity]]*Orders[[#This Row],[Cost Price]]</f>
        <v>60022.239999999998</v>
      </c>
      <c r="K1237">
        <f>Orders[[#This Row],[Revenue]]-Orders[[#This Row],[Expenses]]</f>
        <v>10592.159999999996</v>
      </c>
      <c r="L1237" t="s">
        <v>2199</v>
      </c>
      <c r="M1237" t="str">
        <f>_xlfn.XLOOKUP(Orders[[#This Row],[CustomerID]],Customers[CustomerID],Customers[City])</f>
        <v>Washington</v>
      </c>
      <c r="N1237" t="str">
        <f>_xlfn.XLOOKUP(Orders[[#This Row],[CustomerID]],Customers[CustomerID],Customers[CustomerName])</f>
        <v>Chinedu Eze</v>
      </c>
      <c r="O1237" t="str">
        <f>_xlfn.XLOOKUP(Orders[[#This Row],[CustomerID]],Customers[CustomerID],Customers[Gender])</f>
        <v>Male</v>
      </c>
      <c r="P1237">
        <f>_xlfn.XLOOKUP(Orders[[#This Row],[CustomerID]],Customers[CustomerID],Customers[CustomerAge])</f>
        <v>32</v>
      </c>
      <c r="Q1237" t="str">
        <f>IF(Orders[[#This Row],[Age]]&gt;=35,"older","young")</f>
        <v>young</v>
      </c>
      <c r="R1237" t="str">
        <f>_xlfn.XLOOKUP(Orders[[#This Row],[ProductID]],Products[ProductID],Products[ProductName])</f>
        <v>SCRABBLE</v>
      </c>
      <c r="S1237" t="str">
        <f>_xlfn.XLOOKUP(Orders[[#This Row],[ProductID]],Products!A:A,Products!C:C)</f>
        <v>Games</v>
      </c>
    </row>
    <row r="1238" spans="1:19" x14ac:dyDescent="0.2">
      <c r="A1238" s="4" t="s">
        <v>1427</v>
      </c>
      <c r="B1238" s="5">
        <v>45988</v>
      </c>
      <c r="C1238" s="15">
        <f>WEEKNUM(Orders[[#This Row],[OrderDate]])</f>
        <v>48</v>
      </c>
      <c r="D1238" s="4" t="s">
        <v>256</v>
      </c>
      <c r="E1238" s="4" t="s">
        <v>57</v>
      </c>
      <c r="F1238" s="4">
        <v>9</v>
      </c>
      <c r="G1238" s="4">
        <v>15969.9</v>
      </c>
      <c r="H1238">
        <v>13574.415000000001</v>
      </c>
      <c r="I1238">
        <f>Orders[[#This Row],[Quantity]]*Orders[[#This Row],[Selling Price]]</f>
        <v>143729.1</v>
      </c>
      <c r="J1238">
        <f>Orders[[#This Row],[Quantity]]*Orders[[#This Row],[Cost Price]]</f>
        <v>122169.73500000002</v>
      </c>
      <c r="K1238">
        <f>Orders[[#This Row],[Revenue]]-Orders[[#This Row],[Expenses]]</f>
        <v>21559.364999999991</v>
      </c>
      <c r="L1238" t="s">
        <v>2199</v>
      </c>
      <c r="M1238" t="str">
        <f>_xlfn.XLOOKUP(Orders[[#This Row],[CustomerID]],Customers[CustomerID],Customers[City])</f>
        <v>Georgia</v>
      </c>
      <c r="N1238" t="str">
        <f>_xlfn.XLOOKUP(Orders[[#This Row],[CustomerID]],Customers[CustomerID],Customers[CustomerName])</f>
        <v>Efe Ojo</v>
      </c>
      <c r="O1238" t="str">
        <f>_xlfn.XLOOKUP(Orders[[#This Row],[CustomerID]],Customers[CustomerID],Customers[Gender])</f>
        <v>Female</v>
      </c>
      <c r="P1238">
        <f>_xlfn.XLOOKUP(Orders[[#This Row],[CustomerID]],Customers[CustomerID],Customers[CustomerAge])</f>
        <v>23</v>
      </c>
      <c r="Q1238" t="str">
        <f>IF(Orders[[#This Row],[Age]]&gt;=35,"older","young")</f>
        <v>young</v>
      </c>
      <c r="R1238" t="str">
        <f>_xlfn.XLOOKUP(Orders[[#This Row],[ProductID]],Products[ProductID],Products[ProductName])</f>
        <v>BADMINTON RACKET</v>
      </c>
      <c r="S1238" t="str">
        <f>_xlfn.XLOOKUP(Orders[[#This Row],[ProductID]],Products!A:A,Products!C:C)</f>
        <v>Sports</v>
      </c>
    </row>
    <row r="1239" spans="1:19" x14ac:dyDescent="0.2">
      <c r="A1239" s="4" t="s">
        <v>1428</v>
      </c>
      <c r="B1239" s="5">
        <v>45941</v>
      </c>
      <c r="C1239" s="15">
        <f>WEEKNUM(Orders[[#This Row],[OrderDate]])</f>
        <v>41</v>
      </c>
      <c r="D1239" s="4" t="s">
        <v>174</v>
      </c>
      <c r="E1239" s="4" t="s">
        <v>20</v>
      </c>
      <c r="F1239" s="4">
        <v>4</v>
      </c>
      <c r="G1239" s="4">
        <v>10318.699999999999</v>
      </c>
      <c r="H1239">
        <v>8770.8949999999986</v>
      </c>
      <c r="I1239">
        <f>Orders[[#This Row],[Quantity]]*Orders[[#This Row],[Selling Price]]</f>
        <v>41274.799999999996</v>
      </c>
      <c r="J1239">
        <f>Orders[[#This Row],[Quantity]]*Orders[[#This Row],[Cost Price]]</f>
        <v>35083.579999999994</v>
      </c>
      <c r="K1239">
        <f>Orders[[#This Row],[Revenue]]-Orders[[#This Row],[Expenses]]</f>
        <v>6191.2200000000012</v>
      </c>
      <c r="L1239" t="s">
        <v>2219</v>
      </c>
      <c r="M1239" t="str">
        <f>_xlfn.XLOOKUP(Orders[[#This Row],[CustomerID]],Customers[CustomerID],Customers[City])</f>
        <v>California</v>
      </c>
      <c r="N1239" t="str">
        <f>_xlfn.XLOOKUP(Orders[[#This Row],[CustomerID]],Customers[CustomerID],Customers[CustomerName])</f>
        <v>Zainab Obi</v>
      </c>
      <c r="O1239" t="str">
        <f>_xlfn.XLOOKUP(Orders[[#This Row],[CustomerID]],Customers[CustomerID],Customers[Gender])</f>
        <v>Female</v>
      </c>
      <c r="P1239">
        <f>_xlfn.XLOOKUP(Orders[[#This Row],[CustomerID]],Customers[CustomerID],Customers[CustomerAge])</f>
        <v>18</v>
      </c>
      <c r="Q1239" t="str">
        <f>IF(Orders[[#This Row],[Age]]&gt;=35,"older","young")</f>
        <v>young</v>
      </c>
      <c r="R1239" t="str">
        <f>_xlfn.XLOOKUP(Orders[[#This Row],[ProductID]],Products[ProductID],Products[ProductName])</f>
        <v>GYM BAG</v>
      </c>
      <c r="S1239" t="str">
        <f>_xlfn.XLOOKUP(Orders[[#This Row],[ProductID]],Products!A:A,Products!C:C)</f>
        <v>Gym</v>
      </c>
    </row>
    <row r="1240" spans="1:19" x14ac:dyDescent="0.2">
      <c r="A1240" s="4" t="s">
        <v>1429</v>
      </c>
      <c r="B1240" s="5">
        <v>45944</v>
      </c>
      <c r="C1240" s="15">
        <f>WEEKNUM(Orders[[#This Row],[OrderDate]])</f>
        <v>42</v>
      </c>
      <c r="D1240" s="4" t="s">
        <v>524</v>
      </c>
      <c r="E1240" s="4" t="s">
        <v>23</v>
      </c>
      <c r="F1240" s="4">
        <v>7</v>
      </c>
      <c r="G1240" s="4">
        <v>6897.7</v>
      </c>
      <c r="H1240">
        <v>5863.0450000000001</v>
      </c>
      <c r="I1240">
        <f>Orders[[#This Row],[Quantity]]*Orders[[#This Row],[Selling Price]]</f>
        <v>48283.9</v>
      </c>
      <c r="J1240">
        <f>Orders[[#This Row],[Quantity]]*Orders[[#This Row],[Cost Price]]</f>
        <v>41041.315000000002</v>
      </c>
      <c r="K1240">
        <f>Orders[[#This Row],[Revenue]]-Orders[[#This Row],[Expenses]]</f>
        <v>7242.5849999999991</v>
      </c>
      <c r="L1240" t="s">
        <v>2216</v>
      </c>
      <c r="M1240" t="str">
        <f>_xlfn.XLOOKUP(Orders[[#This Row],[CustomerID]],Customers[CustomerID],Customers[City])</f>
        <v>Florida</v>
      </c>
      <c r="N1240" t="str">
        <f>_xlfn.XLOOKUP(Orders[[#This Row],[CustomerID]],Customers[CustomerID],Customers[CustomerName])</f>
        <v>Chinedu Igwe</v>
      </c>
      <c r="O1240" t="str">
        <f>_xlfn.XLOOKUP(Orders[[#This Row],[CustomerID]],Customers[CustomerID],Customers[Gender])</f>
        <v>Male</v>
      </c>
      <c r="P1240">
        <f>_xlfn.XLOOKUP(Orders[[#This Row],[CustomerID]],Customers[CustomerID],Customers[CustomerAge])</f>
        <v>21</v>
      </c>
      <c r="Q1240" t="str">
        <f>IF(Orders[[#This Row],[Age]]&gt;=35,"older","young")</f>
        <v>young</v>
      </c>
      <c r="R1240" t="str">
        <f>_xlfn.XLOOKUP(Orders[[#This Row],[ProductID]],Products[ProductID],Products[ProductName])</f>
        <v>GYM GLOVES</v>
      </c>
      <c r="S1240" t="str">
        <f>_xlfn.XLOOKUP(Orders[[#This Row],[ProductID]],Products!A:A,Products!C:C)</f>
        <v>Gym</v>
      </c>
    </row>
    <row r="1241" spans="1:19" x14ac:dyDescent="0.2">
      <c r="A1241" s="4" t="s">
        <v>1430</v>
      </c>
      <c r="B1241" s="5">
        <v>45961</v>
      </c>
      <c r="C1241" s="15">
        <f>WEEKNUM(Orders[[#This Row],[OrderDate]])</f>
        <v>44</v>
      </c>
      <c r="D1241" s="4" t="s">
        <v>19</v>
      </c>
      <c r="E1241" s="4" t="s">
        <v>84</v>
      </c>
      <c r="F1241" s="4">
        <v>9</v>
      </c>
      <c r="G1241" s="4">
        <v>15284.9</v>
      </c>
      <c r="H1241">
        <v>12992.165000000001</v>
      </c>
      <c r="I1241">
        <f>Orders[[#This Row],[Quantity]]*Orders[[#This Row],[Selling Price]]</f>
        <v>137564.1</v>
      </c>
      <c r="J1241">
        <f>Orders[[#This Row],[Quantity]]*Orders[[#This Row],[Cost Price]]</f>
        <v>116929.48500000002</v>
      </c>
      <c r="K1241">
        <f>Orders[[#This Row],[Revenue]]-Orders[[#This Row],[Expenses]]</f>
        <v>20634.614999999991</v>
      </c>
      <c r="L1241" t="s">
        <v>2202</v>
      </c>
      <c r="M1241" t="str">
        <f>_xlfn.XLOOKUP(Orders[[#This Row],[CustomerID]],Customers[CustomerID],Customers[City])</f>
        <v>California</v>
      </c>
      <c r="N1241" t="str">
        <f>_xlfn.XLOOKUP(Orders[[#This Row],[CustomerID]],Customers[CustomerID],Customers[CustomerName])</f>
        <v>Obi Adeyemi</v>
      </c>
      <c r="O1241" t="str">
        <f>_xlfn.XLOOKUP(Orders[[#This Row],[CustomerID]],Customers[CustomerID],Customers[Gender])</f>
        <v>Male</v>
      </c>
      <c r="P1241">
        <f>_xlfn.XLOOKUP(Orders[[#This Row],[CustomerID]],Customers[CustomerID],Customers[CustomerAge])</f>
        <v>24</v>
      </c>
      <c r="Q1241" t="str">
        <f>IF(Orders[[#This Row],[Age]]&gt;=35,"older","young")</f>
        <v>young</v>
      </c>
      <c r="R1241" t="str">
        <f>_xlfn.XLOOKUP(Orders[[#This Row],[ProductID]],Products[ProductID],Products[ProductName])</f>
        <v>GYM WEARS</v>
      </c>
      <c r="S1241" t="str">
        <f>_xlfn.XLOOKUP(Orders[[#This Row],[ProductID]],Products!A:A,Products!C:C)</f>
        <v>Clothing</v>
      </c>
    </row>
    <row r="1242" spans="1:19" x14ac:dyDescent="0.2">
      <c r="A1242" s="4" t="s">
        <v>1431</v>
      </c>
      <c r="B1242" s="5">
        <v>45992</v>
      </c>
      <c r="C1242" s="15">
        <f>WEEKNUM(Orders[[#This Row],[OrderDate]])</f>
        <v>49</v>
      </c>
      <c r="D1242" s="4" t="s">
        <v>221</v>
      </c>
      <c r="E1242" s="4" t="s">
        <v>81</v>
      </c>
      <c r="F1242" s="4">
        <v>1</v>
      </c>
      <c r="G1242" s="4">
        <v>19521.600000000002</v>
      </c>
      <c r="H1242">
        <v>16593.36</v>
      </c>
      <c r="I1242">
        <f>Orders[[#This Row],[Quantity]]*Orders[[#This Row],[Selling Price]]</f>
        <v>19521.600000000002</v>
      </c>
      <c r="J1242">
        <f>Orders[[#This Row],[Quantity]]*Orders[[#This Row],[Cost Price]]</f>
        <v>16593.36</v>
      </c>
      <c r="K1242">
        <f>Orders[[#This Row],[Revenue]]-Orders[[#This Row],[Expenses]]</f>
        <v>2928.2400000000016</v>
      </c>
      <c r="L1242" t="s">
        <v>2193</v>
      </c>
      <c r="M1242" t="str">
        <f>_xlfn.XLOOKUP(Orders[[#This Row],[CustomerID]],Customers[CustomerID],Customers[City])</f>
        <v>Texas</v>
      </c>
      <c r="N1242" t="str">
        <f>_xlfn.XLOOKUP(Orders[[#This Row],[CustomerID]],Customers[CustomerID],Customers[CustomerName])</f>
        <v>Obi Bello</v>
      </c>
      <c r="O1242" t="str">
        <f>_xlfn.XLOOKUP(Orders[[#This Row],[CustomerID]],Customers[CustomerID],Customers[Gender])</f>
        <v>Male</v>
      </c>
      <c r="P1242">
        <f>_xlfn.XLOOKUP(Orders[[#This Row],[CustomerID]],Customers[CustomerID],Customers[CustomerAge])</f>
        <v>18</v>
      </c>
      <c r="Q1242" t="str">
        <f>IF(Orders[[#This Row],[Age]]&gt;=35,"older","young")</f>
        <v>young</v>
      </c>
      <c r="R1242" t="str">
        <f>_xlfn.XLOOKUP(Orders[[#This Row],[ProductID]],Products[ProductID],Products[ProductName])</f>
        <v>TROUSERS</v>
      </c>
      <c r="S1242" t="str">
        <f>_xlfn.XLOOKUP(Orders[[#This Row],[ProductID]],Products!A:A,Products!C:C)</f>
        <v>Clothing</v>
      </c>
    </row>
    <row r="1243" spans="1:19" x14ac:dyDescent="0.2">
      <c r="A1243" s="4" t="s">
        <v>1432</v>
      </c>
      <c r="B1243" s="5">
        <v>46004</v>
      </c>
      <c r="C1243" s="15">
        <f>WEEKNUM(Orders[[#This Row],[OrderDate]])</f>
        <v>50</v>
      </c>
      <c r="D1243" s="4" t="s">
        <v>156</v>
      </c>
      <c r="E1243" s="4" t="s">
        <v>81</v>
      </c>
      <c r="F1243" s="4">
        <v>8</v>
      </c>
      <c r="G1243" s="4">
        <v>5320.9000000000005</v>
      </c>
      <c r="H1243">
        <v>4522.7650000000003</v>
      </c>
      <c r="I1243">
        <f>Orders[[#This Row],[Quantity]]*Orders[[#This Row],[Selling Price]]</f>
        <v>42567.200000000004</v>
      </c>
      <c r="J1243">
        <f>Orders[[#This Row],[Quantity]]*Orders[[#This Row],[Cost Price]]</f>
        <v>36182.120000000003</v>
      </c>
      <c r="K1243">
        <f>Orders[[#This Row],[Revenue]]-Orders[[#This Row],[Expenses]]</f>
        <v>6385.0800000000017</v>
      </c>
      <c r="L1243" t="s">
        <v>2207</v>
      </c>
      <c r="M1243" t="str">
        <f>_xlfn.XLOOKUP(Orders[[#This Row],[CustomerID]],Customers[CustomerID],Customers[City])</f>
        <v>Florida</v>
      </c>
      <c r="N1243" t="str">
        <f>_xlfn.XLOOKUP(Orders[[#This Row],[CustomerID]],Customers[CustomerID],Customers[CustomerName])</f>
        <v>Obi Okonkwo</v>
      </c>
      <c r="O1243" t="str">
        <f>_xlfn.XLOOKUP(Orders[[#This Row],[CustomerID]],Customers[CustomerID],Customers[Gender])</f>
        <v>Male</v>
      </c>
      <c r="P1243">
        <f>_xlfn.XLOOKUP(Orders[[#This Row],[CustomerID]],Customers[CustomerID],Customers[CustomerAge])</f>
        <v>52</v>
      </c>
      <c r="Q1243" t="str">
        <f>IF(Orders[[#This Row],[Age]]&gt;=35,"older","young")</f>
        <v>older</v>
      </c>
      <c r="R1243" t="str">
        <f>_xlfn.XLOOKUP(Orders[[#This Row],[ProductID]],Products[ProductID],Products[ProductName])</f>
        <v>TROUSERS</v>
      </c>
      <c r="S1243" t="str">
        <f>_xlfn.XLOOKUP(Orders[[#This Row],[ProductID]],Products!A:A,Products!C:C)</f>
        <v>Clothing</v>
      </c>
    </row>
    <row r="1244" spans="1:19" x14ac:dyDescent="0.2">
      <c r="A1244" s="4" t="s">
        <v>1433</v>
      </c>
      <c r="B1244" s="5">
        <v>45945</v>
      </c>
      <c r="C1244" s="15">
        <f>WEEKNUM(Orders[[#This Row],[OrderDate]])</f>
        <v>42</v>
      </c>
      <c r="D1244" s="4" t="s">
        <v>186</v>
      </c>
      <c r="E1244" s="4" t="s">
        <v>70</v>
      </c>
      <c r="F1244" s="4">
        <v>8</v>
      </c>
      <c r="G1244" s="4">
        <v>14048.800000000001</v>
      </c>
      <c r="H1244">
        <v>11941.480000000001</v>
      </c>
      <c r="I1244">
        <f>Orders[[#This Row],[Quantity]]*Orders[[#This Row],[Selling Price]]</f>
        <v>112390.40000000001</v>
      </c>
      <c r="J1244">
        <f>Orders[[#This Row],[Quantity]]*Orders[[#This Row],[Cost Price]]</f>
        <v>95531.840000000011</v>
      </c>
      <c r="K1244">
        <f>Orders[[#This Row],[Revenue]]-Orders[[#This Row],[Expenses]]</f>
        <v>16858.559999999998</v>
      </c>
      <c r="L1244" t="s">
        <v>2207</v>
      </c>
      <c r="M1244" t="str">
        <f>_xlfn.XLOOKUP(Orders[[#This Row],[CustomerID]],Customers[CustomerID],Customers[City])</f>
        <v>Texas</v>
      </c>
      <c r="N1244" t="str">
        <f>_xlfn.XLOOKUP(Orders[[#This Row],[CustomerID]],Customers[CustomerID],Customers[CustomerName])</f>
        <v>Ronke Eze</v>
      </c>
      <c r="O1244" t="str">
        <f>_xlfn.XLOOKUP(Orders[[#This Row],[CustomerID]],Customers[CustomerID],Customers[Gender])</f>
        <v>Female</v>
      </c>
      <c r="P1244">
        <f>_xlfn.XLOOKUP(Orders[[#This Row],[CustomerID]],Customers[CustomerID],Customers[CustomerAge])</f>
        <v>37</v>
      </c>
      <c r="Q1244" t="str">
        <f>IF(Orders[[#This Row],[Age]]&gt;=35,"older","young")</f>
        <v>older</v>
      </c>
      <c r="R1244" t="str">
        <f>_xlfn.XLOOKUP(Orders[[#This Row],[ProductID]],Products[ProductID],Products[ProductName])</f>
        <v>YOGA MAT</v>
      </c>
      <c r="S1244" t="str">
        <f>_xlfn.XLOOKUP(Orders[[#This Row],[ProductID]],Products!A:A,Products!C:C)</f>
        <v>Gym</v>
      </c>
    </row>
    <row r="1245" spans="1:19" x14ac:dyDescent="0.2">
      <c r="A1245" s="4" t="s">
        <v>1434</v>
      </c>
      <c r="B1245" s="5">
        <v>45952</v>
      </c>
      <c r="C1245" s="15">
        <f>WEEKNUM(Orders[[#This Row],[OrderDate]])</f>
        <v>43</v>
      </c>
      <c r="D1245" s="4" t="s">
        <v>295</v>
      </c>
      <c r="E1245" s="4" t="s">
        <v>168</v>
      </c>
      <c r="F1245" s="4">
        <v>2</v>
      </c>
      <c r="G1245" s="4">
        <v>12063.4</v>
      </c>
      <c r="H1245">
        <v>10253.89</v>
      </c>
      <c r="I1245">
        <f>Orders[[#This Row],[Quantity]]*Orders[[#This Row],[Selling Price]]</f>
        <v>24126.799999999999</v>
      </c>
      <c r="J1245">
        <f>Orders[[#This Row],[Quantity]]*Orders[[#This Row],[Cost Price]]</f>
        <v>20507.78</v>
      </c>
      <c r="K1245">
        <f>Orders[[#This Row],[Revenue]]-Orders[[#This Row],[Expenses]]</f>
        <v>3619.0200000000004</v>
      </c>
      <c r="L1245" t="s">
        <v>2197</v>
      </c>
      <c r="M1245" t="str">
        <f>_xlfn.XLOOKUP(Orders[[#This Row],[CustomerID]],Customers[CustomerID],Customers[City])</f>
        <v>Texas</v>
      </c>
      <c r="N1245" t="str">
        <f>_xlfn.XLOOKUP(Orders[[#This Row],[CustomerID]],Customers[CustomerID],Customers[CustomerName])</f>
        <v>Sani Obi</v>
      </c>
      <c r="O1245" t="str">
        <f>_xlfn.XLOOKUP(Orders[[#This Row],[CustomerID]],Customers[CustomerID],Customers[Gender])</f>
        <v>Male</v>
      </c>
      <c r="P1245">
        <f>_xlfn.XLOOKUP(Orders[[#This Row],[CustomerID]],Customers[CustomerID],Customers[CustomerAge])</f>
        <v>31</v>
      </c>
      <c r="Q1245" t="str">
        <f>IF(Orders[[#This Row],[Age]]&gt;=35,"older","young")</f>
        <v>young</v>
      </c>
      <c r="R1245" t="str">
        <f>_xlfn.XLOOKUP(Orders[[#This Row],[ProductID]],Products[ProductID],Products[ProductName])</f>
        <v>DUMB BELLS</v>
      </c>
      <c r="S1245" t="str">
        <f>_xlfn.XLOOKUP(Orders[[#This Row],[ProductID]],Products!A:A,Products!C:C)</f>
        <v>Gym</v>
      </c>
    </row>
    <row r="1246" spans="1:19" x14ac:dyDescent="0.2">
      <c r="A1246" s="4" t="s">
        <v>1435</v>
      </c>
      <c r="B1246" s="5">
        <v>46009</v>
      </c>
      <c r="C1246" s="15">
        <f>WEEKNUM(Orders[[#This Row],[OrderDate]])</f>
        <v>51</v>
      </c>
      <c r="D1246" s="4" t="s">
        <v>198</v>
      </c>
      <c r="E1246" s="4" t="s">
        <v>253</v>
      </c>
      <c r="F1246" s="4">
        <v>7</v>
      </c>
      <c r="G1246" s="4">
        <v>9720.5999999999985</v>
      </c>
      <c r="H1246">
        <v>8262.5099999999984</v>
      </c>
      <c r="I1246">
        <f>Orders[[#This Row],[Quantity]]*Orders[[#This Row],[Selling Price]]</f>
        <v>68044.199999999983</v>
      </c>
      <c r="J1246">
        <f>Orders[[#This Row],[Quantity]]*Orders[[#This Row],[Cost Price]]</f>
        <v>57837.569999999992</v>
      </c>
      <c r="K1246">
        <f>Orders[[#This Row],[Revenue]]-Orders[[#This Row],[Expenses]]</f>
        <v>10206.62999999999</v>
      </c>
      <c r="L1246" t="s">
        <v>2201</v>
      </c>
      <c r="M1246" t="str">
        <f>_xlfn.XLOOKUP(Orders[[#This Row],[CustomerID]],Customers[CustomerID],Customers[City])</f>
        <v>Texas</v>
      </c>
      <c r="N1246" t="str">
        <f>_xlfn.XLOOKUP(Orders[[#This Row],[CustomerID]],Customers[CustomerID],Customers[CustomerName])</f>
        <v>Blessing Danladi</v>
      </c>
      <c r="O1246" t="str">
        <f>_xlfn.XLOOKUP(Orders[[#This Row],[CustomerID]],Customers[CustomerID],Customers[Gender])</f>
        <v>Female</v>
      </c>
      <c r="P1246">
        <f>_xlfn.XLOOKUP(Orders[[#This Row],[CustomerID]],Customers[CustomerID],Customers[CustomerAge])</f>
        <v>19</v>
      </c>
      <c r="Q1246" t="str">
        <f>IF(Orders[[#This Row],[Age]]&gt;=35,"older","young")</f>
        <v>young</v>
      </c>
      <c r="R1246" t="str">
        <f>_xlfn.XLOOKUP(Orders[[#This Row],[ProductID]],Products[ProductID],Products[ProductName])</f>
        <v>NOSE RINGS</v>
      </c>
      <c r="S1246" t="str">
        <f>_xlfn.XLOOKUP(Orders[[#This Row],[ProductID]],Products!A:A,Products!C:C)</f>
        <v>Accessories</v>
      </c>
    </row>
    <row r="1247" spans="1:19" x14ac:dyDescent="0.2">
      <c r="A1247" s="4" t="s">
        <v>1436</v>
      </c>
      <c r="B1247" s="5">
        <v>45933</v>
      </c>
      <c r="C1247" s="15">
        <f>WEEKNUM(Orders[[#This Row],[OrderDate]])</f>
        <v>40</v>
      </c>
      <c r="D1247" s="4" t="s">
        <v>514</v>
      </c>
      <c r="E1247" s="4" t="s">
        <v>25</v>
      </c>
      <c r="F1247" s="4">
        <v>5</v>
      </c>
      <c r="G1247" s="4">
        <v>8729</v>
      </c>
      <c r="H1247">
        <v>7419.65</v>
      </c>
      <c r="I1247">
        <f>Orders[[#This Row],[Quantity]]*Orders[[#This Row],[Selling Price]]</f>
        <v>43645</v>
      </c>
      <c r="J1247">
        <f>Orders[[#This Row],[Quantity]]*Orders[[#This Row],[Cost Price]]</f>
        <v>37098.25</v>
      </c>
      <c r="K1247">
        <f>Orders[[#This Row],[Revenue]]-Orders[[#This Row],[Expenses]]</f>
        <v>6546.75</v>
      </c>
      <c r="L1247" t="s">
        <v>2199</v>
      </c>
      <c r="M1247" t="str">
        <f>_xlfn.XLOOKUP(Orders[[#This Row],[CustomerID]],Customers[CustomerID],Customers[City])</f>
        <v>Florida</v>
      </c>
      <c r="N1247" t="str">
        <f>_xlfn.XLOOKUP(Orders[[#This Row],[CustomerID]],Customers[CustomerID],Customers[CustomerName])</f>
        <v>Ibrahim Okonkwo</v>
      </c>
      <c r="O1247" t="str">
        <f>_xlfn.XLOOKUP(Orders[[#This Row],[CustomerID]],Customers[CustomerID],Customers[Gender])</f>
        <v>Male</v>
      </c>
      <c r="P1247">
        <f>_xlfn.XLOOKUP(Orders[[#This Row],[CustomerID]],Customers[CustomerID],Customers[CustomerAge])</f>
        <v>28</v>
      </c>
      <c r="Q1247" t="str">
        <f>IF(Orders[[#This Row],[Age]]&gt;=35,"older","young")</f>
        <v>young</v>
      </c>
      <c r="R1247" t="str">
        <f>_xlfn.XLOOKUP(Orders[[#This Row],[ProductID]],Products[ProductID],Products[ProductName])</f>
        <v>GOLD RINGS</v>
      </c>
      <c r="S1247" t="str">
        <f>_xlfn.XLOOKUP(Orders[[#This Row],[ProductID]],Products!A:A,Products!C:C)</f>
        <v>Accessories</v>
      </c>
    </row>
    <row r="1248" spans="1:19" x14ac:dyDescent="0.2">
      <c r="A1248" s="4" t="s">
        <v>1437</v>
      </c>
      <c r="B1248" s="5">
        <v>45954</v>
      </c>
      <c r="C1248" s="15">
        <f>WEEKNUM(Orders[[#This Row],[OrderDate]])</f>
        <v>43</v>
      </c>
      <c r="D1248" s="4" t="s">
        <v>260</v>
      </c>
      <c r="E1248" s="4" t="s">
        <v>125</v>
      </c>
      <c r="F1248" s="4">
        <v>4</v>
      </c>
      <c r="G1248" s="4">
        <v>6057.9</v>
      </c>
      <c r="H1248">
        <v>5149.2150000000001</v>
      </c>
      <c r="I1248">
        <f>Orders[[#This Row],[Quantity]]*Orders[[#This Row],[Selling Price]]</f>
        <v>24231.599999999999</v>
      </c>
      <c r="J1248">
        <f>Orders[[#This Row],[Quantity]]*Orders[[#This Row],[Cost Price]]</f>
        <v>20596.86</v>
      </c>
      <c r="K1248">
        <f>Orders[[#This Row],[Revenue]]-Orders[[#This Row],[Expenses]]</f>
        <v>3634.739999999998</v>
      </c>
      <c r="L1248" t="s">
        <v>2218</v>
      </c>
      <c r="M1248" t="str">
        <f>_xlfn.XLOOKUP(Orders[[#This Row],[CustomerID]],Customers[CustomerID],Customers[City])</f>
        <v>Florida</v>
      </c>
      <c r="N1248" t="str">
        <f>_xlfn.XLOOKUP(Orders[[#This Row],[CustomerID]],Customers[CustomerID],Customers[CustomerName])</f>
        <v>Amina Obi</v>
      </c>
      <c r="O1248" t="str">
        <f>_xlfn.XLOOKUP(Orders[[#This Row],[CustomerID]],Customers[CustomerID],Customers[Gender])</f>
        <v>Female</v>
      </c>
      <c r="P1248">
        <f>_xlfn.XLOOKUP(Orders[[#This Row],[CustomerID]],Customers[CustomerID],Customers[CustomerAge])</f>
        <v>29</v>
      </c>
      <c r="Q1248" t="str">
        <f>IF(Orders[[#This Row],[Age]]&gt;=35,"older","young")</f>
        <v>young</v>
      </c>
      <c r="R1248" t="str">
        <f>_xlfn.XLOOKUP(Orders[[#This Row],[ProductID]],Products[ProductID],Products[ProductName])</f>
        <v>EARRINGS</v>
      </c>
      <c r="S1248" t="str">
        <f>_xlfn.XLOOKUP(Orders[[#This Row],[ProductID]],Products!A:A,Products!C:C)</f>
        <v>Accessories</v>
      </c>
    </row>
    <row r="1249" spans="1:19" x14ac:dyDescent="0.2">
      <c r="A1249" s="4" t="s">
        <v>1438</v>
      </c>
      <c r="B1249" s="5">
        <v>45960</v>
      </c>
      <c r="C1249" s="15">
        <f>WEEKNUM(Orders[[#This Row],[OrderDate]])</f>
        <v>44</v>
      </c>
      <c r="D1249" s="4" t="s">
        <v>22</v>
      </c>
      <c r="E1249" s="4" t="s">
        <v>15</v>
      </c>
      <c r="F1249" s="4">
        <v>1</v>
      </c>
      <c r="G1249" s="4">
        <v>4969.3</v>
      </c>
      <c r="H1249">
        <v>4223.9050000000007</v>
      </c>
      <c r="I1249">
        <f>Orders[[#This Row],[Quantity]]*Orders[[#This Row],[Selling Price]]</f>
        <v>4969.3</v>
      </c>
      <c r="J1249">
        <f>Orders[[#This Row],[Quantity]]*Orders[[#This Row],[Cost Price]]</f>
        <v>4223.9050000000007</v>
      </c>
      <c r="K1249">
        <f>Orders[[#This Row],[Revenue]]-Orders[[#This Row],[Expenses]]</f>
        <v>745.39499999999953</v>
      </c>
      <c r="L1249" t="s">
        <v>2194</v>
      </c>
      <c r="M1249" t="str">
        <f>_xlfn.XLOOKUP(Orders[[#This Row],[CustomerID]],Customers[CustomerID],Customers[City])</f>
        <v>Texas</v>
      </c>
      <c r="N1249" t="str">
        <f>_xlfn.XLOOKUP(Orders[[#This Row],[CustomerID]],Customers[CustomerID],Customers[CustomerName])</f>
        <v>Temi Bello</v>
      </c>
      <c r="O1249" t="str">
        <f>_xlfn.XLOOKUP(Orders[[#This Row],[CustomerID]],Customers[CustomerID],Customers[Gender])</f>
        <v>Female</v>
      </c>
      <c r="P1249">
        <f>_xlfn.XLOOKUP(Orders[[#This Row],[CustomerID]],Customers[CustomerID],Customers[CustomerAge])</f>
        <v>52</v>
      </c>
      <c r="Q1249" t="str">
        <f>IF(Orders[[#This Row],[Age]]&gt;=35,"older","young")</f>
        <v>older</v>
      </c>
      <c r="R1249" t="str">
        <f>_xlfn.XLOOKUP(Orders[[#This Row],[ProductID]],Products[ProductID],Products[ProductName])</f>
        <v>MONOPOLY</v>
      </c>
      <c r="S1249" t="str">
        <f>_xlfn.XLOOKUP(Orders[[#This Row],[ProductID]],Products!A:A,Products!C:C)</f>
        <v>Games</v>
      </c>
    </row>
    <row r="1250" spans="1:19" x14ac:dyDescent="0.2">
      <c r="A1250" s="4" t="s">
        <v>1439</v>
      </c>
      <c r="B1250" s="5">
        <v>45959</v>
      </c>
      <c r="C1250" s="15">
        <f>WEEKNUM(Orders[[#This Row],[OrderDate]])</f>
        <v>44</v>
      </c>
      <c r="D1250" s="4" t="s">
        <v>45</v>
      </c>
      <c r="E1250" s="4" t="s">
        <v>168</v>
      </c>
      <c r="F1250" s="4">
        <v>7</v>
      </c>
      <c r="G1250" s="4">
        <v>3052.5</v>
      </c>
      <c r="H1250">
        <v>2594.625</v>
      </c>
      <c r="I1250">
        <f>Orders[[#This Row],[Quantity]]*Orders[[#This Row],[Selling Price]]</f>
        <v>21367.5</v>
      </c>
      <c r="J1250">
        <f>Orders[[#This Row],[Quantity]]*Orders[[#This Row],[Cost Price]]</f>
        <v>18162.375</v>
      </c>
      <c r="K1250">
        <f>Orders[[#This Row],[Revenue]]-Orders[[#This Row],[Expenses]]</f>
        <v>3205.125</v>
      </c>
      <c r="L1250" t="s">
        <v>2194</v>
      </c>
      <c r="M1250" t="str">
        <f>_xlfn.XLOOKUP(Orders[[#This Row],[CustomerID]],Customers[CustomerID],Customers[City])</f>
        <v>Florida</v>
      </c>
      <c r="N1250" t="str">
        <f>_xlfn.XLOOKUP(Orders[[#This Row],[CustomerID]],Customers[CustomerID],Customers[CustomerName])</f>
        <v>Abiola Abubakar</v>
      </c>
      <c r="O1250" t="str">
        <f>_xlfn.XLOOKUP(Orders[[#This Row],[CustomerID]],Customers[CustomerID],Customers[Gender])</f>
        <v>Male</v>
      </c>
      <c r="P1250">
        <f>_xlfn.XLOOKUP(Orders[[#This Row],[CustomerID]],Customers[CustomerID],Customers[CustomerAge])</f>
        <v>26</v>
      </c>
      <c r="Q1250" t="str">
        <f>IF(Orders[[#This Row],[Age]]&gt;=35,"older","young")</f>
        <v>young</v>
      </c>
      <c r="R1250" t="str">
        <f>_xlfn.XLOOKUP(Orders[[#This Row],[ProductID]],Products[ProductID],Products[ProductName])</f>
        <v>DUMB BELLS</v>
      </c>
      <c r="S1250" t="str">
        <f>_xlfn.XLOOKUP(Orders[[#This Row],[ProductID]],Products!A:A,Products!C:C)</f>
        <v>Gym</v>
      </c>
    </row>
    <row r="1251" spans="1:19" x14ac:dyDescent="0.2">
      <c r="A1251" s="4" t="s">
        <v>1440</v>
      </c>
      <c r="B1251" s="5">
        <v>45949</v>
      </c>
      <c r="C1251" s="15">
        <f>WEEKNUM(Orders[[#This Row],[OrderDate]])</f>
        <v>43</v>
      </c>
      <c r="D1251" s="4" t="s">
        <v>39</v>
      </c>
      <c r="E1251" s="4" t="s">
        <v>111</v>
      </c>
      <c r="F1251" s="4">
        <v>9</v>
      </c>
      <c r="G1251" s="4">
        <v>12504.8</v>
      </c>
      <c r="H1251">
        <v>10629.08</v>
      </c>
      <c r="I1251">
        <f>Orders[[#This Row],[Quantity]]*Orders[[#This Row],[Selling Price]]</f>
        <v>112543.2</v>
      </c>
      <c r="J1251">
        <f>Orders[[#This Row],[Quantity]]*Orders[[#This Row],[Cost Price]]</f>
        <v>95661.72</v>
      </c>
      <c r="K1251">
        <f>Orders[[#This Row],[Revenue]]-Orders[[#This Row],[Expenses]]</f>
        <v>16881.479999999996</v>
      </c>
      <c r="L1251" t="s">
        <v>2197</v>
      </c>
      <c r="M1251" t="str">
        <f>_xlfn.XLOOKUP(Orders[[#This Row],[CustomerID]],Customers[CustomerID],Customers[City])</f>
        <v>Florida</v>
      </c>
      <c r="N1251" t="str">
        <f>_xlfn.XLOOKUP(Orders[[#This Row],[CustomerID]],Customers[CustomerID],Customers[CustomerName])</f>
        <v>Efe Adeyemi</v>
      </c>
      <c r="O1251" t="str">
        <f>_xlfn.XLOOKUP(Orders[[#This Row],[CustomerID]],Customers[CustomerID],Customers[Gender])</f>
        <v>Female</v>
      </c>
      <c r="P1251">
        <f>_xlfn.XLOOKUP(Orders[[#This Row],[CustomerID]],Customers[CustomerID],Customers[CustomerAge])</f>
        <v>20</v>
      </c>
      <c r="Q1251" t="str">
        <f>IF(Orders[[#This Row],[Age]]&gt;=35,"older","young")</f>
        <v>young</v>
      </c>
      <c r="R1251" t="str">
        <f>_xlfn.XLOOKUP(Orders[[#This Row],[ProductID]],Products[ProductID],Products[ProductName])</f>
        <v>REFRIGERATOR</v>
      </c>
      <c r="S1251" t="str">
        <f>_xlfn.XLOOKUP(Orders[[#This Row],[ProductID]],Products!A:A,Products!C:C)</f>
        <v>Electronics</v>
      </c>
    </row>
    <row r="1252" spans="1:19" x14ac:dyDescent="0.2">
      <c r="A1252" s="4" t="s">
        <v>1441</v>
      </c>
      <c r="B1252" s="5">
        <v>45976</v>
      </c>
      <c r="C1252" s="15">
        <f>WEEKNUM(Orders[[#This Row],[OrderDate]])</f>
        <v>46</v>
      </c>
      <c r="D1252" s="4" t="s">
        <v>369</v>
      </c>
      <c r="E1252" s="4" t="s">
        <v>81</v>
      </c>
      <c r="F1252" s="4">
        <v>7</v>
      </c>
      <c r="G1252" s="4">
        <v>2998.8999999999996</v>
      </c>
      <c r="H1252">
        <v>2549.0649999999996</v>
      </c>
      <c r="I1252">
        <f>Orders[[#This Row],[Quantity]]*Orders[[#This Row],[Selling Price]]</f>
        <v>20992.299999999996</v>
      </c>
      <c r="J1252">
        <f>Orders[[#This Row],[Quantity]]*Orders[[#This Row],[Cost Price]]</f>
        <v>17843.454999999998</v>
      </c>
      <c r="K1252">
        <f>Orders[[#This Row],[Revenue]]-Orders[[#This Row],[Expenses]]</f>
        <v>3148.8449999999975</v>
      </c>
      <c r="L1252" t="s">
        <v>2217</v>
      </c>
      <c r="M1252" t="str">
        <f>_xlfn.XLOOKUP(Orders[[#This Row],[CustomerID]],Customers[CustomerID],Customers[City])</f>
        <v>Washington</v>
      </c>
      <c r="N1252" t="str">
        <f>_xlfn.XLOOKUP(Orders[[#This Row],[CustomerID]],Customers[CustomerID],Customers[CustomerName])</f>
        <v>Ibrahim Bello</v>
      </c>
      <c r="O1252" t="str">
        <f>_xlfn.XLOOKUP(Orders[[#This Row],[CustomerID]],Customers[CustomerID],Customers[Gender])</f>
        <v>Male</v>
      </c>
      <c r="P1252">
        <f>_xlfn.XLOOKUP(Orders[[#This Row],[CustomerID]],Customers[CustomerID],Customers[CustomerAge])</f>
        <v>40</v>
      </c>
      <c r="Q1252" t="str">
        <f>IF(Orders[[#This Row],[Age]]&gt;=35,"older","young")</f>
        <v>older</v>
      </c>
      <c r="R1252" t="str">
        <f>_xlfn.XLOOKUP(Orders[[#This Row],[ProductID]],Products[ProductID],Products[ProductName])</f>
        <v>TROUSERS</v>
      </c>
      <c r="S1252" t="str">
        <f>_xlfn.XLOOKUP(Orders[[#This Row],[ProductID]],Products!A:A,Products!C:C)</f>
        <v>Clothing</v>
      </c>
    </row>
    <row r="1253" spans="1:19" x14ac:dyDescent="0.2">
      <c r="A1253" s="4" t="s">
        <v>1442</v>
      </c>
      <c r="B1253" s="5">
        <v>46021</v>
      </c>
      <c r="C1253" s="15">
        <f>WEEKNUM(Orders[[#This Row],[OrderDate]])</f>
        <v>53</v>
      </c>
      <c r="D1253" s="4" t="s">
        <v>426</v>
      </c>
      <c r="E1253" s="4" t="s">
        <v>60</v>
      </c>
      <c r="F1253" s="4">
        <v>9</v>
      </c>
      <c r="G1253" s="4">
        <v>4076.5</v>
      </c>
      <c r="H1253">
        <v>3465.0250000000001</v>
      </c>
      <c r="I1253">
        <f>Orders[[#This Row],[Quantity]]*Orders[[#This Row],[Selling Price]]</f>
        <v>36688.5</v>
      </c>
      <c r="J1253">
        <f>Orders[[#This Row],[Quantity]]*Orders[[#This Row],[Cost Price]]</f>
        <v>31185.225000000002</v>
      </c>
      <c r="K1253">
        <f>Orders[[#This Row],[Revenue]]-Orders[[#This Row],[Expenses]]</f>
        <v>5503.2749999999978</v>
      </c>
      <c r="L1253" t="s">
        <v>2203</v>
      </c>
      <c r="M1253" t="str">
        <f>_xlfn.XLOOKUP(Orders[[#This Row],[CustomerID]],Customers[CustomerID],Customers[City])</f>
        <v>Washington</v>
      </c>
      <c r="N1253" t="str">
        <f>_xlfn.XLOOKUP(Orders[[#This Row],[CustomerID]],Customers[CustomerID],Customers[CustomerName])</f>
        <v>Chinedu Ojo</v>
      </c>
      <c r="O1253" t="str">
        <f>_xlfn.XLOOKUP(Orders[[#This Row],[CustomerID]],Customers[CustomerID],Customers[Gender])</f>
        <v>Male</v>
      </c>
      <c r="P1253">
        <f>_xlfn.XLOOKUP(Orders[[#This Row],[CustomerID]],Customers[CustomerID],Customers[CustomerAge])</f>
        <v>18</v>
      </c>
      <c r="Q1253" t="str">
        <f>IF(Orders[[#This Row],[Age]]&gt;=35,"older","young")</f>
        <v>young</v>
      </c>
      <c r="R1253" t="str">
        <f>_xlfn.XLOOKUP(Orders[[#This Row],[ProductID]],Products[ProductID],Products[ProductName])</f>
        <v>SILVER RINGS</v>
      </c>
      <c r="S1253" t="str">
        <f>_xlfn.XLOOKUP(Orders[[#This Row],[ProductID]],Products!A:A,Products!C:C)</f>
        <v>Accessories</v>
      </c>
    </row>
    <row r="1254" spans="1:19" x14ac:dyDescent="0.2">
      <c r="A1254" s="4" t="s">
        <v>1443</v>
      </c>
      <c r="B1254" s="5">
        <v>46006</v>
      </c>
      <c r="C1254" s="15">
        <f>WEEKNUM(Orders[[#This Row],[OrderDate]])</f>
        <v>51</v>
      </c>
      <c r="D1254" s="4" t="s">
        <v>260</v>
      </c>
      <c r="E1254" s="4" t="s">
        <v>232</v>
      </c>
      <c r="F1254" s="4">
        <v>8</v>
      </c>
      <c r="G1254" s="4">
        <v>14550</v>
      </c>
      <c r="H1254">
        <v>12367.5</v>
      </c>
      <c r="I1254">
        <f>Orders[[#This Row],[Quantity]]*Orders[[#This Row],[Selling Price]]</f>
        <v>116400</v>
      </c>
      <c r="J1254">
        <f>Orders[[#This Row],[Quantity]]*Orders[[#This Row],[Cost Price]]</f>
        <v>98940</v>
      </c>
      <c r="K1254">
        <f>Orders[[#This Row],[Revenue]]-Orders[[#This Row],[Expenses]]</f>
        <v>17460</v>
      </c>
      <c r="L1254" t="s">
        <v>2205</v>
      </c>
      <c r="M1254" t="str">
        <f>_xlfn.XLOOKUP(Orders[[#This Row],[CustomerID]],Customers[CustomerID],Customers[City])</f>
        <v>Florida</v>
      </c>
      <c r="N1254" t="str">
        <f>_xlfn.XLOOKUP(Orders[[#This Row],[CustomerID]],Customers[CustomerID],Customers[CustomerName])</f>
        <v>Amina Obi</v>
      </c>
      <c r="O1254" t="str">
        <f>_xlfn.XLOOKUP(Orders[[#This Row],[CustomerID]],Customers[CustomerID],Customers[Gender])</f>
        <v>Female</v>
      </c>
      <c r="P1254">
        <f>_xlfn.XLOOKUP(Orders[[#This Row],[CustomerID]],Customers[CustomerID],Customers[CustomerAge])</f>
        <v>29</v>
      </c>
      <c r="Q1254" t="str">
        <f>IF(Orders[[#This Row],[Age]]&gt;=35,"older","young")</f>
        <v>young</v>
      </c>
      <c r="R1254" t="str">
        <f>_xlfn.XLOOKUP(Orders[[#This Row],[ProductID]],Products[ProductID],Products[ProductName])</f>
        <v>ANKARA</v>
      </c>
      <c r="S1254" t="str">
        <f>_xlfn.XLOOKUP(Orders[[#This Row],[ProductID]],Products!A:A,Products!C:C)</f>
        <v>Clothing</v>
      </c>
    </row>
    <row r="1255" spans="1:19" x14ac:dyDescent="0.2">
      <c r="A1255" s="4" t="s">
        <v>1444</v>
      </c>
      <c r="B1255" s="5">
        <v>45995</v>
      </c>
      <c r="C1255" s="15">
        <f>WEEKNUM(Orders[[#This Row],[OrderDate]])</f>
        <v>49</v>
      </c>
      <c r="D1255" s="4" t="s">
        <v>105</v>
      </c>
      <c r="E1255" s="4" t="s">
        <v>208</v>
      </c>
      <c r="F1255" s="4">
        <v>8</v>
      </c>
      <c r="G1255" s="4">
        <v>3006</v>
      </c>
      <c r="H1255">
        <v>2555.1</v>
      </c>
      <c r="I1255">
        <f>Orders[[#This Row],[Quantity]]*Orders[[#This Row],[Selling Price]]</f>
        <v>24048</v>
      </c>
      <c r="J1255">
        <f>Orders[[#This Row],[Quantity]]*Orders[[#This Row],[Cost Price]]</f>
        <v>20440.8</v>
      </c>
      <c r="K1255">
        <f>Orders[[#This Row],[Revenue]]-Orders[[#This Row],[Expenses]]</f>
        <v>3607.2000000000007</v>
      </c>
      <c r="L1255" t="s">
        <v>2211</v>
      </c>
      <c r="M1255" t="str">
        <f>_xlfn.XLOOKUP(Orders[[#This Row],[CustomerID]],Customers[CustomerID],Customers[City])</f>
        <v>Georgia</v>
      </c>
      <c r="N1255" t="str">
        <f>_xlfn.XLOOKUP(Orders[[#This Row],[CustomerID]],Customers[CustomerID],Customers[CustomerName])</f>
        <v>Folasade Adeyemi</v>
      </c>
      <c r="O1255" t="str">
        <f>_xlfn.XLOOKUP(Orders[[#This Row],[CustomerID]],Customers[CustomerID],Customers[Gender])</f>
        <v>Female</v>
      </c>
      <c r="P1255">
        <f>_xlfn.XLOOKUP(Orders[[#This Row],[CustomerID]],Customers[CustomerID],Customers[CustomerAge])</f>
        <v>42</v>
      </c>
      <c r="Q1255" t="str">
        <f>IF(Orders[[#This Row],[Age]]&gt;=35,"older","young")</f>
        <v>older</v>
      </c>
      <c r="R1255" t="str">
        <f>_xlfn.XLOOKUP(Orders[[#This Row],[ProductID]],Products[ProductID],Products[ProductName])</f>
        <v>SKIPPING ROPE</v>
      </c>
      <c r="S1255" t="str">
        <f>_xlfn.XLOOKUP(Orders[[#This Row],[ProductID]],Products!A:A,Products!C:C)</f>
        <v>Sports</v>
      </c>
    </row>
    <row r="1256" spans="1:19" x14ac:dyDescent="0.2">
      <c r="A1256" s="4" t="s">
        <v>1445</v>
      </c>
      <c r="B1256" s="5">
        <v>45985</v>
      </c>
      <c r="C1256" s="15">
        <f>WEEKNUM(Orders[[#This Row],[OrderDate]])</f>
        <v>48</v>
      </c>
      <c r="D1256" s="4" t="s">
        <v>19</v>
      </c>
      <c r="E1256" s="4" t="s">
        <v>111</v>
      </c>
      <c r="F1256" s="4">
        <v>1</v>
      </c>
      <c r="G1256" s="4">
        <v>16237</v>
      </c>
      <c r="H1256">
        <v>13801.45</v>
      </c>
      <c r="I1256">
        <f>Orders[[#This Row],[Quantity]]*Orders[[#This Row],[Selling Price]]</f>
        <v>16237</v>
      </c>
      <c r="J1256">
        <f>Orders[[#This Row],[Quantity]]*Orders[[#This Row],[Cost Price]]</f>
        <v>13801.45</v>
      </c>
      <c r="K1256">
        <f>Orders[[#This Row],[Revenue]]-Orders[[#This Row],[Expenses]]</f>
        <v>2435.5499999999993</v>
      </c>
      <c r="L1256" t="s">
        <v>2201</v>
      </c>
      <c r="M1256" t="str">
        <f>_xlfn.XLOOKUP(Orders[[#This Row],[CustomerID]],Customers[CustomerID],Customers[City])</f>
        <v>California</v>
      </c>
      <c r="N1256" t="str">
        <f>_xlfn.XLOOKUP(Orders[[#This Row],[CustomerID]],Customers[CustomerID],Customers[CustomerName])</f>
        <v>Obi Adeyemi</v>
      </c>
      <c r="O1256" t="str">
        <f>_xlfn.XLOOKUP(Orders[[#This Row],[CustomerID]],Customers[CustomerID],Customers[Gender])</f>
        <v>Male</v>
      </c>
      <c r="P1256">
        <f>_xlfn.XLOOKUP(Orders[[#This Row],[CustomerID]],Customers[CustomerID],Customers[CustomerAge])</f>
        <v>24</v>
      </c>
      <c r="Q1256" t="str">
        <f>IF(Orders[[#This Row],[Age]]&gt;=35,"older","young")</f>
        <v>young</v>
      </c>
      <c r="R1256" t="str">
        <f>_xlfn.XLOOKUP(Orders[[#This Row],[ProductID]],Products[ProductID],Products[ProductName])</f>
        <v>REFRIGERATOR</v>
      </c>
      <c r="S1256" t="str">
        <f>_xlfn.XLOOKUP(Orders[[#This Row],[ProductID]],Products!A:A,Products!C:C)</f>
        <v>Electronics</v>
      </c>
    </row>
    <row r="1257" spans="1:19" x14ac:dyDescent="0.2">
      <c r="A1257" s="4" t="s">
        <v>1446</v>
      </c>
      <c r="B1257" s="5">
        <v>45973</v>
      </c>
      <c r="C1257" s="15">
        <f>WEEKNUM(Orders[[#This Row],[OrderDate]])</f>
        <v>46</v>
      </c>
      <c r="D1257" s="4" t="s">
        <v>275</v>
      </c>
      <c r="E1257" s="4" t="s">
        <v>120</v>
      </c>
      <c r="F1257" s="4">
        <v>1</v>
      </c>
      <c r="G1257" s="4">
        <v>16327.1</v>
      </c>
      <c r="H1257">
        <v>13878.035</v>
      </c>
      <c r="I1257">
        <f>Orders[[#This Row],[Quantity]]*Orders[[#This Row],[Selling Price]]</f>
        <v>16327.1</v>
      </c>
      <c r="J1257">
        <f>Orders[[#This Row],[Quantity]]*Orders[[#This Row],[Cost Price]]</f>
        <v>13878.035</v>
      </c>
      <c r="K1257">
        <f>Orders[[#This Row],[Revenue]]-Orders[[#This Row],[Expenses]]</f>
        <v>2449.0650000000005</v>
      </c>
      <c r="L1257" t="s">
        <v>2217</v>
      </c>
      <c r="M1257" t="str">
        <f>_xlfn.XLOOKUP(Orders[[#This Row],[CustomerID]],Customers[CustomerID],Customers[City])</f>
        <v>Texas</v>
      </c>
      <c r="N1257" t="str">
        <f>_xlfn.XLOOKUP(Orders[[#This Row],[CustomerID]],Customers[CustomerID],Customers[CustomerName])</f>
        <v>Ngozi Danladi</v>
      </c>
      <c r="O1257" t="str">
        <f>_xlfn.XLOOKUP(Orders[[#This Row],[CustomerID]],Customers[CustomerID],Customers[Gender])</f>
        <v>Female</v>
      </c>
      <c r="P1257">
        <f>_xlfn.XLOOKUP(Orders[[#This Row],[CustomerID]],Customers[CustomerID],Customers[CustomerAge])</f>
        <v>25</v>
      </c>
      <c r="Q1257" t="str">
        <f>IF(Orders[[#This Row],[Age]]&gt;=35,"older","young")</f>
        <v>young</v>
      </c>
      <c r="R1257" t="str">
        <f>_xlfn.XLOOKUP(Orders[[#This Row],[ProductID]],Products[ProductID],Products[ProductName])</f>
        <v>CHESS</v>
      </c>
      <c r="S1257" t="str">
        <f>_xlfn.XLOOKUP(Orders[[#This Row],[ProductID]],Products!A:A,Products!C:C)</f>
        <v>Games</v>
      </c>
    </row>
    <row r="1258" spans="1:19" x14ac:dyDescent="0.2">
      <c r="A1258" s="4" t="s">
        <v>1447</v>
      </c>
      <c r="B1258" s="5">
        <v>45939</v>
      </c>
      <c r="C1258" s="15">
        <f>WEEKNUM(Orders[[#This Row],[OrderDate]])</f>
        <v>41</v>
      </c>
      <c r="D1258" s="4" t="s">
        <v>207</v>
      </c>
      <c r="E1258" s="4" t="s">
        <v>28</v>
      </c>
      <c r="F1258" s="4">
        <v>1</v>
      </c>
      <c r="G1258" s="4">
        <v>6805.7000000000007</v>
      </c>
      <c r="H1258">
        <v>5784.8450000000012</v>
      </c>
      <c r="I1258">
        <f>Orders[[#This Row],[Quantity]]*Orders[[#This Row],[Selling Price]]</f>
        <v>6805.7000000000007</v>
      </c>
      <c r="J1258">
        <f>Orders[[#This Row],[Quantity]]*Orders[[#This Row],[Cost Price]]</f>
        <v>5784.8450000000012</v>
      </c>
      <c r="K1258">
        <f>Orders[[#This Row],[Revenue]]-Orders[[#This Row],[Expenses]]</f>
        <v>1020.8549999999996</v>
      </c>
      <c r="L1258" t="s">
        <v>2196</v>
      </c>
      <c r="M1258" t="str">
        <f>_xlfn.XLOOKUP(Orders[[#This Row],[CustomerID]],Customers[CustomerID],Customers[City])</f>
        <v>Florida</v>
      </c>
      <c r="N1258" t="str">
        <f>_xlfn.XLOOKUP(Orders[[#This Row],[CustomerID]],Customers[CustomerID],Customers[CustomerName])</f>
        <v>Bisi Eze</v>
      </c>
      <c r="O1258" t="str">
        <f>_xlfn.XLOOKUP(Orders[[#This Row],[CustomerID]],Customers[CustomerID],Customers[Gender])</f>
        <v>Female</v>
      </c>
      <c r="P1258">
        <f>_xlfn.XLOOKUP(Orders[[#This Row],[CustomerID]],Customers[CustomerID],Customers[CustomerAge])</f>
        <v>37</v>
      </c>
      <c r="Q1258" t="str">
        <f>IF(Orders[[#This Row],[Age]]&gt;=35,"older","young")</f>
        <v>older</v>
      </c>
      <c r="R1258" t="str">
        <f>_xlfn.XLOOKUP(Orders[[#This Row],[ProductID]],Products[ProductID],Products[ProductName])</f>
        <v>SNEAKERS</v>
      </c>
      <c r="S1258" t="str">
        <f>_xlfn.XLOOKUP(Orders[[#This Row],[ProductID]],Products!A:A,Products!C:C)</f>
        <v>Sports</v>
      </c>
    </row>
    <row r="1259" spans="1:19" x14ac:dyDescent="0.2">
      <c r="A1259" s="4" t="s">
        <v>1448</v>
      </c>
      <c r="B1259" s="5">
        <v>45980</v>
      </c>
      <c r="C1259" s="15">
        <f>WEEKNUM(Orders[[#This Row],[OrderDate]])</f>
        <v>47</v>
      </c>
      <c r="D1259" s="4" t="s">
        <v>514</v>
      </c>
      <c r="E1259" s="4" t="s">
        <v>37</v>
      </c>
      <c r="F1259" s="4">
        <v>5</v>
      </c>
      <c r="G1259" s="4">
        <v>9592.2999999999993</v>
      </c>
      <c r="H1259">
        <v>8153.4549999999999</v>
      </c>
      <c r="I1259">
        <f>Orders[[#This Row],[Quantity]]*Orders[[#This Row],[Selling Price]]</f>
        <v>47961.5</v>
      </c>
      <c r="J1259">
        <f>Orders[[#This Row],[Quantity]]*Orders[[#This Row],[Cost Price]]</f>
        <v>40767.275000000001</v>
      </c>
      <c r="K1259">
        <f>Orders[[#This Row],[Revenue]]-Orders[[#This Row],[Expenses]]</f>
        <v>7194.2249999999985</v>
      </c>
      <c r="L1259" t="s">
        <v>2200</v>
      </c>
      <c r="M1259" t="str">
        <f>_xlfn.XLOOKUP(Orders[[#This Row],[CustomerID]],Customers[CustomerID],Customers[City])</f>
        <v>Florida</v>
      </c>
      <c r="N1259" t="str">
        <f>_xlfn.XLOOKUP(Orders[[#This Row],[CustomerID]],Customers[CustomerID],Customers[CustomerName])</f>
        <v>Ibrahim Okonkwo</v>
      </c>
      <c r="O1259" t="str">
        <f>_xlfn.XLOOKUP(Orders[[#This Row],[CustomerID]],Customers[CustomerID],Customers[Gender])</f>
        <v>Male</v>
      </c>
      <c r="P1259">
        <f>_xlfn.XLOOKUP(Orders[[#This Row],[CustomerID]],Customers[CustomerID],Customers[CustomerAge])</f>
        <v>28</v>
      </c>
      <c r="Q1259" t="str">
        <f>IF(Orders[[#This Row],[Age]]&gt;=35,"older","young")</f>
        <v>young</v>
      </c>
      <c r="R1259" t="str">
        <f>_xlfn.XLOOKUP(Orders[[#This Row],[ProductID]],Products[ProductID],Products[ProductName])</f>
        <v>IRON</v>
      </c>
      <c r="S1259" t="str">
        <f>_xlfn.XLOOKUP(Orders[[#This Row],[ProductID]],Products!A:A,Products!C:C)</f>
        <v>Electronics</v>
      </c>
    </row>
    <row r="1260" spans="1:19" x14ac:dyDescent="0.2">
      <c r="A1260" s="4" t="s">
        <v>1449</v>
      </c>
      <c r="B1260" s="5">
        <v>46003</v>
      </c>
      <c r="C1260" s="15">
        <f>WEEKNUM(Orders[[#This Row],[OrderDate]])</f>
        <v>50</v>
      </c>
      <c r="D1260" s="4" t="s">
        <v>156</v>
      </c>
      <c r="E1260" s="4" t="s">
        <v>66</v>
      </c>
      <c r="F1260" s="4">
        <v>1</v>
      </c>
      <c r="G1260" s="4">
        <v>7859</v>
      </c>
      <c r="H1260">
        <v>6680.15</v>
      </c>
      <c r="I1260">
        <f>Orders[[#This Row],[Quantity]]*Orders[[#This Row],[Selling Price]]</f>
        <v>7859</v>
      </c>
      <c r="J1260">
        <f>Orders[[#This Row],[Quantity]]*Orders[[#This Row],[Cost Price]]</f>
        <v>6680.15</v>
      </c>
      <c r="K1260">
        <f>Orders[[#This Row],[Revenue]]-Orders[[#This Row],[Expenses]]</f>
        <v>1178.8500000000004</v>
      </c>
      <c r="L1260" t="s">
        <v>2212</v>
      </c>
      <c r="M1260" t="str">
        <f>_xlfn.XLOOKUP(Orders[[#This Row],[CustomerID]],Customers[CustomerID],Customers[City])</f>
        <v>Florida</v>
      </c>
      <c r="N1260" t="str">
        <f>_xlfn.XLOOKUP(Orders[[#This Row],[CustomerID]],Customers[CustomerID],Customers[CustomerName])</f>
        <v>Obi Okonkwo</v>
      </c>
      <c r="O1260" t="str">
        <f>_xlfn.XLOOKUP(Orders[[#This Row],[CustomerID]],Customers[CustomerID],Customers[Gender])</f>
        <v>Male</v>
      </c>
      <c r="P1260">
        <f>_xlfn.XLOOKUP(Orders[[#This Row],[CustomerID]],Customers[CustomerID],Customers[CustomerAge])</f>
        <v>52</v>
      </c>
      <c r="Q1260" t="str">
        <f>IF(Orders[[#This Row],[Age]]&gt;=35,"older","young")</f>
        <v>older</v>
      </c>
      <c r="R1260" t="str">
        <f>_xlfn.XLOOKUP(Orders[[#This Row],[ProductID]],Products[ProductID],Products[ProductName])</f>
        <v>MICROWAVE</v>
      </c>
      <c r="S1260" t="str">
        <f>_xlfn.XLOOKUP(Orders[[#This Row],[ProductID]],Products!A:A,Products!C:C)</f>
        <v>Electronics</v>
      </c>
    </row>
    <row r="1261" spans="1:19" x14ac:dyDescent="0.2">
      <c r="A1261" s="4" t="s">
        <v>1450</v>
      </c>
      <c r="B1261" s="5">
        <v>45978</v>
      </c>
      <c r="C1261" s="15">
        <f>WEEKNUM(Orders[[#This Row],[OrderDate]])</f>
        <v>47</v>
      </c>
      <c r="D1261" s="4" t="s">
        <v>161</v>
      </c>
      <c r="E1261" s="4" t="s">
        <v>63</v>
      </c>
      <c r="F1261" s="4">
        <v>5</v>
      </c>
      <c r="G1261" s="4">
        <v>12344.5</v>
      </c>
      <c r="H1261">
        <v>10492.825000000001</v>
      </c>
      <c r="I1261">
        <f>Orders[[#This Row],[Quantity]]*Orders[[#This Row],[Selling Price]]</f>
        <v>61722.5</v>
      </c>
      <c r="J1261">
        <f>Orders[[#This Row],[Quantity]]*Orders[[#This Row],[Cost Price]]</f>
        <v>52464.125</v>
      </c>
      <c r="K1261">
        <f>Orders[[#This Row],[Revenue]]-Orders[[#This Row],[Expenses]]</f>
        <v>9258.375</v>
      </c>
      <c r="L1261" t="s">
        <v>2198</v>
      </c>
      <c r="M1261" t="str">
        <f>_xlfn.XLOOKUP(Orders[[#This Row],[CustomerID]],Customers[CustomerID],Customers[City])</f>
        <v>Georgia</v>
      </c>
      <c r="N1261" t="str">
        <f>_xlfn.XLOOKUP(Orders[[#This Row],[CustomerID]],Customers[CustomerID],Customers[CustomerName])</f>
        <v>Okon Adeyemi</v>
      </c>
      <c r="O1261" t="str">
        <f>_xlfn.XLOOKUP(Orders[[#This Row],[CustomerID]],Customers[CustomerID],Customers[Gender])</f>
        <v>Male</v>
      </c>
      <c r="P1261">
        <f>_xlfn.XLOOKUP(Orders[[#This Row],[CustomerID]],Customers[CustomerID],Customers[CustomerAge])</f>
        <v>31</v>
      </c>
      <c r="Q1261" t="str">
        <f>IF(Orders[[#This Row],[Age]]&gt;=35,"older","young")</f>
        <v>young</v>
      </c>
      <c r="R1261" t="str">
        <f>_xlfn.XLOOKUP(Orders[[#This Row],[ProductID]],Products[ProductID],Products[ProductName])</f>
        <v>TENNIS BAT</v>
      </c>
      <c r="S1261" t="str">
        <f>_xlfn.XLOOKUP(Orders[[#This Row],[ProductID]],Products!A:A,Products!C:C)</f>
        <v>Sports</v>
      </c>
    </row>
    <row r="1262" spans="1:19" x14ac:dyDescent="0.2">
      <c r="A1262" s="4" t="s">
        <v>1451</v>
      </c>
      <c r="B1262" s="5">
        <v>45983</v>
      </c>
      <c r="C1262" s="15">
        <f>WEEKNUM(Orders[[#This Row],[OrderDate]])</f>
        <v>47</v>
      </c>
      <c r="D1262" s="4" t="s">
        <v>45</v>
      </c>
      <c r="E1262" s="4" t="s">
        <v>81</v>
      </c>
      <c r="F1262" s="4">
        <v>1</v>
      </c>
      <c r="G1262" s="4">
        <v>19198</v>
      </c>
      <c r="H1262">
        <v>16318.3</v>
      </c>
      <c r="I1262">
        <f>Orders[[#This Row],[Quantity]]*Orders[[#This Row],[Selling Price]]</f>
        <v>19198</v>
      </c>
      <c r="J1262">
        <f>Orders[[#This Row],[Quantity]]*Orders[[#This Row],[Cost Price]]</f>
        <v>16318.3</v>
      </c>
      <c r="K1262">
        <f>Orders[[#This Row],[Revenue]]-Orders[[#This Row],[Expenses]]</f>
        <v>2879.7000000000007</v>
      </c>
      <c r="L1262" t="s">
        <v>2201</v>
      </c>
      <c r="M1262" t="str">
        <f>_xlfn.XLOOKUP(Orders[[#This Row],[CustomerID]],Customers[CustomerID],Customers[City])</f>
        <v>Florida</v>
      </c>
      <c r="N1262" t="str">
        <f>_xlfn.XLOOKUP(Orders[[#This Row],[CustomerID]],Customers[CustomerID],Customers[CustomerName])</f>
        <v>Abiola Abubakar</v>
      </c>
      <c r="O1262" t="str">
        <f>_xlfn.XLOOKUP(Orders[[#This Row],[CustomerID]],Customers[CustomerID],Customers[Gender])</f>
        <v>Male</v>
      </c>
      <c r="P1262">
        <f>_xlfn.XLOOKUP(Orders[[#This Row],[CustomerID]],Customers[CustomerID],Customers[CustomerAge])</f>
        <v>26</v>
      </c>
      <c r="Q1262" t="str">
        <f>IF(Orders[[#This Row],[Age]]&gt;=35,"older","young")</f>
        <v>young</v>
      </c>
      <c r="R1262" t="str">
        <f>_xlfn.XLOOKUP(Orders[[#This Row],[ProductID]],Products[ProductID],Products[ProductName])</f>
        <v>TROUSERS</v>
      </c>
      <c r="S1262" t="str">
        <f>_xlfn.XLOOKUP(Orders[[#This Row],[ProductID]],Products!A:A,Products!C:C)</f>
        <v>Clothing</v>
      </c>
    </row>
    <row r="1263" spans="1:19" x14ac:dyDescent="0.2">
      <c r="A1263" s="4" t="s">
        <v>1452</v>
      </c>
      <c r="B1263" s="5">
        <v>45983</v>
      </c>
      <c r="C1263" s="15">
        <f>WEEKNUM(Orders[[#This Row],[OrderDate]])</f>
        <v>47</v>
      </c>
      <c r="D1263" s="4" t="s">
        <v>52</v>
      </c>
      <c r="E1263" s="4" t="s">
        <v>253</v>
      </c>
      <c r="F1263" s="4">
        <v>9</v>
      </c>
      <c r="G1263" s="4">
        <v>14292.9</v>
      </c>
      <c r="H1263">
        <v>12148.965</v>
      </c>
      <c r="I1263">
        <f>Orders[[#This Row],[Quantity]]*Orders[[#This Row],[Selling Price]]</f>
        <v>128636.09999999999</v>
      </c>
      <c r="J1263">
        <f>Orders[[#This Row],[Quantity]]*Orders[[#This Row],[Cost Price]]</f>
        <v>109340.685</v>
      </c>
      <c r="K1263">
        <f>Orders[[#This Row],[Revenue]]-Orders[[#This Row],[Expenses]]</f>
        <v>19295.414999999994</v>
      </c>
      <c r="L1263" t="s">
        <v>2219</v>
      </c>
      <c r="M1263" t="str">
        <f>_xlfn.XLOOKUP(Orders[[#This Row],[CustomerID]],Customers[CustomerID],Customers[City])</f>
        <v>Texas</v>
      </c>
      <c r="N1263" t="str">
        <f>_xlfn.XLOOKUP(Orders[[#This Row],[CustomerID]],Customers[CustomerID],Customers[CustomerName])</f>
        <v>Folasade Ojo</v>
      </c>
      <c r="O1263" t="str">
        <f>_xlfn.XLOOKUP(Orders[[#This Row],[CustomerID]],Customers[CustomerID],Customers[Gender])</f>
        <v>Female</v>
      </c>
      <c r="P1263">
        <f>_xlfn.XLOOKUP(Orders[[#This Row],[CustomerID]],Customers[CustomerID],Customers[CustomerAge])</f>
        <v>29</v>
      </c>
      <c r="Q1263" t="str">
        <f>IF(Orders[[#This Row],[Age]]&gt;=35,"older","young")</f>
        <v>young</v>
      </c>
      <c r="R1263" t="str">
        <f>_xlfn.XLOOKUP(Orders[[#This Row],[ProductID]],Products[ProductID],Products[ProductName])</f>
        <v>NOSE RINGS</v>
      </c>
      <c r="S1263" t="str">
        <f>_xlfn.XLOOKUP(Orders[[#This Row],[ProductID]],Products!A:A,Products!C:C)</f>
        <v>Accessories</v>
      </c>
    </row>
    <row r="1264" spans="1:19" x14ac:dyDescent="0.2">
      <c r="A1264" s="4" t="s">
        <v>1453</v>
      </c>
      <c r="B1264" s="5">
        <v>45958</v>
      </c>
      <c r="C1264" s="15">
        <f>WEEKNUM(Orders[[#This Row],[OrderDate]])</f>
        <v>44</v>
      </c>
      <c r="D1264" s="4" t="s">
        <v>940</v>
      </c>
      <c r="E1264" s="4" t="s">
        <v>92</v>
      </c>
      <c r="F1264" s="4">
        <v>9</v>
      </c>
      <c r="G1264" s="4">
        <v>11281.6</v>
      </c>
      <c r="H1264">
        <v>9589.36</v>
      </c>
      <c r="I1264">
        <f>Orders[[#This Row],[Quantity]]*Orders[[#This Row],[Selling Price]]</f>
        <v>101534.40000000001</v>
      </c>
      <c r="J1264">
        <f>Orders[[#This Row],[Quantity]]*Orders[[#This Row],[Cost Price]]</f>
        <v>86304.24</v>
      </c>
      <c r="K1264">
        <f>Orders[[#This Row],[Revenue]]-Orders[[#This Row],[Expenses]]</f>
        <v>15230.160000000003</v>
      </c>
      <c r="L1264" t="s">
        <v>2194</v>
      </c>
      <c r="M1264" t="str">
        <f>_xlfn.XLOOKUP(Orders[[#This Row],[CustomerID]],Customers[CustomerID],Customers[City])</f>
        <v>Texas</v>
      </c>
      <c r="N1264" t="str">
        <f>_xlfn.XLOOKUP(Orders[[#This Row],[CustomerID]],Customers[CustomerID],Customers[CustomerName])</f>
        <v>Okon Ojo</v>
      </c>
      <c r="O1264" t="str">
        <f>_xlfn.XLOOKUP(Orders[[#This Row],[CustomerID]],Customers[CustomerID],Customers[Gender])</f>
        <v>Male</v>
      </c>
      <c r="P1264">
        <f>_xlfn.XLOOKUP(Orders[[#This Row],[CustomerID]],Customers[CustomerID],Customers[CustomerAge])</f>
        <v>25</v>
      </c>
      <c r="Q1264" t="str">
        <f>IF(Orders[[#This Row],[Age]]&gt;=35,"older","young")</f>
        <v>young</v>
      </c>
      <c r="R1264" t="str">
        <f>_xlfn.XLOOKUP(Orders[[#This Row],[ProductID]],Products[ProductID],Products[ProductName])</f>
        <v>CHEST EXPANDER</v>
      </c>
      <c r="S1264" t="str">
        <f>_xlfn.XLOOKUP(Orders[[#This Row],[ProductID]],Products!A:A,Products!C:C)</f>
        <v>Gym</v>
      </c>
    </row>
    <row r="1265" spans="1:19" x14ac:dyDescent="0.2">
      <c r="A1265" s="4" t="s">
        <v>1454</v>
      </c>
      <c r="B1265" s="5">
        <v>45966</v>
      </c>
      <c r="C1265" s="15">
        <f>WEEKNUM(Orders[[#This Row],[OrderDate]])</f>
        <v>45</v>
      </c>
      <c r="D1265" s="4" t="s">
        <v>83</v>
      </c>
      <c r="E1265" s="4" t="s">
        <v>34</v>
      </c>
      <c r="F1265" s="4">
        <v>9</v>
      </c>
      <c r="G1265" s="4">
        <v>15993.699999999999</v>
      </c>
      <c r="H1265">
        <v>13594.644999999999</v>
      </c>
      <c r="I1265">
        <f>Orders[[#This Row],[Quantity]]*Orders[[#This Row],[Selling Price]]</f>
        <v>143943.29999999999</v>
      </c>
      <c r="J1265">
        <f>Orders[[#This Row],[Quantity]]*Orders[[#This Row],[Cost Price]]</f>
        <v>122351.80499999999</v>
      </c>
      <c r="K1265">
        <f>Orders[[#This Row],[Revenue]]-Orders[[#This Row],[Expenses]]</f>
        <v>21591.494999999995</v>
      </c>
      <c r="L1265" t="s">
        <v>2199</v>
      </c>
      <c r="M1265" t="str">
        <f>_xlfn.XLOOKUP(Orders[[#This Row],[CustomerID]],Customers[CustomerID],Customers[City])</f>
        <v>Florida</v>
      </c>
      <c r="N1265" t="str">
        <f>_xlfn.XLOOKUP(Orders[[#This Row],[CustomerID]],Customers[CustomerID],Customers[CustomerName])</f>
        <v>Funke Danladi</v>
      </c>
      <c r="O1265" t="str">
        <f>_xlfn.XLOOKUP(Orders[[#This Row],[CustomerID]],Customers[CustomerID],Customers[Gender])</f>
        <v>Female</v>
      </c>
      <c r="P1265">
        <f>_xlfn.XLOOKUP(Orders[[#This Row],[CustomerID]],Customers[CustomerID],Customers[CustomerAge])</f>
        <v>26</v>
      </c>
      <c r="Q1265" t="str">
        <f>IF(Orders[[#This Row],[Age]]&gt;=35,"older","young")</f>
        <v>young</v>
      </c>
      <c r="R1265" t="str">
        <f>_xlfn.XLOOKUP(Orders[[#This Row],[ProductID]],Products[ProductID],Products[ProductName])</f>
        <v>GOLD BRACELETS</v>
      </c>
      <c r="S1265" t="str">
        <f>_xlfn.XLOOKUP(Orders[[#This Row],[ProductID]],Products!A:A,Products!C:C)</f>
        <v>Accessories</v>
      </c>
    </row>
    <row r="1266" spans="1:19" x14ac:dyDescent="0.2">
      <c r="A1266" s="4" t="s">
        <v>1455</v>
      </c>
      <c r="B1266" s="5">
        <v>45959</v>
      </c>
      <c r="C1266" s="15">
        <f>WEEKNUM(Orders[[#This Row],[OrderDate]])</f>
        <v>44</v>
      </c>
      <c r="D1266" s="4" t="s">
        <v>649</v>
      </c>
      <c r="E1266" s="4" t="s">
        <v>60</v>
      </c>
      <c r="F1266" s="4">
        <v>3</v>
      </c>
      <c r="G1266" s="4">
        <v>17672.7</v>
      </c>
      <c r="H1266">
        <v>15021.795</v>
      </c>
      <c r="I1266">
        <f>Orders[[#This Row],[Quantity]]*Orders[[#This Row],[Selling Price]]</f>
        <v>53018.100000000006</v>
      </c>
      <c r="J1266">
        <f>Orders[[#This Row],[Quantity]]*Orders[[#This Row],[Cost Price]]</f>
        <v>45065.385000000002</v>
      </c>
      <c r="K1266">
        <f>Orders[[#This Row],[Revenue]]-Orders[[#This Row],[Expenses]]</f>
        <v>7952.7150000000038</v>
      </c>
      <c r="L1266" t="s">
        <v>2211</v>
      </c>
      <c r="M1266" t="str">
        <f>_xlfn.XLOOKUP(Orders[[#This Row],[CustomerID]],Customers[CustomerID],Customers[City])</f>
        <v>Washington</v>
      </c>
      <c r="N1266" t="str">
        <f>_xlfn.XLOOKUP(Orders[[#This Row],[CustomerID]],Customers[CustomerID],Customers[CustomerName])</f>
        <v>Bisi Abubakar</v>
      </c>
      <c r="O1266" t="str">
        <f>_xlfn.XLOOKUP(Orders[[#This Row],[CustomerID]],Customers[CustomerID],Customers[Gender])</f>
        <v>Female</v>
      </c>
      <c r="P1266">
        <f>_xlfn.XLOOKUP(Orders[[#This Row],[CustomerID]],Customers[CustomerID],Customers[CustomerAge])</f>
        <v>35</v>
      </c>
      <c r="Q1266" t="str">
        <f>IF(Orders[[#This Row],[Age]]&gt;=35,"older","young")</f>
        <v>older</v>
      </c>
      <c r="R1266" t="str">
        <f>_xlfn.XLOOKUP(Orders[[#This Row],[ProductID]],Products[ProductID],Products[ProductName])</f>
        <v>SILVER RINGS</v>
      </c>
      <c r="S1266" t="str">
        <f>_xlfn.XLOOKUP(Orders[[#This Row],[ProductID]],Products!A:A,Products!C:C)</f>
        <v>Accessories</v>
      </c>
    </row>
    <row r="1267" spans="1:19" x14ac:dyDescent="0.2">
      <c r="A1267" s="4" t="s">
        <v>1456</v>
      </c>
      <c r="B1267" s="5">
        <v>45972</v>
      </c>
      <c r="C1267" s="15">
        <f>WEEKNUM(Orders[[#This Row],[OrderDate]])</f>
        <v>46</v>
      </c>
      <c r="D1267" s="4" t="s">
        <v>8</v>
      </c>
      <c r="E1267" s="4" t="s">
        <v>20</v>
      </c>
      <c r="F1267" s="4">
        <v>5</v>
      </c>
      <c r="G1267" s="4">
        <v>18151.600000000002</v>
      </c>
      <c r="H1267">
        <v>15428.860000000002</v>
      </c>
      <c r="I1267">
        <f>Orders[[#This Row],[Quantity]]*Orders[[#This Row],[Selling Price]]</f>
        <v>90758.000000000015</v>
      </c>
      <c r="J1267">
        <f>Orders[[#This Row],[Quantity]]*Orders[[#This Row],[Cost Price]]</f>
        <v>77144.300000000017</v>
      </c>
      <c r="K1267">
        <f>Orders[[#This Row],[Revenue]]-Orders[[#This Row],[Expenses]]</f>
        <v>13613.699999999997</v>
      </c>
      <c r="L1267" t="s">
        <v>2216</v>
      </c>
      <c r="M1267" t="str">
        <f>_xlfn.XLOOKUP(Orders[[#This Row],[CustomerID]],Customers[CustomerID],Customers[City])</f>
        <v>Washington</v>
      </c>
      <c r="N1267" t="str">
        <f>_xlfn.XLOOKUP(Orders[[#This Row],[CustomerID]],Customers[CustomerID],Customers[CustomerName])</f>
        <v>Bi si Bello</v>
      </c>
      <c r="O1267" t="str">
        <f>_xlfn.XLOOKUP(Orders[[#This Row],[CustomerID]],Customers[CustomerID],Customers[Gender])</f>
        <v>Female</v>
      </c>
      <c r="P1267">
        <f>_xlfn.XLOOKUP(Orders[[#This Row],[CustomerID]],Customers[CustomerID],Customers[CustomerAge])</f>
        <v>38</v>
      </c>
      <c r="Q1267" t="str">
        <f>IF(Orders[[#This Row],[Age]]&gt;=35,"older","young")</f>
        <v>older</v>
      </c>
      <c r="R1267" t="str">
        <f>_xlfn.XLOOKUP(Orders[[#This Row],[ProductID]],Products[ProductID],Products[ProductName])</f>
        <v>GYM BAG</v>
      </c>
      <c r="S1267" t="str">
        <f>_xlfn.XLOOKUP(Orders[[#This Row],[ProductID]],Products!A:A,Products!C:C)</f>
        <v>Gym</v>
      </c>
    </row>
    <row r="1268" spans="1:19" x14ac:dyDescent="0.2">
      <c r="A1268" s="4" t="s">
        <v>1457</v>
      </c>
      <c r="B1268" s="5">
        <v>45936</v>
      </c>
      <c r="C1268" s="15">
        <f>WEEKNUM(Orders[[#This Row],[OrderDate]])</f>
        <v>41</v>
      </c>
      <c r="D1268" s="4" t="s">
        <v>457</v>
      </c>
      <c r="E1268" s="4" t="s">
        <v>60</v>
      </c>
      <c r="F1268" s="4">
        <v>4</v>
      </c>
      <c r="G1268" s="4">
        <v>1398.6000000000001</v>
      </c>
      <c r="H1268">
        <v>1188.8100000000002</v>
      </c>
      <c r="I1268">
        <f>Orders[[#This Row],[Quantity]]*Orders[[#This Row],[Selling Price]]</f>
        <v>5594.4000000000005</v>
      </c>
      <c r="J1268">
        <f>Orders[[#This Row],[Quantity]]*Orders[[#This Row],[Cost Price]]</f>
        <v>4755.2400000000007</v>
      </c>
      <c r="K1268">
        <f>Orders[[#This Row],[Revenue]]-Orders[[#This Row],[Expenses]]</f>
        <v>839.15999999999985</v>
      </c>
      <c r="L1268" t="s">
        <v>2213</v>
      </c>
      <c r="M1268" t="str">
        <f>_xlfn.XLOOKUP(Orders[[#This Row],[CustomerID]],Customers[CustomerID],Customers[City])</f>
        <v>Illinois</v>
      </c>
      <c r="N1268" t="str">
        <f>_xlfn.XLOOKUP(Orders[[#This Row],[CustomerID]],Customers[CustomerID],Customers[CustomerName])</f>
        <v>Tunde Okonkwo</v>
      </c>
      <c r="O1268" t="str">
        <f>_xlfn.XLOOKUP(Orders[[#This Row],[CustomerID]],Customers[CustomerID],Customers[Gender])</f>
        <v>Male</v>
      </c>
      <c r="P1268">
        <f>_xlfn.XLOOKUP(Orders[[#This Row],[CustomerID]],Customers[CustomerID],Customers[CustomerAge])</f>
        <v>23</v>
      </c>
      <c r="Q1268" t="str">
        <f>IF(Orders[[#This Row],[Age]]&gt;=35,"older","young")</f>
        <v>young</v>
      </c>
      <c r="R1268" t="str">
        <f>_xlfn.XLOOKUP(Orders[[#This Row],[ProductID]],Products[ProductID],Products[ProductName])</f>
        <v>SILVER RINGS</v>
      </c>
      <c r="S1268" t="str">
        <f>_xlfn.XLOOKUP(Orders[[#This Row],[ProductID]],Products!A:A,Products!C:C)</f>
        <v>Accessories</v>
      </c>
    </row>
    <row r="1269" spans="1:19" x14ac:dyDescent="0.2">
      <c r="A1269" s="4" t="s">
        <v>1458</v>
      </c>
      <c r="B1269" s="5">
        <v>45946</v>
      </c>
      <c r="C1269" s="15">
        <f>WEEKNUM(Orders[[#This Row],[OrderDate]])</f>
        <v>42</v>
      </c>
      <c r="D1269" s="4" t="s">
        <v>124</v>
      </c>
      <c r="E1269" s="4" t="s">
        <v>120</v>
      </c>
      <c r="F1269" s="4">
        <v>5</v>
      </c>
      <c r="G1269" s="4">
        <v>18220.5</v>
      </c>
      <c r="H1269">
        <v>15487.424999999999</v>
      </c>
      <c r="I1269">
        <f>Orders[[#This Row],[Quantity]]*Orders[[#This Row],[Selling Price]]</f>
        <v>91102.5</v>
      </c>
      <c r="J1269">
        <f>Orders[[#This Row],[Quantity]]*Orders[[#This Row],[Cost Price]]</f>
        <v>77437.125</v>
      </c>
      <c r="K1269">
        <f>Orders[[#This Row],[Revenue]]-Orders[[#This Row],[Expenses]]</f>
        <v>13665.375</v>
      </c>
      <c r="L1269" t="s">
        <v>2197</v>
      </c>
      <c r="M1269" t="str">
        <f>_xlfn.XLOOKUP(Orders[[#This Row],[CustomerID]],Customers[CustomerID],Customers[City])</f>
        <v>Texas</v>
      </c>
      <c r="N1269" t="str">
        <f>_xlfn.XLOOKUP(Orders[[#This Row],[CustomerID]],Customers[CustomerID],Customers[CustomerName])</f>
        <v>Ngozi Ojo</v>
      </c>
      <c r="O1269" t="str">
        <f>_xlfn.XLOOKUP(Orders[[#This Row],[CustomerID]],Customers[CustomerID],Customers[Gender])</f>
        <v>Female</v>
      </c>
      <c r="P1269">
        <f>_xlfn.XLOOKUP(Orders[[#This Row],[CustomerID]],Customers[CustomerID],Customers[CustomerAge])</f>
        <v>22</v>
      </c>
      <c r="Q1269" t="str">
        <f>IF(Orders[[#This Row],[Age]]&gt;=35,"older","young")</f>
        <v>young</v>
      </c>
      <c r="R1269" t="str">
        <f>_xlfn.XLOOKUP(Orders[[#This Row],[ProductID]],Products[ProductID],Products[ProductName])</f>
        <v>CHESS</v>
      </c>
      <c r="S1269" t="str">
        <f>_xlfn.XLOOKUP(Orders[[#This Row],[ProductID]],Products!A:A,Products!C:C)</f>
        <v>Games</v>
      </c>
    </row>
    <row r="1270" spans="1:19" x14ac:dyDescent="0.2">
      <c r="A1270" s="4" t="s">
        <v>1459</v>
      </c>
      <c r="B1270" s="5">
        <v>45935</v>
      </c>
      <c r="C1270" s="15">
        <f>WEEKNUM(Orders[[#This Row],[OrderDate]])</f>
        <v>41</v>
      </c>
      <c r="D1270" s="4" t="s">
        <v>239</v>
      </c>
      <c r="E1270" s="4" t="s">
        <v>81</v>
      </c>
      <c r="F1270" s="4">
        <v>7</v>
      </c>
      <c r="G1270" s="4">
        <v>2340.6</v>
      </c>
      <c r="H1270">
        <v>1989.51</v>
      </c>
      <c r="I1270">
        <f>Orders[[#This Row],[Quantity]]*Orders[[#This Row],[Selling Price]]</f>
        <v>16384.2</v>
      </c>
      <c r="J1270">
        <f>Orders[[#This Row],[Quantity]]*Orders[[#This Row],[Cost Price]]</f>
        <v>13926.57</v>
      </c>
      <c r="K1270">
        <f>Orders[[#This Row],[Revenue]]-Orders[[#This Row],[Expenses]]</f>
        <v>2457.630000000001</v>
      </c>
      <c r="L1270" t="s">
        <v>2192</v>
      </c>
      <c r="M1270" t="str">
        <f>_xlfn.XLOOKUP(Orders[[#This Row],[CustomerID]],Customers[CustomerID],Customers[City])</f>
        <v>Florida</v>
      </c>
      <c r="N1270" t="str">
        <f>_xlfn.XLOOKUP(Orders[[#This Row],[CustomerID]],Customers[CustomerID],Customers[CustomerName])</f>
        <v>Emeka Danladi</v>
      </c>
      <c r="O1270" t="str">
        <f>_xlfn.XLOOKUP(Orders[[#This Row],[CustomerID]],Customers[CustomerID],Customers[Gender])</f>
        <v>Male</v>
      </c>
      <c r="P1270">
        <f>_xlfn.XLOOKUP(Orders[[#This Row],[CustomerID]],Customers[CustomerID],Customers[CustomerAge])</f>
        <v>23</v>
      </c>
      <c r="Q1270" t="str">
        <f>IF(Orders[[#This Row],[Age]]&gt;=35,"older","young")</f>
        <v>young</v>
      </c>
      <c r="R1270" t="str">
        <f>_xlfn.XLOOKUP(Orders[[#This Row],[ProductID]],Products[ProductID],Products[ProductName])</f>
        <v>TROUSERS</v>
      </c>
      <c r="S1270" t="str">
        <f>_xlfn.XLOOKUP(Orders[[#This Row],[ProductID]],Products!A:A,Products!C:C)</f>
        <v>Clothing</v>
      </c>
    </row>
    <row r="1271" spans="1:19" x14ac:dyDescent="0.2">
      <c r="A1271" s="4" t="s">
        <v>1460</v>
      </c>
      <c r="B1271" s="5">
        <v>45994</v>
      </c>
      <c r="C1271" s="15">
        <f>WEEKNUM(Orders[[#This Row],[OrderDate]])</f>
        <v>49</v>
      </c>
      <c r="D1271" s="4" t="s">
        <v>118</v>
      </c>
      <c r="E1271" s="4" t="s">
        <v>151</v>
      </c>
      <c r="F1271" s="4">
        <v>10</v>
      </c>
      <c r="G1271" s="4">
        <v>9493.9</v>
      </c>
      <c r="H1271">
        <v>8069.8149999999996</v>
      </c>
      <c r="I1271">
        <f>Orders[[#This Row],[Quantity]]*Orders[[#This Row],[Selling Price]]</f>
        <v>94939</v>
      </c>
      <c r="J1271">
        <f>Orders[[#This Row],[Quantity]]*Orders[[#This Row],[Cost Price]]</f>
        <v>80698.149999999994</v>
      </c>
      <c r="K1271">
        <f>Orders[[#This Row],[Revenue]]-Orders[[#This Row],[Expenses]]</f>
        <v>14240.850000000006</v>
      </c>
      <c r="L1271" t="s">
        <v>2214</v>
      </c>
      <c r="M1271" t="str">
        <f>_xlfn.XLOOKUP(Orders[[#This Row],[CustomerID]],Customers[CustomerID],Customers[City])</f>
        <v>Georgia</v>
      </c>
      <c r="N1271" t="str">
        <f>_xlfn.XLOOKUP(Orders[[#This Row],[CustomerID]],Customers[CustomerID],Customers[CustomerName])</f>
        <v>Ibrahim Balogun</v>
      </c>
      <c r="O1271" t="str">
        <f>_xlfn.XLOOKUP(Orders[[#This Row],[CustomerID]],Customers[CustomerID],Customers[Gender])</f>
        <v>Male</v>
      </c>
      <c r="P1271">
        <f>_xlfn.XLOOKUP(Orders[[#This Row],[CustomerID]],Customers[CustomerID],Customers[CustomerAge])</f>
        <v>55</v>
      </c>
      <c r="Q1271" t="str">
        <f>IF(Orders[[#This Row],[Age]]&gt;=35,"older","young")</f>
        <v>older</v>
      </c>
      <c r="R1271" t="str">
        <f>_xlfn.XLOOKUP(Orders[[#This Row],[ProductID]],Products[ProductID],Products[ProductName])</f>
        <v>CHECKERS</v>
      </c>
      <c r="S1271" t="str">
        <f>_xlfn.XLOOKUP(Orders[[#This Row],[ProductID]],Products!A:A,Products!C:C)</f>
        <v>Games</v>
      </c>
    </row>
    <row r="1272" spans="1:19" x14ac:dyDescent="0.2">
      <c r="A1272" s="4" t="s">
        <v>1461</v>
      </c>
      <c r="B1272" s="5">
        <v>45988</v>
      </c>
      <c r="C1272" s="15">
        <f>WEEKNUM(Orders[[#This Row],[OrderDate]])</f>
        <v>48</v>
      </c>
      <c r="D1272" s="4" t="s">
        <v>298</v>
      </c>
      <c r="E1272" s="4" t="s">
        <v>25</v>
      </c>
      <c r="F1272" s="4">
        <v>7</v>
      </c>
      <c r="G1272" s="4">
        <v>14133.4</v>
      </c>
      <c r="H1272">
        <v>12013.39</v>
      </c>
      <c r="I1272">
        <f>Orders[[#This Row],[Quantity]]*Orders[[#This Row],[Selling Price]]</f>
        <v>98933.8</v>
      </c>
      <c r="J1272">
        <f>Orders[[#This Row],[Quantity]]*Orders[[#This Row],[Cost Price]]</f>
        <v>84093.73</v>
      </c>
      <c r="K1272">
        <f>Orders[[#This Row],[Revenue]]-Orders[[#This Row],[Expenses]]</f>
        <v>14840.070000000007</v>
      </c>
      <c r="L1272" t="s">
        <v>2207</v>
      </c>
      <c r="M1272" t="str">
        <f>_xlfn.XLOOKUP(Orders[[#This Row],[CustomerID]],Customers[CustomerID],Customers[City])</f>
        <v>Florida</v>
      </c>
      <c r="N1272" t="str">
        <f>_xlfn.XLOOKUP(Orders[[#This Row],[CustomerID]],Customers[CustomerID],Customers[CustomerName])</f>
        <v>Amina Obi</v>
      </c>
      <c r="O1272" t="str">
        <f>_xlfn.XLOOKUP(Orders[[#This Row],[CustomerID]],Customers[CustomerID],Customers[Gender])</f>
        <v>Female</v>
      </c>
      <c r="P1272">
        <f>_xlfn.XLOOKUP(Orders[[#This Row],[CustomerID]],Customers[CustomerID],Customers[CustomerAge])</f>
        <v>19</v>
      </c>
      <c r="Q1272" t="str">
        <f>IF(Orders[[#This Row],[Age]]&gt;=35,"older","young")</f>
        <v>young</v>
      </c>
      <c r="R1272" t="str">
        <f>_xlfn.XLOOKUP(Orders[[#This Row],[ProductID]],Products[ProductID],Products[ProductName])</f>
        <v>GOLD RINGS</v>
      </c>
      <c r="S1272" t="str">
        <f>_xlfn.XLOOKUP(Orders[[#This Row],[ProductID]],Products!A:A,Products!C:C)</f>
        <v>Accessories</v>
      </c>
    </row>
    <row r="1273" spans="1:19" x14ac:dyDescent="0.2">
      <c r="A1273" s="4" t="s">
        <v>1462</v>
      </c>
      <c r="B1273" s="5">
        <v>45941</v>
      </c>
      <c r="C1273" s="15">
        <f>WEEKNUM(Orders[[#This Row],[OrderDate]])</f>
        <v>41</v>
      </c>
      <c r="D1273" s="4" t="s">
        <v>27</v>
      </c>
      <c r="E1273" s="4" t="s">
        <v>57</v>
      </c>
      <c r="F1273" s="4">
        <v>2</v>
      </c>
      <c r="G1273" s="4">
        <v>10874.9</v>
      </c>
      <c r="H1273">
        <v>9243.6649999999991</v>
      </c>
      <c r="I1273">
        <f>Orders[[#This Row],[Quantity]]*Orders[[#This Row],[Selling Price]]</f>
        <v>21749.8</v>
      </c>
      <c r="J1273">
        <f>Orders[[#This Row],[Quantity]]*Orders[[#This Row],[Cost Price]]</f>
        <v>18487.329999999998</v>
      </c>
      <c r="K1273">
        <f>Orders[[#This Row],[Revenue]]-Orders[[#This Row],[Expenses]]</f>
        <v>3262.4700000000012</v>
      </c>
      <c r="L1273" t="s">
        <v>2211</v>
      </c>
      <c r="M1273" t="str">
        <f>_xlfn.XLOOKUP(Orders[[#This Row],[CustomerID]],Customers[CustomerID],Customers[City])</f>
        <v>Illinois</v>
      </c>
      <c r="N1273" t="str">
        <f>_xlfn.XLOOKUP(Orders[[#This Row],[CustomerID]],Customers[CustomerID],Customers[CustomerName])</f>
        <v>Okon Ojo</v>
      </c>
      <c r="O1273" t="str">
        <f>_xlfn.XLOOKUP(Orders[[#This Row],[CustomerID]],Customers[CustomerID],Customers[Gender])</f>
        <v>Male</v>
      </c>
      <c r="P1273">
        <f>_xlfn.XLOOKUP(Orders[[#This Row],[CustomerID]],Customers[CustomerID],Customers[CustomerAge])</f>
        <v>32</v>
      </c>
      <c r="Q1273" t="str">
        <f>IF(Orders[[#This Row],[Age]]&gt;=35,"older","young")</f>
        <v>young</v>
      </c>
      <c r="R1273" t="str">
        <f>_xlfn.XLOOKUP(Orders[[#This Row],[ProductID]],Products[ProductID],Products[ProductName])</f>
        <v>BADMINTON RACKET</v>
      </c>
      <c r="S1273" t="str">
        <f>_xlfn.XLOOKUP(Orders[[#This Row],[ProductID]],Products!A:A,Products!C:C)</f>
        <v>Sports</v>
      </c>
    </row>
    <row r="1274" spans="1:19" x14ac:dyDescent="0.2">
      <c r="A1274" s="4" t="s">
        <v>1463</v>
      </c>
      <c r="B1274" s="5">
        <v>45982</v>
      </c>
      <c r="C1274" s="15">
        <f>WEEKNUM(Orders[[#This Row],[OrderDate]])</f>
        <v>47</v>
      </c>
      <c r="D1274" s="4" t="s">
        <v>272</v>
      </c>
      <c r="E1274" s="4" t="s">
        <v>34</v>
      </c>
      <c r="F1274" s="4">
        <v>2</v>
      </c>
      <c r="G1274" s="4">
        <v>15300.1</v>
      </c>
      <c r="H1274">
        <v>13005.085000000001</v>
      </c>
      <c r="I1274">
        <f>Orders[[#This Row],[Quantity]]*Orders[[#This Row],[Selling Price]]</f>
        <v>30600.2</v>
      </c>
      <c r="J1274">
        <f>Orders[[#This Row],[Quantity]]*Orders[[#This Row],[Cost Price]]</f>
        <v>26010.170000000002</v>
      </c>
      <c r="K1274">
        <f>Orders[[#This Row],[Revenue]]-Orders[[#This Row],[Expenses]]</f>
        <v>4590.0299999999988</v>
      </c>
      <c r="L1274" t="s">
        <v>2207</v>
      </c>
      <c r="M1274" t="str">
        <f>_xlfn.XLOOKUP(Orders[[#This Row],[CustomerID]],Customers[CustomerID],Customers[City])</f>
        <v>Florida</v>
      </c>
      <c r="N1274" t="str">
        <f>_xlfn.XLOOKUP(Orders[[#This Row],[CustomerID]],Customers[CustomerID],Customers[CustomerName])</f>
        <v>Blessing Bello</v>
      </c>
      <c r="O1274" t="str">
        <f>_xlfn.XLOOKUP(Orders[[#This Row],[CustomerID]],Customers[CustomerID],Customers[Gender])</f>
        <v>Female</v>
      </c>
      <c r="P1274">
        <f>_xlfn.XLOOKUP(Orders[[#This Row],[CustomerID]],Customers[CustomerID],Customers[CustomerAge])</f>
        <v>38</v>
      </c>
      <c r="Q1274" t="str">
        <f>IF(Orders[[#This Row],[Age]]&gt;=35,"older","young")</f>
        <v>older</v>
      </c>
      <c r="R1274" t="str">
        <f>_xlfn.XLOOKUP(Orders[[#This Row],[ProductID]],Products[ProductID],Products[ProductName])</f>
        <v>GOLD BRACELETS</v>
      </c>
      <c r="S1274" t="str">
        <f>_xlfn.XLOOKUP(Orders[[#This Row],[ProductID]],Products!A:A,Products!C:C)</f>
        <v>Accessories</v>
      </c>
    </row>
    <row r="1275" spans="1:19" x14ac:dyDescent="0.2">
      <c r="A1275" s="4" t="s">
        <v>1464</v>
      </c>
      <c r="B1275" s="5">
        <v>45999</v>
      </c>
      <c r="C1275" s="15">
        <f>WEEKNUM(Orders[[#This Row],[OrderDate]])</f>
        <v>50</v>
      </c>
      <c r="D1275" s="4" t="s">
        <v>214</v>
      </c>
      <c r="E1275" s="4" t="s">
        <v>25</v>
      </c>
      <c r="F1275" s="4">
        <v>8</v>
      </c>
      <c r="G1275" s="4">
        <v>12665</v>
      </c>
      <c r="H1275">
        <v>10765.25</v>
      </c>
      <c r="I1275">
        <f>Orders[[#This Row],[Quantity]]*Orders[[#This Row],[Selling Price]]</f>
        <v>101320</v>
      </c>
      <c r="J1275">
        <f>Orders[[#This Row],[Quantity]]*Orders[[#This Row],[Cost Price]]</f>
        <v>86122</v>
      </c>
      <c r="K1275">
        <f>Orders[[#This Row],[Revenue]]-Orders[[#This Row],[Expenses]]</f>
        <v>15198</v>
      </c>
      <c r="L1275" t="s">
        <v>2210</v>
      </c>
      <c r="M1275" t="str">
        <f>_xlfn.XLOOKUP(Orders[[#This Row],[CustomerID]],Customers[CustomerID],Customers[City])</f>
        <v>California</v>
      </c>
      <c r="N1275" t="str">
        <f>_xlfn.XLOOKUP(Orders[[#This Row],[CustomerID]],Customers[CustomerID],Customers[CustomerName])</f>
        <v>Adanma Okonkwo</v>
      </c>
      <c r="O1275" t="str">
        <f>_xlfn.XLOOKUP(Orders[[#This Row],[CustomerID]],Customers[CustomerID],Customers[Gender])</f>
        <v>Female</v>
      </c>
      <c r="P1275">
        <f>_xlfn.XLOOKUP(Orders[[#This Row],[CustomerID]],Customers[CustomerID],Customers[CustomerAge])</f>
        <v>20</v>
      </c>
      <c r="Q1275" t="str">
        <f>IF(Orders[[#This Row],[Age]]&gt;=35,"older","young")</f>
        <v>young</v>
      </c>
      <c r="R1275" t="str">
        <f>_xlfn.XLOOKUP(Orders[[#This Row],[ProductID]],Products[ProductID],Products[ProductName])</f>
        <v>GOLD RINGS</v>
      </c>
      <c r="S1275" t="str">
        <f>_xlfn.XLOOKUP(Orders[[#This Row],[ProductID]],Products!A:A,Products!C:C)</f>
        <v>Accessories</v>
      </c>
    </row>
    <row r="1276" spans="1:19" x14ac:dyDescent="0.2">
      <c r="A1276" s="4" t="s">
        <v>1465</v>
      </c>
      <c r="B1276" s="5">
        <v>45946</v>
      </c>
      <c r="C1276" s="15">
        <f>WEEKNUM(Orders[[#This Row],[OrderDate]])</f>
        <v>42</v>
      </c>
      <c r="D1276" s="4" t="s">
        <v>524</v>
      </c>
      <c r="E1276" s="4" t="s">
        <v>31</v>
      </c>
      <c r="F1276" s="4">
        <v>3</v>
      </c>
      <c r="G1276" s="4">
        <v>17820.3</v>
      </c>
      <c r="H1276">
        <v>15147.254999999999</v>
      </c>
      <c r="I1276">
        <f>Orders[[#This Row],[Quantity]]*Orders[[#This Row],[Selling Price]]</f>
        <v>53460.899999999994</v>
      </c>
      <c r="J1276">
        <f>Orders[[#This Row],[Quantity]]*Orders[[#This Row],[Cost Price]]</f>
        <v>45441.764999999999</v>
      </c>
      <c r="K1276">
        <f>Orders[[#This Row],[Revenue]]-Orders[[#This Row],[Expenses]]</f>
        <v>8019.1349999999948</v>
      </c>
      <c r="L1276" t="s">
        <v>2220</v>
      </c>
      <c r="M1276" t="str">
        <f>_xlfn.XLOOKUP(Orders[[#This Row],[CustomerID]],Customers[CustomerID],Customers[City])</f>
        <v>Florida</v>
      </c>
      <c r="N1276" t="str">
        <f>_xlfn.XLOOKUP(Orders[[#This Row],[CustomerID]],Customers[CustomerID],Customers[CustomerName])</f>
        <v>Chinedu Igwe</v>
      </c>
      <c r="O1276" t="str">
        <f>_xlfn.XLOOKUP(Orders[[#This Row],[CustomerID]],Customers[CustomerID],Customers[Gender])</f>
        <v>Male</v>
      </c>
      <c r="P1276">
        <f>_xlfn.XLOOKUP(Orders[[#This Row],[CustomerID]],Customers[CustomerID],Customers[CustomerAge])</f>
        <v>21</v>
      </c>
      <c r="Q1276" t="str">
        <f>IF(Orders[[#This Row],[Age]]&gt;=35,"older","young")</f>
        <v>young</v>
      </c>
      <c r="R1276" t="str">
        <f>_xlfn.XLOOKUP(Orders[[#This Row],[ProductID]],Products[ProductID],Products[ProductName])</f>
        <v>KIDS GAMES</v>
      </c>
      <c r="S1276" t="str">
        <f>_xlfn.XLOOKUP(Orders[[#This Row],[ProductID]],Products!A:A,Products!C:C)</f>
        <v>Games</v>
      </c>
    </row>
    <row r="1277" spans="1:19" x14ac:dyDescent="0.2">
      <c r="A1277" s="4" t="s">
        <v>1466</v>
      </c>
      <c r="B1277" s="5">
        <v>45992</v>
      </c>
      <c r="C1277" s="15">
        <f>WEEKNUM(Orders[[#This Row],[OrderDate]])</f>
        <v>49</v>
      </c>
      <c r="D1277" s="4" t="s">
        <v>22</v>
      </c>
      <c r="E1277" s="4" t="s">
        <v>208</v>
      </c>
      <c r="F1277" s="4">
        <v>3</v>
      </c>
      <c r="G1277" s="4">
        <v>16483.800000000003</v>
      </c>
      <c r="H1277">
        <v>14011.230000000003</v>
      </c>
      <c r="I1277">
        <f>Orders[[#This Row],[Quantity]]*Orders[[#This Row],[Selling Price]]</f>
        <v>49451.400000000009</v>
      </c>
      <c r="J1277">
        <f>Orders[[#This Row],[Quantity]]*Orders[[#This Row],[Cost Price]]</f>
        <v>42033.69000000001</v>
      </c>
      <c r="K1277">
        <f>Orders[[#This Row],[Revenue]]-Orders[[#This Row],[Expenses]]</f>
        <v>7417.7099999999991</v>
      </c>
      <c r="L1277" t="s">
        <v>2198</v>
      </c>
      <c r="M1277" t="str">
        <f>_xlfn.XLOOKUP(Orders[[#This Row],[CustomerID]],Customers[CustomerID],Customers[City])</f>
        <v>Texas</v>
      </c>
      <c r="N1277" t="str">
        <f>_xlfn.XLOOKUP(Orders[[#This Row],[CustomerID]],Customers[CustomerID],Customers[CustomerName])</f>
        <v>Temi Bello</v>
      </c>
      <c r="O1277" t="str">
        <f>_xlfn.XLOOKUP(Orders[[#This Row],[CustomerID]],Customers[CustomerID],Customers[Gender])</f>
        <v>Female</v>
      </c>
      <c r="P1277">
        <f>_xlfn.XLOOKUP(Orders[[#This Row],[CustomerID]],Customers[CustomerID],Customers[CustomerAge])</f>
        <v>52</v>
      </c>
      <c r="Q1277" t="str">
        <f>IF(Orders[[#This Row],[Age]]&gt;=35,"older","young")</f>
        <v>older</v>
      </c>
      <c r="R1277" t="str">
        <f>_xlfn.XLOOKUP(Orders[[#This Row],[ProductID]],Products[ProductID],Products[ProductName])</f>
        <v>SKIPPING ROPE</v>
      </c>
      <c r="S1277" t="str">
        <f>_xlfn.XLOOKUP(Orders[[#This Row],[ProductID]],Products!A:A,Products!C:C)</f>
        <v>Sports</v>
      </c>
    </row>
    <row r="1278" spans="1:19" x14ac:dyDescent="0.2">
      <c r="A1278" s="4" t="s">
        <v>1467</v>
      </c>
      <c r="B1278" s="5">
        <v>46005</v>
      </c>
      <c r="C1278" s="15">
        <f>WEEKNUM(Orders[[#This Row],[OrderDate]])</f>
        <v>51</v>
      </c>
      <c r="D1278" s="4" t="s">
        <v>293</v>
      </c>
      <c r="E1278" s="4" t="s">
        <v>25</v>
      </c>
      <c r="F1278" s="4">
        <v>1</v>
      </c>
      <c r="G1278" s="4">
        <v>18074</v>
      </c>
      <c r="H1278">
        <v>15362.9</v>
      </c>
      <c r="I1278">
        <f>Orders[[#This Row],[Quantity]]*Orders[[#This Row],[Selling Price]]</f>
        <v>18074</v>
      </c>
      <c r="J1278">
        <f>Orders[[#This Row],[Quantity]]*Orders[[#This Row],[Cost Price]]</f>
        <v>15362.9</v>
      </c>
      <c r="K1278">
        <f>Orders[[#This Row],[Revenue]]-Orders[[#This Row],[Expenses]]</f>
        <v>2711.1000000000004</v>
      </c>
      <c r="L1278" t="s">
        <v>2202</v>
      </c>
      <c r="M1278" t="str">
        <f>_xlfn.XLOOKUP(Orders[[#This Row],[CustomerID]],Customers[CustomerID],Customers[City])</f>
        <v>Florida</v>
      </c>
      <c r="N1278" t="str">
        <f>_xlfn.XLOOKUP(Orders[[#This Row],[CustomerID]],Customers[CustomerID],Customers[CustomerName])</f>
        <v>Tunde Eze</v>
      </c>
      <c r="O1278" t="str">
        <f>_xlfn.XLOOKUP(Orders[[#This Row],[CustomerID]],Customers[CustomerID],Customers[Gender])</f>
        <v>Male</v>
      </c>
      <c r="P1278">
        <f>_xlfn.XLOOKUP(Orders[[#This Row],[CustomerID]],Customers[CustomerID],Customers[CustomerAge])</f>
        <v>46</v>
      </c>
      <c r="Q1278" t="str">
        <f>IF(Orders[[#This Row],[Age]]&gt;=35,"older","young")</f>
        <v>older</v>
      </c>
      <c r="R1278" t="str">
        <f>_xlfn.XLOOKUP(Orders[[#This Row],[ProductID]],Products[ProductID],Products[ProductName])</f>
        <v>GOLD RINGS</v>
      </c>
      <c r="S1278" t="str">
        <f>_xlfn.XLOOKUP(Orders[[#This Row],[ProductID]],Products!A:A,Products!C:C)</f>
        <v>Accessories</v>
      </c>
    </row>
    <row r="1279" spans="1:19" x14ac:dyDescent="0.2">
      <c r="A1279" s="4" t="s">
        <v>1468</v>
      </c>
      <c r="B1279" s="5">
        <v>45968</v>
      </c>
      <c r="C1279" s="15">
        <f>WEEKNUM(Orders[[#This Row],[OrderDate]])</f>
        <v>45</v>
      </c>
      <c r="D1279" s="4" t="s">
        <v>291</v>
      </c>
      <c r="E1279" s="4" t="s">
        <v>37</v>
      </c>
      <c r="F1279" s="4">
        <v>2</v>
      </c>
      <c r="G1279" s="4">
        <v>16049.2</v>
      </c>
      <c r="H1279">
        <v>13641.82</v>
      </c>
      <c r="I1279">
        <f>Orders[[#This Row],[Quantity]]*Orders[[#This Row],[Selling Price]]</f>
        <v>32098.400000000001</v>
      </c>
      <c r="J1279">
        <f>Orders[[#This Row],[Quantity]]*Orders[[#This Row],[Cost Price]]</f>
        <v>27283.64</v>
      </c>
      <c r="K1279">
        <f>Orders[[#This Row],[Revenue]]-Orders[[#This Row],[Expenses]]</f>
        <v>4814.760000000002</v>
      </c>
      <c r="L1279" t="s">
        <v>2212</v>
      </c>
      <c r="M1279" t="str">
        <f>_xlfn.XLOOKUP(Orders[[#This Row],[CustomerID]],Customers[CustomerID],Customers[City])</f>
        <v>Texas</v>
      </c>
      <c r="N1279" t="str">
        <f>_xlfn.XLOOKUP(Orders[[#This Row],[CustomerID]],Customers[CustomerID],Customers[CustomerName])</f>
        <v>Okon Igwe</v>
      </c>
      <c r="O1279" t="str">
        <f>_xlfn.XLOOKUP(Orders[[#This Row],[CustomerID]],Customers[CustomerID],Customers[Gender])</f>
        <v>Male</v>
      </c>
      <c r="P1279">
        <f>_xlfn.XLOOKUP(Orders[[#This Row],[CustomerID]],Customers[CustomerID],Customers[CustomerAge])</f>
        <v>33</v>
      </c>
      <c r="Q1279" t="str">
        <f>IF(Orders[[#This Row],[Age]]&gt;=35,"older","young")</f>
        <v>young</v>
      </c>
      <c r="R1279" t="str">
        <f>_xlfn.XLOOKUP(Orders[[#This Row],[ProductID]],Products[ProductID],Products[ProductName])</f>
        <v>IRON</v>
      </c>
      <c r="S1279" t="str">
        <f>_xlfn.XLOOKUP(Orders[[#This Row],[ProductID]],Products!A:A,Products!C:C)</f>
        <v>Electronics</v>
      </c>
    </row>
    <row r="1280" spans="1:19" x14ac:dyDescent="0.2">
      <c r="A1280" s="4" t="s">
        <v>1469</v>
      </c>
      <c r="B1280" s="5">
        <v>45934</v>
      </c>
      <c r="C1280" s="15">
        <f>WEEKNUM(Orders[[#This Row],[OrderDate]])</f>
        <v>40</v>
      </c>
      <c r="D1280" s="4" t="s">
        <v>52</v>
      </c>
      <c r="E1280" s="4" t="s">
        <v>60</v>
      </c>
      <c r="F1280" s="4">
        <v>2</v>
      </c>
      <c r="G1280" s="4">
        <v>16874.100000000002</v>
      </c>
      <c r="H1280">
        <v>14342.985000000002</v>
      </c>
      <c r="I1280">
        <f>Orders[[#This Row],[Quantity]]*Orders[[#This Row],[Selling Price]]</f>
        <v>33748.200000000004</v>
      </c>
      <c r="J1280">
        <f>Orders[[#This Row],[Quantity]]*Orders[[#This Row],[Cost Price]]</f>
        <v>28685.970000000005</v>
      </c>
      <c r="K1280">
        <f>Orders[[#This Row],[Revenue]]-Orders[[#This Row],[Expenses]]</f>
        <v>5062.2299999999996</v>
      </c>
      <c r="L1280" t="s">
        <v>2196</v>
      </c>
      <c r="M1280" t="str">
        <f>_xlfn.XLOOKUP(Orders[[#This Row],[CustomerID]],Customers[CustomerID],Customers[City])</f>
        <v>Texas</v>
      </c>
      <c r="N1280" t="str">
        <f>_xlfn.XLOOKUP(Orders[[#This Row],[CustomerID]],Customers[CustomerID],Customers[CustomerName])</f>
        <v>Folasade Ojo</v>
      </c>
      <c r="O1280" t="str">
        <f>_xlfn.XLOOKUP(Orders[[#This Row],[CustomerID]],Customers[CustomerID],Customers[Gender])</f>
        <v>Female</v>
      </c>
      <c r="P1280">
        <f>_xlfn.XLOOKUP(Orders[[#This Row],[CustomerID]],Customers[CustomerID],Customers[CustomerAge])</f>
        <v>29</v>
      </c>
      <c r="Q1280" t="str">
        <f>IF(Orders[[#This Row],[Age]]&gt;=35,"older","young")</f>
        <v>young</v>
      </c>
      <c r="R1280" t="str">
        <f>_xlfn.XLOOKUP(Orders[[#This Row],[ProductID]],Products[ProductID],Products[ProductName])</f>
        <v>SILVER RINGS</v>
      </c>
      <c r="S1280" t="str">
        <f>_xlfn.XLOOKUP(Orders[[#This Row],[ProductID]],Products!A:A,Products!C:C)</f>
        <v>Accessories</v>
      </c>
    </row>
    <row r="1281" spans="1:19" x14ac:dyDescent="0.2">
      <c r="A1281" s="4" t="s">
        <v>1470</v>
      </c>
      <c r="B1281" s="5">
        <v>45980</v>
      </c>
      <c r="C1281" s="15">
        <f>WEEKNUM(Orders[[#This Row],[OrderDate]])</f>
        <v>47</v>
      </c>
      <c r="D1281" s="4" t="s">
        <v>94</v>
      </c>
      <c r="E1281" s="4" t="s">
        <v>84</v>
      </c>
      <c r="F1281" s="4">
        <v>5</v>
      </c>
      <c r="G1281" s="4">
        <v>15723</v>
      </c>
      <c r="H1281">
        <v>13364.55</v>
      </c>
      <c r="I1281">
        <f>Orders[[#This Row],[Quantity]]*Orders[[#This Row],[Selling Price]]</f>
        <v>78615</v>
      </c>
      <c r="J1281">
        <f>Orders[[#This Row],[Quantity]]*Orders[[#This Row],[Cost Price]]</f>
        <v>66822.75</v>
      </c>
      <c r="K1281">
        <f>Orders[[#This Row],[Revenue]]-Orders[[#This Row],[Expenses]]</f>
        <v>11792.25</v>
      </c>
      <c r="L1281" t="s">
        <v>2195</v>
      </c>
      <c r="M1281" t="str">
        <f>_xlfn.XLOOKUP(Orders[[#This Row],[CustomerID]],Customers[CustomerID],Customers[City])</f>
        <v>Texas</v>
      </c>
      <c r="N1281" t="str">
        <f>_xlfn.XLOOKUP(Orders[[#This Row],[CustomerID]],Customers[CustomerID],Customers[CustomerName])</f>
        <v>Uche Abubakar</v>
      </c>
      <c r="O1281" t="str">
        <f>_xlfn.XLOOKUP(Orders[[#This Row],[CustomerID]],Customers[CustomerID],Customers[Gender])</f>
        <v>Male</v>
      </c>
      <c r="P1281">
        <f>_xlfn.XLOOKUP(Orders[[#This Row],[CustomerID]],Customers[CustomerID],Customers[CustomerAge])</f>
        <v>26</v>
      </c>
      <c r="Q1281" t="str">
        <f>IF(Orders[[#This Row],[Age]]&gt;=35,"older","young")</f>
        <v>young</v>
      </c>
      <c r="R1281" t="str">
        <f>_xlfn.XLOOKUP(Orders[[#This Row],[ProductID]],Products[ProductID],Products[ProductName])</f>
        <v>GYM WEARS</v>
      </c>
      <c r="S1281" t="str">
        <f>_xlfn.XLOOKUP(Orders[[#This Row],[ProductID]],Products!A:A,Products!C:C)</f>
        <v>Clothing</v>
      </c>
    </row>
    <row r="1282" spans="1:19" x14ac:dyDescent="0.2">
      <c r="A1282" s="4" t="s">
        <v>1471</v>
      </c>
      <c r="B1282" s="5">
        <v>46022</v>
      </c>
      <c r="C1282" s="15">
        <f>WEEKNUM(Orders[[#This Row],[OrderDate]])</f>
        <v>53</v>
      </c>
      <c r="D1282" s="4" t="s">
        <v>146</v>
      </c>
      <c r="E1282" s="4" t="s">
        <v>25</v>
      </c>
      <c r="F1282" s="4">
        <v>9</v>
      </c>
      <c r="G1282" s="4">
        <v>4682.7999999999993</v>
      </c>
      <c r="H1282">
        <v>3980.3799999999992</v>
      </c>
      <c r="I1282">
        <f>Orders[[#This Row],[Quantity]]*Orders[[#This Row],[Selling Price]]</f>
        <v>42145.2</v>
      </c>
      <c r="J1282">
        <f>Orders[[#This Row],[Quantity]]*Orders[[#This Row],[Cost Price]]</f>
        <v>35823.419999999991</v>
      </c>
      <c r="K1282">
        <f>Orders[[#This Row],[Revenue]]-Orders[[#This Row],[Expenses]]</f>
        <v>6321.7800000000061</v>
      </c>
      <c r="L1282" t="s">
        <v>2196</v>
      </c>
      <c r="M1282" t="str">
        <f>_xlfn.XLOOKUP(Orders[[#This Row],[CustomerID]],Customers[CustomerID],Customers[City])</f>
        <v>Texas</v>
      </c>
      <c r="N1282" t="str">
        <f>_xlfn.XLOOKUP(Orders[[#This Row],[CustomerID]],Customers[CustomerID],Customers[CustomerName])</f>
        <v>Mustafa Igwe</v>
      </c>
      <c r="O1282" t="str">
        <f>_xlfn.XLOOKUP(Orders[[#This Row],[CustomerID]],Customers[CustomerID],Customers[Gender])</f>
        <v>Male</v>
      </c>
      <c r="P1282">
        <f>_xlfn.XLOOKUP(Orders[[#This Row],[CustomerID]],Customers[CustomerID],Customers[CustomerAge])</f>
        <v>27</v>
      </c>
      <c r="Q1282" t="str">
        <f>IF(Orders[[#This Row],[Age]]&gt;=35,"older","young")</f>
        <v>young</v>
      </c>
      <c r="R1282" t="str">
        <f>_xlfn.XLOOKUP(Orders[[#This Row],[ProductID]],Products[ProductID],Products[ProductName])</f>
        <v>GOLD RINGS</v>
      </c>
      <c r="S1282" t="str">
        <f>_xlfn.XLOOKUP(Orders[[#This Row],[ProductID]],Products!A:A,Products!C:C)</f>
        <v>Accessories</v>
      </c>
    </row>
    <row r="1283" spans="1:19" x14ac:dyDescent="0.2">
      <c r="A1283" s="4" t="s">
        <v>1472</v>
      </c>
      <c r="B1283" s="5">
        <v>45976</v>
      </c>
      <c r="C1283" s="15">
        <f>WEEKNUM(Orders[[#This Row],[OrderDate]])</f>
        <v>46</v>
      </c>
      <c r="D1283" s="4" t="s">
        <v>237</v>
      </c>
      <c r="E1283" s="4" t="s">
        <v>20</v>
      </c>
      <c r="F1283" s="4">
        <v>7</v>
      </c>
      <c r="G1283" s="4">
        <v>3571.8</v>
      </c>
      <c r="H1283">
        <v>3036.03</v>
      </c>
      <c r="I1283">
        <f>Orders[[#This Row],[Quantity]]*Orders[[#This Row],[Selling Price]]</f>
        <v>25002.600000000002</v>
      </c>
      <c r="J1283">
        <f>Orders[[#This Row],[Quantity]]*Orders[[#This Row],[Cost Price]]</f>
        <v>21252.210000000003</v>
      </c>
      <c r="K1283">
        <f>Orders[[#This Row],[Revenue]]-Orders[[#This Row],[Expenses]]</f>
        <v>3750.3899999999994</v>
      </c>
      <c r="L1283" t="s">
        <v>2206</v>
      </c>
      <c r="M1283" t="str">
        <f>_xlfn.XLOOKUP(Orders[[#This Row],[CustomerID]],Customers[CustomerID],Customers[City])</f>
        <v>Florida</v>
      </c>
      <c r="N1283" t="str">
        <f>_xlfn.XLOOKUP(Orders[[#This Row],[CustomerID]],Customers[CustomerID],Customers[CustomerName])</f>
        <v>Ronke Danladi</v>
      </c>
      <c r="O1283" t="str">
        <f>_xlfn.XLOOKUP(Orders[[#This Row],[CustomerID]],Customers[CustomerID],Customers[Gender])</f>
        <v>Female</v>
      </c>
      <c r="P1283">
        <f>_xlfn.XLOOKUP(Orders[[#This Row],[CustomerID]],Customers[CustomerID],Customers[CustomerAge])</f>
        <v>25</v>
      </c>
      <c r="Q1283" t="str">
        <f>IF(Orders[[#This Row],[Age]]&gt;=35,"older","young")</f>
        <v>young</v>
      </c>
      <c r="R1283" t="str">
        <f>_xlfn.XLOOKUP(Orders[[#This Row],[ProductID]],Products[ProductID],Products[ProductName])</f>
        <v>GYM BAG</v>
      </c>
      <c r="S1283" t="str">
        <f>_xlfn.XLOOKUP(Orders[[#This Row],[ProductID]],Products!A:A,Products!C:C)</f>
        <v>Gym</v>
      </c>
    </row>
    <row r="1284" spans="1:19" x14ac:dyDescent="0.2">
      <c r="A1284" s="4" t="s">
        <v>1473</v>
      </c>
      <c r="B1284" s="5">
        <v>45999</v>
      </c>
      <c r="C1284" s="15">
        <f>WEEKNUM(Orders[[#This Row],[OrderDate]])</f>
        <v>50</v>
      </c>
      <c r="D1284" s="4" t="s">
        <v>293</v>
      </c>
      <c r="E1284" s="4" t="s">
        <v>120</v>
      </c>
      <c r="F1284" s="4">
        <v>8</v>
      </c>
      <c r="G1284" s="4">
        <v>6811.2</v>
      </c>
      <c r="H1284">
        <v>5789.5199999999995</v>
      </c>
      <c r="I1284">
        <f>Orders[[#This Row],[Quantity]]*Orders[[#This Row],[Selling Price]]</f>
        <v>54489.599999999999</v>
      </c>
      <c r="J1284">
        <f>Orders[[#This Row],[Quantity]]*Orders[[#This Row],[Cost Price]]</f>
        <v>46316.159999999996</v>
      </c>
      <c r="K1284">
        <f>Orders[[#This Row],[Revenue]]-Orders[[#This Row],[Expenses]]</f>
        <v>8173.4400000000023</v>
      </c>
      <c r="L1284" t="s">
        <v>2218</v>
      </c>
      <c r="M1284" t="str">
        <f>_xlfn.XLOOKUP(Orders[[#This Row],[CustomerID]],Customers[CustomerID],Customers[City])</f>
        <v>Florida</v>
      </c>
      <c r="N1284" t="str">
        <f>_xlfn.XLOOKUP(Orders[[#This Row],[CustomerID]],Customers[CustomerID],Customers[CustomerName])</f>
        <v>Tunde Eze</v>
      </c>
      <c r="O1284" t="str">
        <f>_xlfn.XLOOKUP(Orders[[#This Row],[CustomerID]],Customers[CustomerID],Customers[Gender])</f>
        <v>Male</v>
      </c>
      <c r="P1284">
        <f>_xlfn.XLOOKUP(Orders[[#This Row],[CustomerID]],Customers[CustomerID],Customers[CustomerAge])</f>
        <v>46</v>
      </c>
      <c r="Q1284" t="str">
        <f>IF(Orders[[#This Row],[Age]]&gt;=35,"older","young")</f>
        <v>older</v>
      </c>
      <c r="R1284" t="str">
        <f>_xlfn.XLOOKUP(Orders[[#This Row],[ProductID]],Products[ProductID],Products[ProductName])</f>
        <v>CHESS</v>
      </c>
      <c r="S1284" t="str">
        <f>_xlfn.XLOOKUP(Orders[[#This Row],[ProductID]],Products!A:A,Products!C:C)</f>
        <v>Games</v>
      </c>
    </row>
    <row r="1285" spans="1:19" x14ac:dyDescent="0.2">
      <c r="A1285" s="4" t="s">
        <v>1474</v>
      </c>
      <c r="B1285" s="5">
        <v>46014</v>
      </c>
      <c r="C1285" s="15">
        <f>WEEKNUM(Orders[[#This Row],[OrderDate]])</f>
        <v>52</v>
      </c>
      <c r="D1285" s="4" t="s">
        <v>400</v>
      </c>
      <c r="E1285" s="4" t="s">
        <v>151</v>
      </c>
      <c r="F1285" s="4">
        <v>4</v>
      </c>
      <c r="G1285" s="4">
        <v>6552.3</v>
      </c>
      <c r="H1285">
        <v>5569.4549999999999</v>
      </c>
      <c r="I1285">
        <f>Orders[[#This Row],[Quantity]]*Orders[[#This Row],[Selling Price]]</f>
        <v>26209.200000000001</v>
      </c>
      <c r="J1285">
        <f>Orders[[#This Row],[Quantity]]*Orders[[#This Row],[Cost Price]]</f>
        <v>22277.82</v>
      </c>
      <c r="K1285">
        <f>Orders[[#This Row],[Revenue]]-Orders[[#This Row],[Expenses]]</f>
        <v>3931.380000000001</v>
      </c>
      <c r="L1285" t="s">
        <v>2199</v>
      </c>
      <c r="M1285" t="str">
        <f>_xlfn.XLOOKUP(Orders[[#This Row],[CustomerID]],Customers[CustomerID],Customers[City])</f>
        <v>Florida</v>
      </c>
      <c r="N1285" t="str">
        <f>_xlfn.XLOOKUP(Orders[[#This Row],[CustomerID]],Customers[CustomerID],Customers[CustomerName])</f>
        <v>Obi Igwe</v>
      </c>
      <c r="O1285" t="str">
        <f>_xlfn.XLOOKUP(Orders[[#This Row],[CustomerID]],Customers[CustomerID],Customers[Gender])</f>
        <v>Male</v>
      </c>
      <c r="P1285">
        <f>_xlfn.XLOOKUP(Orders[[#This Row],[CustomerID]],Customers[CustomerID],Customers[CustomerAge])</f>
        <v>35</v>
      </c>
      <c r="Q1285" t="str">
        <f>IF(Orders[[#This Row],[Age]]&gt;=35,"older","young")</f>
        <v>older</v>
      </c>
      <c r="R1285" t="str">
        <f>_xlfn.XLOOKUP(Orders[[#This Row],[ProductID]],Products[ProductID],Products[ProductName])</f>
        <v>CHECKERS</v>
      </c>
      <c r="S1285" t="str">
        <f>_xlfn.XLOOKUP(Orders[[#This Row],[ProductID]],Products!A:A,Products!C:C)</f>
        <v>Games</v>
      </c>
    </row>
    <row r="1286" spans="1:19" x14ac:dyDescent="0.2">
      <c r="A1286" s="4" t="s">
        <v>1475</v>
      </c>
      <c r="B1286" s="5">
        <v>45958</v>
      </c>
      <c r="C1286" s="15">
        <f>WEEKNUM(Orders[[#This Row],[OrderDate]])</f>
        <v>44</v>
      </c>
      <c r="D1286" s="4" t="s">
        <v>340</v>
      </c>
      <c r="E1286" s="4" t="s">
        <v>60</v>
      </c>
      <c r="F1286" s="4">
        <v>3</v>
      </c>
      <c r="G1286" s="4">
        <v>9228.7000000000007</v>
      </c>
      <c r="H1286">
        <v>7844.3950000000004</v>
      </c>
      <c r="I1286">
        <f>Orders[[#This Row],[Quantity]]*Orders[[#This Row],[Selling Price]]</f>
        <v>27686.100000000002</v>
      </c>
      <c r="J1286">
        <f>Orders[[#This Row],[Quantity]]*Orders[[#This Row],[Cost Price]]</f>
        <v>23533.185000000001</v>
      </c>
      <c r="K1286">
        <f>Orders[[#This Row],[Revenue]]-Orders[[#This Row],[Expenses]]</f>
        <v>4152.9150000000009</v>
      </c>
      <c r="L1286" t="s">
        <v>2195</v>
      </c>
      <c r="M1286" t="str">
        <f>_xlfn.XLOOKUP(Orders[[#This Row],[CustomerID]],Customers[CustomerID],Customers[City])</f>
        <v>Illinois</v>
      </c>
      <c r="N1286" t="str">
        <f>_xlfn.XLOOKUP(Orders[[#This Row],[CustomerID]],Customers[CustomerID],Customers[CustomerName])</f>
        <v>Uche Abubakar</v>
      </c>
      <c r="O1286" t="str">
        <f>_xlfn.XLOOKUP(Orders[[#This Row],[CustomerID]],Customers[CustomerID],Customers[Gender])</f>
        <v>Male</v>
      </c>
      <c r="P1286">
        <f>_xlfn.XLOOKUP(Orders[[#This Row],[CustomerID]],Customers[CustomerID],Customers[CustomerAge])</f>
        <v>18</v>
      </c>
      <c r="Q1286" t="str">
        <f>IF(Orders[[#This Row],[Age]]&gt;=35,"older","young")</f>
        <v>young</v>
      </c>
      <c r="R1286" t="str">
        <f>_xlfn.XLOOKUP(Orders[[#This Row],[ProductID]],Products[ProductID],Products[ProductName])</f>
        <v>SILVER RINGS</v>
      </c>
      <c r="S1286" t="str">
        <f>_xlfn.XLOOKUP(Orders[[#This Row],[ProductID]],Products!A:A,Products!C:C)</f>
        <v>Accessories</v>
      </c>
    </row>
    <row r="1287" spans="1:19" x14ac:dyDescent="0.2">
      <c r="A1287" s="4" t="s">
        <v>1476</v>
      </c>
      <c r="B1287" s="5">
        <v>45981</v>
      </c>
      <c r="C1287" s="15">
        <f>WEEKNUM(Orders[[#This Row],[OrderDate]])</f>
        <v>47</v>
      </c>
      <c r="D1287" s="4" t="s">
        <v>410</v>
      </c>
      <c r="E1287" s="4" t="s">
        <v>46</v>
      </c>
      <c r="F1287" s="4">
        <v>4</v>
      </c>
      <c r="G1287" s="4">
        <v>5235.1000000000004</v>
      </c>
      <c r="H1287">
        <v>4449.835</v>
      </c>
      <c r="I1287">
        <f>Orders[[#This Row],[Quantity]]*Orders[[#This Row],[Selling Price]]</f>
        <v>20940.400000000001</v>
      </c>
      <c r="J1287">
        <f>Orders[[#This Row],[Quantity]]*Orders[[#This Row],[Cost Price]]</f>
        <v>17799.34</v>
      </c>
      <c r="K1287">
        <f>Orders[[#This Row],[Revenue]]-Orders[[#This Row],[Expenses]]</f>
        <v>3141.0600000000013</v>
      </c>
      <c r="L1287" t="s">
        <v>2196</v>
      </c>
      <c r="M1287" t="str">
        <f>_xlfn.XLOOKUP(Orders[[#This Row],[CustomerID]],Customers[CustomerID],Customers[City])</f>
        <v>Texas</v>
      </c>
      <c r="N1287" t="str">
        <f>_xlfn.XLOOKUP(Orders[[#This Row],[CustomerID]],Customers[CustomerID],Customers[CustomerName])</f>
        <v>Jane Thomas</v>
      </c>
      <c r="O1287" t="str">
        <f>_xlfn.XLOOKUP(Orders[[#This Row],[CustomerID]],Customers[CustomerID],Customers[Gender])</f>
        <v>Male</v>
      </c>
      <c r="P1287">
        <f>_xlfn.XLOOKUP(Orders[[#This Row],[CustomerID]],Customers[CustomerID],Customers[CustomerAge])</f>
        <v>21</v>
      </c>
      <c r="Q1287" t="str">
        <f>IF(Orders[[#This Row],[Age]]&gt;=35,"older","young")</f>
        <v>young</v>
      </c>
      <c r="R1287" t="str">
        <f>_xlfn.XLOOKUP(Orders[[#This Row],[ProductID]],Products[ProductID],Products[ProductName])</f>
        <v>TURTLE NECK</v>
      </c>
      <c r="S1287" t="str">
        <f>_xlfn.XLOOKUP(Orders[[#This Row],[ProductID]],Products!A:A,Products!C:C)</f>
        <v>Clothing</v>
      </c>
    </row>
    <row r="1288" spans="1:19" x14ac:dyDescent="0.2">
      <c r="A1288" s="4" t="s">
        <v>1477</v>
      </c>
      <c r="B1288" s="5">
        <v>46003</v>
      </c>
      <c r="C1288" s="15">
        <f>WEEKNUM(Orders[[#This Row],[OrderDate]])</f>
        <v>50</v>
      </c>
      <c r="D1288" s="4" t="s">
        <v>80</v>
      </c>
      <c r="E1288" s="4" t="s">
        <v>37</v>
      </c>
      <c r="F1288" s="4">
        <v>5</v>
      </c>
      <c r="G1288" s="4">
        <v>17278.399999999998</v>
      </c>
      <c r="H1288">
        <v>14686.639999999998</v>
      </c>
      <c r="I1288">
        <f>Orders[[#This Row],[Quantity]]*Orders[[#This Row],[Selling Price]]</f>
        <v>86391.999999999985</v>
      </c>
      <c r="J1288">
        <f>Orders[[#This Row],[Quantity]]*Orders[[#This Row],[Cost Price]]</f>
        <v>73433.199999999983</v>
      </c>
      <c r="K1288">
        <f>Orders[[#This Row],[Revenue]]-Orders[[#This Row],[Expenses]]</f>
        <v>12958.800000000003</v>
      </c>
      <c r="L1288" t="s">
        <v>2208</v>
      </c>
      <c r="M1288" t="str">
        <f>_xlfn.XLOOKUP(Orders[[#This Row],[CustomerID]],Customers[CustomerID],Customers[City])</f>
        <v>Texas</v>
      </c>
      <c r="N1288" t="str">
        <f>_xlfn.XLOOKUP(Orders[[#This Row],[CustomerID]],Customers[CustomerID],Customers[CustomerName])</f>
        <v>Sani Ojo</v>
      </c>
      <c r="O1288" t="str">
        <f>_xlfn.XLOOKUP(Orders[[#This Row],[CustomerID]],Customers[CustomerID],Customers[Gender])</f>
        <v>Male</v>
      </c>
      <c r="P1288">
        <f>_xlfn.XLOOKUP(Orders[[#This Row],[CustomerID]],Customers[CustomerID],Customers[CustomerAge])</f>
        <v>35</v>
      </c>
      <c r="Q1288" t="str">
        <f>IF(Orders[[#This Row],[Age]]&gt;=35,"older","young")</f>
        <v>older</v>
      </c>
      <c r="R1288" t="str">
        <f>_xlfn.XLOOKUP(Orders[[#This Row],[ProductID]],Products[ProductID],Products[ProductName])</f>
        <v>IRON</v>
      </c>
      <c r="S1288" t="str">
        <f>_xlfn.XLOOKUP(Orders[[#This Row],[ProductID]],Products!A:A,Products!C:C)</f>
        <v>Electronics</v>
      </c>
    </row>
    <row r="1289" spans="1:19" x14ac:dyDescent="0.2">
      <c r="A1289" s="4" t="s">
        <v>1478</v>
      </c>
      <c r="B1289" s="5">
        <v>45981</v>
      </c>
      <c r="C1289" s="15">
        <f>WEEKNUM(Orders[[#This Row],[OrderDate]])</f>
        <v>47</v>
      </c>
      <c r="D1289" s="4" t="s">
        <v>227</v>
      </c>
      <c r="E1289" s="4" t="s">
        <v>76</v>
      </c>
      <c r="F1289" s="4">
        <v>7</v>
      </c>
      <c r="G1289" s="4">
        <v>3832.1</v>
      </c>
      <c r="H1289">
        <v>3257.2849999999999</v>
      </c>
      <c r="I1289">
        <f>Orders[[#This Row],[Quantity]]*Orders[[#This Row],[Selling Price]]</f>
        <v>26824.7</v>
      </c>
      <c r="J1289">
        <f>Orders[[#This Row],[Quantity]]*Orders[[#This Row],[Cost Price]]</f>
        <v>22800.994999999999</v>
      </c>
      <c r="K1289">
        <f>Orders[[#This Row],[Revenue]]-Orders[[#This Row],[Expenses]]</f>
        <v>4023.7050000000017</v>
      </c>
      <c r="L1289" t="s">
        <v>2209</v>
      </c>
      <c r="M1289" t="str">
        <f>_xlfn.XLOOKUP(Orders[[#This Row],[CustomerID]],Customers[CustomerID],Customers[City])</f>
        <v>Washington</v>
      </c>
      <c r="N1289" t="str">
        <f>_xlfn.XLOOKUP(Orders[[#This Row],[CustomerID]],Customers[CustomerID],Customers[CustomerName])</f>
        <v>Emmanuel Victor</v>
      </c>
      <c r="O1289" t="str">
        <f>_xlfn.XLOOKUP(Orders[[#This Row],[CustomerID]],Customers[CustomerID],Customers[Gender])</f>
        <v>Male</v>
      </c>
      <c r="P1289">
        <f>_xlfn.XLOOKUP(Orders[[#This Row],[CustomerID]],Customers[CustomerID],Customers[CustomerAge])</f>
        <v>35</v>
      </c>
      <c r="Q1289" t="str">
        <f>IF(Orders[[#This Row],[Age]]&gt;=35,"older","young")</f>
        <v>older</v>
      </c>
      <c r="R1289" t="str">
        <f>_xlfn.XLOOKUP(Orders[[#This Row],[ProductID]],Products[ProductID],Products[ProductName])</f>
        <v>BLENDER</v>
      </c>
      <c r="S1289" t="str">
        <f>_xlfn.XLOOKUP(Orders[[#This Row],[ProductID]],Products!A:A,Products!C:C)</f>
        <v>Electronics</v>
      </c>
    </row>
    <row r="1290" spans="1:19" x14ac:dyDescent="0.2">
      <c r="A1290" s="4" t="s">
        <v>1479</v>
      </c>
      <c r="B1290" s="5">
        <v>45946</v>
      </c>
      <c r="C1290" s="15">
        <f>WEEKNUM(Orders[[#This Row],[OrderDate]])</f>
        <v>42</v>
      </c>
      <c r="D1290" s="4" t="s">
        <v>388</v>
      </c>
      <c r="E1290" s="4" t="s">
        <v>57</v>
      </c>
      <c r="F1290" s="4">
        <v>9</v>
      </c>
      <c r="G1290" s="4">
        <v>19531.900000000001</v>
      </c>
      <c r="H1290">
        <v>16602.115000000002</v>
      </c>
      <c r="I1290">
        <f>Orders[[#This Row],[Quantity]]*Orders[[#This Row],[Selling Price]]</f>
        <v>175787.1</v>
      </c>
      <c r="J1290">
        <f>Orders[[#This Row],[Quantity]]*Orders[[#This Row],[Cost Price]]</f>
        <v>149419.035</v>
      </c>
      <c r="K1290">
        <f>Orders[[#This Row],[Revenue]]-Orders[[#This Row],[Expenses]]</f>
        <v>26368.065000000002</v>
      </c>
      <c r="L1290" t="s">
        <v>2219</v>
      </c>
      <c r="M1290" t="str">
        <f>_xlfn.XLOOKUP(Orders[[#This Row],[CustomerID]],Customers[CustomerID],Customers[City])</f>
        <v>Washington</v>
      </c>
      <c r="N1290" t="str">
        <f>_xlfn.XLOOKUP(Orders[[#This Row],[CustomerID]],Customers[CustomerID],Customers[CustomerName])</f>
        <v>Folasade Okonkwo</v>
      </c>
      <c r="O1290" t="str">
        <f>_xlfn.XLOOKUP(Orders[[#This Row],[CustomerID]],Customers[CustomerID],Customers[Gender])</f>
        <v>Female</v>
      </c>
      <c r="P1290">
        <f>_xlfn.XLOOKUP(Orders[[#This Row],[CustomerID]],Customers[CustomerID],Customers[CustomerAge])</f>
        <v>52</v>
      </c>
      <c r="Q1290" t="str">
        <f>IF(Orders[[#This Row],[Age]]&gt;=35,"older","young")</f>
        <v>older</v>
      </c>
      <c r="R1290" t="str">
        <f>_xlfn.XLOOKUP(Orders[[#This Row],[ProductID]],Products[ProductID],Products[ProductName])</f>
        <v>BADMINTON RACKET</v>
      </c>
      <c r="S1290" t="str">
        <f>_xlfn.XLOOKUP(Orders[[#This Row],[ProductID]],Products!A:A,Products!C:C)</f>
        <v>Sports</v>
      </c>
    </row>
    <row r="1291" spans="1:19" x14ac:dyDescent="0.2">
      <c r="A1291" s="4" t="s">
        <v>1480</v>
      </c>
      <c r="B1291" s="5">
        <v>45980</v>
      </c>
      <c r="C1291" s="15">
        <f>WEEKNUM(Orders[[#This Row],[OrderDate]])</f>
        <v>47</v>
      </c>
      <c r="D1291" s="4" t="s">
        <v>439</v>
      </c>
      <c r="E1291" s="4" t="s">
        <v>151</v>
      </c>
      <c r="F1291" s="4">
        <v>2</v>
      </c>
      <c r="G1291" s="4">
        <v>1612.7</v>
      </c>
      <c r="H1291">
        <v>1370.7950000000001</v>
      </c>
      <c r="I1291">
        <f>Orders[[#This Row],[Quantity]]*Orders[[#This Row],[Selling Price]]</f>
        <v>3225.4</v>
      </c>
      <c r="J1291">
        <f>Orders[[#This Row],[Quantity]]*Orders[[#This Row],[Cost Price]]</f>
        <v>2741.59</v>
      </c>
      <c r="K1291">
        <f>Orders[[#This Row],[Revenue]]-Orders[[#This Row],[Expenses]]</f>
        <v>483.80999999999995</v>
      </c>
      <c r="L1291" t="s">
        <v>2199</v>
      </c>
      <c r="M1291" t="str">
        <f>_xlfn.XLOOKUP(Orders[[#This Row],[CustomerID]],Customers[CustomerID],Customers[City])</f>
        <v>Texas</v>
      </c>
      <c r="N1291" t="str">
        <f>_xlfn.XLOOKUP(Orders[[#This Row],[CustomerID]],Customers[CustomerID],Customers[CustomerName])</f>
        <v>Efe Abubakar</v>
      </c>
      <c r="O1291" t="str">
        <f>_xlfn.XLOOKUP(Orders[[#This Row],[CustomerID]],Customers[CustomerID],Customers[Gender])</f>
        <v>Female</v>
      </c>
      <c r="P1291">
        <f>_xlfn.XLOOKUP(Orders[[#This Row],[CustomerID]],Customers[CustomerID],Customers[CustomerAge])</f>
        <v>50</v>
      </c>
      <c r="Q1291" t="str">
        <f>IF(Orders[[#This Row],[Age]]&gt;=35,"older","young")</f>
        <v>older</v>
      </c>
      <c r="R1291" t="str">
        <f>_xlfn.XLOOKUP(Orders[[#This Row],[ProductID]],Products[ProductID],Products[ProductName])</f>
        <v>CHECKERS</v>
      </c>
      <c r="S1291" t="str">
        <f>_xlfn.XLOOKUP(Orders[[#This Row],[ProductID]],Products!A:A,Products!C:C)</f>
        <v>Games</v>
      </c>
    </row>
    <row r="1292" spans="1:19" x14ac:dyDescent="0.2">
      <c r="A1292" s="4" t="s">
        <v>1481</v>
      </c>
      <c r="B1292" s="5">
        <v>45932</v>
      </c>
      <c r="C1292" s="15">
        <f>WEEKNUM(Orders[[#This Row],[OrderDate]])</f>
        <v>40</v>
      </c>
      <c r="D1292" s="4" t="s">
        <v>50</v>
      </c>
      <c r="E1292" s="4" t="s">
        <v>125</v>
      </c>
      <c r="F1292" s="4">
        <v>10</v>
      </c>
      <c r="G1292" s="4">
        <v>8699.7000000000007</v>
      </c>
      <c r="H1292">
        <v>7394.7450000000008</v>
      </c>
      <c r="I1292">
        <f>Orders[[#This Row],[Quantity]]*Orders[[#This Row],[Selling Price]]</f>
        <v>86997</v>
      </c>
      <c r="J1292">
        <f>Orders[[#This Row],[Quantity]]*Orders[[#This Row],[Cost Price]]</f>
        <v>73947.450000000012</v>
      </c>
      <c r="K1292">
        <f>Orders[[#This Row],[Revenue]]-Orders[[#This Row],[Expenses]]</f>
        <v>13049.549999999988</v>
      </c>
      <c r="L1292" t="s">
        <v>2210</v>
      </c>
      <c r="M1292" t="str">
        <f>_xlfn.XLOOKUP(Orders[[#This Row],[CustomerID]],Customers[CustomerID],Customers[City])</f>
        <v>California</v>
      </c>
      <c r="N1292" t="str">
        <f>_xlfn.XLOOKUP(Orders[[#This Row],[CustomerID]],Customers[CustomerID],Customers[CustomerName])</f>
        <v>Funke Danladi</v>
      </c>
      <c r="O1292" t="str">
        <f>_xlfn.XLOOKUP(Orders[[#This Row],[CustomerID]],Customers[CustomerID],Customers[Gender])</f>
        <v>Female</v>
      </c>
      <c r="P1292">
        <f>_xlfn.XLOOKUP(Orders[[#This Row],[CustomerID]],Customers[CustomerID],Customers[CustomerAge])</f>
        <v>31</v>
      </c>
      <c r="Q1292" t="str">
        <f>IF(Orders[[#This Row],[Age]]&gt;=35,"older","young")</f>
        <v>young</v>
      </c>
      <c r="R1292" t="str">
        <f>_xlfn.XLOOKUP(Orders[[#This Row],[ProductID]],Products[ProductID],Products[ProductName])</f>
        <v>EARRINGS</v>
      </c>
      <c r="S1292" t="str">
        <f>_xlfn.XLOOKUP(Orders[[#This Row],[ProductID]],Products!A:A,Products!C:C)</f>
        <v>Accessories</v>
      </c>
    </row>
    <row r="1293" spans="1:19" x14ac:dyDescent="0.2">
      <c r="A1293" s="4" t="s">
        <v>1482</v>
      </c>
      <c r="B1293" s="5">
        <v>46020</v>
      </c>
      <c r="C1293" s="15">
        <f>WEEKNUM(Orders[[#This Row],[OrderDate]])</f>
        <v>53</v>
      </c>
      <c r="D1293" s="4" t="s">
        <v>287</v>
      </c>
      <c r="E1293" s="4" t="s">
        <v>63</v>
      </c>
      <c r="F1293" s="4">
        <v>10</v>
      </c>
      <c r="G1293" s="4">
        <v>5888.5</v>
      </c>
      <c r="H1293">
        <v>5005.2250000000004</v>
      </c>
      <c r="I1293">
        <f>Orders[[#This Row],[Quantity]]*Orders[[#This Row],[Selling Price]]</f>
        <v>58885</v>
      </c>
      <c r="J1293">
        <f>Orders[[#This Row],[Quantity]]*Orders[[#This Row],[Cost Price]]</f>
        <v>50052.25</v>
      </c>
      <c r="K1293">
        <f>Orders[[#This Row],[Revenue]]-Orders[[#This Row],[Expenses]]</f>
        <v>8832.75</v>
      </c>
      <c r="L1293" t="s">
        <v>2208</v>
      </c>
      <c r="M1293" t="str">
        <f>_xlfn.XLOOKUP(Orders[[#This Row],[CustomerID]],Customers[CustomerID],Customers[City])</f>
        <v>Texas</v>
      </c>
      <c r="N1293" t="str">
        <f>_xlfn.XLOOKUP(Orders[[#This Row],[CustomerID]],Customers[CustomerID],Customers[CustomerName])</f>
        <v>Okon Obi</v>
      </c>
      <c r="O1293" t="str">
        <f>_xlfn.XLOOKUP(Orders[[#This Row],[CustomerID]],Customers[CustomerID],Customers[Gender])</f>
        <v>Male</v>
      </c>
      <c r="P1293">
        <f>_xlfn.XLOOKUP(Orders[[#This Row],[CustomerID]],Customers[CustomerID],Customers[CustomerAge])</f>
        <v>55</v>
      </c>
      <c r="Q1293" t="str">
        <f>IF(Orders[[#This Row],[Age]]&gt;=35,"older","young")</f>
        <v>older</v>
      </c>
      <c r="R1293" t="str">
        <f>_xlfn.XLOOKUP(Orders[[#This Row],[ProductID]],Products[ProductID],Products[ProductName])</f>
        <v>TENNIS BAT</v>
      </c>
      <c r="S1293" t="str">
        <f>_xlfn.XLOOKUP(Orders[[#This Row],[ProductID]],Products!A:A,Products!C:C)</f>
        <v>Sports</v>
      </c>
    </row>
    <row r="1294" spans="1:19" x14ac:dyDescent="0.2">
      <c r="A1294" s="4" t="s">
        <v>1483</v>
      </c>
      <c r="B1294" s="5">
        <v>45986</v>
      </c>
      <c r="C1294" s="15">
        <f>WEEKNUM(Orders[[#This Row],[OrderDate]])</f>
        <v>48</v>
      </c>
      <c r="D1294" s="4" t="s">
        <v>246</v>
      </c>
      <c r="E1294" s="4" t="s">
        <v>25</v>
      </c>
      <c r="F1294" s="4">
        <v>7</v>
      </c>
      <c r="G1294" s="4">
        <v>13935.599999999999</v>
      </c>
      <c r="H1294">
        <v>11845.259999999998</v>
      </c>
      <c r="I1294">
        <f>Orders[[#This Row],[Quantity]]*Orders[[#This Row],[Selling Price]]</f>
        <v>97549.199999999983</v>
      </c>
      <c r="J1294">
        <f>Orders[[#This Row],[Quantity]]*Orders[[#This Row],[Cost Price]]</f>
        <v>82916.819999999992</v>
      </c>
      <c r="K1294">
        <f>Orders[[#This Row],[Revenue]]-Orders[[#This Row],[Expenses]]</f>
        <v>14632.37999999999</v>
      </c>
      <c r="L1294" t="s">
        <v>2194</v>
      </c>
      <c r="M1294" t="str">
        <f>_xlfn.XLOOKUP(Orders[[#This Row],[CustomerID]],Customers[CustomerID],Customers[City])</f>
        <v>Florida</v>
      </c>
      <c r="N1294" t="str">
        <f>_xlfn.XLOOKUP(Orders[[#This Row],[CustomerID]],Customers[CustomerID],Customers[CustomerName])</f>
        <v>Emeka Abubakar</v>
      </c>
      <c r="O1294" t="str">
        <f>_xlfn.XLOOKUP(Orders[[#This Row],[CustomerID]],Customers[CustomerID],Customers[Gender])</f>
        <v>Male</v>
      </c>
      <c r="P1294">
        <f>_xlfn.XLOOKUP(Orders[[#This Row],[CustomerID]],Customers[CustomerID],Customers[CustomerAge])</f>
        <v>28</v>
      </c>
      <c r="Q1294" t="str">
        <f>IF(Orders[[#This Row],[Age]]&gt;=35,"older","young")</f>
        <v>young</v>
      </c>
      <c r="R1294" t="str">
        <f>_xlfn.XLOOKUP(Orders[[#This Row],[ProductID]],Products[ProductID],Products[ProductName])</f>
        <v>GOLD RINGS</v>
      </c>
      <c r="S1294" t="str">
        <f>_xlfn.XLOOKUP(Orders[[#This Row],[ProductID]],Products!A:A,Products!C:C)</f>
        <v>Accessories</v>
      </c>
    </row>
    <row r="1295" spans="1:19" x14ac:dyDescent="0.2">
      <c r="A1295" s="4" t="s">
        <v>1484</v>
      </c>
      <c r="B1295" s="5">
        <v>46020</v>
      </c>
      <c r="C1295" s="15">
        <f>WEEKNUM(Orders[[#This Row],[OrderDate]])</f>
        <v>53</v>
      </c>
      <c r="D1295" s="4" t="s">
        <v>481</v>
      </c>
      <c r="E1295" s="4" t="s">
        <v>23</v>
      </c>
      <c r="F1295" s="4">
        <v>7</v>
      </c>
      <c r="G1295" s="4">
        <v>10511.099999999999</v>
      </c>
      <c r="H1295">
        <v>8934.4349999999995</v>
      </c>
      <c r="I1295">
        <f>Orders[[#This Row],[Quantity]]*Orders[[#This Row],[Selling Price]]</f>
        <v>73577.699999999983</v>
      </c>
      <c r="J1295">
        <f>Orders[[#This Row],[Quantity]]*Orders[[#This Row],[Cost Price]]</f>
        <v>62541.044999999998</v>
      </c>
      <c r="K1295">
        <f>Orders[[#This Row],[Revenue]]-Orders[[#This Row],[Expenses]]</f>
        <v>11036.654999999984</v>
      </c>
      <c r="L1295" t="s">
        <v>2219</v>
      </c>
      <c r="M1295" t="str">
        <f>_xlfn.XLOOKUP(Orders[[#This Row],[CustomerID]],Customers[CustomerID],Customers[City])</f>
        <v>Illinois</v>
      </c>
      <c r="N1295" t="str">
        <f>_xlfn.XLOOKUP(Orders[[#This Row],[CustomerID]],Customers[CustomerID],Customers[CustomerName])</f>
        <v>Abiola Bello</v>
      </c>
      <c r="O1295" t="str">
        <f>_xlfn.XLOOKUP(Orders[[#This Row],[CustomerID]],Customers[CustomerID],Customers[Gender])</f>
        <v>Male</v>
      </c>
      <c r="P1295">
        <f>_xlfn.XLOOKUP(Orders[[#This Row],[CustomerID]],Customers[CustomerID],Customers[CustomerAge])</f>
        <v>33</v>
      </c>
      <c r="Q1295" t="str">
        <f>IF(Orders[[#This Row],[Age]]&gt;=35,"older","young")</f>
        <v>young</v>
      </c>
      <c r="R1295" t="str">
        <f>_xlfn.XLOOKUP(Orders[[#This Row],[ProductID]],Products[ProductID],Products[ProductName])</f>
        <v>GYM GLOVES</v>
      </c>
      <c r="S1295" t="str">
        <f>_xlfn.XLOOKUP(Orders[[#This Row],[ProductID]],Products!A:A,Products!C:C)</f>
        <v>Gym</v>
      </c>
    </row>
    <row r="1296" spans="1:19" x14ac:dyDescent="0.2">
      <c r="A1296" s="4" t="s">
        <v>1485</v>
      </c>
      <c r="B1296" s="5">
        <v>45939</v>
      </c>
      <c r="C1296" s="15">
        <f>WEEKNUM(Orders[[#This Row],[OrderDate]])</f>
        <v>41</v>
      </c>
      <c r="D1296" s="4" t="s">
        <v>272</v>
      </c>
      <c r="E1296" s="4" t="s">
        <v>189</v>
      </c>
      <c r="F1296" s="4">
        <v>9</v>
      </c>
      <c r="G1296" s="4">
        <v>13208.800000000001</v>
      </c>
      <c r="H1296">
        <v>11227.480000000001</v>
      </c>
      <c r="I1296">
        <f>Orders[[#This Row],[Quantity]]*Orders[[#This Row],[Selling Price]]</f>
        <v>118879.20000000001</v>
      </c>
      <c r="J1296">
        <f>Orders[[#This Row],[Quantity]]*Orders[[#This Row],[Cost Price]]</f>
        <v>101047.32</v>
      </c>
      <c r="K1296">
        <f>Orders[[#This Row],[Revenue]]-Orders[[#This Row],[Expenses]]</f>
        <v>17831.880000000005</v>
      </c>
      <c r="L1296" t="s">
        <v>2208</v>
      </c>
      <c r="M1296" t="str">
        <f>_xlfn.XLOOKUP(Orders[[#This Row],[CustomerID]],Customers[CustomerID],Customers[City])</f>
        <v>Florida</v>
      </c>
      <c r="N1296" t="str">
        <f>_xlfn.XLOOKUP(Orders[[#This Row],[CustomerID]],Customers[CustomerID],Customers[CustomerName])</f>
        <v>Blessing Bello</v>
      </c>
      <c r="O1296" t="str">
        <f>_xlfn.XLOOKUP(Orders[[#This Row],[CustomerID]],Customers[CustomerID],Customers[Gender])</f>
        <v>Female</v>
      </c>
      <c r="P1296">
        <f>_xlfn.XLOOKUP(Orders[[#This Row],[CustomerID]],Customers[CustomerID],Customers[CustomerAge])</f>
        <v>38</v>
      </c>
      <c r="Q1296" t="str">
        <f>IF(Orders[[#This Row],[Age]]&gt;=35,"older","young")</f>
        <v>older</v>
      </c>
      <c r="R1296" t="str">
        <f>_xlfn.XLOOKUP(Orders[[#This Row],[ProductID]],Products[ProductID],Products[ProductName])</f>
        <v>SCRABBLE</v>
      </c>
      <c r="S1296" t="str">
        <f>_xlfn.XLOOKUP(Orders[[#This Row],[ProductID]],Products!A:A,Products!C:C)</f>
        <v>Games</v>
      </c>
    </row>
    <row r="1297" spans="1:19" x14ac:dyDescent="0.2">
      <c r="A1297" s="4" t="s">
        <v>1486</v>
      </c>
      <c r="B1297" s="5">
        <v>46001</v>
      </c>
      <c r="C1297" s="15">
        <f>WEEKNUM(Orders[[#This Row],[OrderDate]])</f>
        <v>50</v>
      </c>
      <c r="D1297" s="4" t="s">
        <v>524</v>
      </c>
      <c r="E1297" s="4" t="s">
        <v>20</v>
      </c>
      <c r="F1297" s="4">
        <v>7</v>
      </c>
      <c r="G1297" s="4">
        <v>2380.8000000000002</v>
      </c>
      <c r="H1297">
        <v>2023.6800000000003</v>
      </c>
      <c r="I1297">
        <f>Orders[[#This Row],[Quantity]]*Orders[[#This Row],[Selling Price]]</f>
        <v>16665.600000000002</v>
      </c>
      <c r="J1297">
        <f>Orders[[#This Row],[Quantity]]*Orders[[#This Row],[Cost Price]]</f>
        <v>14165.760000000002</v>
      </c>
      <c r="K1297">
        <f>Orders[[#This Row],[Revenue]]-Orders[[#This Row],[Expenses]]</f>
        <v>2499.84</v>
      </c>
      <c r="L1297" t="s">
        <v>2195</v>
      </c>
      <c r="M1297" t="str">
        <f>_xlfn.XLOOKUP(Orders[[#This Row],[CustomerID]],Customers[CustomerID],Customers[City])</f>
        <v>Florida</v>
      </c>
      <c r="N1297" t="str">
        <f>_xlfn.XLOOKUP(Orders[[#This Row],[CustomerID]],Customers[CustomerID],Customers[CustomerName])</f>
        <v>Chinedu Igwe</v>
      </c>
      <c r="O1297" t="str">
        <f>_xlfn.XLOOKUP(Orders[[#This Row],[CustomerID]],Customers[CustomerID],Customers[Gender])</f>
        <v>Male</v>
      </c>
      <c r="P1297">
        <f>_xlfn.XLOOKUP(Orders[[#This Row],[CustomerID]],Customers[CustomerID],Customers[CustomerAge])</f>
        <v>21</v>
      </c>
      <c r="Q1297" t="str">
        <f>IF(Orders[[#This Row],[Age]]&gt;=35,"older","young")</f>
        <v>young</v>
      </c>
      <c r="R1297" t="str">
        <f>_xlfn.XLOOKUP(Orders[[#This Row],[ProductID]],Products[ProductID],Products[ProductName])</f>
        <v>GYM BAG</v>
      </c>
      <c r="S1297" t="str">
        <f>_xlfn.XLOOKUP(Orders[[#This Row],[ProductID]],Products!A:A,Products!C:C)</f>
        <v>Gym</v>
      </c>
    </row>
    <row r="1298" spans="1:19" x14ac:dyDescent="0.2">
      <c r="A1298" s="4" t="s">
        <v>1487</v>
      </c>
      <c r="B1298" s="5">
        <v>45934</v>
      </c>
      <c r="C1298" s="15">
        <f>WEEKNUM(Orders[[#This Row],[OrderDate]])</f>
        <v>40</v>
      </c>
      <c r="D1298" s="4" t="s">
        <v>671</v>
      </c>
      <c r="E1298" s="4" t="s">
        <v>28</v>
      </c>
      <c r="F1298" s="4">
        <v>5</v>
      </c>
      <c r="G1298" s="4">
        <v>16381.6</v>
      </c>
      <c r="H1298">
        <v>13924.36</v>
      </c>
      <c r="I1298">
        <f>Orders[[#This Row],[Quantity]]*Orders[[#This Row],[Selling Price]]</f>
        <v>81908</v>
      </c>
      <c r="J1298">
        <f>Orders[[#This Row],[Quantity]]*Orders[[#This Row],[Cost Price]]</f>
        <v>69621.8</v>
      </c>
      <c r="K1298">
        <f>Orders[[#This Row],[Revenue]]-Orders[[#This Row],[Expenses]]</f>
        <v>12286.199999999997</v>
      </c>
      <c r="L1298" t="s">
        <v>2203</v>
      </c>
      <c r="M1298" t="str">
        <f>_xlfn.XLOOKUP(Orders[[#This Row],[CustomerID]],Customers[CustomerID],Customers[City])</f>
        <v>Texas</v>
      </c>
      <c r="N1298" t="str">
        <f>_xlfn.XLOOKUP(Orders[[#This Row],[CustomerID]],Customers[CustomerID],Customers[CustomerName])</f>
        <v>Tunde Abubakar</v>
      </c>
      <c r="O1298" t="str">
        <f>_xlfn.XLOOKUP(Orders[[#This Row],[CustomerID]],Customers[CustomerID],Customers[Gender])</f>
        <v>Male</v>
      </c>
      <c r="P1298">
        <f>_xlfn.XLOOKUP(Orders[[#This Row],[CustomerID]],Customers[CustomerID],Customers[CustomerAge])</f>
        <v>26</v>
      </c>
      <c r="Q1298" t="str">
        <f>IF(Orders[[#This Row],[Age]]&gt;=35,"older","young")</f>
        <v>young</v>
      </c>
      <c r="R1298" t="str">
        <f>_xlfn.XLOOKUP(Orders[[#This Row],[ProductID]],Products[ProductID],Products[ProductName])</f>
        <v>SNEAKERS</v>
      </c>
      <c r="S1298" t="str">
        <f>_xlfn.XLOOKUP(Orders[[#This Row],[ProductID]],Products!A:A,Products!C:C)</f>
        <v>Sports</v>
      </c>
    </row>
    <row r="1299" spans="1:19" x14ac:dyDescent="0.2">
      <c r="A1299" s="4" t="s">
        <v>1488</v>
      </c>
      <c r="B1299" s="5">
        <v>45966</v>
      </c>
      <c r="C1299" s="15">
        <f>WEEKNUM(Orders[[#This Row],[OrderDate]])</f>
        <v>45</v>
      </c>
      <c r="D1299" s="4" t="s">
        <v>107</v>
      </c>
      <c r="E1299" s="4" t="s">
        <v>28</v>
      </c>
      <c r="F1299" s="4">
        <v>3</v>
      </c>
      <c r="G1299" s="4">
        <v>14976.7</v>
      </c>
      <c r="H1299">
        <v>12730.195</v>
      </c>
      <c r="I1299">
        <f>Orders[[#This Row],[Quantity]]*Orders[[#This Row],[Selling Price]]</f>
        <v>44930.100000000006</v>
      </c>
      <c r="J1299">
        <f>Orders[[#This Row],[Quantity]]*Orders[[#This Row],[Cost Price]]</f>
        <v>38190.584999999999</v>
      </c>
      <c r="K1299">
        <f>Orders[[#This Row],[Revenue]]-Orders[[#This Row],[Expenses]]</f>
        <v>6739.5150000000067</v>
      </c>
      <c r="L1299" t="s">
        <v>2199</v>
      </c>
      <c r="M1299" t="str">
        <f>_xlfn.XLOOKUP(Orders[[#This Row],[CustomerID]],Customers[CustomerID],Customers[City])</f>
        <v>Texas</v>
      </c>
      <c r="N1299" t="str">
        <f>_xlfn.XLOOKUP(Orders[[#This Row],[CustomerID]],Customers[CustomerID],Customers[CustomerName])</f>
        <v>Blessing Eze</v>
      </c>
      <c r="O1299" t="str">
        <f>_xlfn.XLOOKUP(Orders[[#This Row],[CustomerID]],Customers[CustomerID],Customers[Gender])</f>
        <v>Female</v>
      </c>
      <c r="P1299">
        <f>_xlfn.XLOOKUP(Orders[[#This Row],[CustomerID]],Customers[CustomerID],Customers[CustomerAge])</f>
        <v>44</v>
      </c>
      <c r="Q1299" t="str">
        <f>IF(Orders[[#This Row],[Age]]&gt;=35,"older","young")</f>
        <v>older</v>
      </c>
      <c r="R1299" t="str">
        <f>_xlfn.XLOOKUP(Orders[[#This Row],[ProductID]],Products[ProductID],Products[ProductName])</f>
        <v>SNEAKERS</v>
      </c>
      <c r="S1299" t="str">
        <f>_xlfn.XLOOKUP(Orders[[#This Row],[ProductID]],Products!A:A,Products!C:C)</f>
        <v>Sports</v>
      </c>
    </row>
    <row r="1300" spans="1:19" x14ac:dyDescent="0.2">
      <c r="A1300" s="4" t="s">
        <v>1489</v>
      </c>
      <c r="B1300" s="5">
        <v>46003</v>
      </c>
      <c r="C1300" s="15">
        <f>WEEKNUM(Orders[[#This Row],[OrderDate]])</f>
        <v>50</v>
      </c>
      <c r="D1300" s="4" t="s">
        <v>83</v>
      </c>
      <c r="E1300" s="4" t="s">
        <v>46</v>
      </c>
      <c r="F1300" s="4">
        <v>1</v>
      </c>
      <c r="G1300" s="4">
        <v>5041.1000000000004</v>
      </c>
      <c r="H1300">
        <v>4284.9350000000004</v>
      </c>
      <c r="I1300">
        <f>Orders[[#This Row],[Quantity]]*Orders[[#This Row],[Selling Price]]</f>
        <v>5041.1000000000004</v>
      </c>
      <c r="J1300">
        <f>Orders[[#This Row],[Quantity]]*Orders[[#This Row],[Cost Price]]</f>
        <v>4284.9350000000004</v>
      </c>
      <c r="K1300">
        <f>Orders[[#This Row],[Revenue]]-Orders[[#This Row],[Expenses]]</f>
        <v>756.16499999999996</v>
      </c>
      <c r="L1300" t="s">
        <v>2208</v>
      </c>
      <c r="M1300" t="str">
        <f>_xlfn.XLOOKUP(Orders[[#This Row],[CustomerID]],Customers[CustomerID],Customers[City])</f>
        <v>Florida</v>
      </c>
      <c r="N1300" t="str">
        <f>_xlfn.XLOOKUP(Orders[[#This Row],[CustomerID]],Customers[CustomerID],Customers[CustomerName])</f>
        <v>Funke Danladi</v>
      </c>
      <c r="O1300" t="str">
        <f>_xlfn.XLOOKUP(Orders[[#This Row],[CustomerID]],Customers[CustomerID],Customers[Gender])</f>
        <v>Female</v>
      </c>
      <c r="P1300">
        <f>_xlfn.XLOOKUP(Orders[[#This Row],[CustomerID]],Customers[CustomerID],Customers[CustomerAge])</f>
        <v>26</v>
      </c>
      <c r="Q1300" t="str">
        <f>IF(Orders[[#This Row],[Age]]&gt;=35,"older","young")</f>
        <v>young</v>
      </c>
      <c r="R1300" t="str">
        <f>_xlfn.XLOOKUP(Orders[[#This Row],[ProductID]],Products[ProductID],Products[ProductName])</f>
        <v>TURTLE NECK</v>
      </c>
      <c r="S1300" t="str">
        <f>_xlfn.XLOOKUP(Orders[[#This Row],[ProductID]],Products!A:A,Products!C:C)</f>
        <v>Clothing</v>
      </c>
    </row>
    <row r="1301" spans="1:19" x14ac:dyDescent="0.2">
      <c r="A1301" s="4" t="s">
        <v>1490</v>
      </c>
      <c r="B1301" s="5">
        <v>45998</v>
      </c>
      <c r="C1301" s="15">
        <f>WEEKNUM(Orders[[#This Row],[OrderDate]])</f>
        <v>50</v>
      </c>
      <c r="D1301" s="4" t="s">
        <v>291</v>
      </c>
      <c r="E1301" s="4" t="s">
        <v>60</v>
      </c>
      <c r="F1301" s="4">
        <v>2</v>
      </c>
      <c r="G1301" s="4">
        <v>13704.5</v>
      </c>
      <c r="H1301">
        <v>11648.825000000001</v>
      </c>
      <c r="I1301">
        <f>Orders[[#This Row],[Quantity]]*Orders[[#This Row],[Selling Price]]</f>
        <v>27409</v>
      </c>
      <c r="J1301">
        <f>Orders[[#This Row],[Quantity]]*Orders[[#This Row],[Cost Price]]</f>
        <v>23297.65</v>
      </c>
      <c r="K1301">
        <f>Orders[[#This Row],[Revenue]]-Orders[[#This Row],[Expenses]]</f>
        <v>4111.3499999999985</v>
      </c>
      <c r="L1301" t="s">
        <v>2199</v>
      </c>
      <c r="M1301" t="str">
        <f>_xlfn.XLOOKUP(Orders[[#This Row],[CustomerID]],Customers[CustomerID],Customers[City])</f>
        <v>Texas</v>
      </c>
      <c r="N1301" t="str">
        <f>_xlfn.XLOOKUP(Orders[[#This Row],[CustomerID]],Customers[CustomerID],Customers[CustomerName])</f>
        <v>Okon Igwe</v>
      </c>
      <c r="O1301" t="str">
        <f>_xlfn.XLOOKUP(Orders[[#This Row],[CustomerID]],Customers[CustomerID],Customers[Gender])</f>
        <v>Male</v>
      </c>
      <c r="P1301">
        <f>_xlfn.XLOOKUP(Orders[[#This Row],[CustomerID]],Customers[CustomerID],Customers[CustomerAge])</f>
        <v>33</v>
      </c>
      <c r="Q1301" t="str">
        <f>IF(Orders[[#This Row],[Age]]&gt;=35,"older","young")</f>
        <v>young</v>
      </c>
      <c r="R1301" t="str">
        <f>_xlfn.XLOOKUP(Orders[[#This Row],[ProductID]],Products[ProductID],Products[ProductName])</f>
        <v>SILVER RINGS</v>
      </c>
      <c r="S1301" t="str">
        <f>_xlfn.XLOOKUP(Orders[[#This Row],[ProductID]],Products!A:A,Products!C:C)</f>
        <v>Accessories</v>
      </c>
    </row>
    <row r="1302" spans="1:19" x14ac:dyDescent="0.2">
      <c r="A1302" s="4" t="s">
        <v>1491</v>
      </c>
      <c r="B1302" s="5">
        <v>45997</v>
      </c>
      <c r="C1302" s="15">
        <f>WEEKNUM(Orders[[#This Row],[OrderDate]])</f>
        <v>49</v>
      </c>
      <c r="D1302" s="4" t="s">
        <v>305</v>
      </c>
      <c r="E1302" s="4" t="s">
        <v>15</v>
      </c>
      <c r="F1302" s="4">
        <v>7</v>
      </c>
      <c r="G1302" s="4">
        <v>13037</v>
      </c>
      <c r="H1302">
        <v>11081.45</v>
      </c>
      <c r="I1302">
        <f>Orders[[#This Row],[Quantity]]*Orders[[#This Row],[Selling Price]]</f>
        <v>91259</v>
      </c>
      <c r="J1302">
        <f>Orders[[#This Row],[Quantity]]*Orders[[#This Row],[Cost Price]]</f>
        <v>77570.150000000009</v>
      </c>
      <c r="K1302">
        <f>Orders[[#This Row],[Revenue]]-Orders[[#This Row],[Expenses]]</f>
        <v>13688.849999999991</v>
      </c>
      <c r="L1302" t="s">
        <v>2202</v>
      </c>
      <c r="M1302" t="str">
        <f>_xlfn.XLOOKUP(Orders[[#This Row],[CustomerID]],Customers[CustomerID],Customers[City])</f>
        <v>California</v>
      </c>
      <c r="N1302" t="str">
        <f>_xlfn.XLOOKUP(Orders[[#This Row],[CustomerID]],Customers[CustomerID],Customers[CustomerName])</f>
        <v>Tunde Danladi</v>
      </c>
      <c r="O1302" t="str">
        <f>_xlfn.XLOOKUP(Orders[[#This Row],[CustomerID]],Customers[CustomerID],Customers[Gender])</f>
        <v>Male</v>
      </c>
      <c r="P1302">
        <f>_xlfn.XLOOKUP(Orders[[#This Row],[CustomerID]],Customers[CustomerID],Customers[CustomerAge])</f>
        <v>40</v>
      </c>
      <c r="Q1302" t="str">
        <f>IF(Orders[[#This Row],[Age]]&gt;=35,"older","young")</f>
        <v>older</v>
      </c>
      <c r="R1302" t="str">
        <f>_xlfn.XLOOKUP(Orders[[#This Row],[ProductID]],Products[ProductID],Products[ProductName])</f>
        <v>MONOPOLY</v>
      </c>
      <c r="S1302" t="str">
        <f>_xlfn.XLOOKUP(Orders[[#This Row],[ProductID]],Products!A:A,Products!C:C)</f>
        <v>Games</v>
      </c>
    </row>
    <row r="1303" spans="1:19" x14ac:dyDescent="0.2">
      <c r="A1303" s="4" t="s">
        <v>1492</v>
      </c>
      <c r="B1303" s="5">
        <v>46019</v>
      </c>
      <c r="C1303" s="15">
        <f>WEEKNUM(Orders[[#This Row],[OrderDate]])</f>
        <v>53</v>
      </c>
      <c r="D1303" s="4" t="s">
        <v>275</v>
      </c>
      <c r="E1303" s="4" t="s">
        <v>34</v>
      </c>
      <c r="F1303" s="4">
        <v>8</v>
      </c>
      <c r="G1303" s="4">
        <v>7994.9</v>
      </c>
      <c r="H1303">
        <v>6795.665</v>
      </c>
      <c r="I1303">
        <f>Orders[[#This Row],[Quantity]]*Orders[[#This Row],[Selling Price]]</f>
        <v>63959.199999999997</v>
      </c>
      <c r="J1303">
        <f>Orders[[#This Row],[Quantity]]*Orders[[#This Row],[Cost Price]]</f>
        <v>54365.32</v>
      </c>
      <c r="K1303">
        <f>Orders[[#This Row],[Revenue]]-Orders[[#This Row],[Expenses]]</f>
        <v>9593.8799999999974</v>
      </c>
      <c r="L1303" t="s">
        <v>2206</v>
      </c>
      <c r="M1303" t="str">
        <f>_xlfn.XLOOKUP(Orders[[#This Row],[CustomerID]],Customers[CustomerID],Customers[City])</f>
        <v>Texas</v>
      </c>
      <c r="N1303" t="str">
        <f>_xlfn.XLOOKUP(Orders[[#This Row],[CustomerID]],Customers[CustomerID],Customers[CustomerName])</f>
        <v>Ngozi Danladi</v>
      </c>
      <c r="O1303" t="str">
        <f>_xlfn.XLOOKUP(Orders[[#This Row],[CustomerID]],Customers[CustomerID],Customers[Gender])</f>
        <v>Female</v>
      </c>
      <c r="P1303">
        <f>_xlfn.XLOOKUP(Orders[[#This Row],[CustomerID]],Customers[CustomerID],Customers[CustomerAge])</f>
        <v>25</v>
      </c>
      <c r="Q1303" t="str">
        <f>IF(Orders[[#This Row],[Age]]&gt;=35,"older","young")</f>
        <v>young</v>
      </c>
      <c r="R1303" t="str">
        <f>_xlfn.XLOOKUP(Orders[[#This Row],[ProductID]],Products[ProductID],Products[ProductName])</f>
        <v>GOLD BRACELETS</v>
      </c>
      <c r="S1303" t="str">
        <f>_xlfn.XLOOKUP(Orders[[#This Row],[ProductID]],Products!A:A,Products!C:C)</f>
        <v>Accessories</v>
      </c>
    </row>
    <row r="1304" spans="1:19" x14ac:dyDescent="0.2">
      <c r="A1304" s="4" t="s">
        <v>1493</v>
      </c>
      <c r="B1304" s="5">
        <v>46017</v>
      </c>
      <c r="C1304" s="15">
        <f>WEEKNUM(Orders[[#This Row],[OrderDate]])</f>
        <v>52</v>
      </c>
      <c r="D1304" s="4" t="s">
        <v>287</v>
      </c>
      <c r="E1304" s="4" t="s">
        <v>111</v>
      </c>
      <c r="F1304" s="4">
        <v>2</v>
      </c>
      <c r="G1304" s="4">
        <v>19086.8</v>
      </c>
      <c r="H1304">
        <v>16223.779999999999</v>
      </c>
      <c r="I1304">
        <f>Orders[[#This Row],[Quantity]]*Orders[[#This Row],[Selling Price]]</f>
        <v>38173.599999999999</v>
      </c>
      <c r="J1304">
        <f>Orders[[#This Row],[Quantity]]*Orders[[#This Row],[Cost Price]]</f>
        <v>32447.559999999998</v>
      </c>
      <c r="K1304">
        <f>Orders[[#This Row],[Revenue]]-Orders[[#This Row],[Expenses]]</f>
        <v>5726.0400000000009</v>
      </c>
      <c r="L1304" t="s">
        <v>2216</v>
      </c>
      <c r="M1304" t="str">
        <f>_xlfn.XLOOKUP(Orders[[#This Row],[CustomerID]],Customers[CustomerID],Customers[City])</f>
        <v>Texas</v>
      </c>
      <c r="N1304" t="str">
        <f>_xlfn.XLOOKUP(Orders[[#This Row],[CustomerID]],Customers[CustomerID],Customers[CustomerName])</f>
        <v>Okon Obi</v>
      </c>
      <c r="O1304" t="str">
        <f>_xlfn.XLOOKUP(Orders[[#This Row],[CustomerID]],Customers[CustomerID],Customers[Gender])</f>
        <v>Male</v>
      </c>
      <c r="P1304">
        <f>_xlfn.XLOOKUP(Orders[[#This Row],[CustomerID]],Customers[CustomerID],Customers[CustomerAge])</f>
        <v>55</v>
      </c>
      <c r="Q1304" t="str">
        <f>IF(Orders[[#This Row],[Age]]&gt;=35,"older","young")</f>
        <v>older</v>
      </c>
      <c r="R1304" t="str">
        <f>_xlfn.XLOOKUP(Orders[[#This Row],[ProductID]],Products[ProductID],Products[ProductName])</f>
        <v>REFRIGERATOR</v>
      </c>
      <c r="S1304" t="str">
        <f>_xlfn.XLOOKUP(Orders[[#This Row],[ProductID]],Products!A:A,Products!C:C)</f>
        <v>Electronics</v>
      </c>
    </row>
    <row r="1305" spans="1:19" x14ac:dyDescent="0.2">
      <c r="A1305" s="4" t="s">
        <v>1494</v>
      </c>
      <c r="B1305" s="5">
        <v>45999</v>
      </c>
      <c r="C1305" s="15">
        <f>WEEKNUM(Orders[[#This Row],[OrderDate]])</f>
        <v>50</v>
      </c>
      <c r="D1305" s="4" t="s">
        <v>43</v>
      </c>
      <c r="E1305" s="4" t="s">
        <v>151</v>
      </c>
      <c r="F1305" s="4">
        <v>3</v>
      </c>
      <c r="G1305" s="4">
        <v>6254.6</v>
      </c>
      <c r="H1305">
        <v>5316.41</v>
      </c>
      <c r="I1305">
        <f>Orders[[#This Row],[Quantity]]*Orders[[#This Row],[Selling Price]]</f>
        <v>18763.800000000003</v>
      </c>
      <c r="J1305">
        <f>Orders[[#This Row],[Quantity]]*Orders[[#This Row],[Cost Price]]</f>
        <v>15949.23</v>
      </c>
      <c r="K1305">
        <f>Orders[[#This Row],[Revenue]]-Orders[[#This Row],[Expenses]]</f>
        <v>2814.5700000000033</v>
      </c>
      <c r="L1305" t="s">
        <v>2210</v>
      </c>
      <c r="M1305" t="str">
        <f>_xlfn.XLOOKUP(Orders[[#This Row],[CustomerID]],Customers[CustomerID],Customers[City])</f>
        <v>Georgia</v>
      </c>
      <c r="N1305" t="str">
        <f>_xlfn.XLOOKUP(Orders[[#This Row],[CustomerID]],Customers[CustomerID],Customers[CustomerName])</f>
        <v>Mustafa Danladi</v>
      </c>
      <c r="O1305" t="str">
        <f>_xlfn.XLOOKUP(Orders[[#This Row],[CustomerID]],Customers[CustomerID],Customers[Gender])</f>
        <v>Male</v>
      </c>
      <c r="P1305">
        <f>_xlfn.XLOOKUP(Orders[[#This Row],[CustomerID]],Customers[CustomerID],Customers[CustomerAge])</f>
        <v>49</v>
      </c>
      <c r="Q1305" t="str">
        <f>IF(Orders[[#This Row],[Age]]&gt;=35,"older","young")</f>
        <v>older</v>
      </c>
      <c r="R1305" t="str">
        <f>_xlfn.XLOOKUP(Orders[[#This Row],[ProductID]],Products[ProductID],Products[ProductName])</f>
        <v>CHECKERS</v>
      </c>
      <c r="S1305" t="str">
        <f>_xlfn.XLOOKUP(Orders[[#This Row],[ProductID]],Products!A:A,Products!C:C)</f>
        <v>Games</v>
      </c>
    </row>
    <row r="1306" spans="1:19" x14ac:dyDescent="0.2">
      <c r="A1306" s="4" t="s">
        <v>1495</v>
      </c>
      <c r="B1306" s="5">
        <v>46002</v>
      </c>
      <c r="C1306" s="15">
        <f>WEEKNUM(Orders[[#This Row],[OrderDate]])</f>
        <v>50</v>
      </c>
      <c r="D1306" s="4" t="s">
        <v>182</v>
      </c>
      <c r="E1306" s="4" t="s">
        <v>20</v>
      </c>
      <c r="F1306" s="4">
        <v>5</v>
      </c>
      <c r="G1306" s="4">
        <v>10222.5</v>
      </c>
      <c r="H1306">
        <v>8689.125</v>
      </c>
      <c r="I1306">
        <f>Orders[[#This Row],[Quantity]]*Orders[[#This Row],[Selling Price]]</f>
        <v>51112.5</v>
      </c>
      <c r="J1306">
        <f>Orders[[#This Row],[Quantity]]*Orders[[#This Row],[Cost Price]]</f>
        <v>43445.625</v>
      </c>
      <c r="K1306">
        <f>Orders[[#This Row],[Revenue]]-Orders[[#This Row],[Expenses]]</f>
        <v>7666.875</v>
      </c>
      <c r="L1306" t="s">
        <v>2193</v>
      </c>
      <c r="M1306" t="str">
        <f>_xlfn.XLOOKUP(Orders[[#This Row],[CustomerID]],Customers[CustomerID],Customers[City])</f>
        <v>Georgia</v>
      </c>
      <c r="N1306" t="str">
        <f>_xlfn.XLOOKUP(Orders[[#This Row],[CustomerID]],Customers[CustomerID],Customers[CustomerName])</f>
        <v>Abiola Okonkwo</v>
      </c>
      <c r="O1306" t="str">
        <f>_xlfn.XLOOKUP(Orders[[#This Row],[CustomerID]],Customers[CustomerID],Customers[Gender])</f>
        <v>Male</v>
      </c>
      <c r="P1306">
        <f>_xlfn.XLOOKUP(Orders[[#This Row],[CustomerID]],Customers[CustomerID],Customers[CustomerAge])</f>
        <v>39</v>
      </c>
      <c r="Q1306" t="str">
        <f>IF(Orders[[#This Row],[Age]]&gt;=35,"older","young")</f>
        <v>older</v>
      </c>
      <c r="R1306" t="str">
        <f>_xlfn.XLOOKUP(Orders[[#This Row],[ProductID]],Products[ProductID],Products[ProductName])</f>
        <v>GYM BAG</v>
      </c>
      <c r="S1306" t="str">
        <f>_xlfn.XLOOKUP(Orders[[#This Row],[ProductID]],Products!A:A,Products!C:C)</f>
        <v>Gym</v>
      </c>
    </row>
    <row r="1307" spans="1:19" x14ac:dyDescent="0.2">
      <c r="A1307" s="4" t="s">
        <v>1496</v>
      </c>
      <c r="B1307" s="5">
        <v>46007</v>
      </c>
      <c r="C1307" s="15">
        <f>WEEKNUM(Orders[[#This Row],[OrderDate]])</f>
        <v>51</v>
      </c>
      <c r="D1307" s="4" t="s">
        <v>142</v>
      </c>
      <c r="E1307" s="4" t="s">
        <v>70</v>
      </c>
      <c r="F1307" s="4">
        <v>5</v>
      </c>
      <c r="G1307" s="4">
        <v>11055.699999999999</v>
      </c>
      <c r="H1307">
        <v>9397.3449999999993</v>
      </c>
      <c r="I1307">
        <f>Orders[[#This Row],[Quantity]]*Orders[[#This Row],[Selling Price]]</f>
        <v>55278.499999999993</v>
      </c>
      <c r="J1307">
        <f>Orders[[#This Row],[Quantity]]*Orders[[#This Row],[Cost Price]]</f>
        <v>46986.724999999999</v>
      </c>
      <c r="K1307">
        <f>Orders[[#This Row],[Revenue]]-Orders[[#This Row],[Expenses]]</f>
        <v>8291.7749999999942</v>
      </c>
      <c r="L1307" t="s">
        <v>2200</v>
      </c>
      <c r="M1307" t="str">
        <f>_xlfn.XLOOKUP(Orders[[#This Row],[CustomerID]],Customers[CustomerID],Customers[City])</f>
        <v>Florida</v>
      </c>
      <c r="N1307" t="str">
        <f>_xlfn.XLOOKUP(Orders[[#This Row],[CustomerID]],Customers[CustomerID],Customers[CustomerName])</f>
        <v>Obi Adeyemi</v>
      </c>
      <c r="O1307" t="str">
        <f>_xlfn.XLOOKUP(Orders[[#This Row],[CustomerID]],Customers[CustomerID],Customers[Gender])</f>
        <v>Male</v>
      </c>
      <c r="P1307">
        <f>_xlfn.XLOOKUP(Orders[[#This Row],[CustomerID]],Customers[CustomerID],Customers[CustomerAge])</f>
        <v>31</v>
      </c>
      <c r="Q1307" t="str">
        <f>IF(Orders[[#This Row],[Age]]&gt;=35,"older","young")</f>
        <v>young</v>
      </c>
      <c r="R1307" t="str">
        <f>_xlfn.XLOOKUP(Orders[[#This Row],[ProductID]],Products[ProductID],Products[ProductName])</f>
        <v>YOGA MAT</v>
      </c>
      <c r="S1307" t="str">
        <f>_xlfn.XLOOKUP(Orders[[#This Row],[ProductID]],Products!A:A,Products!C:C)</f>
        <v>Gym</v>
      </c>
    </row>
    <row r="1308" spans="1:19" x14ac:dyDescent="0.2">
      <c r="A1308" s="4" t="s">
        <v>1497</v>
      </c>
      <c r="B1308" s="5">
        <v>45952</v>
      </c>
      <c r="C1308" s="15">
        <f>WEEKNUM(Orders[[#This Row],[OrderDate]])</f>
        <v>43</v>
      </c>
      <c r="D1308" s="4" t="s">
        <v>87</v>
      </c>
      <c r="E1308" s="4" t="s">
        <v>63</v>
      </c>
      <c r="F1308" s="4">
        <v>3</v>
      </c>
      <c r="G1308" s="4">
        <v>4556.2</v>
      </c>
      <c r="H1308">
        <v>3872.77</v>
      </c>
      <c r="I1308">
        <f>Orders[[#This Row],[Quantity]]*Orders[[#This Row],[Selling Price]]</f>
        <v>13668.599999999999</v>
      </c>
      <c r="J1308">
        <f>Orders[[#This Row],[Quantity]]*Orders[[#This Row],[Cost Price]]</f>
        <v>11618.31</v>
      </c>
      <c r="K1308">
        <f>Orders[[#This Row],[Revenue]]-Orders[[#This Row],[Expenses]]</f>
        <v>2050.2899999999991</v>
      </c>
      <c r="L1308" t="s">
        <v>2199</v>
      </c>
      <c r="M1308" t="str">
        <f>_xlfn.XLOOKUP(Orders[[#This Row],[CustomerID]],Customers[CustomerID],Customers[City])</f>
        <v>Illinois</v>
      </c>
      <c r="N1308" t="str">
        <f>_xlfn.XLOOKUP(Orders[[#This Row],[CustomerID]],Customers[CustomerID],Customers[CustomerName])</f>
        <v>Efe Igwe</v>
      </c>
      <c r="O1308" t="str">
        <f>_xlfn.XLOOKUP(Orders[[#This Row],[CustomerID]],Customers[CustomerID],Customers[Gender])</f>
        <v>Female</v>
      </c>
      <c r="P1308">
        <f>_xlfn.XLOOKUP(Orders[[#This Row],[CustomerID]],Customers[CustomerID],Customers[CustomerAge])</f>
        <v>34</v>
      </c>
      <c r="Q1308" t="str">
        <f>IF(Orders[[#This Row],[Age]]&gt;=35,"older","young")</f>
        <v>young</v>
      </c>
      <c r="R1308" t="str">
        <f>_xlfn.XLOOKUP(Orders[[#This Row],[ProductID]],Products[ProductID],Products[ProductName])</f>
        <v>TENNIS BAT</v>
      </c>
      <c r="S1308" t="str">
        <f>_xlfn.XLOOKUP(Orders[[#This Row],[ProductID]],Products!A:A,Products!C:C)</f>
        <v>Sports</v>
      </c>
    </row>
    <row r="1309" spans="1:19" x14ac:dyDescent="0.2">
      <c r="A1309" s="4" t="s">
        <v>1498</v>
      </c>
      <c r="B1309" s="5">
        <v>46007</v>
      </c>
      <c r="C1309" s="15">
        <f>WEEKNUM(Orders[[#This Row],[OrderDate]])</f>
        <v>51</v>
      </c>
      <c r="D1309" s="4" t="s">
        <v>62</v>
      </c>
      <c r="E1309" s="4" t="s">
        <v>63</v>
      </c>
      <c r="F1309" s="4">
        <v>1</v>
      </c>
      <c r="G1309" s="4">
        <v>750.69999999999993</v>
      </c>
      <c r="H1309">
        <v>638.09499999999991</v>
      </c>
      <c r="I1309">
        <f>Orders[[#This Row],[Quantity]]*Orders[[#This Row],[Selling Price]]</f>
        <v>750.69999999999993</v>
      </c>
      <c r="J1309">
        <f>Orders[[#This Row],[Quantity]]*Orders[[#This Row],[Cost Price]]</f>
        <v>638.09499999999991</v>
      </c>
      <c r="K1309">
        <f>Orders[[#This Row],[Revenue]]-Orders[[#This Row],[Expenses]]</f>
        <v>112.60500000000002</v>
      </c>
      <c r="L1309" t="s">
        <v>2210</v>
      </c>
      <c r="M1309" t="str">
        <f>_xlfn.XLOOKUP(Orders[[#This Row],[CustomerID]],Customers[CustomerID],Customers[City])</f>
        <v>Texas</v>
      </c>
      <c r="N1309" t="str">
        <f>_xlfn.XLOOKUP(Orders[[#This Row],[CustomerID]],Customers[CustomerID],Customers[CustomerName])</f>
        <v>Ronke Okonkwo</v>
      </c>
      <c r="O1309" t="str">
        <f>_xlfn.XLOOKUP(Orders[[#This Row],[CustomerID]],Customers[CustomerID],Customers[Gender])</f>
        <v>Female</v>
      </c>
      <c r="P1309">
        <f>_xlfn.XLOOKUP(Orders[[#This Row],[CustomerID]],Customers[CustomerID],Customers[CustomerAge])</f>
        <v>36</v>
      </c>
      <c r="Q1309" t="str">
        <f>IF(Orders[[#This Row],[Age]]&gt;=35,"older","young")</f>
        <v>older</v>
      </c>
      <c r="R1309" t="str">
        <f>_xlfn.XLOOKUP(Orders[[#This Row],[ProductID]],Products[ProductID],Products[ProductName])</f>
        <v>TENNIS BAT</v>
      </c>
      <c r="S1309" t="str">
        <f>_xlfn.XLOOKUP(Orders[[#This Row],[ProductID]],Products!A:A,Products!C:C)</f>
        <v>Sports</v>
      </c>
    </row>
    <row r="1310" spans="1:19" x14ac:dyDescent="0.2">
      <c r="A1310" s="4" t="s">
        <v>1499</v>
      </c>
      <c r="B1310" s="5">
        <v>45932</v>
      </c>
      <c r="C1310" s="15">
        <f>WEEKNUM(Orders[[#This Row],[OrderDate]])</f>
        <v>40</v>
      </c>
      <c r="D1310" s="4" t="s">
        <v>234</v>
      </c>
      <c r="E1310" s="4" t="s">
        <v>57</v>
      </c>
      <c r="F1310" s="4">
        <v>6</v>
      </c>
      <c r="G1310" s="4">
        <v>5304.7000000000007</v>
      </c>
      <c r="H1310">
        <v>4508.9950000000008</v>
      </c>
      <c r="I1310">
        <f>Orders[[#This Row],[Quantity]]*Orders[[#This Row],[Selling Price]]</f>
        <v>31828.200000000004</v>
      </c>
      <c r="J1310">
        <f>Orders[[#This Row],[Quantity]]*Orders[[#This Row],[Cost Price]]</f>
        <v>27053.970000000005</v>
      </c>
      <c r="K1310">
        <f>Orders[[#This Row],[Revenue]]-Orders[[#This Row],[Expenses]]</f>
        <v>4774.2299999999996</v>
      </c>
      <c r="L1310" t="s">
        <v>2192</v>
      </c>
      <c r="M1310" t="str">
        <f>_xlfn.XLOOKUP(Orders[[#This Row],[CustomerID]],Customers[CustomerID],Customers[City])</f>
        <v>Texas</v>
      </c>
      <c r="N1310" t="str">
        <f>_xlfn.XLOOKUP(Orders[[#This Row],[CustomerID]],Customers[CustomerID],Customers[CustomerName])</f>
        <v>Adanma Ojo</v>
      </c>
      <c r="O1310" t="str">
        <f>_xlfn.XLOOKUP(Orders[[#This Row],[CustomerID]],Customers[CustomerID],Customers[Gender])</f>
        <v>Female</v>
      </c>
      <c r="P1310">
        <f>_xlfn.XLOOKUP(Orders[[#This Row],[CustomerID]],Customers[CustomerID],Customers[CustomerAge])</f>
        <v>18</v>
      </c>
      <c r="Q1310" t="str">
        <f>IF(Orders[[#This Row],[Age]]&gt;=35,"older","young")</f>
        <v>young</v>
      </c>
      <c r="R1310" t="str">
        <f>_xlfn.XLOOKUP(Orders[[#This Row],[ProductID]],Products[ProductID],Products[ProductName])</f>
        <v>BADMINTON RACKET</v>
      </c>
      <c r="S1310" t="str">
        <f>_xlfn.XLOOKUP(Orders[[#This Row],[ProductID]],Products!A:A,Products!C:C)</f>
        <v>Sports</v>
      </c>
    </row>
    <row r="1311" spans="1:19" x14ac:dyDescent="0.2">
      <c r="A1311" s="4" t="s">
        <v>1500</v>
      </c>
      <c r="B1311" s="5">
        <v>45971</v>
      </c>
      <c r="C1311" s="15">
        <f>WEEKNUM(Orders[[#This Row],[OrderDate]])</f>
        <v>46</v>
      </c>
      <c r="D1311" s="4" t="s">
        <v>221</v>
      </c>
      <c r="E1311" s="4" t="s">
        <v>34</v>
      </c>
      <c r="F1311" s="4">
        <v>4</v>
      </c>
      <c r="G1311" s="4">
        <v>1736.6999999999998</v>
      </c>
      <c r="H1311">
        <v>1476.1949999999999</v>
      </c>
      <c r="I1311">
        <f>Orders[[#This Row],[Quantity]]*Orders[[#This Row],[Selling Price]]</f>
        <v>6946.7999999999993</v>
      </c>
      <c r="J1311">
        <f>Orders[[#This Row],[Quantity]]*Orders[[#This Row],[Cost Price]]</f>
        <v>5904.78</v>
      </c>
      <c r="K1311">
        <f>Orders[[#This Row],[Revenue]]-Orders[[#This Row],[Expenses]]</f>
        <v>1042.0199999999995</v>
      </c>
      <c r="L1311" t="s">
        <v>2193</v>
      </c>
      <c r="M1311" t="str">
        <f>_xlfn.XLOOKUP(Orders[[#This Row],[CustomerID]],Customers[CustomerID],Customers[City])</f>
        <v>Texas</v>
      </c>
      <c r="N1311" t="str">
        <f>_xlfn.XLOOKUP(Orders[[#This Row],[CustomerID]],Customers[CustomerID],Customers[CustomerName])</f>
        <v>Obi Bello</v>
      </c>
      <c r="O1311" t="str">
        <f>_xlfn.XLOOKUP(Orders[[#This Row],[CustomerID]],Customers[CustomerID],Customers[Gender])</f>
        <v>Male</v>
      </c>
      <c r="P1311">
        <f>_xlfn.XLOOKUP(Orders[[#This Row],[CustomerID]],Customers[CustomerID],Customers[CustomerAge])</f>
        <v>18</v>
      </c>
      <c r="Q1311" t="str">
        <f>IF(Orders[[#This Row],[Age]]&gt;=35,"older","young")</f>
        <v>young</v>
      </c>
      <c r="R1311" t="str">
        <f>_xlfn.XLOOKUP(Orders[[#This Row],[ProductID]],Products[ProductID],Products[ProductName])</f>
        <v>GOLD BRACELETS</v>
      </c>
      <c r="S1311" t="str">
        <f>_xlfn.XLOOKUP(Orders[[#This Row],[ProductID]],Products!A:A,Products!C:C)</f>
        <v>Accessories</v>
      </c>
    </row>
    <row r="1312" spans="1:19" x14ac:dyDescent="0.2">
      <c r="A1312" s="4" t="s">
        <v>1501</v>
      </c>
      <c r="B1312" s="5">
        <v>46006</v>
      </c>
      <c r="C1312" s="15">
        <f>WEEKNUM(Orders[[#This Row],[OrderDate]])</f>
        <v>51</v>
      </c>
      <c r="D1312" s="4" t="s">
        <v>83</v>
      </c>
      <c r="E1312" s="4" t="s">
        <v>111</v>
      </c>
      <c r="F1312" s="4">
        <v>8</v>
      </c>
      <c r="G1312" s="4">
        <v>10706.199999999999</v>
      </c>
      <c r="H1312">
        <v>9100.2699999999986</v>
      </c>
      <c r="I1312">
        <f>Orders[[#This Row],[Quantity]]*Orders[[#This Row],[Selling Price]]</f>
        <v>85649.599999999991</v>
      </c>
      <c r="J1312">
        <f>Orders[[#This Row],[Quantity]]*Orders[[#This Row],[Cost Price]]</f>
        <v>72802.159999999989</v>
      </c>
      <c r="K1312">
        <f>Orders[[#This Row],[Revenue]]-Orders[[#This Row],[Expenses]]</f>
        <v>12847.440000000002</v>
      </c>
      <c r="L1312" t="s">
        <v>2214</v>
      </c>
      <c r="M1312" t="str">
        <f>_xlfn.XLOOKUP(Orders[[#This Row],[CustomerID]],Customers[CustomerID],Customers[City])</f>
        <v>Florida</v>
      </c>
      <c r="N1312" t="str">
        <f>_xlfn.XLOOKUP(Orders[[#This Row],[CustomerID]],Customers[CustomerID],Customers[CustomerName])</f>
        <v>Funke Danladi</v>
      </c>
      <c r="O1312" t="str">
        <f>_xlfn.XLOOKUP(Orders[[#This Row],[CustomerID]],Customers[CustomerID],Customers[Gender])</f>
        <v>Female</v>
      </c>
      <c r="P1312">
        <f>_xlfn.XLOOKUP(Orders[[#This Row],[CustomerID]],Customers[CustomerID],Customers[CustomerAge])</f>
        <v>26</v>
      </c>
      <c r="Q1312" t="str">
        <f>IF(Orders[[#This Row],[Age]]&gt;=35,"older","young")</f>
        <v>young</v>
      </c>
      <c r="R1312" t="str">
        <f>_xlfn.XLOOKUP(Orders[[#This Row],[ProductID]],Products[ProductID],Products[ProductName])</f>
        <v>REFRIGERATOR</v>
      </c>
      <c r="S1312" t="str">
        <f>_xlfn.XLOOKUP(Orders[[#This Row],[ProductID]],Products!A:A,Products!C:C)</f>
        <v>Electronics</v>
      </c>
    </row>
    <row r="1313" spans="1:19" x14ac:dyDescent="0.2">
      <c r="A1313" s="4" t="s">
        <v>1502</v>
      </c>
      <c r="B1313" s="5">
        <v>45985</v>
      </c>
      <c r="C1313" s="15">
        <f>WEEKNUM(Orders[[#This Row],[OrderDate]])</f>
        <v>48</v>
      </c>
      <c r="D1313" s="4" t="s">
        <v>129</v>
      </c>
      <c r="E1313" s="4" t="s">
        <v>20</v>
      </c>
      <c r="F1313" s="4">
        <v>8</v>
      </c>
      <c r="G1313" s="4">
        <v>8948.9</v>
      </c>
      <c r="H1313">
        <v>7606.5649999999996</v>
      </c>
      <c r="I1313">
        <f>Orders[[#This Row],[Quantity]]*Orders[[#This Row],[Selling Price]]</f>
        <v>71591.199999999997</v>
      </c>
      <c r="J1313">
        <f>Orders[[#This Row],[Quantity]]*Orders[[#This Row],[Cost Price]]</f>
        <v>60852.52</v>
      </c>
      <c r="K1313">
        <f>Orders[[#This Row],[Revenue]]-Orders[[#This Row],[Expenses]]</f>
        <v>10738.68</v>
      </c>
      <c r="L1313" t="s">
        <v>2195</v>
      </c>
      <c r="M1313" t="str">
        <f>_xlfn.XLOOKUP(Orders[[#This Row],[CustomerID]],Customers[CustomerID],Customers[City])</f>
        <v>Washington</v>
      </c>
      <c r="N1313" t="str">
        <f>_xlfn.XLOOKUP(Orders[[#This Row],[CustomerID]],Customers[CustomerID],Customers[CustomerName])</f>
        <v>Chioma Ojo</v>
      </c>
      <c r="O1313" t="str">
        <f>_xlfn.XLOOKUP(Orders[[#This Row],[CustomerID]],Customers[CustomerID],Customers[Gender])</f>
        <v>Female</v>
      </c>
      <c r="P1313">
        <f>_xlfn.XLOOKUP(Orders[[#This Row],[CustomerID]],Customers[CustomerID],Customers[CustomerAge])</f>
        <v>46</v>
      </c>
      <c r="Q1313" t="str">
        <f>IF(Orders[[#This Row],[Age]]&gt;=35,"older","young")</f>
        <v>older</v>
      </c>
      <c r="R1313" t="str">
        <f>_xlfn.XLOOKUP(Orders[[#This Row],[ProductID]],Products[ProductID],Products[ProductName])</f>
        <v>GYM BAG</v>
      </c>
      <c r="S1313" t="str">
        <f>_xlfn.XLOOKUP(Orders[[#This Row],[ProductID]],Products!A:A,Products!C:C)</f>
        <v>Gym</v>
      </c>
    </row>
    <row r="1314" spans="1:19" x14ac:dyDescent="0.2">
      <c r="A1314" s="4" t="s">
        <v>1503</v>
      </c>
      <c r="B1314" s="5">
        <v>46020</v>
      </c>
      <c r="C1314" s="15">
        <f>WEEKNUM(Orders[[#This Row],[OrderDate]])</f>
        <v>53</v>
      </c>
      <c r="D1314" s="4" t="s">
        <v>205</v>
      </c>
      <c r="E1314" s="4" t="s">
        <v>157</v>
      </c>
      <c r="F1314" s="4">
        <v>7</v>
      </c>
      <c r="G1314" s="4">
        <v>15191.6</v>
      </c>
      <c r="H1314">
        <v>12912.86</v>
      </c>
      <c r="I1314">
        <f>Orders[[#This Row],[Quantity]]*Orders[[#This Row],[Selling Price]]</f>
        <v>106341.2</v>
      </c>
      <c r="J1314">
        <f>Orders[[#This Row],[Quantity]]*Orders[[#This Row],[Cost Price]]</f>
        <v>90390.02</v>
      </c>
      <c r="K1314">
        <f>Orders[[#This Row],[Revenue]]-Orders[[#This Row],[Expenses]]</f>
        <v>15951.179999999993</v>
      </c>
      <c r="L1314" t="s">
        <v>2199</v>
      </c>
      <c r="M1314" t="str">
        <f>_xlfn.XLOOKUP(Orders[[#This Row],[CustomerID]],Customers[CustomerID],Customers[City])</f>
        <v>Washington</v>
      </c>
      <c r="N1314" t="str">
        <f>_xlfn.XLOOKUP(Orders[[#This Row],[CustomerID]],Customers[CustomerID],Customers[CustomerName])</f>
        <v>Jide Adeyemi</v>
      </c>
      <c r="O1314" t="str">
        <f>_xlfn.XLOOKUP(Orders[[#This Row],[CustomerID]],Customers[CustomerID],Customers[Gender])</f>
        <v>Male</v>
      </c>
      <c r="P1314">
        <f>_xlfn.XLOOKUP(Orders[[#This Row],[CustomerID]],Customers[CustomerID],Customers[CustomerAge])</f>
        <v>19</v>
      </c>
      <c r="Q1314" t="str">
        <f>IF(Orders[[#This Row],[Age]]&gt;=35,"older","young")</f>
        <v>young</v>
      </c>
      <c r="R1314" t="str">
        <f>_xlfn.XLOOKUP(Orders[[#This Row],[ProductID]],Products[ProductID],Products[ProductName])</f>
        <v>FOOTBALL</v>
      </c>
      <c r="S1314" t="str">
        <f>_xlfn.XLOOKUP(Orders[[#This Row],[ProductID]],Products!A:A,Products!C:C)</f>
        <v>Sports</v>
      </c>
    </row>
    <row r="1315" spans="1:19" x14ac:dyDescent="0.2">
      <c r="A1315" s="4" t="s">
        <v>1504</v>
      </c>
      <c r="B1315" s="5">
        <v>45949</v>
      </c>
      <c r="C1315" s="15">
        <f>WEEKNUM(Orders[[#This Row],[OrderDate]])</f>
        <v>43</v>
      </c>
      <c r="D1315" s="4" t="s">
        <v>410</v>
      </c>
      <c r="E1315" s="4" t="s">
        <v>189</v>
      </c>
      <c r="F1315" s="4">
        <v>4</v>
      </c>
      <c r="G1315" s="4">
        <v>9706.2000000000007</v>
      </c>
      <c r="H1315">
        <v>8250.27</v>
      </c>
      <c r="I1315">
        <f>Orders[[#This Row],[Quantity]]*Orders[[#This Row],[Selling Price]]</f>
        <v>38824.800000000003</v>
      </c>
      <c r="J1315">
        <f>Orders[[#This Row],[Quantity]]*Orders[[#This Row],[Cost Price]]</f>
        <v>33001.08</v>
      </c>
      <c r="K1315">
        <f>Orders[[#This Row],[Revenue]]-Orders[[#This Row],[Expenses]]</f>
        <v>5823.7200000000012</v>
      </c>
      <c r="L1315" t="s">
        <v>2197</v>
      </c>
      <c r="M1315" t="str">
        <f>_xlfn.XLOOKUP(Orders[[#This Row],[CustomerID]],Customers[CustomerID],Customers[City])</f>
        <v>Texas</v>
      </c>
      <c r="N1315" t="str">
        <f>_xlfn.XLOOKUP(Orders[[#This Row],[CustomerID]],Customers[CustomerID],Customers[CustomerName])</f>
        <v>Jane Thomas</v>
      </c>
      <c r="O1315" t="str">
        <f>_xlfn.XLOOKUP(Orders[[#This Row],[CustomerID]],Customers[CustomerID],Customers[Gender])</f>
        <v>Male</v>
      </c>
      <c r="P1315">
        <f>_xlfn.XLOOKUP(Orders[[#This Row],[CustomerID]],Customers[CustomerID],Customers[CustomerAge])</f>
        <v>21</v>
      </c>
      <c r="Q1315" t="str">
        <f>IF(Orders[[#This Row],[Age]]&gt;=35,"older","young")</f>
        <v>young</v>
      </c>
      <c r="R1315" t="str">
        <f>_xlfn.XLOOKUP(Orders[[#This Row],[ProductID]],Products[ProductID],Products[ProductName])</f>
        <v>SCRABBLE</v>
      </c>
      <c r="S1315" t="str">
        <f>_xlfn.XLOOKUP(Orders[[#This Row],[ProductID]],Products!A:A,Products!C:C)</f>
        <v>Games</v>
      </c>
    </row>
    <row r="1316" spans="1:19" x14ac:dyDescent="0.2">
      <c r="A1316" s="4" t="s">
        <v>1505</v>
      </c>
      <c r="B1316" s="5">
        <v>46001</v>
      </c>
      <c r="C1316" s="15">
        <f>WEEKNUM(Orders[[#This Row],[OrderDate]])</f>
        <v>50</v>
      </c>
      <c r="D1316" s="4" t="s">
        <v>174</v>
      </c>
      <c r="E1316" s="4" t="s">
        <v>28</v>
      </c>
      <c r="F1316" s="4">
        <v>3</v>
      </c>
      <c r="G1316" s="4">
        <v>9306.4</v>
      </c>
      <c r="H1316">
        <v>7910.44</v>
      </c>
      <c r="I1316">
        <f>Orders[[#This Row],[Quantity]]*Orders[[#This Row],[Selling Price]]</f>
        <v>27919.199999999997</v>
      </c>
      <c r="J1316">
        <f>Orders[[#This Row],[Quantity]]*Orders[[#This Row],[Cost Price]]</f>
        <v>23731.32</v>
      </c>
      <c r="K1316">
        <f>Orders[[#This Row],[Revenue]]-Orders[[#This Row],[Expenses]]</f>
        <v>4187.8799999999974</v>
      </c>
      <c r="L1316" t="s">
        <v>2218</v>
      </c>
      <c r="M1316" t="str">
        <f>_xlfn.XLOOKUP(Orders[[#This Row],[CustomerID]],Customers[CustomerID],Customers[City])</f>
        <v>California</v>
      </c>
      <c r="N1316" t="str">
        <f>_xlfn.XLOOKUP(Orders[[#This Row],[CustomerID]],Customers[CustomerID],Customers[CustomerName])</f>
        <v>Zainab Obi</v>
      </c>
      <c r="O1316" t="str">
        <f>_xlfn.XLOOKUP(Orders[[#This Row],[CustomerID]],Customers[CustomerID],Customers[Gender])</f>
        <v>Female</v>
      </c>
      <c r="P1316">
        <f>_xlfn.XLOOKUP(Orders[[#This Row],[CustomerID]],Customers[CustomerID],Customers[CustomerAge])</f>
        <v>18</v>
      </c>
      <c r="Q1316" t="str">
        <f>IF(Orders[[#This Row],[Age]]&gt;=35,"older","young")</f>
        <v>young</v>
      </c>
      <c r="R1316" t="str">
        <f>_xlfn.XLOOKUP(Orders[[#This Row],[ProductID]],Products[ProductID],Products[ProductName])</f>
        <v>SNEAKERS</v>
      </c>
      <c r="S1316" t="str">
        <f>_xlfn.XLOOKUP(Orders[[#This Row],[ProductID]],Products!A:A,Products!C:C)</f>
        <v>Sports</v>
      </c>
    </row>
    <row r="1317" spans="1:19" x14ac:dyDescent="0.2">
      <c r="A1317" s="4" t="s">
        <v>1506</v>
      </c>
      <c r="B1317" s="5">
        <v>45977</v>
      </c>
      <c r="C1317" s="15">
        <f>WEEKNUM(Orders[[#This Row],[OrderDate]])</f>
        <v>47</v>
      </c>
      <c r="D1317" s="4" t="s">
        <v>264</v>
      </c>
      <c r="E1317" s="4" t="s">
        <v>31</v>
      </c>
      <c r="F1317" s="4">
        <v>3</v>
      </c>
      <c r="G1317" s="4">
        <v>1660.9</v>
      </c>
      <c r="H1317">
        <v>1411.7650000000001</v>
      </c>
      <c r="I1317">
        <f>Orders[[#This Row],[Quantity]]*Orders[[#This Row],[Selling Price]]</f>
        <v>4982.7000000000007</v>
      </c>
      <c r="J1317">
        <f>Orders[[#This Row],[Quantity]]*Orders[[#This Row],[Cost Price]]</f>
        <v>4235.2950000000001</v>
      </c>
      <c r="K1317">
        <f>Orders[[#This Row],[Revenue]]-Orders[[#This Row],[Expenses]]</f>
        <v>747.40500000000065</v>
      </c>
      <c r="L1317" t="s">
        <v>2212</v>
      </c>
      <c r="M1317" t="str">
        <f>_xlfn.XLOOKUP(Orders[[#This Row],[CustomerID]],Customers[CustomerID],Customers[City])</f>
        <v>Georgia</v>
      </c>
      <c r="N1317" t="str">
        <f>_xlfn.XLOOKUP(Orders[[#This Row],[CustomerID]],Customers[CustomerID],Customers[CustomerName])</f>
        <v>Ronke Adeyemi</v>
      </c>
      <c r="O1317" t="str">
        <f>_xlfn.XLOOKUP(Orders[[#This Row],[CustomerID]],Customers[CustomerID],Customers[Gender])</f>
        <v>Female</v>
      </c>
      <c r="P1317">
        <f>_xlfn.XLOOKUP(Orders[[#This Row],[CustomerID]],Customers[CustomerID],Customers[CustomerAge])</f>
        <v>19</v>
      </c>
      <c r="Q1317" t="str">
        <f>IF(Orders[[#This Row],[Age]]&gt;=35,"older","young")</f>
        <v>young</v>
      </c>
      <c r="R1317" t="str">
        <f>_xlfn.XLOOKUP(Orders[[#This Row],[ProductID]],Products[ProductID],Products[ProductName])</f>
        <v>KIDS GAMES</v>
      </c>
      <c r="S1317" t="str">
        <f>_xlfn.XLOOKUP(Orders[[#This Row],[ProductID]],Products!A:A,Products!C:C)</f>
        <v>Games</v>
      </c>
    </row>
    <row r="1318" spans="1:19" x14ac:dyDescent="0.2">
      <c r="A1318" s="4" t="s">
        <v>1507</v>
      </c>
      <c r="B1318" s="5">
        <v>45969</v>
      </c>
      <c r="C1318" s="15">
        <f>WEEKNUM(Orders[[#This Row],[OrderDate]])</f>
        <v>45</v>
      </c>
      <c r="D1318" s="4" t="s">
        <v>103</v>
      </c>
      <c r="E1318" s="4" t="s">
        <v>15</v>
      </c>
      <c r="F1318" s="4">
        <v>4</v>
      </c>
      <c r="G1318" s="4">
        <v>854.09999999999991</v>
      </c>
      <c r="H1318">
        <v>725.9849999999999</v>
      </c>
      <c r="I1318">
        <f>Orders[[#This Row],[Quantity]]*Orders[[#This Row],[Selling Price]]</f>
        <v>3416.3999999999996</v>
      </c>
      <c r="J1318">
        <f>Orders[[#This Row],[Quantity]]*Orders[[#This Row],[Cost Price]]</f>
        <v>2903.9399999999996</v>
      </c>
      <c r="K1318">
        <f>Orders[[#This Row],[Revenue]]-Orders[[#This Row],[Expenses]]</f>
        <v>512.46</v>
      </c>
      <c r="L1318" t="s">
        <v>2212</v>
      </c>
      <c r="M1318" t="str">
        <f>_xlfn.XLOOKUP(Orders[[#This Row],[CustomerID]],Customers[CustomerID],Customers[City])</f>
        <v>Georgia</v>
      </c>
      <c r="N1318" t="str">
        <f>_xlfn.XLOOKUP(Orders[[#This Row],[CustomerID]],Customers[CustomerID],Customers[CustomerName])</f>
        <v>Chioma Adeyemi</v>
      </c>
      <c r="O1318" t="str">
        <f>_xlfn.XLOOKUP(Orders[[#This Row],[CustomerID]],Customers[CustomerID],Customers[Gender])</f>
        <v>Female</v>
      </c>
      <c r="P1318">
        <f>_xlfn.XLOOKUP(Orders[[#This Row],[CustomerID]],Customers[CustomerID],Customers[CustomerAge])</f>
        <v>31</v>
      </c>
      <c r="Q1318" t="str">
        <f>IF(Orders[[#This Row],[Age]]&gt;=35,"older","young")</f>
        <v>young</v>
      </c>
      <c r="R1318" t="str">
        <f>_xlfn.XLOOKUP(Orders[[#This Row],[ProductID]],Products[ProductID],Products[ProductName])</f>
        <v>MONOPOLY</v>
      </c>
      <c r="S1318" t="str">
        <f>_xlfn.XLOOKUP(Orders[[#This Row],[ProductID]],Products!A:A,Products!C:C)</f>
        <v>Games</v>
      </c>
    </row>
    <row r="1319" spans="1:19" x14ac:dyDescent="0.2">
      <c r="A1319" s="4" t="s">
        <v>1508</v>
      </c>
      <c r="B1319" s="5">
        <v>45948</v>
      </c>
      <c r="C1319" s="15">
        <f>WEEKNUM(Orders[[#This Row],[OrderDate]])</f>
        <v>42</v>
      </c>
      <c r="D1319" s="4" t="s">
        <v>11</v>
      </c>
      <c r="E1319" s="4" t="s">
        <v>60</v>
      </c>
      <c r="F1319" s="4">
        <v>5</v>
      </c>
      <c r="G1319" s="4">
        <v>4551.1000000000004</v>
      </c>
      <c r="H1319">
        <v>3868.4350000000004</v>
      </c>
      <c r="I1319">
        <f>Orders[[#This Row],[Quantity]]*Orders[[#This Row],[Selling Price]]</f>
        <v>22755.5</v>
      </c>
      <c r="J1319">
        <f>Orders[[#This Row],[Quantity]]*Orders[[#This Row],[Cost Price]]</f>
        <v>19342.175000000003</v>
      </c>
      <c r="K1319">
        <f>Orders[[#This Row],[Revenue]]-Orders[[#This Row],[Expenses]]</f>
        <v>3413.3249999999971</v>
      </c>
      <c r="L1319" t="s">
        <v>2217</v>
      </c>
      <c r="M1319" t="str">
        <f>_xlfn.XLOOKUP(Orders[[#This Row],[CustomerID]],Customers[CustomerID],Customers[City])</f>
        <v>Texas</v>
      </c>
      <c r="N1319" t="str">
        <f>_xlfn.XLOOKUP(Orders[[#This Row],[CustomerID]],Customers[CustomerID],Customers[CustomerName])</f>
        <v>Efe Ojo</v>
      </c>
      <c r="O1319" t="str">
        <f>_xlfn.XLOOKUP(Orders[[#This Row],[CustomerID]],Customers[CustomerID],Customers[Gender])</f>
        <v>Female</v>
      </c>
      <c r="P1319">
        <f>_xlfn.XLOOKUP(Orders[[#This Row],[CustomerID]],Customers[CustomerID],Customers[CustomerAge])</f>
        <v>55</v>
      </c>
      <c r="Q1319" t="str">
        <f>IF(Orders[[#This Row],[Age]]&gt;=35,"older","young")</f>
        <v>older</v>
      </c>
      <c r="R1319" t="str">
        <f>_xlfn.XLOOKUP(Orders[[#This Row],[ProductID]],Products[ProductID],Products[ProductName])</f>
        <v>SILVER RINGS</v>
      </c>
      <c r="S1319" t="str">
        <f>_xlfn.XLOOKUP(Orders[[#This Row],[ProductID]],Products!A:A,Products!C:C)</f>
        <v>Accessories</v>
      </c>
    </row>
    <row r="1320" spans="1:19" x14ac:dyDescent="0.2">
      <c r="A1320" s="4" t="s">
        <v>1509</v>
      </c>
      <c r="B1320" s="5">
        <v>45962</v>
      </c>
      <c r="C1320" s="15">
        <f>WEEKNUM(Orders[[#This Row],[OrderDate]])</f>
        <v>44</v>
      </c>
      <c r="D1320" s="4" t="s">
        <v>59</v>
      </c>
      <c r="E1320" s="4" t="s">
        <v>120</v>
      </c>
      <c r="F1320" s="4">
        <v>5</v>
      </c>
      <c r="G1320" s="4">
        <v>10172.9</v>
      </c>
      <c r="H1320">
        <v>8646.9650000000001</v>
      </c>
      <c r="I1320">
        <f>Orders[[#This Row],[Quantity]]*Orders[[#This Row],[Selling Price]]</f>
        <v>50864.5</v>
      </c>
      <c r="J1320">
        <f>Orders[[#This Row],[Quantity]]*Orders[[#This Row],[Cost Price]]</f>
        <v>43234.824999999997</v>
      </c>
      <c r="K1320">
        <f>Orders[[#This Row],[Revenue]]-Orders[[#This Row],[Expenses]]</f>
        <v>7629.6750000000029</v>
      </c>
      <c r="L1320" t="s">
        <v>2203</v>
      </c>
      <c r="M1320" t="str">
        <f>_xlfn.XLOOKUP(Orders[[#This Row],[CustomerID]],Customers[CustomerID],Customers[City])</f>
        <v>Texas</v>
      </c>
      <c r="N1320" t="str">
        <f>_xlfn.XLOOKUP(Orders[[#This Row],[CustomerID]],Customers[CustomerID],Customers[CustomerName])</f>
        <v>Adanma Danladi</v>
      </c>
      <c r="O1320" t="str">
        <f>_xlfn.XLOOKUP(Orders[[#This Row],[CustomerID]],Customers[CustomerID],Customers[Gender])</f>
        <v>Female</v>
      </c>
      <c r="P1320">
        <f>_xlfn.XLOOKUP(Orders[[#This Row],[CustomerID]],Customers[CustomerID],Customers[CustomerAge])</f>
        <v>24</v>
      </c>
      <c r="Q1320" t="str">
        <f>IF(Orders[[#This Row],[Age]]&gt;=35,"older","young")</f>
        <v>young</v>
      </c>
      <c r="R1320" t="str">
        <f>_xlfn.XLOOKUP(Orders[[#This Row],[ProductID]],Products[ProductID],Products[ProductName])</f>
        <v>CHESS</v>
      </c>
      <c r="S1320" t="str">
        <f>_xlfn.XLOOKUP(Orders[[#This Row],[ProductID]],Products!A:A,Products!C:C)</f>
        <v>Games</v>
      </c>
    </row>
    <row r="1321" spans="1:19" x14ac:dyDescent="0.2">
      <c r="A1321" s="4" t="s">
        <v>1510</v>
      </c>
      <c r="B1321" s="5">
        <v>46012</v>
      </c>
      <c r="C1321" s="15">
        <f>WEEKNUM(Orders[[#This Row],[OrderDate]])</f>
        <v>52</v>
      </c>
      <c r="D1321" s="4" t="s">
        <v>96</v>
      </c>
      <c r="E1321" s="4" t="s">
        <v>120</v>
      </c>
      <c r="F1321" s="4">
        <v>6</v>
      </c>
      <c r="G1321" s="4">
        <v>3939.7000000000003</v>
      </c>
      <c r="H1321">
        <v>3348.7450000000003</v>
      </c>
      <c r="I1321">
        <f>Orders[[#This Row],[Quantity]]*Orders[[#This Row],[Selling Price]]</f>
        <v>23638.2</v>
      </c>
      <c r="J1321">
        <f>Orders[[#This Row],[Quantity]]*Orders[[#This Row],[Cost Price]]</f>
        <v>20092.47</v>
      </c>
      <c r="K1321">
        <f>Orders[[#This Row],[Revenue]]-Orders[[#This Row],[Expenses]]</f>
        <v>3545.7299999999996</v>
      </c>
      <c r="L1321" t="s">
        <v>2193</v>
      </c>
      <c r="M1321" t="str">
        <f>_xlfn.XLOOKUP(Orders[[#This Row],[CustomerID]],Customers[CustomerID],Customers[City])</f>
        <v>Texas</v>
      </c>
      <c r="N1321" t="str">
        <f>_xlfn.XLOOKUP(Orders[[#This Row],[CustomerID]],Customers[CustomerID],Customers[CustomerName])</f>
        <v>Amina Abubakar</v>
      </c>
      <c r="O1321" t="str">
        <f>_xlfn.XLOOKUP(Orders[[#This Row],[CustomerID]],Customers[CustomerID],Customers[Gender])</f>
        <v>Female</v>
      </c>
      <c r="P1321">
        <f>_xlfn.XLOOKUP(Orders[[#This Row],[CustomerID]],Customers[CustomerID],Customers[CustomerAge])</f>
        <v>35</v>
      </c>
      <c r="Q1321" t="str">
        <f>IF(Orders[[#This Row],[Age]]&gt;=35,"older","young")</f>
        <v>older</v>
      </c>
      <c r="R1321" t="str">
        <f>_xlfn.XLOOKUP(Orders[[#This Row],[ProductID]],Products[ProductID],Products[ProductName])</f>
        <v>CHESS</v>
      </c>
      <c r="S1321" t="str">
        <f>_xlfn.XLOOKUP(Orders[[#This Row],[ProductID]],Products!A:A,Products!C:C)</f>
        <v>Games</v>
      </c>
    </row>
    <row r="1322" spans="1:19" x14ac:dyDescent="0.2">
      <c r="A1322" s="4" t="s">
        <v>1511</v>
      </c>
      <c r="B1322" s="5">
        <v>45998</v>
      </c>
      <c r="C1322" s="15">
        <f>WEEKNUM(Orders[[#This Row],[OrderDate]])</f>
        <v>50</v>
      </c>
      <c r="D1322" s="4" t="s">
        <v>116</v>
      </c>
      <c r="E1322" s="4" t="s">
        <v>31</v>
      </c>
      <c r="F1322" s="4">
        <v>2</v>
      </c>
      <c r="G1322" s="4">
        <v>19224.400000000001</v>
      </c>
      <c r="H1322">
        <v>16340.740000000002</v>
      </c>
      <c r="I1322">
        <f>Orders[[#This Row],[Quantity]]*Orders[[#This Row],[Selling Price]]</f>
        <v>38448.800000000003</v>
      </c>
      <c r="J1322">
        <f>Orders[[#This Row],[Quantity]]*Orders[[#This Row],[Cost Price]]</f>
        <v>32681.480000000003</v>
      </c>
      <c r="K1322">
        <f>Orders[[#This Row],[Revenue]]-Orders[[#This Row],[Expenses]]</f>
        <v>5767.32</v>
      </c>
      <c r="L1322" t="s">
        <v>2210</v>
      </c>
      <c r="M1322" t="str">
        <f>_xlfn.XLOOKUP(Orders[[#This Row],[CustomerID]],Customers[CustomerID],Customers[City])</f>
        <v>Texas</v>
      </c>
      <c r="N1322" t="str">
        <f>_xlfn.XLOOKUP(Orders[[#This Row],[CustomerID]],Customers[CustomerID],Customers[CustomerName])</f>
        <v>Uche Bello</v>
      </c>
      <c r="O1322" t="str">
        <f>_xlfn.XLOOKUP(Orders[[#This Row],[CustomerID]],Customers[CustomerID],Customers[Gender])</f>
        <v>Male</v>
      </c>
      <c r="P1322">
        <f>_xlfn.XLOOKUP(Orders[[#This Row],[CustomerID]],Customers[CustomerID],Customers[CustomerAge])</f>
        <v>21</v>
      </c>
      <c r="Q1322" t="str">
        <f>IF(Orders[[#This Row],[Age]]&gt;=35,"older","young")</f>
        <v>young</v>
      </c>
      <c r="R1322" t="str">
        <f>_xlfn.XLOOKUP(Orders[[#This Row],[ProductID]],Products[ProductID],Products[ProductName])</f>
        <v>KIDS GAMES</v>
      </c>
      <c r="S1322" t="str">
        <f>_xlfn.XLOOKUP(Orders[[#This Row],[ProductID]],Products!A:A,Products!C:C)</f>
        <v>Games</v>
      </c>
    </row>
    <row r="1323" spans="1:19" x14ac:dyDescent="0.2">
      <c r="A1323" s="4" t="s">
        <v>1512</v>
      </c>
      <c r="B1323" s="5">
        <v>46022</v>
      </c>
      <c r="C1323" s="15">
        <f>WEEKNUM(Orders[[#This Row],[OrderDate]])</f>
        <v>53</v>
      </c>
      <c r="D1323" s="4" t="s">
        <v>33</v>
      </c>
      <c r="E1323" s="4" t="s">
        <v>34</v>
      </c>
      <c r="F1323" s="4">
        <v>1</v>
      </c>
      <c r="G1323" s="4">
        <v>8752.4</v>
      </c>
      <c r="H1323">
        <v>7439.54</v>
      </c>
      <c r="I1323">
        <f>Orders[[#This Row],[Quantity]]*Orders[[#This Row],[Selling Price]]</f>
        <v>8752.4</v>
      </c>
      <c r="J1323">
        <f>Orders[[#This Row],[Quantity]]*Orders[[#This Row],[Cost Price]]</f>
        <v>7439.54</v>
      </c>
      <c r="K1323">
        <f>Orders[[#This Row],[Revenue]]-Orders[[#This Row],[Expenses]]</f>
        <v>1312.8599999999997</v>
      </c>
      <c r="L1323" t="s">
        <v>2216</v>
      </c>
      <c r="M1323" t="str">
        <f>_xlfn.XLOOKUP(Orders[[#This Row],[CustomerID]],Customers[CustomerID],Customers[City])</f>
        <v>Texas</v>
      </c>
      <c r="N1323" t="str">
        <f>_xlfn.XLOOKUP(Orders[[#This Row],[CustomerID]],Customers[CustomerID],Customers[CustomerName])</f>
        <v>Okon Balogun</v>
      </c>
      <c r="O1323" t="str">
        <f>_xlfn.XLOOKUP(Orders[[#This Row],[CustomerID]],Customers[CustomerID],Customers[Gender])</f>
        <v>Male</v>
      </c>
      <c r="P1323">
        <f>_xlfn.XLOOKUP(Orders[[#This Row],[CustomerID]],Customers[CustomerID],Customers[CustomerAge])</f>
        <v>28</v>
      </c>
      <c r="Q1323" t="str">
        <f>IF(Orders[[#This Row],[Age]]&gt;=35,"older","young")</f>
        <v>young</v>
      </c>
      <c r="R1323" t="str">
        <f>_xlfn.XLOOKUP(Orders[[#This Row],[ProductID]],Products[ProductID],Products[ProductName])</f>
        <v>GOLD BRACELETS</v>
      </c>
      <c r="S1323" t="str">
        <f>_xlfn.XLOOKUP(Orders[[#This Row],[ProductID]],Products!A:A,Products!C:C)</f>
        <v>Accessories</v>
      </c>
    </row>
    <row r="1324" spans="1:19" x14ac:dyDescent="0.2">
      <c r="A1324" s="4" t="s">
        <v>1513</v>
      </c>
      <c r="B1324" s="5">
        <v>46003</v>
      </c>
      <c r="C1324" s="15">
        <f>WEEKNUM(Orders[[#This Row],[OrderDate]])</f>
        <v>50</v>
      </c>
      <c r="D1324" s="4" t="s">
        <v>163</v>
      </c>
      <c r="E1324" s="4" t="s">
        <v>31</v>
      </c>
      <c r="F1324" s="4">
        <v>2</v>
      </c>
      <c r="G1324" s="4">
        <v>10856.300000000001</v>
      </c>
      <c r="H1324">
        <v>9227.8550000000014</v>
      </c>
      <c r="I1324">
        <f>Orders[[#This Row],[Quantity]]*Orders[[#This Row],[Selling Price]]</f>
        <v>21712.600000000002</v>
      </c>
      <c r="J1324">
        <f>Orders[[#This Row],[Quantity]]*Orders[[#This Row],[Cost Price]]</f>
        <v>18455.710000000003</v>
      </c>
      <c r="K1324">
        <f>Orders[[#This Row],[Revenue]]-Orders[[#This Row],[Expenses]]</f>
        <v>3256.8899999999994</v>
      </c>
      <c r="L1324" t="s">
        <v>2220</v>
      </c>
      <c r="M1324" t="str">
        <f>_xlfn.XLOOKUP(Orders[[#This Row],[CustomerID]],Customers[CustomerID],Customers[City])</f>
        <v>Texas</v>
      </c>
      <c r="N1324" t="str">
        <f>_xlfn.XLOOKUP(Orders[[#This Row],[CustomerID]],Customers[CustomerID],Customers[CustomerName])</f>
        <v>Folasade Danladi</v>
      </c>
      <c r="O1324" t="str">
        <f>_xlfn.XLOOKUP(Orders[[#This Row],[CustomerID]],Customers[CustomerID],Customers[Gender])</f>
        <v>Female</v>
      </c>
      <c r="P1324">
        <f>_xlfn.XLOOKUP(Orders[[#This Row],[CustomerID]],Customers[CustomerID],Customers[CustomerAge])</f>
        <v>32</v>
      </c>
      <c r="Q1324" t="str">
        <f>IF(Orders[[#This Row],[Age]]&gt;=35,"older","young")</f>
        <v>young</v>
      </c>
      <c r="R1324" t="str">
        <f>_xlfn.XLOOKUP(Orders[[#This Row],[ProductID]],Products[ProductID],Products[ProductName])</f>
        <v>KIDS GAMES</v>
      </c>
      <c r="S1324" t="str">
        <f>_xlfn.XLOOKUP(Orders[[#This Row],[ProductID]],Products!A:A,Products!C:C)</f>
        <v>Games</v>
      </c>
    </row>
    <row r="1325" spans="1:19" x14ac:dyDescent="0.2">
      <c r="A1325" s="4" t="s">
        <v>1514</v>
      </c>
      <c r="B1325" s="5">
        <v>45984</v>
      </c>
      <c r="C1325" s="15">
        <f>WEEKNUM(Orders[[#This Row],[OrderDate]])</f>
        <v>48</v>
      </c>
      <c r="D1325" s="4" t="s">
        <v>287</v>
      </c>
      <c r="E1325" s="4" t="s">
        <v>92</v>
      </c>
      <c r="F1325" s="4">
        <v>10</v>
      </c>
      <c r="G1325" s="4">
        <v>13324.300000000001</v>
      </c>
      <c r="H1325">
        <v>11325.655000000001</v>
      </c>
      <c r="I1325">
        <f>Orders[[#This Row],[Quantity]]*Orders[[#This Row],[Selling Price]]</f>
        <v>133243</v>
      </c>
      <c r="J1325">
        <f>Orders[[#This Row],[Quantity]]*Orders[[#This Row],[Cost Price]]</f>
        <v>113256.55</v>
      </c>
      <c r="K1325">
        <f>Orders[[#This Row],[Revenue]]-Orders[[#This Row],[Expenses]]</f>
        <v>19986.449999999997</v>
      </c>
      <c r="L1325" t="s">
        <v>2206</v>
      </c>
      <c r="M1325" t="str">
        <f>_xlfn.XLOOKUP(Orders[[#This Row],[CustomerID]],Customers[CustomerID],Customers[City])</f>
        <v>Texas</v>
      </c>
      <c r="N1325" t="str">
        <f>_xlfn.XLOOKUP(Orders[[#This Row],[CustomerID]],Customers[CustomerID],Customers[CustomerName])</f>
        <v>Okon Obi</v>
      </c>
      <c r="O1325" t="str">
        <f>_xlfn.XLOOKUP(Orders[[#This Row],[CustomerID]],Customers[CustomerID],Customers[Gender])</f>
        <v>Male</v>
      </c>
      <c r="P1325">
        <f>_xlfn.XLOOKUP(Orders[[#This Row],[CustomerID]],Customers[CustomerID],Customers[CustomerAge])</f>
        <v>55</v>
      </c>
      <c r="Q1325" t="str">
        <f>IF(Orders[[#This Row],[Age]]&gt;=35,"older","young")</f>
        <v>older</v>
      </c>
      <c r="R1325" t="str">
        <f>_xlfn.XLOOKUP(Orders[[#This Row],[ProductID]],Products[ProductID],Products[ProductName])</f>
        <v>CHEST EXPANDER</v>
      </c>
      <c r="S1325" t="str">
        <f>_xlfn.XLOOKUP(Orders[[#This Row],[ProductID]],Products!A:A,Products!C:C)</f>
        <v>Gym</v>
      </c>
    </row>
    <row r="1326" spans="1:19" x14ac:dyDescent="0.2">
      <c r="A1326" s="4" t="s">
        <v>1515</v>
      </c>
      <c r="B1326" s="5">
        <v>45979</v>
      </c>
      <c r="C1326" s="15">
        <f>WEEKNUM(Orders[[#This Row],[OrderDate]])</f>
        <v>47</v>
      </c>
      <c r="D1326" s="4" t="s">
        <v>148</v>
      </c>
      <c r="E1326" s="4" t="s">
        <v>120</v>
      </c>
      <c r="F1326" s="4">
        <v>10</v>
      </c>
      <c r="G1326" s="4">
        <v>11399</v>
      </c>
      <c r="H1326">
        <v>9689.15</v>
      </c>
      <c r="I1326">
        <f>Orders[[#This Row],[Quantity]]*Orders[[#This Row],[Selling Price]]</f>
        <v>113990</v>
      </c>
      <c r="J1326">
        <f>Orders[[#This Row],[Quantity]]*Orders[[#This Row],[Cost Price]]</f>
        <v>96891.5</v>
      </c>
      <c r="K1326">
        <f>Orders[[#This Row],[Revenue]]-Orders[[#This Row],[Expenses]]</f>
        <v>17098.5</v>
      </c>
      <c r="L1326" t="s">
        <v>2211</v>
      </c>
      <c r="M1326" t="str">
        <f>_xlfn.XLOOKUP(Orders[[#This Row],[CustomerID]],Customers[CustomerID],Customers[City])</f>
        <v>Florida</v>
      </c>
      <c r="N1326" t="str">
        <f>_xlfn.XLOOKUP(Orders[[#This Row],[CustomerID]],Customers[CustomerID],Customers[CustomerName])</f>
        <v>Zainab Abubakar</v>
      </c>
      <c r="O1326" t="str">
        <f>_xlfn.XLOOKUP(Orders[[#This Row],[CustomerID]],Customers[CustomerID],Customers[Gender])</f>
        <v>Female</v>
      </c>
      <c r="P1326">
        <f>_xlfn.XLOOKUP(Orders[[#This Row],[CustomerID]],Customers[CustomerID],Customers[CustomerAge])</f>
        <v>29</v>
      </c>
      <c r="Q1326" t="str">
        <f>IF(Orders[[#This Row],[Age]]&gt;=35,"older","young")</f>
        <v>young</v>
      </c>
      <c r="R1326" t="str">
        <f>_xlfn.XLOOKUP(Orders[[#This Row],[ProductID]],Products[ProductID],Products[ProductName])</f>
        <v>CHESS</v>
      </c>
      <c r="S1326" t="str">
        <f>_xlfn.XLOOKUP(Orders[[#This Row],[ProductID]],Products!A:A,Products!C:C)</f>
        <v>Games</v>
      </c>
    </row>
    <row r="1327" spans="1:19" x14ac:dyDescent="0.2">
      <c r="A1327" s="4" t="s">
        <v>1516</v>
      </c>
      <c r="B1327" s="5">
        <v>46015</v>
      </c>
      <c r="C1327" s="15">
        <f>WEEKNUM(Orders[[#This Row],[OrderDate]])</f>
        <v>52</v>
      </c>
      <c r="D1327" s="4" t="s">
        <v>293</v>
      </c>
      <c r="E1327" s="4" t="s">
        <v>23</v>
      </c>
      <c r="F1327" s="4">
        <v>6</v>
      </c>
      <c r="G1327" s="4">
        <v>12701.199999999999</v>
      </c>
      <c r="H1327">
        <v>10796.019999999999</v>
      </c>
      <c r="I1327">
        <f>Orders[[#This Row],[Quantity]]*Orders[[#This Row],[Selling Price]]</f>
        <v>76207.199999999997</v>
      </c>
      <c r="J1327">
        <f>Orders[[#This Row],[Quantity]]*Orders[[#This Row],[Cost Price]]</f>
        <v>64776.119999999995</v>
      </c>
      <c r="K1327">
        <f>Orders[[#This Row],[Revenue]]-Orders[[#This Row],[Expenses]]</f>
        <v>11431.080000000002</v>
      </c>
      <c r="L1327" t="s">
        <v>2216</v>
      </c>
      <c r="M1327" t="str">
        <f>_xlfn.XLOOKUP(Orders[[#This Row],[CustomerID]],Customers[CustomerID],Customers[City])</f>
        <v>Florida</v>
      </c>
      <c r="N1327" t="str">
        <f>_xlfn.XLOOKUP(Orders[[#This Row],[CustomerID]],Customers[CustomerID],Customers[CustomerName])</f>
        <v>Tunde Eze</v>
      </c>
      <c r="O1327" t="str">
        <f>_xlfn.XLOOKUP(Orders[[#This Row],[CustomerID]],Customers[CustomerID],Customers[Gender])</f>
        <v>Male</v>
      </c>
      <c r="P1327">
        <f>_xlfn.XLOOKUP(Orders[[#This Row],[CustomerID]],Customers[CustomerID],Customers[CustomerAge])</f>
        <v>46</v>
      </c>
      <c r="Q1327" t="str">
        <f>IF(Orders[[#This Row],[Age]]&gt;=35,"older","young")</f>
        <v>older</v>
      </c>
      <c r="R1327" t="str">
        <f>_xlfn.XLOOKUP(Orders[[#This Row],[ProductID]],Products[ProductID],Products[ProductName])</f>
        <v>GYM GLOVES</v>
      </c>
      <c r="S1327" t="str">
        <f>_xlfn.XLOOKUP(Orders[[#This Row],[ProductID]],Products!A:A,Products!C:C)</f>
        <v>Gym</v>
      </c>
    </row>
    <row r="1328" spans="1:19" x14ac:dyDescent="0.2">
      <c r="A1328" s="4" t="s">
        <v>1517</v>
      </c>
      <c r="B1328" s="5">
        <v>45932</v>
      </c>
      <c r="C1328" s="15">
        <f>WEEKNUM(Orders[[#This Row],[OrderDate]])</f>
        <v>40</v>
      </c>
      <c r="D1328" s="4" t="s">
        <v>159</v>
      </c>
      <c r="E1328" s="4" t="s">
        <v>25</v>
      </c>
      <c r="F1328" s="4">
        <v>5</v>
      </c>
      <c r="G1328" s="4">
        <v>8554</v>
      </c>
      <c r="H1328">
        <v>7270.9</v>
      </c>
      <c r="I1328">
        <f>Orders[[#This Row],[Quantity]]*Orders[[#This Row],[Selling Price]]</f>
        <v>42770</v>
      </c>
      <c r="J1328">
        <f>Orders[[#This Row],[Quantity]]*Orders[[#This Row],[Cost Price]]</f>
        <v>36354.5</v>
      </c>
      <c r="K1328">
        <f>Orders[[#This Row],[Revenue]]-Orders[[#This Row],[Expenses]]</f>
        <v>6415.5</v>
      </c>
      <c r="L1328" t="s">
        <v>2195</v>
      </c>
      <c r="M1328" t="str">
        <f>_xlfn.XLOOKUP(Orders[[#This Row],[CustomerID]],Customers[CustomerID],Customers[City])</f>
        <v>Florida</v>
      </c>
      <c r="N1328" t="str">
        <f>_xlfn.XLOOKUP(Orders[[#This Row],[CustomerID]],Customers[CustomerID],Customers[CustomerName])</f>
        <v>Ibrahim Okonkwo</v>
      </c>
      <c r="O1328" t="str">
        <f>_xlfn.XLOOKUP(Orders[[#This Row],[CustomerID]],Customers[CustomerID],Customers[Gender])</f>
        <v>Male</v>
      </c>
      <c r="P1328">
        <f>_xlfn.XLOOKUP(Orders[[#This Row],[CustomerID]],Customers[CustomerID],Customers[CustomerAge])</f>
        <v>49</v>
      </c>
      <c r="Q1328" t="str">
        <f>IF(Orders[[#This Row],[Age]]&gt;=35,"older","young")</f>
        <v>older</v>
      </c>
      <c r="R1328" t="str">
        <f>_xlfn.XLOOKUP(Orders[[#This Row],[ProductID]],Products[ProductID],Products[ProductName])</f>
        <v>GOLD RINGS</v>
      </c>
      <c r="S1328" t="str">
        <f>_xlfn.XLOOKUP(Orders[[#This Row],[ProductID]],Products!A:A,Products!C:C)</f>
        <v>Accessories</v>
      </c>
    </row>
    <row r="1329" spans="1:19" x14ac:dyDescent="0.2">
      <c r="A1329" s="4" t="s">
        <v>1518</v>
      </c>
      <c r="B1329" s="5">
        <v>46010</v>
      </c>
      <c r="C1329" s="15">
        <f>WEEKNUM(Orders[[#This Row],[OrderDate]])</f>
        <v>51</v>
      </c>
      <c r="D1329" s="4" t="s">
        <v>282</v>
      </c>
      <c r="E1329" s="4" t="s">
        <v>60</v>
      </c>
      <c r="F1329" s="4">
        <v>8</v>
      </c>
      <c r="G1329" s="4">
        <v>14195.5</v>
      </c>
      <c r="H1329">
        <v>12066.174999999999</v>
      </c>
      <c r="I1329">
        <f>Orders[[#This Row],[Quantity]]*Orders[[#This Row],[Selling Price]]</f>
        <v>113564</v>
      </c>
      <c r="J1329">
        <f>Orders[[#This Row],[Quantity]]*Orders[[#This Row],[Cost Price]]</f>
        <v>96529.4</v>
      </c>
      <c r="K1329">
        <f>Orders[[#This Row],[Revenue]]-Orders[[#This Row],[Expenses]]</f>
        <v>17034.600000000006</v>
      </c>
      <c r="L1329" t="s">
        <v>2202</v>
      </c>
      <c r="M1329" t="str">
        <f>_xlfn.XLOOKUP(Orders[[#This Row],[CustomerID]],Customers[CustomerID],Customers[City])</f>
        <v>Texas</v>
      </c>
      <c r="N1329" t="str">
        <f>_xlfn.XLOOKUP(Orders[[#This Row],[CustomerID]],Customers[CustomerID],Customers[CustomerName])</f>
        <v>Bisi Ojo</v>
      </c>
      <c r="O1329" t="str">
        <f>_xlfn.XLOOKUP(Orders[[#This Row],[CustomerID]],Customers[CustomerID],Customers[Gender])</f>
        <v>Female</v>
      </c>
      <c r="P1329">
        <f>_xlfn.XLOOKUP(Orders[[#This Row],[CustomerID]],Customers[CustomerID],Customers[CustomerAge])</f>
        <v>26</v>
      </c>
      <c r="Q1329" t="str">
        <f>IF(Orders[[#This Row],[Age]]&gt;=35,"older","young")</f>
        <v>young</v>
      </c>
      <c r="R1329" t="str">
        <f>_xlfn.XLOOKUP(Orders[[#This Row],[ProductID]],Products[ProductID],Products[ProductName])</f>
        <v>SILVER RINGS</v>
      </c>
      <c r="S1329" t="str">
        <f>_xlfn.XLOOKUP(Orders[[#This Row],[ProductID]],Products!A:A,Products!C:C)</f>
        <v>Accessories</v>
      </c>
    </row>
    <row r="1330" spans="1:19" x14ac:dyDescent="0.2">
      <c r="A1330" s="4" t="s">
        <v>1519</v>
      </c>
      <c r="B1330" s="5">
        <v>45949</v>
      </c>
      <c r="C1330" s="15">
        <f>WEEKNUM(Orders[[#This Row],[OrderDate]])</f>
        <v>43</v>
      </c>
      <c r="D1330" s="4" t="s">
        <v>481</v>
      </c>
      <c r="E1330" s="4" t="s">
        <v>120</v>
      </c>
      <c r="F1330" s="4">
        <v>10</v>
      </c>
      <c r="G1330" s="4">
        <v>19922.7</v>
      </c>
      <c r="H1330">
        <v>16934.295000000002</v>
      </c>
      <c r="I1330">
        <f>Orders[[#This Row],[Quantity]]*Orders[[#This Row],[Selling Price]]</f>
        <v>199227</v>
      </c>
      <c r="J1330">
        <f>Orders[[#This Row],[Quantity]]*Orders[[#This Row],[Cost Price]]</f>
        <v>169342.95</v>
      </c>
      <c r="K1330">
        <f>Orders[[#This Row],[Revenue]]-Orders[[#This Row],[Expenses]]</f>
        <v>29884.049999999988</v>
      </c>
      <c r="L1330" t="s">
        <v>2215</v>
      </c>
      <c r="M1330" t="str">
        <f>_xlfn.XLOOKUP(Orders[[#This Row],[CustomerID]],Customers[CustomerID],Customers[City])</f>
        <v>Illinois</v>
      </c>
      <c r="N1330" t="str">
        <f>_xlfn.XLOOKUP(Orders[[#This Row],[CustomerID]],Customers[CustomerID],Customers[CustomerName])</f>
        <v>Abiola Bello</v>
      </c>
      <c r="O1330" t="str">
        <f>_xlfn.XLOOKUP(Orders[[#This Row],[CustomerID]],Customers[CustomerID],Customers[Gender])</f>
        <v>Male</v>
      </c>
      <c r="P1330">
        <f>_xlfn.XLOOKUP(Orders[[#This Row],[CustomerID]],Customers[CustomerID],Customers[CustomerAge])</f>
        <v>33</v>
      </c>
      <c r="Q1330" t="str">
        <f>IF(Orders[[#This Row],[Age]]&gt;=35,"older","young")</f>
        <v>young</v>
      </c>
      <c r="R1330" t="str">
        <f>_xlfn.XLOOKUP(Orders[[#This Row],[ProductID]],Products[ProductID],Products[ProductName])</f>
        <v>CHESS</v>
      </c>
      <c r="S1330" t="str">
        <f>_xlfn.XLOOKUP(Orders[[#This Row],[ProductID]],Products!A:A,Products!C:C)</f>
        <v>Games</v>
      </c>
    </row>
    <row r="1331" spans="1:19" x14ac:dyDescent="0.2">
      <c r="A1331" s="4" t="s">
        <v>1520</v>
      </c>
      <c r="B1331" s="5">
        <v>46011</v>
      </c>
      <c r="C1331" s="15">
        <f>WEEKNUM(Orders[[#This Row],[OrderDate]])</f>
        <v>51</v>
      </c>
      <c r="D1331" s="4" t="s">
        <v>107</v>
      </c>
      <c r="E1331" s="4" t="s">
        <v>130</v>
      </c>
      <c r="F1331" s="4">
        <v>6</v>
      </c>
      <c r="G1331" s="4">
        <v>4124.3</v>
      </c>
      <c r="H1331">
        <v>3505.6550000000002</v>
      </c>
      <c r="I1331">
        <f>Orders[[#This Row],[Quantity]]*Orders[[#This Row],[Selling Price]]</f>
        <v>24745.800000000003</v>
      </c>
      <c r="J1331">
        <f>Orders[[#This Row],[Quantity]]*Orders[[#This Row],[Cost Price]]</f>
        <v>21033.93</v>
      </c>
      <c r="K1331">
        <f>Orders[[#This Row],[Revenue]]-Orders[[#This Row],[Expenses]]</f>
        <v>3711.8700000000026</v>
      </c>
      <c r="L1331" t="s">
        <v>2214</v>
      </c>
      <c r="M1331" t="str">
        <f>_xlfn.XLOOKUP(Orders[[#This Row],[CustomerID]],Customers[CustomerID],Customers[City])</f>
        <v>Texas</v>
      </c>
      <c r="N1331" t="str">
        <f>_xlfn.XLOOKUP(Orders[[#This Row],[CustomerID]],Customers[CustomerID],Customers[CustomerName])</f>
        <v>Blessing Eze</v>
      </c>
      <c r="O1331" t="str">
        <f>_xlfn.XLOOKUP(Orders[[#This Row],[CustomerID]],Customers[CustomerID],Customers[Gender])</f>
        <v>Female</v>
      </c>
      <c r="P1331">
        <f>_xlfn.XLOOKUP(Orders[[#This Row],[CustomerID]],Customers[CustomerID],Customers[CustomerAge])</f>
        <v>44</v>
      </c>
      <c r="Q1331" t="str">
        <f>IF(Orders[[#This Row],[Age]]&gt;=35,"older","young")</f>
        <v>older</v>
      </c>
      <c r="R1331" t="str">
        <f>_xlfn.XLOOKUP(Orders[[#This Row],[ProductID]],Products[ProductID],Products[ProductName])</f>
        <v>GOLD EARRINGS AND NECKLACES</v>
      </c>
      <c r="S1331" t="str">
        <f>_xlfn.XLOOKUP(Orders[[#This Row],[ProductID]],Products!A:A,Products!C:C)</f>
        <v>Accessories</v>
      </c>
    </row>
    <row r="1332" spans="1:19" x14ac:dyDescent="0.2">
      <c r="A1332" s="4" t="s">
        <v>1521</v>
      </c>
      <c r="B1332" s="5">
        <v>46013</v>
      </c>
      <c r="C1332" s="15">
        <f>WEEKNUM(Orders[[#This Row],[OrderDate]])</f>
        <v>52</v>
      </c>
      <c r="D1332" s="4" t="s">
        <v>481</v>
      </c>
      <c r="E1332" s="4" t="s">
        <v>57</v>
      </c>
      <c r="F1332" s="4">
        <v>7</v>
      </c>
      <c r="G1332" s="4">
        <v>16797.7</v>
      </c>
      <c r="H1332">
        <v>14278.045</v>
      </c>
      <c r="I1332">
        <f>Orders[[#This Row],[Quantity]]*Orders[[#This Row],[Selling Price]]</f>
        <v>117583.90000000001</v>
      </c>
      <c r="J1332">
        <f>Orders[[#This Row],[Quantity]]*Orders[[#This Row],[Cost Price]]</f>
        <v>99946.315000000002</v>
      </c>
      <c r="K1332">
        <f>Orders[[#This Row],[Revenue]]-Orders[[#This Row],[Expenses]]</f>
        <v>17637.585000000006</v>
      </c>
      <c r="L1332" t="s">
        <v>2218</v>
      </c>
      <c r="M1332" t="str">
        <f>_xlfn.XLOOKUP(Orders[[#This Row],[CustomerID]],Customers[CustomerID],Customers[City])</f>
        <v>Illinois</v>
      </c>
      <c r="N1332" t="str">
        <f>_xlfn.XLOOKUP(Orders[[#This Row],[CustomerID]],Customers[CustomerID],Customers[CustomerName])</f>
        <v>Abiola Bello</v>
      </c>
      <c r="O1332" t="str">
        <f>_xlfn.XLOOKUP(Orders[[#This Row],[CustomerID]],Customers[CustomerID],Customers[Gender])</f>
        <v>Male</v>
      </c>
      <c r="P1332">
        <f>_xlfn.XLOOKUP(Orders[[#This Row],[CustomerID]],Customers[CustomerID],Customers[CustomerAge])</f>
        <v>33</v>
      </c>
      <c r="Q1332" t="str">
        <f>IF(Orders[[#This Row],[Age]]&gt;=35,"older","young")</f>
        <v>young</v>
      </c>
      <c r="R1332" t="str">
        <f>_xlfn.XLOOKUP(Orders[[#This Row],[ProductID]],Products[ProductID],Products[ProductName])</f>
        <v>BADMINTON RACKET</v>
      </c>
      <c r="S1332" t="str">
        <f>_xlfn.XLOOKUP(Orders[[#This Row],[ProductID]],Products!A:A,Products!C:C)</f>
        <v>Sports</v>
      </c>
    </row>
    <row r="1333" spans="1:19" x14ac:dyDescent="0.2">
      <c r="A1333" s="4" t="s">
        <v>1522</v>
      </c>
      <c r="B1333" s="5">
        <v>46003</v>
      </c>
      <c r="C1333" s="15">
        <f>WEEKNUM(Orders[[#This Row],[OrderDate]])</f>
        <v>50</v>
      </c>
      <c r="D1333" s="4" t="s">
        <v>439</v>
      </c>
      <c r="E1333" s="4" t="s">
        <v>46</v>
      </c>
      <c r="F1333" s="4">
        <v>4</v>
      </c>
      <c r="G1333" s="4">
        <v>9334.1999999999989</v>
      </c>
      <c r="H1333">
        <v>7934.0699999999988</v>
      </c>
      <c r="I1333">
        <f>Orders[[#This Row],[Quantity]]*Orders[[#This Row],[Selling Price]]</f>
        <v>37336.799999999996</v>
      </c>
      <c r="J1333">
        <f>Orders[[#This Row],[Quantity]]*Orders[[#This Row],[Cost Price]]</f>
        <v>31736.279999999995</v>
      </c>
      <c r="K1333">
        <f>Orders[[#This Row],[Revenue]]-Orders[[#This Row],[Expenses]]</f>
        <v>5600.52</v>
      </c>
      <c r="L1333" t="s">
        <v>2195</v>
      </c>
      <c r="M1333" t="str">
        <f>_xlfn.XLOOKUP(Orders[[#This Row],[CustomerID]],Customers[CustomerID],Customers[City])</f>
        <v>Texas</v>
      </c>
      <c r="N1333" t="str">
        <f>_xlfn.XLOOKUP(Orders[[#This Row],[CustomerID]],Customers[CustomerID],Customers[CustomerName])</f>
        <v>Efe Abubakar</v>
      </c>
      <c r="O1333" t="str">
        <f>_xlfn.XLOOKUP(Orders[[#This Row],[CustomerID]],Customers[CustomerID],Customers[Gender])</f>
        <v>Female</v>
      </c>
      <c r="P1333">
        <f>_xlfn.XLOOKUP(Orders[[#This Row],[CustomerID]],Customers[CustomerID],Customers[CustomerAge])</f>
        <v>50</v>
      </c>
      <c r="Q1333" t="str">
        <f>IF(Orders[[#This Row],[Age]]&gt;=35,"older","young")</f>
        <v>older</v>
      </c>
      <c r="R1333" t="str">
        <f>_xlfn.XLOOKUP(Orders[[#This Row],[ProductID]],Products[ProductID],Products[ProductName])</f>
        <v>TURTLE NECK</v>
      </c>
      <c r="S1333" t="str">
        <f>_xlfn.XLOOKUP(Orders[[#This Row],[ProductID]],Products!A:A,Products!C:C)</f>
        <v>Clothing</v>
      </c>
    </row>
    <row r="1334" spans="1:19" x14ac:dyDescent="0.2">
      <c r="A1334" s="4" t="s">
        <v>1523</v>
      </c>
      <c r="B1334" s="5">
        <v>45967</v>
      </c>
      <c r="C1334" s="15">
        <f>WEEKNUM(Orders[[#This Row],[OrderDate]])</f>
        <v>45</v>
      </c>
      <c r="D1334" s="4" t="s">
        <v>148</v>
      </c>
      <c r="E1334" s="4" t="s">
        <v>70</v>
      </c>
      <c r="F1334" s="4">
        <v>4</v>
      </c>
      <c r="G1334" s="4">
        <v>19007.5</v>
      </c>
      <c r="H1334">
        <v>16156.375</v>
      </c>
      <c r="I1334">
        <f>Orders[[#This Row],[Quantity]]*Orders[[#This Row],[Selling Price]]</f>
        <v>76030</v>
      </c>
      <c r="J1334">
        <f>Orders[[#This Row],[Quantity]]*Orders[[#This Row],[Cost Price]]</f>
        <v>64625.5</v>
      </c>
      <c r="K1334">
        <f>Orders[[#This Row],[Revenue]]-Orders[[#This Row],[Expenses]]</f>
        <v>11404.5</v>
      </c>
      <c r="L1334" t="s">
        <v>2208</v>
      </c>
      <c r="M1334" t="str">
        <f>_xlfn.XLOOKUP(Orders[[#This Row],[CustomerID]],Customers[CustomerID],Customers[City])</f>
        <v>Florida</v>
      </c>
      <c r="N1334" t="str">
        <f>_xlfn.XLOOKUP(Orders[[#This Row],[CustomerID]],Customers[CustomerID],Customers[CustomerName])</f>
        <v>Zainab Abubakar</v>
      </c>
      <c r="O1334" t="str">
        <f>_xlfn.XLOOKUP(Orders[[#This Row],[CustomerID]],Customers[CustomerID],Customers[Gender])</f>
        <v>Female</v>
      </c>
      <c r="P1334">
        <f>_xlfn.XLOOKUP(Orders[[#This Row],[CustomerID]],Customers[CustomerID],Customers[CustomerAge])</f>
        <v>29</v>
      </c>
      <c r="Q1334" t="str">
        <f>IF(Orders[[#This Row],[Age]]&gt;=35,"older","young")</f>
        <v>young</v>
      </c>
      <c r="R1334" t="str">
        <f>_xlfn.XLOOKUP(Orders[[#This Row],[ProductID]],Products[ProductID],Products[ProductName])</f>
        <v>YOGA MAT</v>
      </c>
      <c r="S1334" t="str">
        <f>_xlfn.XLOOKUP(Orders[[#This Row],[ProductID]],Products!A:A,Products!C:C)</f>
        <v>Gym</v>
      </c>
    </row>
    <row r="1335" spans="1:19" x14ac:dyDescent="0.2">
      <c r="A1335" s="4" t="s">
        <v>1524</v>
      </c>
      <c r="B1335" s="5">
        <v>45961</v>
      </c>
      <c r="C1335" s="15">
        <f>WEEKNUM(Orders[[#This Row],[OrderDate]])</f>
        <v>44</v>
      </c>
      <c r="D1335" s="4" t="s">
        <v>89</v>
      </c>
      <c r="E1335" s="4" t="s">
        <v>46</v>
      </c>
      <c r="F1335" s="4">
        <v>8</v>
      </c>
      <c r="G1335" s="4">
        <v>14051.300000000001</v>
      </c>
      <c r="H1335">
        <v>11943.605000000001</v>
      </c>
      <c r="I1335">
        <f>Orders[[#This Row],[Quantity]]*Orders[[#This Row],[Selling Price]]</f>
        <v>112410.40000000001</v>
      </c>
      <c r="J1335">
        <f>Orders[[#This Row],[Quantity]]*Orders[[#This Row],[Cost Price]]</f>
        <v>95548.840000000011</v>
      </c>
      <c r="K1335">
        <f>Orders[[#This Row],[Revenue]]-Orders[[#This Row],[Expenses]]</f>
        <v>16861.559999999998</v>
      </c>
      <c r="L1335" t="s">
        <v>2202</v>
      </c>
      <c r="M1335" t="str">
        <f>_xlfn.XLOOKUP(Orders[[#This Row],[CustomerID]],Customers[CustomerID],Customers[City])</f>
        <v>Washington</v>
      </c>
      <c r="N1335" t="str">
        <f>_xlfn.XLOOKUP(Orders[[#This Row],[CustomerID]],Customers[CustomerID],Customers[CustomerName])</f>
        <v>Blessing Balogun</v>
      </c>
      <c r="O1335" t="str">
        <f>_xlfn.XLOOKUP(Orders[[#This Row],[CustomerID]],Customers[CustomerID],Customers[Gender])</f>
        <v>Female</v>
      </c>
      <c r="P1335">
        <f>_xlfn.XLOOKUP(Orders[[#This Row],[CustomerID]],Customers[CustomerID],Customers[CustomerAge])</f>
        <v>19</v>
      </c>
      <c r="Q1335" t="str">
        <f>IF(Orders[[#This Row],[Age]]&gt;=35,"older","young")</f>
        <v>young</v>
      </c>
      <c r="R1335" t="str">
        <f>_xlfn.XLOOKUP(Orders[[#This Row],[ProductID]],Products[ProductID],Products[ProductName])</f>
        <v>TURTLE NECK</v>
      </c>
      <c r="S1335" t="str">
        <f>_xlfn.XLOOKUP(Orders[[#This Row],[ProductID]],Products!A:A,Products!C:C)</f>
        <v>Clothing</v>
      </c>
    </row>
    <row r="1336" spans="1:19" x14ac:dyDescent="0.2">
      <c r="A1336" s="4" t="s">
        <v>1525</v>
      </c>
      <c r="B1336" s="5">
        <v>45963</v>
      </c>
      <c r="C1336" s="15">
        <f>WEEKNUM(Orders[[#This Row],[OrderDate]])</f>
        <v>45</v>
      </c>
      <c r="D1336" s="4" t="s">
        <v>327</v>
      </c>
      <c r="E1336" s="4" t="s">
        <v>208</v>
      </c>
      <c r="F1336" s="4">
        <v>6</v>
      </c>
      <c r="G1336" s="4">
        <v>18615.7</v>
      </c>
      <c r="H1336">
        <v>15823.345000000001</v>
      </c>
      <c r="I1336">
        <f>Orders[[#This Row],[Quantity]]*Orders[[#This Row],[Selling Price]]</f>
        <v>111694.20000000001</v>
      </c>
      <c r="J1336">
        <f>Orders[[#This Row],[Quantity]]*Orders[[#This Row],[Cost Price]]</f>
        <v>94940.07</v>
      </c>
      <c r="K1336">
        <f>Orders[[#This Row],[Revenue]]-Orders[[#This Row],[Expenses]]</f>
        <v>16754.130000000005</v>
      </c>
      <c r="L1336" t="s">
        <v>2196</v>
      </c>
      <c r="M1336" t="str">
        <f>_xlfn.XLOOKUP(Orders[[#This Row],[CustomerID]],Customers[CustomerID],Customers[City])</f>
        <v>Washington</v>
      </c>
      <c r="N1336" t="str">
        <f>_xlfn.XLOOKUP(Orders[[#This Row],[CustomerID]],Customers[CustomerID],Customers[CustomerName])</f>
        <v>Folasade Ojo</v>
      </c>
      <c r="O1336" t="str">
        <f>_xlfn.XLOOKUP(Orders[[#This Row],[CustomerID]],Customers[CustomerID],Customers[Gender])</f>
        <v>Female</v>
      </c>
      <c r="P1336">
        <f>_xlfn.XLOOKUP(Orders[[#This Row],[CustomerID]],Customers[CustomerID],Customers[CustomerAge])</f>
        <v>24</v>
      </c>
      <c r="Q1336" t="str">
        <f>IF(Orders[[#This Row],[Age]]&gt;=35,"older","young")</f>
        <v>young</v>
      </c>
      <c r="R1336" t="str">
        <f>_xlfn.XLOOKUP(Orders[[#This Row],[ProductID]],Products[ProductID],Products[ProductName])</f>
        <v>SKIPPING ROPE</v>
      </c>
      <c r="S1336" t="str">
        <f>_xlfn.XLOOKUP(Orders[[#This Row],[ProductID]],Products!A:A,Products!C:C)</f>
        <v>Sports</v>
      </c>
    </row>
    <row r="1337" spans="1:19" x14ac:dyDescent="0.2">
      <c r="A1337" s="4" t="s">
        <v>1526</v>
      </c>
      <c r="B1337" s="5">
        <v>45992</v>
      </c>
      <c r="C1337" s="15">
        <f>WEEKNUM(Orders[[#This Row],[OrderDate]])</f>
        <v>49</v>
      </c>
      <c r="D1337" s="4" t="s">
        <v>295</v>
      </c>
      <c r="E1337" s="4" t="s">
        <v>84</v>
      </c>
      <c r="F1337" s="4">
        <v>4</v>
      </c>
      <c r="G1337" s="4">
        <v>19406.600000000002</v>
      </c>
      <c r="H1337">
        <v>16495.61</v>
      </c>
      <c r="I1337">
        <f>Orders[[#This Row],[Quantity]]*Orders[[#This Row],[Selling Price]]</f>
        <v>77626.400000000009</v>
      </c>
      <c r="J1337">
        <f>Orders[[#This Row],[Quantity]]*Orders[[#This Row],[Cost Price]]</f>
        <v>65982.44</v>
      </c>
      <c r="K1337">
        <f>Orders[[#This Row],[Revenue]]-Orders[[#This Row],[Expenses]]</f>
        <v>11643.960000000006</v>
      </c>
      <c r="L1337" t="s">
        <v>2199</v>
      </c>
      <c r="M1337" t="str">
        <f>_xlfn.XLOOKUP(Orders[[#This Row],[CustomerID]],Customers[CustomerID],Customers[City])</f>
        <v>Texas</v>
      </c>
      <c r="N1337" t="str">
        <f>_xlfn.XLOOKUP(Orders[[#This Row],[CustomerID]],Customers[CustomerID],Customers[CustomerName])</f>
        <v>Sani Obi</v>
      </c>
      <c r="O1337" t="str">
        <f>_xlfn.XLOOKUP(Orders[[#This Row],[CustomerID]],Customers[CustomerID],Customers[Gender])</f>
        <v>Male</v>
      </c>
      <c r="P1337">
        <f>_xlfn.XLOOKUP(Orders[[#This Row],[CustomerID]],Customers[CustomerID],Customers[CustomerAge])</f>
        <v>31</v>
      </c>
      <c r="Q1337" t="str">
        <f>IF(Orders[[#This Row],[Age]]&gt;=35,"older","young")</f>
        <v>young</v>
      </c>
      <c r="R1337" t="str">
        <f>_xlfn.XLOOKUP(Orders[[#This Row],[ProductID]],Products[ProductID],Products[ProductName])</f>
        <v>GYM WEARS</v>
      </c>
      <c r="S1337" t="str">
        <f>_xlfn.XLOOKUP(Orders[[#This Row],[ProductID]],Products!A:A,Products!C:C)</f>
        <v>Clothing</v>
      </c>
    </row>
    <row r="1338" spans="1:19" x14ac:dyDescent="0.2">
      <c r="A1338" s="4" t="s">
        <v>1527</v>
      </c>
      <c r="B1338" s="5">
        <v>45986</v>
      </c>
      <c r="C1338" s="15">
        <f>WEEKNUM(Orders[[#This Row],[OrderDate]])</f>
        <v>48</v>
      </c>
      <c r="D1338" s="4" t="s">
        <v>218</v>
      </c>
      <c r="E1338" s="4" t="s">
        <v>9</v>
      </c>
      <c r="F1338" s="4">
        <v>10</v>
      </c>
      <c r="G1338" s="4">
        <v>19176.099999999999</v>
      </c>
      <c r="H1338">
        <v>16299.684999999999</v>
      </c>
      <c r="I1338">
        <f>Orders[[#This Row],[Quantity]]*Orders[[#This Row],[Selling Price]]</f>
        <v>191761</v>
      </c>
      <c r="J1338">
        <f>Orders[[#This Row],[Quantity]]*Orders[[#This Row],[Cost Price]]</f>
        <v>162996.85</v>
      </c>
      <c r="K1338">
        <f>Orders[[#This Row],[Revenue]]-Orders[[#This Row],[Expenses]]</f>
        <v>28764.149999999994</v>
      </c>
      <c r="L1338" t="s">
        <v>2212</v>
      </c>
      <c r="M1338" t="str">
        <f>_xlfn.XLOOKUP(Orders[[#This Row],[CustomerID]],Customers[CustomerID],Customers[City])</f>
        <v>Florida</v>
      </c>
      <c r="N1338" t="str">
        <f>_xlfn.XLOOKUP(Orders[[#This Row],[CustomerID]],Customers[CustomerID],Customers[CustomerName])</f>
        <v>Temi Danladi</v>
      </c>
      <c r="O1338" t="str">
        <f>_xlfn.XLOOKUP(Orders[[#This Row],[CustomerID]],Customers[CustomerID],Customers[Gender])</f>
        <v>Female</v>
      </c>
      <c r="P1338">
        <f>_xlfn.XLOOKUP(Orders[[#This Row],[CustomerID]],Customers[CustomerID],Customers[CustomerAge])</f>
        <v>48</v>
      </c>
      <c r="Q1338" t="str">
        <f>IF(Orders[[#This Row],[Age]]&gt;=35,"older","young")</f>
        <v>older</v>
      </c>
      <c r="R1338" t="str">
        <f>_xlfn.XLOOKUP(Orders[[#This Row],[ProductID]],Products[ProductID],Products[ProductName])</f>
        <v>BEADED EARRINGS AND NECKLACES</v>
      </c>
      <c r="S1338" t="str">
        <f>_xlfn.XLOOKUP(Orders[[#This Row],[ProductID]],Products!A:A,Products!C:C)</f>
        <v>Accessories</v>
      </c>
    </row>
    <row r="1339" spans="1:19" x14ac:dyDescent="0.2">
      <c r="A1339" s="4" t="s">
        <v>1528</v>
      </c>
      <c r="B1339" s="5">
        <v>46007</v>
      </c>
      <c r="C1339" s="15">
        <f>WEEKNUM(Orders[[#This Row],[OrderDate]])</f>
        <v>51</v>
      </c>
      <c r="D1339" s="4" t="s">
        <v>87</v>
      </c>
      <c r="E1339" s="4" t="s">
        <v>12</v>
      </c>
      <c r="F1339" s="4">
        <v>6</v>
      </c>
      <c r="G1339" s="4">
        <v>16555.8</v>
      </c>
      <c r="H1339">
        <v>14072.43</v>
      </c>
      <c r="I1339">
        <f>Orders[[#This Row],[Quantity]]*Orders[[#This Row],[Selling Price]]</f>
        <v>99334.799999999988</v>
      </c>
      <c r="J1339">
        <f>Orders[[#This Row],[Quantity]]*Orders[[#This Row],[Cost Price]]</f>
        <v>84434.58</v>
      </c>
      <c r="K1339">
        <f>Orders[[#This Row],[Revenue]]-Orders[[#This Row],[Expenses]]</f>
        <v>14900.219999999987</v>
      </c>
      <c r="L1339" t="s">
        <v>2213</v>
      </c>
      <c r="M1339" t="str">
        <f>_xlfn.XLOOKUP(Orders[[#This Row],[CustomerID]],Customers[CustomerID],Customers[City])</f>
        <v>Illinois</v>
      </c>
      <c r="N1339" t="str">
        <f>_xlfn.XLOOKUP(Orders[[#This Row],[CustomerID]],Customers[CustomerID],Customers[CustomerName])</f>
        <v>Efe Igwe</v>
      </c>
      <c r="O1339" t="str">
        <f>_xlfn.XLOOKUP(Orders[[#This Row],[CustomerID]],Customers[CustomerID],Customers[Gender])</f>
        <v>Female</v>
      </c>
      <c r="P1339">
        <f>_xlfn.XLOOKUP(Orders[[#This Row],[CustomerID]],Customers[CustomerID],Customers[CustomerAge])</f>
        <v>34</v>
      </c>
      <c r="Q1339" t="str">
        <f>IF(Orders[[#This Row],[Age]]&gt;=35,"older","young")</f>
        <v>young</v>
      </c>
      <c r="R1339" t="str">
        <f>_xlfn.XLOOKUP(Orders[[#This Row],[ProductID]],Products[ProductID],Products[ProductName])</f>
        <v>BOUBOU</v>
      </c>
      <c r="S1339" t="str">
        <f>_xlfn.XLOOKUP(Orders[[#This Row],[ProductID]],Products!A:A,Products!C:C)</f>
        <v>Clothing</v>
      </c>
    </row>
    <row r="1340" spans="1:19" x14ac:dyDescent="0.2">
      <c r="A1340" s="4" t="s">
        <v>1529</v>
      </c>
      <c r="B1340" s="5">
        <v>45984</v>
      </c>
      <c r="C1340" s="15">
        <f>WEEKNUM(Orders[[#This Row],[OrderDate]])</f>
        <v>48</v>
      </c>
      <c r="D1340" s="4" t="s">
        <v>178</v>
      </c>
      <c r="E1340" s="4" t="s">
        <v>189</v>
      </c>
      <c r="F1340" s="4">
        <v>8</v>
      </c>
      <c r="G1340" s="4">
        <v>17494.100000000002</v>
      </c>
      <c r="H1340">
        <v>14869.985000000002</v>
      </c>
      <c r="I1340">
        <f>Orders[[#This Row],[Quantity]]*Orders[[#This Row],[Selling Price]]</f>
        <v>139952.80000000002</v>
      </c>
      <c r="J1340">
        <f>Orders[[#This Row],[Quantity]]*Orders[[#This Row],[Cost Price]]</f>
        <v>118959.88000000002</v>
      </c>
      <c r="K1340">
        <f>Orders[[#This Row],[Revenue]]-Orders[[#This Row],[Expenses]]</f>
        <v>20992.92</v>
      </c>
      <c r="L1340" t="s">
        <v>2207</v>
      </c>
      <c r="M1340" t="str">
        <f>_xlfn.XLOOKUP(Orders[[#This Row],[CustomerID]],Customers[CustomerID],Customers[City])</f>
        <v>Florida</v>
      </c>
      <c r="N1340" t="str">
        <f>_xlfn.XLOOKUP(Orders[[#This Row],[CustomerID]],Customers[CustomerID],Customers[CustomerName])</f>
        <v>Ibrahim Igwe</v>
      </c>
      <c r="O1340" t="str">
        <f>_xlfn.XLOOKUP(Orders[[#This Row],[CustomerID]],Customers[CustomerID],Customers[Gender])</f>
        <v>Male</v>
      </c>
      <c r="P1340">
        <f>_xlfn.XLOOKUP(Orders[[#This Row],[CustomerID]],Customers[CustomerID],Customers[CustomerAge])</f>
        <v>19</v>
      </c>
      <c r="Q1340" t="str">
        <f>IF(Orders[[#This Row],[Age]]&gt;=35,"older","young")</f>
        <v>young</v>
      </c>
      <c r="R1340" t="str">
        <f>_xlfn.XLOOKUP(Orders[[#This Row],[ProductID]],Products[ProductID],Products[ProductName])</f>
        <v>SCRABBLE</v>
      </c>
      <c r="S1340" t="str">
        <f>_xlfn.XLOOKUP(Orders[[#This Row],[ProductID]],Products!A:A,Products!C:C)</f>
        <v>Games</v>
      </c>
    </row>
    <row r="1341" spans="1:19" x14ac:dyDescent="0.2">
      <c r="A1341" s="4" t="s">
        <v>1530</v>
      </c>
      <c r="B1341" s="5">
        <v>46022</v>
      </c>
      <c r="C1341" s="15">
        <f>WEEKNUM(Orders[[#This Row],[OrderDate]])</f>
        <v>53</v>
      </c>
      <c r="D1341" s="4" t="s">
        <v>521</v>
      </c>
      <c r="E1341" s="4" t="s">
        <v>208</v>
      </c>
      <c r="F1341" s="4">
        <v>6</v>
      </c>
      <c r="G1341" s="4">
        <v>8811.2999999999993</v>
      </c>
      <c r="H1341">
        <v>7489.6049999999996</v>
      </c>
      <c r="I1341">
        <f>Orders[[#This Row],[Quantity]]*Orders[[#This Row],[Selling Price]]</f>
        <v>52867.799999999996</v>
      </c>
      <c r="J1341">
        <f>Orders[[#This Row],[Quantity]]*Orders[[#This Row],[Cost Price]]</f>
        <v>44937.63</v>
      </c>
      <c r="K1341">
        <f>Orders[[#This Row],[Revenue]]-Orders[[#This Row],[Expenses]]</f>
        <v>7930.1699999999983</v>
      </c>
      <c r="L1341" t="s">
        <v>2215</v>
      </c>
      <c r="M1341" t="str">
        <f>_xlfn.XLOOKUP(Orders[[#This Row],[CustomerID]],Customers[CustomerID],Customers[City])</f>
        <v>Illinois</v>
      </c>
      <c r="N1341" t="str">
        <f>_xlfn.XLOOKUP(Orders[[#This Row],[CustomerID]],Customers[CustomerID],Customers[CustomerName])</f>
        <v>Ronke Eze</v>
      </c>
      <c r="O1341" t="str">
        <f>_xlfn.XLOOKUP(Orders[[#This Row],[CustomerID]],Customers[CustomerID],Customers[Gender])</f>
        <v>Female</v>
      </c>
      <c r="P1341">
        <f>_xlfn.XLOOKUP(Orders[[#This Row],[CustomerID]],Customers[CustomerID],Customers[CustomerAge])</f>
        <v>25</v>
      </c>
      <c r="Q1341" t="str">
        <f>IF(Orders[[#This Row],[Age]]&gt;=35,"older","young")</f>
        <v>young</v>
      </c>
      <c r="R1341" t="str">
        <f>_xlfn.XLOOKUP(Orders[[#This Row],[ProductID]],Products[ProductID],Products[ProductName])</f>
        <v>SKIPPING ROPE</v>
      </c>
      <c r="S1341" t="str">
        <f>_xlfn.XLOOKUP(Orders[[#This Row],[ProductID]],Products!A:A,Products!C:C)</f>
        <v>Sports</v>
      </c>
    </row>
    <row r="1342" spans="1:19" x14ac:dyDescent="0.2">
      <c r="A1342" s="4" t="s">
        <v>1531</v>
      </c>
      <c r="B1342" s="5">
        <v>45964</v>
      </c>
      <c r="C1342" s="15">
        <f>WEEKNUM(Orders[[#This Row],[OrderDate]])</f>
        <v>45</v>
      </c>
      <c r="D1342" s="4" t="s">
        <v>410</v>
      </c>
      <c r="E1342" s="4" t="s">
        <v>151</v>
      </c>
      <c r="F1342" s="4">
        <v>7</v>
      </c>
      <c r="G1342" s="4">
        <v>6871.7</v>
      </c>
      <c r="H1342">
        <v>5840.9449999999997</v>
      </c>
      <c r="I1342">
        <f>Orders[[#This Row],[Quantity]]*Orders[[#This Row],[Selling Price]]</f>
        <v>48101.9</v>
      </c>
      <c r="J1342">
        <f>Orders[[#This Row],[Quantity]]*Orders[[#This Row],[Cost Price]]</f>
        <v>40886.614999999998</v>
      </c>
      <c r="K1342">
        <f>Orders[[#This Row],[Revenue]]-Orders[[#This Row],[Expenses]]</f>
        <v>7215.2850000000035</v>
      </c>
      <c r="L1342" t="s">
        <v>2196</v>
      </c>
      <c r="M1342" t="str">
        <f>_xlfn.XLOOKUP(Orders[[#This Row],[CustomerID]],Customers[CustomerID],Customers[City])</f>
        <v>Texas</v>
      </c>
      <c r="N1342" t="str">
        <f>_xlfn.XLOOKUP(Orders[[#This Row],[CustomerID]],Customers[CustomerID],Customers[CustomerName])</f>
        <v>Jane Thomas</v>
      </c>
      <c r="O1342" t="str">
        <f>_xlfn.XLOOKUP(Orders[[#This Row],[CustomerID]],Customers[CustomerID],Customers[Gender])</f>
        <v>Male</v>
      </c>
      <c r="P1342">
        <f>_xlfn.XLOOKUP(Orders[[#This Row],[CustomerID]],Customers[CustomerID],Customers[CustomerAge])</f>
        <v>21</v>
      </c>
      <c r="Q1342" t="str">
        <f>IF(Orders[[#This Row],[Age]]&gt;=35,"older","young")</f>
        <v>young</v>
      </c>
      <c r="R1342" t="str">
        <f>_xlfn.XLOOKUP(Orders[[#This Row],[ProductID]],Products[ProductID],Products[ProductName])</f>
        <v>CHECKERS</v>
      </c>
      <c r="S1342" t="str">
        <f>_xlfn.XLOOKUP(Orders[[#This Row],[ProductID]],Products!A:A,Products!C:C)</f>
        <v>Games</v>
      </c>
    </row>
    <row r="1343" spans="1:19" x14ac:dyDescent="0.2">
      <c r="A1343" s="4" t="s">
        <v>1532</v>
      </c>
      <c r="B1343" s="5">
        <v>46010</v>
      </c>
      <c r="C1343" s="15">
        <f>WEEKNUM(Orders[[#This Row],[OrderDate]])</f>
        <v>51</v>
      </c>
      <c r="D1343" s="4" t="s">
        <v>546</v>
      </c>
      <c r="E1343" s="4" t="s">
        <v>34</v>
      </c>
      <c r="F1343" s="4">
        <v>5</v>
      </c>
      <c r="G1343" s="4">
        <v>7412.1</v>
      </c>
      <c r="H1343">
        <v>6300.2849999999999</v>
      </c>
      <c r="I1343">
        <f>Orders[[#This Row],[Quantity]]*Orders[[#This Row],[Selling Price]]</f>
        <v>37060.5</v>
      </c>
      <c r="J1343">
        <f>Orders[[#This Row],[Quantity]]*Orders[[#This Row],[Cost Price]]</f>
        <v>31501.424999999999</v>
      </c>
      <c r="K1343">
        <f>Orders[[#This Row],[Revenue]]-Orders[[#This Row],[Expenses]]</f>
        <v>5559.0750000000007</v>
      </c>
      <c r="L1343" t="s">
        <v>2208</v>
      </c>
      <c r="M1343" t="str">
        <f>_xlfn.XLOOKUP(Orders[[#This Row],[CustomerID]],Customers[CustomerID],Customers[City])</f>
        <v>Texas</v>
      </c>
      <c r="N1343" t="str">
        <f>_xlfn.XLOOKUP(Orders[[#This Row],[CustomerID]],Customers[CustomerID],Customers[CustomerName])</f>
        <v>Bisi Eze</v>
      </c>
      <c r="O1343" t="str">
        <f>_xlfn.XLOOKUP(Orders[[#This Row],[CustomerID]],Customers[CustomerID],Customers[Gender])</f>
        <v>Female</v>
      </c>
      <c r="P1343">
        <f>_xlfn.XLOOKUP(Orders[[#This Row],[CustomerID]],Customers[CustomerID],Customers[CustomerAge])</f>
        <v>32</v>
      </c>
      <c r="Q1343" t="str">
        <f>IF(Orders[[#This Row],[Age]]&gt;=35,"older","young")</f>
        <v>young</v>
      </c>
      <c r="R1343" t="str">
        <f>_xlfn.XLOOKUP(Orders[[#This Row],[ProductID]],Products[ProductID],Products[ProductName])</f>
        <v>GOLD BRACELETS</v>
      </c>
      <c r="S1343" t="str">
        <f>_xlfn.XLOOKUP(Orders[[#This Row],[ProductID]],Products!A:A,Products!C:C)</f>
        <v>Accessories</v>
      </c>
    </row>
    <row r="1344" spans="1:19" x14ac:dyDescent="0.2">
      <c r="A1344" s="4" t="s">
        <v>1533</v>
      </c>
      <c r="B1344" s="5">
        <v>46010</v>
      </c>
      <c r="C1344" s="15">
        <f>WEEKNUM(Orders[[#This Row],[OrderDate]])</f>
        <v>51</v>
      </c>
      <c r="D1344" s="4" t="s">
        <v>142</v>
      </c>
      <c r="E1344" s="4" t="s">
        <v>84</v>
      </c>
      <c r="F1344" s="4">
        <v>4</v>
      </c>
      <c r="G1344" s="4">
        <v>16844.3</v>
      </c>
      <c r="H1344">
        <v>14317.654999999999</v>
      </c>
      <c r="I1344">
        <f>Orders[[#This Row],[Quantity]]*Orders[[#This Row],[Selling Price]]</f>
        <v>67377.2</v>
      </c>
      <c r="J1344">
        <f>Orders[[#This Row],[Quantity]]*Orders[[#This Row],[Cost Price]]</f>
        <v>57270.619999999995</v>
      </c>
      <c r="K1344">
        <f>Orders[[#This Row],[Revenue]]-Orders[[#This Row],[Expenses]]</f>
        <v>10106.580000000002</v>
      </c>
      <c r="L1344" t="s">
        <v>2199</v>
      </c>
      <c r="M1344" t="str">
        <f>_xlfn.XLOOKUP(Orders[[#This Row],[CustomerID]],Customers[CustomerID],Customers[City])</f>
        <v>Florida</v>
      </c>
      <c r="N1344" t="str">
        <f>_xlfn.XLOOKUP(Orders[[#This Row],[CustomerID]],Customers[CustomerID],Customers[CustomerName])</f>
        <v>Obi Adeyemi</v>
      </c>
      <c r="O1344" t="str">
        <f>_xlfn.XLOOKUP(Orders[[#This Row],[CustomerID]],Customers[CustomerID],Customers[Gender])</f>
        <v>Male</v>
      </c>
      <c r="P1344">
        <f>_xlfn.XLOOKUP(Orders[[#This Row],[CustomerID]],Customers[CustomerID],Customers[CustomerAge])</f>
        <v>31</v>
      </c>
      <c r="Q1344" t="str">
        <f>IF(Orders[[#This Row],[Age]]&gt;=35,"older","young")</f>
        <v>young</v>
      </c>
      <c r="R1344" t="str">
        <f>_xlfn.XLOOKUP(Orders[[#This Row],[ProductID]],Products[ProductID],Products[ProductName])</f>
        <v>GYM WEARS</v>
      </c>
      <c r="S1344" t="str">
        <f>_xlfn.XLOOKUP(Orders[[#This Row],[ProductID]],Products!A:A,Products!C:C)</f>
        <v>Clothing</v>
      </c>
    </row>
    <row r="1345" spans="1:19" x14ac:dyDescent="0.2">
      <c r="A1345" s="4" t="s">
        <v>1534</v>
      </c>
      <c r="B1345" s="5">
        <v>45977</v>
      </c>
      <c r="C1345" s="15">
        <f>WEEKNUM(Orders[[#This Row],[OrderDate]])</f>
        <v>47</v>
      </c>
      <c r="D1345" s="4" t="s">
        <v>223</v>
      </c>
      <c r="E1345" s="4" t="s">
        <v>130</v>
      </c>
      <c r="F1345" s="4">
        <v>8</v>
      </c>
      <c r="G1345" s="4">
        <v>11733.800000000001</v>
      </c>
      <c r="H1345">
        <v>9973.7300000000014</v>
      </c>
      <c r="I1345">
        <f>Orders[[#This Row],[Quantity]]*Orders[[#This Row],[Selling Price]]</f>
        <v>93870.400000000009</v>
      </c>
      <c r="J1345">
        <f>Orders[[#This Row],[Quantity]]*Orders[[#This Row],[Cost Price]]</f>
        <v>79789.840000000011</v>
      </c>
      <c r="K1345">
        <f>Orders[[#This Row],[Revenue]]-Orders[[#This Row],[Expenses]]</f>
        <v>14080.559999999998</v>
      </c>
      <c r="L1345" t="s">
        <v>2199</v>
      </c>
      <c r="M1345" t="str">
        <f>_xlfn.XLOOKUP(Orders[[#This Row],[CustomerID]],Customers[CustomerID],Customers[City])</f>
        <v>Washington</v>
      </c>
      <c r="N1345" t="str">
        <f>_xlfn.XLOOKUP(Orders[[#This Row],[CustomerID]],Customers[CustomerID],Customers[CustomerName])</f>
        <v>Blessing Danladi</v>
      </c>
      <c r="O1345" t="str">
        <f>_xlfn.XLOOKUP(Orders[[#This Row],[CustomerID]],Customers[CustomerID],Customers[Gender])</f>
        <v>Female</v>
      </c>
      <c r="P1345">
        <f>_xlfn.XLOOKUP(Orders[[#This Row],[CustomerID]],Customers[CustomerID],Customers[CustomerAge])</f>
        <v>20</v>
      </c>
      <c r="Q1345" t="str">
        <f>IF(Orders[[#This Row],[Age]]&gt;=35,"older","young")</f>
        <v>young</v>
      </c>
      <c r="R1345" t="str">
        <f>_xlfn.XLOOKUP(Orders[[#This Row],[ProductID]],Products[ProductID],Products[ProductName])</f>
        <v>GOLD EARRINGS AND NECKLACES</v>
      </c>
      <c r="S1345" t="str">
        <f>_xlfn.XLOOKUP(Orders[[#This Row],[ProductID]],Products!A:A,Products!C:C)</f>
        <v>Accessories</v>
      </c>
    </row>
    <row r="1346" spans="1:19" x14ac:dyDescent="0.2">
      <c r="A1346" s="4" t="s">
        <v>1535</v>
      </c>
      <c r="B1346" s="5">
        <v>45968</v>
      </c>
      <c r="C1346" s="15">
        <f>WEEKNUM(Orders[[#This Row],[OrderDate]])</f>
        <v>45</v>
      </c>
      <c r="D1346" s="4" t="s">
        <v>89</v>
      </c>
      <c r="E1346" s="4" t="s">
        <v>120</v>
      </c>
      <c r="F1346" s="4">
        <v>3</v>
      </c>
      <c r="G1346" s="4">
        <v>14033.599999999999</v>
      </c>
      <c r="H1346">
        <v>11928.56</v>
      </c>
      <c r="I1346">
        <f>Orders[[#This Row],[Quantity]]*Orders[[#This Row],[Selling Price]]</f>
        <v>42100.799999999996</v>
      </c>
      <c r="J1346">
        <f>Orders[[#This Row],[Quantity]]*Orders[[#This Row],[Cost Price]]</f>
        <v>35785.68</v>
      </c>
      <c r="K1346">
        <f>Orders[[#This Row],[Revenue]]-Orders[[#This Row],[Expenses]]</f>
        <v>6315.1199999999953</v>
      </c>
      <c r="L1346" t="s">
        <v>2193</v>
      </c>
      <c r="M1346" t="str">
        <f>_xlfn.XLOOKUP(Orders[[#This Row],[CustomerID]],Customers[CustomerID],Customers[City])</f>
        <v>Washington</v>
      </c>
      <c r="N1346" t="str">
        <f>_xlfn.XLOOKUP(Orders[[#This Row],[CustomerID]],Customers[CustomerID],Customers[CustomerName])</f>
        <v>Blessing Balogun</v>
      </c>
      <c r="O1346" t="str">
        <f>_xlfn.XLOOKUP(Orders[[#This Row],[CustomerID]],Customers[CustomerID],Customers[Gender])</f>
        <v>Female</v>
      </c>
      <c r="P1346">
        <f>_xlfn.XLOOKUP(Orders[[#This Row],[CustomerID]],Customers[CustomerID],Customers[CustomerAge])</f>
        <v>19</v>
      </c>
      <c r="Q1346" t="str">
        <f>IF(Orders[[#This Row],[Age]]&gt;=35,"older","young")</f>
        <v>young</v>
      </c>
      <c r="R1346" t="str">
        <f>_xlfn.XLOOKUP(Orders[[#This Row],[ProductID]],Products[ProductID],Products[ProductName])</f>
        <v>CHESS</v>
      </c>
      <c r="S1346" t="str">
        <f>_xlfn.XLOOKUP(Orders[[#This Row],[ProductID]],Products!A:A,Products!C:C)</f>
        <v>Games</v>
      </c>
    </row>
    <row r="1347" spans="1:19" x14ac:dyDescent="0.2">
      <c r="A1347" s="4" t="s">
        <v>1536</v>
      </c>
      <c r="B1347" s="5">
        <v>45956</v>
      </c>
      <c r="C1347" s="15">
        <f>WEEKNUM(Orders[[#This Row],[OrderDate]])</f>
        <v>44</v>
      </c>
      <c r="D1347" s="4" t="s">
        <v>52</v>
      </c>
      <c r="E1347" s="4" t="s">
        <v>12</v>
      </c>
      <c r="F1347" s="4">
        <v>2</v>
      </c>
      <c r="G1347" s="4">
        <v>7435.4</v>
      </c>
      <c r="H1347">
        <v>6320.09</v>
      </c>
      <c r="I1347">
        <f>Orders[[#This Row],[Quantity]]*Orders[[#This Row],[Selling Price]]</f>
        <v>14870.8</v>
      </c>
      <c r="J1347">
        <f>Orders[[#This Row],[Quantity]]*Orders[[#This Row],[Cost Price]]</f>
        <v>12640.18</v>
      </c>
      <c r="K1347">
        <f>Orders[[#This Row],[Revenue]]-Orders[[#This Row],[Expenses]]</f>
        <v>2230.619999999999</v>
      </c>
      <c r="L1347" t="s">
        <v>2209</v>
      </c>
      <c r="M1347" t="str">
        <f>_xlfn.XLOOKUP(Orders[[#This Row],[CustomerID]],Customers[CustomerID],Customers[City])</f>
        <v>Texas</v>
      </c>
      <c r="N1347" t="str">
        <f>_xlfn.XLOOKUP(Orders[[#This Row],[CustomerID]],Customers[CustomerID],Customers[CustomerName])</f>
        <v>Folasade Ojo</v>
      </c>
      <c r="O1347" t="str">
        <f>_xlfn.XLOOKUP(Orders[[#This Row],[CustomerID]],Customers[CustomerID],Customers[Gender])</f>
        <v>Female</v>
      </c>
      <c r="P1347">
        <f>_xlfn.XLOOKUP(Orders[[#This Row],[CustomerID]],Customers[CustomerID],Customers[CustomerAge])</f>
        <v>29</v>
      </c>
      <c r="Q1347" t="str">
        <f>IF(Orders[[#This Row],[Age]]&gt;=35,"older","young")</f>
        <v>young</v>
      </c>
      <c r="R1347" t="str">
        <f>_xlfn.XLOOKUP(Orders[[#This Row],[ProductID]],Products[ProductID],Products[ProductName])</f>
        <v>BOUBOU</v>
      </c>
      <c r="S1347" t="str">
        <f>_xlfn.XLOOKUP(Orders[[#This Row],[ProductID]],Products!A:A,Products!C:C)</f>
        <v>Clothing</v>
      </c>
    </row>
    <row r="1348" spans="1:19" x14ac:dyDescent="0.2">
      <c r="A1348" s="4" t="s">
        <v>1537</v>
      </c>
      <c r="B1348" s="5">
        <v>46021</v>
      </c>
      <c r="C1348" s="15">
        <f>WEEKNUM(Orders[[#This Row],[OrderDate]])</f>
        <v>53</v>
      </c>
      <c r="D1348" s="4" t="s">
        <v>322</v>
      </c>
      <c r="E1348" s="4" t="s">
        <v>63</v>
      </c>
      <c r="F1348" s="4">
        <v>8</v>
      </c>
      <c r="G1348" s="4">
        <v>5267.3</v>
      </c>
      <c r="H1348">
        <v>4477.2049999999999</v>
      </c>
      <c r="I1348">
        <f>Orders[[#This Row],[Quantity]]*Orders[[#This Row],[Selling Price]]</f>
        <v>42138.400000000001</v>
      </c>
      <c r="J1348">
        <f>Orders[[#This Row],[Quantity]]*Orders[[#This Row],[Cost Price]]</f>
        <v>35817.64</v>
      </c>
      <c r="K1348">
        <f>Orders[[#This Row],[Revenue]]-Orders[[#This Row],[Expenses]]</f>
        <v>6320.760000000002</v>
      </c>
      <c r="L1348" t="s">
        <v>2218</v>
      </c>
      <c r="M1348" t="str">
        <f>_xlfn.XLOOKUP(Orders[[#This Row],[CustomerID]],Customers[CustomerID],Customers[City])</f>
        <v>Washington</v>
      </c>
      <c r="N1348" t="str">
        <f>_xlfn.XLOOKUP(Orders[[#This Row],[CustomerID]],Customers[CustomerID],Customers[CustomerName])</f>
        <v>Ngozi Bello</v>
      </c>
      <c r="O1348" t="str">
        <f>_xlfn.XLOOKUP(Orders[[#This Row],[CustomerID]],Customers[CustomerID],Customers[Gender])</f>
        <v>Female</v>
      </c>
      <c r="P1348">
        <f>_xlfn.XLOOKUP(Orders[[#This Row],[CustomerID]],Customers[CustomerID],Customers[CustomerAge])</f>
        <v>32</v>
      </c>
      <c r="Q1348" t="str">
        <f>IF(Orders[[#This Row],[Age]]&gt;=35,"older","young")</f>
        <v>young</v>
      </c>
      <c r="R1348" t="str">
        <f>_xlfn.XLOOKUP(Orders[[#This Row],[ProductID]],Products[ProductID],Products[ProductName])</f>
        <v>TENNIS BAT</v>
      </c>
      <c r="S1348" t="str">
        <f>_xlfn.XLOOKUP(Orders[[#This Row],[ProductID]],Products!A:A,Products!C:C)</f>
        <v>Sports</v>
      </c>
    </row>
    <row r="1349" spans="1:19" x14ac:dyDescent="0.2">
      <c r="A1349" s="4" t="s">
        <v>1538</v>
      </c>
      <c r="B1349" s="5">
        <v>45997</v>
      </c>
      <c r="C1349" s="15">
        <f>WEEKNUM(Orders[[#This Row],[OrderDate]])</f>
        <v>49</v>
      </c>
      <c r="D1349" s="4" t="s">
        <v>256</v>
      </c>
      <c r="E1349" s="4" t="s">
        <v>253</v>
      </c>
      <c r="F1349" s="4">
        <v>5</v>
      </c>
      <c r="G1349" s="4">
        <v>10178</v>
      </c>
      <c r="H1349">
        <v>8651.2999999999993</v>
      </c>
      <c r="I1349">
        <f>Orders[[#This Row],[Quantity]]*Orders[[#This Row],[Selling Price]]</f>
        <v>50890</v>
      </c>
      <c r="J1349">
        <f>Orders[[#This Row],[Quantity]]*Orders[[#This Row],[Cost Price]]</f>
        <v>43256.5</v>
      </c>
      <c r="K1349">
        <f>Orders[[#This Row],[Revenue]]-Orders[[#This Row],[Expenses]]</f>
        <v>7633.5</v>
      </c>
      <c r="L1349" t="s">
        <v>2199</v>
      </c>
      <c r="M1349" t="str">
        <f>_xlfn.XLOOKUP(Orders[[#This Row],[CustomerID]],Customers[CustomerID],Customers[City])</f>
        <v>Georgia</v>
      </c>
      <c r="N1349" t="str">
        <f>_xlfn.XLOOKUP(Orders[[#This Row],[CustomerID]],Customers[CustomerID],Customers[CustomerName])</f>
        <v>Efe Ojo</v>
      </c>
      <c r="O1349" t="str">
        <f>_xlfn.XLOOKUP(Orders[[#This Row],[CustomerID]],Customers[CustomerID],Customers[Gender])</f>
        <v>Female</v>
      </c>
      <c r="P1349">
        <f>_xlfn.XLOOKUP(Orders[[#This Row],[CustomerID]],Customers[CustomerID],Customers[CustomerAge])</f>
        <v>23</v>
      </c>
      <c r="Q1349" t="str">
        <f>IF(Orders[[#This Row],[Age]]&gt;=35,"older","young")</f>
        <v>young</v>
      </c>
      <c r="R1349" t="str">
        <f>_xlfn.XLOOKUP(Orders[[#This Row],[ProductID]],Products[ProductID],Products[ProductName])</f>
        <v>NOSE RINGS</v>
      </c>
      <c r="S1349" t="str">
        <f>_xlfn.XLOOKUP(Orders[[#This Row],[ProductID]],Products!A:A,Products!C:C)</f>
        <v>Accessories</v>
      </c>
    </row>
    <row r="1350" spans="1:19" x14ac:dyDescent="0.2">
      <c r="A1350" s="4" t="s">
        <v>1539</v>
      </c>
      <c r="B1350" s="5">
        <v>45954</v>
      </c>
      <c r="C1350" s="15">
        <f>WEEKNUM(Orders[[#This Row],[OrderDate]])</f>
        <v>43</v>
      </c>
      <c r="D1350" s="4" t="s">
        <v>146</v>
      </c>
      <c r="E1350" s="4" t="s">
        <v>37</v>
      </c>
      <c r="F1350" s="4">
        <v>9</v>
      </c>
      <c r="G1350" s="4">
        <v>2999.7000000000003</v>
      </c>
      <c r="H1350">
        <v>2549.7450000000003</v>
      </c>
      <c r="I1350">
        <f>Orders[[#This Row],[Quantity]]*Orders[[#This Row],[Selling Price]]</f>
        <v>26997.300000000003</v>
      </c>
      <c r="J1350">
        <f>Orders[[#This Row],[Quantity]]*Orders[[#This Row],[Cost Price]]</f>
        <v>22947.705000000002</v>
      </c>
      <c r="K1350">
        <f>Orders[[#This Row],[Revenue]]-Orders[[#This Row],[Expenses]]</f>
        <v>4049.5950000000012</v>
      </c>
      <c r="L1350" t="s">
        <v>2215</v>
      </c>
      <c r="M1350" t="str">
        <f>_xlfn.XLOOKUP(Orders[[#This Row],[CustomerID]],Customers[CustomerID],Customers[City])</f>
        <v>Texas</v>
      </c>
      <c r="N1350" t="str">
        <f>_xlfn.XLOOKUP(Orders[[#This Row],[CustomerID]],Customers[CustomerID],Customers[CustomerName])</f>
        <v>Mustafa Igwe</v>
      </c>
      <c r="O1350" t="str">
        <f>_xlfn.XLOOKUP(Orders[[#This Row],[CustomerID]],Customers[CustomerID],Customers[Gender])</f>
        <v>Male</v>
      </c>
      <c r="P1350">
        <f>_xlfn.XLOOKUP(Orders[[#This Row],[CustomerID]],Customers[CustomerID],Customers[CustomerAge])</f>
        <v>27</v>
      </c>
      <c r="Q1350" t="str">
        <f>IF(Orders[[#This Row],[Age]]&gt;=35,"older","young")</f>
        <v>young</v>
      </c>
      <c r="R1350" t="str">
        <f>_xlfn.XLOOKUP(Orders[[#This Row],[ProductID]],Products[ProductID],Products[ProductName])</f>
        <v>IRON</v>
      </c>
      <c r="S1350" t="str">
        <f>_xlfn.XLOOKUP(Orders[[#This Row],[ProductID]],Products!A:A,Products!C:C)</f>
        <v>Electronics</v>
      </c>
    </row>
    <row r="1351" spans="1:19" x14ac:dyDescent="0.2">
      <c r="A1351" s="4" t="s">
        <v>1540</v>
      </c>
      <c r="B1351" s="5">
        <v>45995</v>
      </c>
      <c r="C1351" s="15">
        <f>WEEKNUM(Orders[[#This Row],[OrderDate]])</f>
        <v>49</v>
      </c>
      <c r="D1351" s="4" t="s">
        <v>182</v>
      </c>
      <c r="E1351" s="4" t="s">
        <v>81</v>
      </c>
      <c r="F1351" s="4">
        <v>8</v>
      </c>
      <c r="G1351" s="4">
        <v>18094</v>
      </c>
      <c r="H1351">
        <v>15379.9</v>
      </c>
      <c r="I1351">
        <f>Orders[[#This Row],[Quantity]]*Orders[[#This Row],[Selling Price]]</f>
        <v>144752</v>
      </c>
      <c r="J1351">
        <f>Orders[[#This Row],[Quantity]]*Orders[[#This Row],[Cost Price]]</f>
        <v>123039.2</v>
      </c>
      <c r="K1351">
        <f>Orders[[#This Row],[Revenue]]-Orders[[#This Row],[Expenses]]</f>
        <v>21712.800000000003</v>
      </c>
      <c r="L1351" t="s">
        <v>2218</v>
      </c>
      <c r="M1351" t="str">
        <f>_xlfn.XLOOKUP(Orders[[#This Row],[CustomerID]],Customers[CustomerID],Customers[City])</f>
        <v>Georgia</v>
      </c>
      <c r="N1351" t="str">
        <f>_xlfn.XLOOKUP(Orders[[#This Row],[CustomerID]],Customers[CustomerID],Customers[CustomerName])</f>
        <v>Abiola Okonkwo</v>
      </c>
      <c r="O1351" t="str">
        <f>_xlfn.XLOOKUP(Orders[[#This Row],[CustomerID]],Customers[CustomerID],Customers[Gender])</f>
        <v>Male</v>
      </c>
      <c r="P1351">
        <f>_xlfn.XLOOKUP(Orders[[#This Row],[CustomerID]],Customers[CustomerID],Customers[CustomerAge])</f>
        <v>39</v>
      </c>
      <c r="Q1351" t="str">
        <f>IF(Orders[[#This Row],[Age]]&gt;=35,"older","young")</f>
        <v>older</v>
      </c>
      <c r="R1351" t="str">
        <f>_xlfn.XLOOKUP(Orders[[#This Row],[ProductID]],Products[ProductID],Products[ProductName])</f>
        <v>TROUSERS</v>
      </c>
      <c r="S1351" t="str">
        <f>_xlfn.XLOOKUP(Orders[[#This Row],[ProductID]],Products!A:A,Products!C:C)</f>
        <v>Clothing</v>
      </c>
    </row>
    <row r="1352" spans="1:19" x14ac:dyDescent="0.2">
      <c r="A1352" s="4" t="s">
        <v>1541</v>
      </c>
      <c r="B1352" s="5">
        <v>45995</v>
      </c>
      <c r="C1352" s="15">
        <f>WEEKNUM(Orders[[#This Row],[OrderDate]])</f>
        <v>49</v>
      </c>
      <c r="D1352" s="4" t="s">
        <v>252</v>
      </c>
      <c r="E1352" s="4" t="s">
        <v>57</v>
      </c>
      <c r="F1352" s="4">
        <v>4</v>
      </c>
      <c r="G1352" s="4">
        <v>6224.4000000000005</v>
      </c>
      <c r="H1352">
        <v>5290.7400000000007</v>
      </c>
      <c r="I1352">
        <f>Orders[[#This Row],[Quantity]]*Orders[[#This Row],[Selling Price]]</f>
        <v>24897.600000000002</v>
      </c>
      <c r="J1352">
        <f>Orders[[#This Row],[Quantity]]*Orders[[#This Row],[Cost Price]]</f>
        <v>21162.960000000003</v>
      </c>
      <c r="K1352">
        <f>Orders[[#This Row],[Revenue]]-Orders[[#This Row],[Expenses]]</f>
        <v>3734.6399999999994</v>
      </c>
      <c r="L1352" t="s">
        <v>2196</v>
      </c>
      <c r="M1352" t="str">
        <f>_xlfn.XLOOKUP(Orders[[#This Row],[CustomerID]],Customers[CustomerID],Customers[City])</f>
        <v>Texas</v>
      </c>
      <c r="N1352" t="str">
        <f>_xlfn.XLOOKUP(Orders[[#This Row],[CustomerID]],Customers[CustomerID],Customers[CustomerName])</f>
        <v>Chioma Adeyemi</v>
      </c>
      <c r="O1352" t="str">
        <f>_xlfn.XLOOKUP(Orders[[#This Row],[CustomerID]],Customers[CustomerID],Customers[Gender])</f>
        <v>Female</v>
      </c>
      <c r="P1352">
        <f>_xlfn.XLOOKUP(Orders[[#This Row],[CustomerID]],Customers[CustomerID],Customers[CustomerAge])</f>
        <v>20</v>
      </c>
      <c r="Q1352" t="str">
        <f>IF(Orders[[#This Row],[Age]]&gt;=35,"older","young")</f>
        <v>young</v>
      </c>
      <c r="R1352" t="str">
        <f>_xlfn.XLOOKUP(Orders[[#This Row],[ProductID]],Products[ProductID],Products[ProductName])</f>
        <v>BADMINTON RACKET</v>
      </c>
      <c r="S1352" t="str">
        <f>_xlfn.XLOOKUP(Orders[[#This Row],[ProductID]],Products!A:A,Products!C:C)</f>
        <v>Sports</v>
      </c>
    </row>
    <row r="1353" spans="1:19" x14ac:dyDescent="0.2">
      <c r="A1353" s="4" t="s">
        <v>1542</v>
      </c>
      <c r="B1353" s="5">
        <v>45981</v>
      </c>
      <c r="C1353" s="15">
        <f>WEEKNUM(Orders[[#This Row],[OrderDate]])</f>
        <v>47</v>
      </c>
      <c r="D1353" s="4" t="s">
        <v>201</v>
      </c>
      <c r="E1353" s="4" t="s">
        <v>168</v>
      </c>
      <c r="F1353" s="4">
        <v>4</v>
      </c>
      <c r="G1353" s="4">
        <v>1126.5</v>
      </c>
      <c r="H1353">
        <v>957.52499999999998</v>
      </c>
      <c r="I1353">
        <f>Orders[[#This Row],[Quantity]]*Orders[[#This Row],[Selling Price]]</f>
        <v>4506</v>
      </c>
      <c r="J1353">
        <f>Orders[[#This Row],[Quantity]]*Orders[[#This Row],[Cost Price]]</f>
        <v>3830.1</v>
      </c>
      <c r="K1353">
        <f>Orders[[#This Row],[Revenue]]-Orders[[#This Row],[Expenses]]</f>
        <v>675.90000000000009</v>
      </c>
      <c r="L1353" t="s">
        <v>2219</v>
      </c>
      <c r="M1353" t="str">
        <f>_xlfn.XLOOKUP(Orders[[#This Row],[CustomerID]],Customers[CustomerID],Customers[City])</f>
        <v>Georgia</v>
      </c>
      <c r="N1353" t="str">
        <f>_xlfn.XLOOKUP(Orders[[#This Row],[CustomerID]],Customers[CustomerID],Customers[CustomerName])</f>
        <v>Sani Igwe</v>
      </c>
      <c r="O1353" t="str">
        <f>_xlfn.XLOOKUP(Orders[[#This Row],[CustomerID]],Customers[CustomerID],Customers[Gender])</f>
        <v>Male</v>
      </c>
      <c r="P1353">
        <f>_xlfn.XLOOKUP(Orders[[#This Row],[CustomerID]],Customers[CustomerID],Customers[CustomerAge])</f>
        <v>20</v>
      </c>
      <c r="Q1353" t="str">
        <f>IF(Orders[[#This Row],[Age]]&gt;=35,"older","young")</f>
        <v>young</v>
      </c>
      <c r="R1353" t="str">
        <f>_xlfn.XLOOKUP(Orders[[#This Row],[ProductID]],Products[ProductID],Products[ProductName])</f>
        <v>DUMB BELLS</v>
      </c>
      <c r="S1353" t="str">
        <f>_xlfn.XLOOKUP(Orders[[#This Row],[ProductID]],Products!A:A,Products!C:C)</f>
        <v>Gym</v>
      </c>
    </row>
    <row r="1354" spans="1:19" x14ac:dyDescent="0.2">
      <c r="A1354" s="4" t="s">
        <v>1543</v>
      </c>
      <c r="B1354" s="5">
        <v>45972</v>
      </c>
      <c r="C1354" s="15">
        <f>WEEKNUM(Orders[[#This Row],[OrderDate]])</f>
        <v>46</v>
      </c>
      <c r="D1354" s="4" t="s">
        <v>426</v>
      </c>
      <c r="E1354" s="4" t="s">
        <v>46</v>
      </c>
      <c r="F1354" s="4">
        <v>3</v>
      </c>
      <c r="G1354" s="4">
        <v>12531.800000000001</v>
      </c>
      <c r="H1354">
        <v>10652.03</v>
      </c>
      <c r="I1354">
        <f>Orders[[#This Row],[Quantity]]*Orders[[#This Row],[Selling Price]]</f>
        <v>37595.4</v>
      </c>
      <c r="J1354">
        <f>Orders[[#This Row],[Quantity]]*Orders[[#This Row],[Cost Price]]</f>
        <v>31956.090000000004</v>
      </c>
      <c r="K1354">
        <f>Orders[[#This Row],[Revenue]]-Orders[[#This Row],[Expenses]]</f>
        <v>5639.3099999999977</v>
      </c>
      <c r="L1354" t="s">
        <v>2193</v>
      </c>
      <c r="M1354" t="str">
        <f>_xlfn.XLOOKUP(Orders[[#This Row],[CustomerID]],Customers[CustomerID],Customers[City])</f>
        <v>Washington</v>
      </c>
      <c r="N1354" t="str">
        <f>_xlfn.XLOOKUP(Orders[[#This Row],[CustomerID]],Customers[CustomerID],Customers[CustomerName])</f>
        <v>Chinedu Ojo</v>
      </c>
      <c r="O1354" t="str">
        <f>_xlfn.XLOOKUP(Orders[[#This Row],[CustomerID]],Customers[CustomerID],Customers[Gender])</f>
        <v>Male</v>
      </c>
      <c r="P1354">
        <f>_xlfn.XLOOKUP(Orders[[#This Row],[CustomerID]],Customers[CustomerID],Customers[CustomerAge])</f>
        <v>18</v>
      </c>
      <c r="Q1354" t="str">
        <f>IF(Orders[[#This Row],[Age]]&gt;=35,"older","young")</f>
        <v>young</v>
      </c>
      <c r="R1354" t="str">
        <f>_xlfn.XLOOKUP(Orders[[#This Row],[ProductID]],Products[ProductID],Products[ProductName])</f>
        <v>TURTLE NECK</v>
      </c>
      <c r="S1354" t="str">
        <f>_xlfn.XLOOKUP(Orders[[#This Row],[ProductID]],Products!A:A,Products!C:C)</f>
        <v>Clothing</v>
      </c>
    </row>
    <row r="1355" spans="1:19" x14ac:dyDescent="0.2">
      <c r="A1355" s="4" t="s">
        <v>1544</v>
      </c>
      <c r="B1355" s="5">
        <v>45968</v>
      </c>
      <c r="C1355" s="15">
        <f>WEEKNUM(Orders[[#This Row],[OrderDate]])</f>
        <v>45</v>
      </c>
      <c r="D1355" s="4" t="s">
        <v>287</v>
      </c>
      <c r="E1355" s="4" t="s">
        <v>60</v>
      </c>
      <c r="F1355" s="4">
        <v>7</v>
      </c>
      <c r="G1355" s="4">
        <v>1960.3</v>
      </c>
      <c r="H1355">
        <v>1666.2550000000001</v>
      </c>
      <c r="I1355">
        <f>Orders[[#This Row],[Quantity]]*Orders[[#This Row],[Selling Price]]</f>
        <v>13722.1</v>
      </c>
      <c r="J1355">
        <f>Orders[[#This Row],[Quantity]]*Orders[[#This Row],[Cost Price]]</f>
        <v>11663.785</v>
      </c>
      <c r="K1355">
        <f>Orders[[#This Row],[Revenue]]-Orders[[#This Row],[Expenses]]</f>
        <v>2058.3150000000005</v>
      </c>
      <c r="L1355" t="s">
        <v>2194</v>
      </c>
      <c r="M1355" t="str">
        <f>_xlfn.XLOOKUP(Orders[[#This Row],[CustomerID]],Customers[CustomerID],Customers[City])</f>
        <v>Texas</v>
      </c>
      <c r="N1355" t="str">
        <f>_xlfn.XLOOKUP(Orders[[#This Row],[CustomerID]],Customers[CustomerID],Customers[CustomerName])</f>
        <v>Okon Obi</v>
      </c>
      <c r="O1355" t="str">
        <f>_xlfn.XLOOKUP(Orders[[#This Row],[CustomerID]],Customers[CustomerID],Customers[Gender])</f>
        <v>Male</v>
      </c>
      <c r="P1355">
        <f>_xlfn.XLOOKUP(Orders[[#This Row],[CustomerID]],Customers[CustomerID],Customers[CustomerAge])</f>
        <v>55</v>
      </c>
      <c r="Q1355" t="str">
        <f>IF(Orders[[#This Row],[Age]]&gt;=35,"older","young")</f>
        <v>older</v>
      </c>
      <c r="R1355" t="str">
        <f>_xlfn.XLOOKUP(Orders[[#This Row],[ProductID]],Products[ProductID],Products[ProductName])</f>
        <v>SILVER RINGS</v>
      </c>
      <c r="S1355" t="str">
        <f>_xlfn.XLOOKUP(Orders[[#This Row],[ProductID]],Products!A:A,Products!C:C)</f>
        <v>Accessories</v>
      </c>
    </row>
    <row r="1356" spans="1:19" x14ac:dyDescent="0.2">
      <c r="A1356" s="4" t="s">
        <v>1545</v>
      </c>
      <c r="B1356" s="5">
        <v>45937</v>
      </c>
      <c r="C1356" s="15">
        <f>WEEKNUM(Orders[[#This Row],[OrderDate]])</f>
        <v>41</v>
      </c>
      <c r="D1356" s="4" t="s">
        <v>239</v>
      </c>
      <c r="E1356" s="4" t="s">
        <v>57</v>
      </c>
      <c r="F1356" s="4">
        <v>5</v>
      </c>
      <c r="G1356" s="4">
        <v>14260.1</v>
      </c>
      <c r="H1356">
        <v>12121.085000000001</v>
      </c>
      <c r="I1356">
        <f>Orders[[#This Row],[Quantity]]*Orders[[#This Row],[Selling Price]]</f>
        <v>71300.5</v>
      </c>
      <c r="J1356">
        <f>Orders[[#This Row],[Quantity]]*Orders[[#This Row],[Cost Price]]</f>
        <v>60605.425000000003</v>
      </c>
      <c r="K1356">
        <f>Orders[[#This Row],[Revenue]]-Orders[[#This Row],[Expenses]]</f>
        <v>10695.074999999997</v>
      </c>
      <c r="L1356" t="s">
        <v>2193</v>
      </c>
      <c r="M1356" t="str">
        <f>_xlfn.XLOOKUP(Orders[[#This Row],[CustomerID]],Customers[CustomerID],Customers[City])</f>
        <v>Florida</v>
      </c>
      <c r="N1356" t="str">
        <f>_xlfn.XLOOKUP(Orders[[#This Row],[CustomerID]],Customers[CustomerID],Customers[CustomerName])</f>
        <v>Emeka Danladi</v>
      </c>
      <c r="O1356" t="str">
        <f>_xlfn.XLOOKUP(Orders[[#This Row],[CustomerID]],Customers[CustomerID],Customers[Gender])</f>
        <v>Male</v>
      </c>
      <c r="P1356">
        <f>_xlfn.XLOOKUP(Orders[[#This Row],[CustomerID]],Customers[CustomerID],Customers[CustomerAge])</f>
        <v>23</v>
      </c>
      <c r="Q1356" t="str">
        <f>IF(Orders[[#This Row],[Age]]&gt;=35,"older","young")</f>
        <v>young</v>
      </c>
      <c r="R1356" t="str">
        <f>_xlfn.XLOOKUP(Orders[[#This Row],[ProductID]],Products[ProductID],Products[ProductName])</f>
        <v>BADMINTON RACKET</v>
      </c>
      <c r="S1356" t="str">
        <f>_xlfn.XLOOKUP(Orders[[#This Row],[ProductID]],Products!A:A,Products!C:C)</f>
        <v>Sports</v>
      </c>
    </row>
    <row r="1357" spans="1:19" x14ac:dyDescent="0.2">
      <c r="A1357" s="4" t="s">
        <v>1546</v>
      </c>
      <c r="B1357" s="5">
        <v>45938</v>
      </c>
      <c r="C1357" s="15">
        <f>WEEKNUM(Orders[[#This Row],[OrderDate]])</f>
        <v>41</v>
      </c>
      <c r="D1357" s="4" t="s">
        <v>163</v>
      </c>
      <c r="E1357" s="4" t="s">
        <v>84</v>
      </c>
      <c r="F1357" s="4">
        <v>4</v>
      </c>
      <c r="G1357" s="4">
        <v>16027.1</v>
      </c>
      <c r="H1357">
        <v>13623.035</v>
      </c>
      <c r="I1357">
        <f>Orders[[#This Row],[Quantity]]*Orders[[#This Row],[Selling Price]]</f>
        <v>64108.4</v>
      </c>
      <c r="J1357">
        <f>Orders[[#This Row],[Quantity]]*Orders[[#This Row],[Cost Price]]</f>
        <v>54492.14</v>
      </c>
      <c r="K1357">
        <f>Orders[[#This Row],[Revenue]]-Orders[[#This Row],[Expenses]]</f>
        <v>9616.260000000002</v>
      </c>
      <c r="L1357" t="s">
        <v>2198</v>
      </c>
      <c r="M1357" t="str">
        <f>_xlfn.XLOOKUP(Orders[[#This Row],[CustomerID]],Customers[CustomerID],Customers[City])</f>
        <v>Texas</v>
      </c>
      <c r="N1357" t="str">
        <f>_xlfn.XLOOKUP(Orders[[#This Row],[CustomerID]],Customers[CustomerID],Customers[CustomerName])</f>
        <v>Folasade Danladi</v>
      </c>
      <c r="O1357" t="str">
        <f>_xlfn.XLOOKUP(Orders[[#This Row],[CustomerID]],Customers[CustomerID],Customers[Gender])</f>
        <v>Female</v>
      </c>
      <c r="P1357">
        <f>_xlfn.XLOOKUP(Orders[[#This Row],[CustomerID]],Customers[CustomerID],Customers[CustomerAge])</f>
        <v>32</v>
      </c>
      <c r="Q1357" t="str">
        <f>IF(Orders[[#This Row],[Age]]&gt;=35,"older","young")</f>
        <v>young</v>
      </c>
      <c r="R1357" t="str">
        <f>_xlfn.XLOOKUP(Orders[[#This Row],[ProductID]],Products[ProductID],Products[ProductName])</f>
        <v>GYM WEARS</v>
      </c>
      <c r="S1357" t="str">
        <f>_xlfn.XLOOKUP(Orders[[#This Row],[ProductID]],Products!A:A,Products!C:C)</f>
        <v>Clothing</v>
      </c>
    </row>
    <row r="1358" spans="1:19" x14ac:dyDescent="0.2">
      <c r="A1358" s="4" t="s">
        <v>1547</v>
      </c>
      <c r="B1358" s="5">
        <v>45970</v>
      </c>
      <c r="C1358" s="15">
        <f>WEEKNUM(Orders[[#This Row],[OrderDate]])</f>
        <v>46</v>
      </c>
      <c r="D1358" s="4" t="s">
        <v>258</v>
      </c>
      <c r="E1358" s="4" t="s">
        <v>70</v>
      </c>
      <c r="F1358" s="4">
        <v>1</v>
      </c>
      <c r="G1358" s="4">
        <v>15685.5</v>
      </c>
      <c r="H1358">
        <v>13332.674999999999</v>
      </c>
      <c r="I1358">
        <f>Orders[[#This Row],[Quantity]]*Orders[[#This Row],[Selling Price]]</f>
        <v>15685.5</v>
      </c>
      <c r="J1358">
        <f>Orders[[#This Row],[Quantity]]*Orders[[#This Row],[Cost Price]]</f>
        <v>13332.674999999999</v>
      </c>
      <c r="K1358">
        <f>Orders[[#This Row],[Revenue]]-Orders[[#This Row],[Expenses]]</f>
        <v>2352.8250000000007</v>
      </c>
      <c r="L1358" t="s">
        <v>2208</v>
      </c>
      <c r="M1358" t="str">
        <f>_xlfn.XLOOKUP(Orders[[#This Row],[CustomerID]],Customers[CustomerID],Customers[City])</f>
        <v>Washington</v>
      </c>
      <c r="N1358" t="str">
        <f>_xlfn.XLOOKUP(Orders[[#This Row],[CustomerID]],Customers[CustomerID],Customers[CustomerName])</f>
        <v>Sani Abubakar</v>
      </c>
      <c r="O1358" t="str">
        <f>_xlfn.XLOOKUP(Orders[[#This Row],[CustomerID]],Customers[CustomerID],Customers[Gender])</f>
        <v>Male</v>
      </c>
      <c r="P1358">
        <f>_xlfn.XLOOKUP(Orders[[#This Row],[CustomerID]],Customers[CustomerID],Customers[CustomerAge])</f>
        <v>37</v>
      </c>
      <c r="Q1358" t="str">
        <f>IF(Orders[[#This Row],[Age]]&gt;=35,"older","young")</f>
        <v>older</v>
      </c>
      <c r="R1358" t="str">
        <f>_xlfn.XLOOKUP(Orders[[#This Row],[ProductID]],Products[ProductID],Products[ProductName])</f>
        <v>YOGA MAT</v>
      </c>
      <c r="S1358" t="str">
        <f>_xlfn.XLOOKUP(Orders[[#This Row],[ProductID]],Products!A:A,Products!C:C)</f>
        <v>Gym</v>
      </c>
    </row>
    <row r="1359" spans="1:19" x14ac:dyDescent="0.2">
      <c r="A1359" s="4" t="s">
        <v>1548</v>
      </c>
      <c r="B1359" s="5">
        <v>46007</v>
      </c>
      <c r="C1359" s="15">
        <f>WEEKNUM(Orders[[#This Row],[OrderDate]])</f>
        <v>51</v>
      </c>
      <c r="D1359" s="4" t="s">
        <v>59</v>
      </c>
      <c r="E1359" s="4" t="s">
        <v>111</v>
      </c>
      <c r="F1359" s="4">
        <v>7</v>
      </c>
      <c r="G1359" s="4">
        <v>11617.6</v>
      </c>
      <c r="H1359">
        <v>9874.9600000000009</v>
      </c>
      <c r="I1359">
        <f>Orders[[#This Row],[Quantity]]*Orders[[#This Row],[Selling Price]]</f>
        <v>81323.199999999997</v>
      </c>
      <c r="J1359">
        <f>Orders[[#This Row],[Quantity]]*Orders[[#This Row],[Cost Price]]</f>
        <v>69124.72</v>
      </c>
      <c r="K1359">
        <f>Orders[[#This Row],[Revenue]]-Orders[[#This Row],[Expenses]]</f>
        <v>12198.479999999996</v>
      </c>
      <c r="L1359" t="s">
        <v>2195</v>
      </c>
      <c r="M1359" t="str">
        <f>_xlfn.XLOOKUP(Orders[[#This Row],[CustomerID]],Customers[CustomerID],Customers[City])</f>
        <v>Texas</v>
      </c>
      <c r="N1359" t="str">
        <f>_xlfn.XLOOKUP(Orders[[#This Row],[CustomerID]],Customers[CustomerID],Customers[CustomerName])</f>
        <v>Adanma Danladi</v>
      </c>
      <c r="O1359" t="str">
        <f>_xlfn.XLOOKUP(Orders[[#This Row],[CustomerID]],Customers[CustomerID],Customers[Gender])</f>
        <v>Female</v>
      </c>
      <c r="P1359">
        <f>_xlfn.XLOOKUP(Orders[[#This Row],[CustomerID]],Customers[CustomerID],Customers[CustomerAge])</f>
        <v>24</v>
      </c>
      <c r="Q1359" t="str">
        <f>IF(Orders[[#This Row],[Age]]&gt;=35,"older","young")</f>
        <v>young</v>
      </c>
      <c r="R1359" t="str">
        <f>_xlfn.XLOOKUP(Orders[[#This Row],[ProductID]],Products[ProductID],Products[ProductName])</f>
        <v>REFRIGERATOR</v>
      </c>
      <c r="S1359" t="str">
        <f>_xlfn.XLOOKUP(Orders[[#This Row],[ProductID]],Products!A:A,Products!C:C)</f>
        <v>Electronics</v>
      </c>
    </row>
    <row r="1360" spans="1:19" x14ac:dyDescent="0.2">
      <c r="A1360" s="4" t="s">
        <v>1549</v>
      </c>
      <c r="B1360" s="5">
        <v>46002</v>
      </c>
      <c r="C1360" s="15">
        <f>WEEKNUM(Orders[[#This Row],[OrderDate]])</f>
        <v>50</v>
      </c>
      <c r="D1360" s="4" t="s">
        <v>435</v>
      </c>
      <c r="E1360" s="4" t="s">
        <v>15</v>
      </c>
      <c r="F1360" s="4">
        <v>1</v>
      </c>
      <c r="G1360" s="4">
        <v>19357.8</v>
      </c>
      <c r="H1360">
        <v>16454.13</v>
      </c>
      <c r="I1360">
        <f>Orders[[#This Row],[Quantity]]*Orders[[#This Row],[Selling Price]]</f>
        <v>19357.8</v>
      </c>
      <c r="J1360">
        <f>Orders[[#This Row],[Quantity]]*Orders[[#This Row],[Cost Price]]</f>
        <v>16454.13</v>
      </c>
      <c r="K1360">
        <f>Orders[[#This Row],[Revenue]]-Orders[[#This Row],[Expenses]]</f>
        <v>2903.6699999999983</v>
      </c>
      <c r="L1360" t="s">
        <v>2211</v>
      </c>
      <c r="M1360" t="str">
        <f>_xlfn.XLOOKUP(Orders[[#This Row],[CustomerID]],Customers[CustomerID],Customers[City])</f>
        <v>Texas</v>
      </c>
      <c r="N1360" t="str">
        <f>_xlfn.XLOOKUP(Orders[[#This Row],[CustomerID]],Customers[CustomerID],Customers[CustomerName])</f>
        <v>Amina Balogun</v>
      </c>
      <c r="O1360" t="str">
        <f>_xlfn.XLOOKUP(Orders[[#This Row],[CustomerID]],Customers[CustomerID],Customers[Gender])</f>
        <v>Female</v>
      </c>
      <c r="P1360">
        <f>_xlfn.XLOOKUP(Orders[[#This Row],[CustomerID]],Customers[CustomerID],Customers[CustomerAge])</f>
        <v>32</v>
      </c>
      <c r="Q1360" t="str">
        <f>IF(Orders[[#This Row],[Age]]&gt;=35,"older","young")</f>
        <v>young</v>
      </c>
      <c r="R1360" t="str">
        <f>_xlfn.XLOOKUP(Orders[[#This Row],[ProductID]],Products[ProductID],Products[ProductName])</f>
        <v>MONOPOLY</v>
      </c>
      <c r="S1360" t="str">
        <f>_xlfn.XLOOKUP(Orders[[#This Row],[ProductID]],Products!A:A,Products!C:C)</f>
        <v>Games</v>
      </c>
    </row>
    <row r="1361" spans="1:19" x14ac:dyDescent="0.2">
      <c r="A1361" s="4" t="s">
        <v>1550</v>
      </c>
      <c r="B1361" s="5">
        <v>45945</v>
      </c>
      <c r="C1361" s="15">
        <f>WEEKNUM(Orders[[#This Row],[OrderDate]])</f>
        <v>42</v>
      </c>
      <c r="D1361" s="4" t="s">
        <v>116</v>
      </c>
      <c r="E1361" s="4" t="s">
        <v>157</v>
      </c>
      <c r="F1361" s="4">
        <v>10</v>
      </c>
      <c r="G1361" s="4">
        <v>5665.5999999999995</v>
      </c>
      <c r="H1361">
        <v>4815.7599999999993</v>
      </c>
      <c r="I1361">
        <f>Orders[[#This Row],[Quantity]]*Orders[[#This Row],[Selling Price]]</f>
        <v>56655.999999999993</v>
      </c>
      <c r="J1361">
        <f>Orders[[#This Row],[Quantity]]*Orders[[#This Row],[Cost Price]]</f>
        <v>48157.599999999991</v>
      </c>
      <c r="K1361">
        <f>Orders[[#This Row],[Revenue]]-Orders[[#This Row],[Expenses]]</f>
        <v>8498.4000000000015</v>
      </c>
      <c r="L1361" t="s">
        <v>2213</v>
      </c>
      <c r="M1361" t="str">
        <f>_xlfn.XLOOKUP(Orders[[#This Row],[CustomerID]],Customers[CustomerID],Customers[City])</f>
        <v>Texas</v>
      </c>
      <c r="N1361" t="str">
        <f>_xlfn.XLOOKUP(Orders[[#This Row],[CustomerID]],Customers[CustomerID],Customers[CustomerName])</f>
        <v>Uche Bello</v>
      </c>
      <c r="O1361" t="str">
        <f>_xlfn.XLOOKUP(Orders[[#This Row],[CustomerID]],Customers[CustomerID],Customers[Gender])</f>
        <v>Male</v>
      </c>
      <c r="P1361">
        <f>_xlfn.XLOOKUP(Orders[[#This Row],[CustomerID]],Customers[CustomerID],Customers[CustomerAge])</f>
        <v>21</v>
      </c>
      <c r="Q1361" t="str">
        <f>IF(Orders[[#This Row],[Age]]&gt;=35,"older","young")</f>
        <v>young</v>
      </c>
      <c r="R1361" t="str">
        <f>_xlfn.XLOOKUP(Orders[[#This Row],[ProductID]],Products[ProductID],Products[ProductName])</f>
        <v>FOOTBALL</v>
      </c>
      <c r="S1361" t="str">
        <f>_xlfn.XLOOKUP(Orders[[#This Row],[ProductID]],Products!A:A,Products!C:C)</f>
        <v>Sports</v>
      </c>
    </row>
    <row r="1362" spans="1:19" x14ac:dyDescent="0.2">
      <c r="A1362" s="4" t="s">
        <v>1551</v>
      </c>
      <c r="B1362" s="5">
        <v>45971</v>
      </c>
      <c r="C1362" s="15">
        <f>WEEKNUM(Orders[[#This Row],[OrderDate]])</f>
        <v>46</v>
      </c>
      <c r="D1362" s="4" t="s">
        <v>163</v>
      </c>
      <c r="E1362" s="4" t="s">
        <v>57</v>
      </c>
      <c r="F1362" s="4">
        <v>8</v>
      </c>
      <c r="G1362" s="4">
        <v>16626.099999999999</v>
      </c>
      <c r="H1362">
        <v>14132.184999999999</v>
      </c>
      <c r="I1362">
        <f>Orders[[#This Row],[Quantity]]*Orders[[#This Row],[Selling Price]]</f>
        <v>133008.79999999999</v>
      </c>
      <c r="J1362">
        <f>Orders[[#This Row],[Quantity]]*Orders[[#This Row],[Cost Price]]</f>
        <v>113057.48</v>
      </c>
      <c r="K1362">
        <f>Orders[[#This Row],[Revenue]]-Orders[[#This Row],[Expenses]]</f>
        <v>19951.319999999992</v>
      </c>
      <c r="L1362" t="s">
        <v>2213</v>
      </c>
      <c r="M1362" t="str">
        <f>_xlfn.XLOOKUP(Orders[[#This Row],[CustomerID]],Customers[CustomerID],Customers[City])</f>
        <v>Texas</v>
      </c>
      <c r="N1362" t="str">
        <f>_xlfn.XLOOKUP(Orders[[#This Row],[CustomerID]],Customers[CustomerID],Customers[CustomerName])</f>
        <v>Folasade Danladi</v>
      </c>
      <c r="O1362" t="str">
        <f>_xlfn.XLOOKUP(Orders[[#This Row],[CustomerID]],Customers[CustomerID],Customers[Gender])</f>
        <v>Female</v>
      </c>
      <c r="P1362">
        <f>_xlfn.XLOOKUP(Orders[[#This Row],[CustomerID]],Customers[CustomerID],Customers[CustomerAge])</f>
        <v>32</v>
      </c>
      <c r="Q1362" t="str">
        <f>IF(Orders[[#This Row],[Age]]&gt;=35,"older","young")</f>
        <v>young</v>
      </c>
      <c r="R1362" t="str">
        <f>_xlfn.XLOOKUP(Orders[[#This Row],[ProductID]],Products[ProductID],Products[ProductName])</f>
        <v>BADMINTON RACKET</v>
      </c>
      <c r="S1362" t="str">
        <f>_xlfn.XLOOKUP(Orders[[#This Row],[ProductID]],Products!A:A,Products!C:C)</f>
        <v>Sports</v>
      </c>
    </row>
    <row r="1363" spans="1:19" x14ac:dyDescent="0.2">
      <c r="A1363" s="4" t="s">
        <v>1552</v>
      </c>
      <c r="B1363" s="5">
        <v>45970</v>
      </c>
      <c r="C1363" s="15">
        <f>WEEKNUM(Orders[[#This Row],[OrderDate]])</f>
        <v>46</v>
      </c>
      <c r="D1363" s="4" t="s">
        <v>207</v>
      </c>
      <c r="E1363" s="4" t="s">
        <v>23</v>
      </c>
      <c r="F1363" s="4">
        <v>7</v>
      </c>
      <c r="G1363" s="4">
        <v>15899.8</v>
      </c>
      <c r="H1363">
        <v>13514.83</v>
      </c>
      <c r="I1363">
        <f>Orders[[#This Row],[Quantity]]*Orders[[#This Row],[Selling Price]]</f>
        <v>111298.59999999999</v>
      </c>
      <c r="J1363">
        <f>Orders[[#This Row],[Quantity]]*Orders[[#This Row],[Cost Price]]</f>
        <v>94603.81</v>
      </c>
      <c r="K1363">
        <f>Orders[[#This Row],[Revenue]]-Orders[[#This Row],[Expenses]]</f>
        <v>16694.789999999994</v>
      </c>
      <c r="L1363" t="s">
        <v>2208</v>
      </c>
      <c r="M1363" t="str">
        <f>_xlfn.XLOOKUP(Orders[[#This Row],[CustomerID]],Customers[CustomerID],Customers[City])</f>
        <v>Florida</v>
      </c>
      <c r="N1363" t="str">
        <f>_xlfn.XLOOKUP(Orders[[#This Row],[CustomerID]],Customers[CustomerID],Customers[CustomerName])</f>
        <v>Bisi Eze</v>
      </c>
      <c r="O1363" t="str">
        <f>_xlfn.XLOOKUP(Orders[[#This Row],[CustomerID]],Customers[CustomerID],Customers[Gender])</f>
        <v>Female</v>
      </c>
      <c r="P1363">
        <f>_xlfn.XLOOKUP(Orders[[#This Row],[CustomerID]],Customers[CustomerID],Customers[CustomerAge])</f>
        <v>37</v>
      </c>
      <c r="Q1363" t="str">
        <f>IF(Orders[[#This Row],[Age]]&gt;=35,"older","young")</f>
        <v>older</v>
      </c>
      <c r="R1363" t="str">
        <f>_xlfn.XLOOKUP(Orders[[#This Row],[ProductID]],Products[ProductID],Products[ProductName])</f>
        <v>GYM GLOVES</v>
      </c>
      <c r="S1363" t="str">
        <f>_xlfn.XLOOKUP(Orders[[#This Row],[ProductID]],Products!A:A,Products!C:C)</f>
        <v>Gym</v>
      </c>
    </row>
    <row r="1364" spans="1:19" x14ac:dyDescent="0.2">
      <c r="A1364" s="4" t="s">
        <v>1553</v>
      </c>
      <c r="B1364" s="5">
        <v>45971</v>
      </c>
      <c r="C1364" s="15">
        <f>WEEKNUM(Orders[[#This Row],[OrderDate]])</f>
        <v>46</v>
      </c>
      <c r="D1364" s="4" t="s">
        <v>27</v>
      </c>
      <c r="E1364" s="4" t="s">
        <v>23</v>
      </c>
      <c r="F1364" s="4">
        <v>10</v>
      </c>
      <c r="G1364" s="4">
        <v>11943.900000000001</v>
      </c>
      <c r="H1364">
        <v>10152.315000000001</v>
      </c>
      <c r="I1364">
        <f>Orders[[#This Row],[Quantity]]*Orders[[#This Row],[Selling Price]]</f>
        <v>119439.00000000001</v>
      </c>
      <c r="J1364">
        <f>Orders[[#This Row],[Quantity]]*Orders[[#This Row],[Cost Price]]</f>
        <v>101523.15000000001</v>
      </c>
      <c r="K1364">
        <f>Orders[[#This Row],[Revenue]]-Orders[[#This Row],[Expenses]]</f>
        <v>17915.850000000006</v>
      </c>
      <c r="L1364" t="s">
        <v>2208</v>
      </c>
      <c r="M1364" t="str">
        <f>_xlfn.XLOOKUP(Orders[[#This Row],[CustomerID]],Customers[CustomerID],Customers[City])</f>
        <v>Illinois</v>
      </c>
      <c r="N1364" t="str">
        <f>_xlfn.XLOOKUP(Orders[[#This Row],[CustomerID]],Customers[CustomerID],Customers[CustomerName])</f>
        <v>Okon Ojo</v>
      </c>
      <c r="O1364" t="str">
        <f>_xlfn.XLOOKUP(Orders[[#This Row],[CustomerID]],Customers[CustomerID],Customers[Gender])</f>
        <v>Male</v>
      </c>
      <c r="P1364">
        <f>_xlfn.XLOOKUP(Orders[[#This Row],[CustomerID]],Customers[CustomerID],Customers[CustomerAge])</f>
        <v>32</v>
      </c>
      <c r="Q1364" t="str">
        <f>IF(Orders[[#This Row],[Age]]&gt;=35,"older","young")</f>
        <v>young</v>
      </c>
      <c r="R1364" t="str">
        <f>_xlfn.XLOOKUP(Orders[[#This Row],[ProductID]],Products[ProductID],Products[ProductName])</f>
        <v>GYM GLOVES</v>
      </c>
      <c r="S1364" t="str">
        <f>_xlfn.XLOOKUP(Orders[[#This Row],[ProductID]],Products!A:A,Products!C:C)</f>
        <v>Gym</v>
      </c>
    </row>
    <row r="1365" spans="1:19" x14ac:dyDescent="0.2">
      <c r="A1365" s="4" t="s">
        <v>1554</v>
      </c>
      <c r="B1365" s="5">
        <v>46014</v>
      </c>
      <c r="C1365" s="15">
        <f>WEEKNUM(Orders[[#This Row],[OrderDate]])</f>
        <v>52</v>
      </c>
      <c r="D1365" s="4" t="s">
        <v>282</v>
      </c>
      <c r="E1365" s="4" t="s">
        <v>353</v>
      </c>
      <c r="F1365" s="4">
        <v>1</v>
      </c>
      <c r="G1365" s="4">
        <v>17416.900000000001</v>
      </c>
      <c r="H1365">
        <v>14804.365000000002</v>
      </c>
      <c r="I1365">
        <f>Orders[[#This Row],[Quantity]]*Orders[[#This Row],[Selling Price]]</f>
        <v>17416.900000000001</v>
      </c>
      <c r="J1365">
        <f>Orders[[#This Row],[Quantity]]*Orders[[#This Row],[Cost Price]]</f>
        <v>14804.365000000002</v>
      </c>
      <c r="K1365">
        <f>Orders[[#This Row],[Revenue]]-Orders[[#This Row],[Expenses]]</f>
        <v>2612.5349999999999</v>
      </c>
      <c r="L1365" t="s">
        <v>2208</v>
      </c>
      <c r="M1365" t="str">
        <f>_xlfn.XLOOKUP(Orders[[#This Row],[CustomerID]],Customers[CustomerID],Customers[City])</f>
        <v>Texas</v>
      </c>
      <c r="N1365" t="str">
        <f>_xlfn.XLOOKUP(Orders[[#This Row],[CustomerID]],Customers[CustomerID],Customers[CustomerName])</f>
        <v>Bisi Ojo</v>
      </c>
      <c r="O1365" t="str">
        <f>_xlfn.XLOOKUP(Orders[[#This Row],[CustomerID]],Customers[CustomerID],Customers[Gender])</f>
        <v>Female</v>
      </c>
      <c r="P1365">
        <f>_xlfn.XLOOKUP(Orders[[#This Row],[CustomerID]],Customers[CustomerID],Customers[CustomerAge])</f>
        <v>26</v>
      </c>
      <c r="Q1365" t="str">
        <f>IF(Orders[[#This Row],[Age]]&gt;=35,"older","young")</f>
        <v>young</v>
      </c>
      <c r="R1365" t="str">
        <f>_xlfn.XLOOKUP(Orders[[#This Row],[ProductID]],Products[ProductID],Products[ProductName])</f>
        <v>SILVER EARRINGS AND NECKLACES</v>
      </c>
      <c r="S1365" t="str">
        <f>_xlfn.XLOOKUP(Orders[[#This Row],[ProductID]],Products!A:A,Products!C:C)</f>
        <v>Accessories</v>
      </c>
    </row>
    <row r="1366" spans="1:19" x14ac:dyDescent="0.2">
      <c r="A1366" s="4" t="s">
        <v>1555</v>
      </c>
      <c r="B1366" s="5">
        <v>45947</v>
      </c>
      <c r="C1366" s="15">
        <f>WEEKNUM(Orders[[#This Row],[OrderDate]])</f>
        <v>42</v>
      </c>
      <c r="D1366" s="4" t="s">
        <v>369</v>
      </c>
      <c r="E1366" s="4" t="s">
        <v>46</v>
      </c>
      <c r="F1366" s="4">
        <v>8</v>
      </c>
      <c r="G1366" s="4">
        <v>16511.199999999997</v>
      </c>
      <c r="H1366">
        <v>14034.519999999997</v>
      </c>
      <c r="I1366">
        <f>Orders[[#This Row],[Quantity]]*Orders[[#This Row],[Selling Price]]</f>
        <v>132089.59999999998</v>
      </c>
      <c r="J1366">
        <f>Orders[[#This Row],[Quantity]]*Orders[[#This Row],[Cost Price]]</f>
        <v>112276.15999999997</v>
      </c>
      <c r="K1366">
        <f>Orders[[#This Row],[Revenue]]-Orders[[#This Row],[Expenses]]</f>
        <v>19813.440000000002</v>
      </c>
      <c r="L1366" t="s">
        <v>2206</v>
      </c>
      <c r="M1366" t="str">
        <f>_xlfn.XLOOKUP(Orders[[#This Row],[CustomerID]],Customers[CustomerID],Customers[City])</f>
        <v>Washington</v>
      </c>
      <c r="N1366" t="str">
        <f>_xlfn.XLOOKUP(Orders[[#This Row],[CustomerID]],Customers[CustomerID],Customers[CustomerName])</f>
        <v>Ibrahim Bello</v>
      </c>
      <c r="O1366" t="str">
        <f>_xlfn.XLOOKUP(Orders[[#This Row],[CustomerID]],Customers[CustomerID],Customers[Gender])</f>
        <v>Male</v>
      </c>
      <c r="P1366">
        <f>_xlfn.XLOOKUP(Orders[[#This Row],[CustomerID]],Customers[CustomerID],Customers[CustomerAge])</f>
        <v>40</v>
      </c>
      <c r="Q1366" t="str">
        <f>IF(Orders[[#This Row],[Age]]&gt;=35,"older","young")</f>
        <v>older</v>
      </c>
      <c r="R1366" t="str">
        <f>_xlfn.XLOOKUP(Orders[[#This Row],[ProductID]],Products[ProductID],Products[ProductName])</f>
        <v>TURTLE NECK</v>
      </c>
      <c r="S1366" t="str">
        <f>_xlfn.XLOOKUP(Orders[[#This Row],[ProductID]],Products!A:A,Products!C:C)</f>
        <v>Clothing</v>
      </c>
    </row>
    <row r="1367" spans="1:19" x14ac:dyDescent="0.2">
      <c r="A1367" s="4" t="s">
        <v>1556</v>
      </c>
      <c r="B1367" s="5">
        <v>45961</v>
      </c>
      <c r="C1367" s="15">
        <f>WEEKNUM(Orders[[#This Row],[OrderDate]])</f>
        <v>44</v>
      </c>
      <c r="D1367" s="4" t="s">
        <v>27</v>
      </c>
      <c r="E1367" s="4" t="s">
        <v>120</v>
      </c>
      <c r="F1367" s="4">
        <v>8</v>
      </c>
      <c r="G1367" s="4">
        <v>12877.9</v>
      </c>
      <c r="H1367">
        <v>10946.215</v>
      </c>
      <c r="I1367">
        <f>Orders[[#This Row],[Quantity]]*Orders[[#This Row],[Selling Price]]</f>
        <v>103023.2</v>
      </c>
      <c r="J1367">
        <f>Orders[[#This Row],[Quantity]]*Orders[[#This Row],[Cost Price]]</f>
        <v>87569.72</v>
      </c>
      <c r="K1367">
        <f>Orders[[#This Row],[Revenue]]-Orders[[#This Row],[Expenses]]</f>
        <v>15453.479999999996</v>
      </c>
      <c r="L1367" t="s">
        <v>2198</v>
      </c>
      <c r="M1367" t="str">
        <f>_xlfn.XLOOKUP(Orders[[#This Row],[CustomerID]],Customers[CustomerID],Customers[City])</f>
        <v>Illinois</v>
      </c>
      <c r="N1367" t="str">
        <f>_xlfn.XLOOKUP(Orders[[#This Row],[CustomerID]],Customers[CustomerID],Customers[CustomerName])</f>
        <v>Okon Ojo</v>
      </c>
      <c r="O1367" t="str">
        <f>_xlfn.XLOOKUP(Orders[[#This Row],[CustomerID]],Customers[CustomerID],Customers[Gender])</f>
        <v>Male</v>
      </c>
      <c r="P1367">
        <f>_xlfn.XLOOKUP(Orders[[#This Row],[CustomerID]],Customers[CustomerID],Customers[CustomerAge])</f>
        <v>32</v>
      </c>
      <c r="Q1367" t="str">
        <f>IF(Orders[[#This Row],[Age]]&gt;=35,"older","young")</f>
        <v>young</v>
      </c>
      <c r="R1367" t="str">
        <f>_xlfn.XLOOKUP(Orders[[#This Row],[ProductID]],Products[ProductID],Products[ProductName])</f>
        <v>CHESS</v>
      </c>
      <c r="S1367" t="str">
        <f>_xlfn.XLOOKUP(Orders[[#This Row],[ProductID]],Products!A:A,Products!C:C)</f>
        <v>Games</v>
      </c>
    </row>
    <row r="1368" spans="1:19" x14ac:dyDescent="0.2">
      <c r="A1368" s="4" t="s">
        <v>1557</v>
      </c>
      <c r="B1368" s="5">
        <v>45932</v>
      </c>
      <c r="C1368" s="15">
        <f>WEEKNUM(Orders[[#This Row],[OrderDate]])</f>
        <v>40</v>
      </c>
      <c r="D1368" s="4" t="s">
        <v>110</v>
      </c>
      <c r="E1368" s="4" t="s">
        <v>37</v>
      </c>
      <c r="F1368" s="4">
        <v>9</v>
      </c>
      <c r="G1368" s="4">
        <v>12107.6</v>
      </c>
      <c r="H1368">
        <v>10291.460000000001</v>
      </c>
      <c r="I1368">
        <f>Orders[[#This Row],[Quantity]]*Orders[[#This Row],[Selling Price]]</f>
        <v>108968.40000000001</v>
      </c>
      <c r="J1368">
        <f>Orders[[#This Row],[Quantity]]*Orders[[#This Row],[Cost Price]]</f>
        <v>92623.140000000014</v>
      </c>
      <c r="K1368">
        <f>Orders[[#This Row],[Revenue]]-Orders[[#This Row],[Expenses]]</f>
        <v>16345.259999999995</v>
      </c>
      <c r="L1368" t="s">
        <v>2219</v>
      </c>
      <c r="M1368" t="str">
        <f>_xlfn.XLOOKUP(Orders[[#This Row],[CustomerID]],Customers[CustomerID],Customers[City])</f>
        <v>Washington</v>
      </c>
      <c r="N1368" t="str">
        <f>_xlfn.XLOOKUP(Orders[[#This Row],[CustomerID]],Customers[CustomerID],Customers[CustomerName])</f>
        <v>Ngozi Danladi</v>
      </c>
      <c r="O1368" t="str">
        <f>_xlfn.XLOOKUP(Orders[[#This Row],[CustomerID]],Customers[CustomerID],Customers[Gender])</f>
        <v>Female</v>
      </c>
      <c r="P1368">
        <f>_xlfn.XLOOKUP(Orders[[#This Row],[CustomerID]],Customers[CustomerID],Customers[CustomerAge])</f>
        <v>28</v>
      </c>
      <c r="Q1368" t="str">
        <f>IF(Orders[[#This Row],[Age]]&gt;=35,"older","young")</f>
        <v>young</v>
      </c>
      <c r="R1368" t="str">
        <f>_xlfn.XLOOKUP(Orders[[#This Row],[ProductID]],Products[ProductID],Products[ProductName])</f>
        <v>IRON</v>
      </c>
      <c r="S1368" t="str">
        <f>_xlfn.XLOOKUP(Orders[[#This Row],[ProductID]],Products!A:A,Products!C:C)</f>
        <v>Electronics</v>
      </c>
    </row>
    <row r="1369" spans="1:19" x14ac:dyDescent="0.2">
      <c r="A1369" s="4" t="s">
        <v>1558</v>
      </c>
      <c r="B1369" s="5">
        <v>45968</v>
      </c>
      <c r="C1369" s="15">
        <f>WEEKNUM(Orders[[#This Row],[OrderDate]])</f>
        <v>45</v>
      </c>
      <c r="D1369" s="4" t="s">
        <v>210</v>
      </c>
      <c r="E1369" s="4" t="s">
        <v>53</v>
      </c>
      <c r="F1369" s="4">
        <v>5</v>
      </c>
      <c r="G1369" s="4">
        <v>11181.6</v>
      </c>
      <c r="H1369">
        <v>9504.36</v>
      </c>
      <c r="I1369">
        <f>Orders[[#This Row],[Quantity]]*Orders[[#This Row],[Selling Price]]</f>
        <v>55908</v>
      </c>
      <c r="J1369">
        <f>Orders[[#This Row],[Quantity]]*Orders[[#This Row],[Cost Price]]</f>
        <v>47521.8</v>
      </c>
      <c r="K1369">
        <f>Orders[[#This Row],[Revenue]]-Orders[[#This Row],[Expenses]]</f>
        <v>8386.1999999999971</v>
      </c>
      <c r="L1369" t="s">
        <v>2209</v>
      </c>
      <c r="M1369" t="str">
        <f>_xlfn.XLOOKUP(Orders[[#This Row],[CustomerID]],Customers[CustomerID],Customers[City])</f>
        <v>Illinois</v>
      </c>
      <c r="N1369" t="str">
        <f>_xlfn.XLOOKUP(Orders[[#This Row],[CustomerID]],Customers[CustomerID],Customers[CustomerName])</f>
        <v>Zainab Bello</v>
      </c>
      <c r="O1369" t="str">
        <f>_xlfn.XLOOKUP(Orders[[#This Row],[CustomerID]],Customers[CustomerID],Customers[Gender])</f>
        <v>Female</v>
      </c>
      <c r="P1369">
        <f>_xlfn.XLOOKUP(Orders[[#This Row],[CustomerID]],Customers[CustomerID],Customers[CustomerAge])</f>
        <v>27</v>
      </c>
      <c r="Q1369" t="str">
        <f>IF(Orders[[#This Row],[Age]]&gt;=35,"older","young")</f>
        <v>young</v>
      </c>
      <c r="R1369" t="str">
        <f>_xlfn.XLOOKUP(Orders[[#This Row],[ProductID]],Products[ProductID],Products[ProductName])</f>
        <v>SILVER BANGLES</v>
      </c>
      <c r="S1369" t="str">
        <f>_xlfn.XLOOKUP(Orders[[#This Row],[ProductID]],Products!A:A,Products!C:C)</f>
        <v>Accessories</v>
      </c>
    </row>
    <row r="1370" spans="1:19" x14ac:dyDescent="0.2">
      <c r="A1370" s="4" t="s">
        <v>1559</v>
      </c>
      <c r="B1370" s="5">
        <v>46018</v>
      </c>
      <c r="C1370" s="15">
        <f>WEEKNUM(Orders[[#This Row],[OrderDate]])</f>
        <v>52</v>
      </c>
      <c r="D1370" s="4" t="s">
        <v>298</v>
      </c>
      <c r="E1370" s="4" t="s">
        <v>253</v>
      </c>
      <c r="F1370" s="4">
        <v>4</v>
      </c>
      <c r="G1370" s="4">
        <v>2005.6</v>
      </c>
      <c r="H1370">
        <v>1704.76</v>
      </c>
      <c r="I1370">
        <f>Orders[[#This Row],[Quantity]]*Orders[[#This Row],[Selling Price]]</f>
        <v>8022.4</v>
      </c>
      <c r="J1370">
        <f>Orders[[#This Row],[Quantity]]*Orders[[#This Row],[Cost Price]]</f>
        <v>6819.04</v>
      </c>
      <c r="K1370">
        <f>Orders[[#This Row],[Revenue]]-Orders[[#This Row],[Expenses]]</f>
        <v>1203.3599999999997</v>
      </c>
      <c r="L1370" t="s">
        <v>2214</v>
      </c>
      <c r="M1370" t="str">
        <f>_xlfn.XLOOKUP(Orders[[#This Row],[CustomerID]],Customers[CustomerID],Customers[City])</f>
        <v>Florida</v>
      </c>
      <c r="N1370" t="str">
        <f>_xlfn.XLOOKUP(Orders[[#This Row],[CustomerID]],Customers[CustomerID],Customers[CustomerName])</f>
        <v>Amina Obi</v>
      </c>
      <c r="O1370" t="str">
        <f>_xlfn.XLOOKUP(Orders[[#This Row],[CustomerID]],Customers[CustomerID],Customers[Gender])</f>
        <v>Female</v>
      </c>
      <c r="P1370">
        <f>_xlfn.XLOOKUP(Orders[[#This Row],[CustomerID]],Customers[CustomerID],Customers[CustomerAge])</f>
        <v>19</v>
      </c>
      <c r="Q1370" t="str">
        <f>IF(Orders[[#This Row],[Age]]&gt;=35,"older","young")</f>
        <v>young</v>
      </c>
      <c r="R1370" t="str">
        <f>_xlfn.XLOOKUP(Orders[[#This Row],[ProductID]],Products[ProductID],Products[ProductName])</f>
        <v>NOSE RINGS</v>
      </c>
      <c r="S1370" t="str">
        <f>_xlfn.XLOOKUP(Orders[[#This Row],[ProductID]],Products!A:A,Products!C:C)</f>
        <v>Accessories</v>
      </c>
    </row>
    <row r="1371" spans="1:19" x14ac:dyDescent="0.2">
      <c r="A1371" s="4" t="s">
        <v>1560</v>
      </c>
      <c r="B1371" s="5">
        <v>45949</v>
      </c>
      <c r="C1371" s="15">
        <f>WEEKNUM(Orders[[#This Row],[OrderDate]])</f>
        <v>43</v>
      </c>
      <c r="D1371" s="4" t="s">
        <v>113</v>
      </c>
      <c r="E1371" s="4" t="s">
        <v>37</v>
      </c>
      <c r="F1371" s="4">
        <v>1</v>
      </c>
      <c r="G1371" s="4">
        <v>9293.7999999999993</v>
      </c>
      <c r="H1371">
        <v>7899.73</v>
      </c>
      <c r="I1371">
        <f>Orders[[#This Row],[Quantity]]*Orders[[#This Row],[Selling Price]]</f>
        <v>9293.7999999999993</v>
      </c>
      <c r="J1371">
        <f>Orders[[#This Row],[Quantity]]*Orders[[#This Row],[Cost Price]]</f>
        <v>7899.73</v>
      </c>
      <c r="K1371">
        <f>Orders[[#This Row],[Revenue]]-Orders[[#This Row],[Expenses]]</f>
        <v>1394.0699999999997</v>
      </c>
      <c r="L1371" t="s">
        <v>2212</v>
      </c>
      <c r="M1371" t="str">
        <f>_xlfn.XLOOKUP(Orders[[#This Row],[CustomerID]],Customers[CustomerID],Customers[City])</f>
        <v>Texas</v>
      </c>
      <c r="N1371" t="str">
        <f>_xlfn.XLOOKUP(Orders[[#This Row],[CustomerID]],Customers[CustomerID],Customers[CustomerName])</f>
        <v>Uche Igwe</v>
      </c>
      <c r="O1371" t="str">
        <f>_xlfn.XLOOKUP(Orders[[#This Row],[CustomerID]],Customers[CustomerID],Customers[Gender])</f>
        <v>Male</v>
      </c>
      <c r="P1371">
        <f>_xlfn.XLOOKUP(Orders[[#This Row],[CustomerID]],Customers[CustomerID],Customers[CustomerAge])</f>
        <v>35</v>
      </c>
      <c r="Q1371" t="str">
        <f>IF(Orders[[#This Row],[Age]]&gt;=35,"older","young")</f>
        <v>older</v>
      </c>
      <c r="R1371" t="str">
        <f>_xlfn.XLOOKUP(Orders[[#This Row],[ProductID]],Products[ProductID],Products[ProductName])</f>
        <v>IRON</v>
      </c>
      <c r="S1371" t="str">
        <f>_xlfn.XLOOKUP(Orders[[#This Row],[ProductID]],Products!A:A,Products!C:C)</f>
        <v>Electronics</v>
      </c>
    </row>
    <row r="1372" spans="1:19" x14ac:dyDescent="0.2">
      <c r="A1372" s="4" t="s">
        <v>1561</v>
      </c>
      <c r="B1372" s="5">
        <v>45991</v>
      </c>
      <c r="C1372" s="15">
        <f>WEEKNUM(Orders[[#This Row],[OrderDate]])</f>
        <v>49</v>
      </c>
      <c r="D1372" s="4" t="s">
        <v>116</v>
      </c>
      <c r="E1372" s="4" t="s">
        <v>151</v>
      </c>
      <c r="F1372" s="4">
        <v>8</v>
      </c>
      <c r="G1372" s="4">
        <v>10552.9</v>
      </c>
      <c r="H1372">
        <v>8969.9650000000001</v>
      </c>
      <c r="I1372">
        <f>Orders[[#This Row],[Quantity]]*Orders[[#This Row],[Selling Price]]</f>
        <v>84423.2</v>
      </c>
      <c r="J1372">
        <f>Orders[[#This Row],[Quantity]]*Orders[[#This Row],[Cost Price]]</f>
        <v>71759.72</v>
      </c>
      <c r="K1372">
        <f>Orders[[#This Row],[Revenue]]-Orders[[#This Row],[Expenses]]</f>
        <v>12663.479999999996</v>
      </c>
      <c r="L1372" t="s">
        <v>2194</v>
      </c>
      <c r="M1372" t="str">
        <f>_xlfn.XLOOKUP(Orders[[#This Row],[CustomerID]],Customers[CustomerID],Customers[City])</f>
        <v>Texas</v>
      </c>
      <c r="N1372" t="str">
        <f>_xlfn.XLOOKUP(Orders[[#This Row],[CustomerID]],Customers[CustomerID],Customers[CustomerName])</f>
        <v>Uche Bello</v>
      </c>
      <c r="O1372" t="str">
        <f>_xlfn.XLOOKUP(Orders[[#This Row],[CustomerID]],Customers[CustomerID],Customers[Gender])</f>
        <v>Male</v>
      </c>
      <c r="P1372">
        <f>_xlfn.XLOOKUP(Orders[[#This Row],[CustomerID]],Customers[CustomerID],Customers[CustomerAge])</f>
        <v>21</v>
      </c>
      <c r="Q1372" t="str">
        <f>IF(Orders[[#This Row],[Age]]&gt;=35,"older","young")</f>
        <v>young</v>
      </c>
      <c r="R1372" t="str">
        <f>_xlfn.XLOOKUP(Orders[[#This Row],[ProductID]],Products[ProductID],Products[ProductName])</f>
        <v>CHECKERS</v>
      </c>
      <c r="S1372" t="str">
        <f>_xlfn.XLOOKUP(Orders[[#This Row],[ProductID]],Products!A:A,Products!C:C)</f>
        <v>Games</v>
      </c>
    </row>
    <row r="1373" spans="1:19" x14ac:dyDescent="0.2">
      <c r="A1373" s="4" t="s">
        <v>1562</v>
      </c>
      <c r="B1373" s="5">
        <v>45946</v>
      </c>
      <c r="C1373" s="15">
        <f>WEEKNUM(Orders[[#This Row],[OrderDate]])</f>
        <v>42</v>
      </c>
      <c r="D1373" s="4" t="s">
        <v>39</v>
      </c>
      <c r="E1373" s="4" t="s">
        <v>353</v>
      </c>
      <c r="F1373" s="4">
        <v>4</v>
      </c>
      <c r="G1373" s="4">
        <v>1429</v>
      </c>
      <c r="H1373">
        <v>1214.6500000000001</v>
      </c>
      <c r="I1373">
        <f>Orders[[#This Row],[Quantity]]*Orders[[#This Row],[Selling Price]]</f>
        <v>5716</v>
      </c>
      <c r="J1373">
        <f>Orders[[#This Row],[Quantity]]*Orders[[#This Row],[Cost Price]]</f>
        <v>4858.6000000000004</v>
      </c>
      <c r="K1373">
        <f>Orders[[#This Row],[Revenue]]-Orders[[#This Row],[Expenses]]</f>
        <v>857.39999999999964</v>
      </c>
      <c r="L1373" t="s">
        <v>2207</v>
      </c>
      <c r="M1373" t="str">
        <f>_xlfn.XLOOKUP(Orders[[#This Row],[CustomerID]],Customers[CustomerID],Customers[City])</f>
        <v>Florida</v>
      </c>
      <c r="N1373" t="str">
        <f>_xlfn.XLOOKUP(Orders[[#This Row],[CustomerID]],Customers[CustomerID],Customers[CustomerName])</f>
        <v>Efe Adeyemi</v>
      </c>
      <c r="O1373" t="str">
        <f>_xlfn.XLOOKUP(Orders[[#This Row],[CustomerID]],Customers[CustomerID],Customers[Gender])</f>
        <v>Female</v>
      </c>
      <c r="P1373">
        <f>_xlfn.XLOOKUP(Orders[[#This Row],[CustomerID]],Customers[CustomerID],Customers[CustomerAge])</f>
        <v>20</v>
      </c>
      <c r="Q1373" t="str">
        <f>IF(Orders[[#This Row],[Age]]&gt;=35,"older","young")</f>
        <v>young</v>
      </c>
      <c r="R1373" t="str">
        <f>_xlfn.XLOOKUP(Orders[[#This Row],[ProductID]],Products[ProductID],Products[ProductName])</f>
        <v>SILVER EARRINGS AND NECKLACES</v>
      </c>
      <c r="S1373" t="str">
        <f>_xlfn.XLOOKUP(Orders[[#This Row],[ProductID]],Products!A:A,Products!C:C)</f>
        <v>Accessories</v>
      </c>
    </row>
    <row r="1374" spans="1:19" x14ac:dyDescent="0.2">
      <c r="A1374" s="4" t="s">
        <v>1563</v>
      </c>
      <c r="B1374" s="5">
        <v>46007</v>
      </c>
      <c r="C1374" s="15">
        <f>WEEKNUM(Orders[[#This Row],[OrderDate]])</f>
        <v>51</v>
      </c>
      <c r="D1374" s="4" t="s">
        <v>468</v>
      </c>
      <c r="E1374" s="4" t="s">
        <v>20</v>
      </c>
      <c r="F1374" s="4">
        <v>10</v>
      </c>
      <c r="G1374" s="4">
        <v>13957.7</v>
      </c>
      <c r="H1374">
        <v>11864.045</v>
      </c>
      <c r="I1374">
        <f>Orders[[#This Row],[Quantity]]*Orders[[#This Row],[Selling Price]]</f>
        <v>139577</v>
      </c>
      <c r="J1374">
        <f>Orders[[#This Row],[Quantity]]*Orders[[#This Row],[Cost Price]]</f>
        <v>118640.45</v>
      </c>
      <c r="K1374">
        <f>Orders[[#This Row],[Revenue]]-Orders[[#This Row],[Expenses]]</f>
        <v>20936.550000000003</v>
      </c>
      <c r="L1374" t="s">
        <v>2216</v>
      </c>
      <c r="M1374" t="str">
        <f>_xlfn.XLOOKUP(Orders[[#This Row],[CustomerID]],Customers[CustomerID],Customers[City])</f>
        <v>California</v>
      </c>
      <c r="N1374" t="str">
        <f>_xlfn.XLOOKUP(Orders[[#This Row],[CustomerID]],Customers[CustomerID],Customers[CustomerName])</f>
        <v>Chioma Adeyemi</v>
      </c>
      <c r="O1374" t="str">
        <f>_xlfn.XLOOKUP(Orders[[#This Row],[CustomerID]],Customers[CustomerID],Customers[Gender])</f>
        <v>Female</v>
      </c>
      <c r="P1374">
        <f>_xlfn.XLOOKUP(Orders[[#This Row],[CustomerID]],Customers[CustomerID],Customers[CustomerAge])</f>
        <v>23</v>
      </c>
      <c r="Q1374" t="str">
        <f>IF(Orders[[#This Row],[Age]]&gt;=35,"older","young")</f>
        <v>young</v>
      </c>
      <c r="R1374" t="str">
        <f>_xlfn.XLOOKUP(Orders[[#This Row],[ProductID]],Products[ProductID],Products[ProductName])</f>
        <v>GYM BAG</v>
      </c>
      <c r="S1374" t="str">
        <f>_xlfn.XLOOKUP(Orders[[#This Row],[ProductID]],Products!A:A,Products!C:C)</f>
        <v>Gym</v>
      </c>
    </row>
    <row r="1375" spans="1:19" x14ac:dyDescent="0.2">
      <c r="A1375" s="4" t="s">
        <v>1564</v>
      </c>
      <c r="B1375" s="5">
        <v>45996</v>
      </c>
      <c r="C1375" s="15">
        <f>WEEKNUM(Orders[[#This Row],[OrderDate]])</f>
        <v>49</v>
      </c>
      <c r="D1375" s="4" t="s">
        <v>78</v>
      </c>
      <c r="E1375" s="4" t="s">
        <v>15</v>
      </c>
      <c r="F1375" s="4">
        <v>8</v>
      </c>
      <c r="G1375" s="4">
        <v>18453.5</v>
      </c>
      <c r="H1375">
        <v>15685.475</v>
      </c>
      <c r="I1375">
        <f>Orders[[#This Row],[Quantity]]*Orders[[#This Row],[Selling Price]]</f>
        <v>147628</v>
      </c>
      <c r="J1375">
        <f>Orders[[#This Row],[Quantity]]*Orders[[#This Row],[Cost Price]]</f>
        <v>125483.8</v>
      </c>
      <c r="K1375">
        <f>Orders[[#This Row],[Revenue]]-Orders[[#This Row],[Expenses]]</f>
        <v>22144.199999999997</v>
      </c>
      <c r="L1375" t="s">
        <v>2218</v>
      </c>
      <c r="M1375" t="str">
        <f>_xlfn.XLOOKUP(Orders[[#This Row],[CustomerID]],Customers[CustomerID],Customers[City])</f>
        <v>Washington</v>
      </c>
      <c r="N1375" t="str">
        <f>_xlfn.XLOOKUP(Orders[[#This Row],[CustomerID]],Customers[CustomerID],Customers[CustomerName])</f>
        <v>Chinedu Obi</v>
      </c>
      <c r="O1375" t="str">
        <f>_xlfn.XLOOKUP(Orders[[#This Row],[CustomerID]],Customers[CustomerID],Customers[Gender])</f>
        <v>Male</v>
      </c>
      <c r="P1375">
        <f>_xlfn.XLOOKUP(Orders[[#This Row],[CustomerID]],Customers[CustomerID],Customers[CustomerAge])</f>
        <v>38</v>
      </c>
      <c r="Q1375" t="str">
        <f>IF(Orders[[#This Row],[Age]]&gt;=35,"older","young")</f>
        <v>older</v>
      </c>
      <c r="R1375" t="str">
        <f>_xlfn.XLOOKUP(Orders[[#This Row],[ProductID]],Products[ProductID],Products[ProductName])</f>
        <v>MONOPOLY</v>
      </c>
      <c r="S1375" t="str">
        <f>_xlfn.XLOOKUP(Orders[[#This Row],[ProductID]],Products!A:A,Products!C:C)</f>
        <v>Games</v>
      </c>
    </row>
    <row r="1376" spans="1:19" x14ac:dyDescent="0.2">
      <c r="A1376" s="4" t="s">
        <v>1565</v>
      </c>
      <c r="B1376" s="5">
        <v>45972</v>
      </c>
      <c r="C1376" s="15">
        <f>WEEKNUM(Orders[[#This Row],[OrderDate]])</f>
        <v>46</v>
      </c>
      <c r="D1376" s="4" t="s">
        <v>174</v>
      </c>
      <c r="E1376" s="4" t="s">
        <v>125</v>
      </c>
      <c r="F1376" s="4">
        <v>1</v>
      </c>
      <c r="G1376" s="4">
        <v>6854.0999999999995</v>
      </c>
      <c r="H1376">
        <v>5825.9849999999997</v>
      </c>
      <c r="I1376">
        <f>Orders[[#This Row],[Quantity]]*Orders[[#This Row],[Selling Price]]</f>
        <v>6854.0999999999995</v>
      </c>
      <c r="J1376">
        <f>Orders[[#This Row],[Quantity]]*Orders[[#This Row],[Cost Price]]</f>
        <v>5825.9849999999997</v>
      </c>
      <c r="K1376">
        <f>Orders[[#This Row],[Revenue]]-Orders[[#This Row],[Expenses]]</f>
        <v>1028.1149999999998</v>
      </c>
      <c r="L1376" t="s">
        <v>2208</v>
      </c>
      <c r="M1376" t="str">
        <f>_xlfn.XLOOKUP(Orders[[#This Row],[CustomerID]],Customers[CustomerID],Customers[City])</f>
        <v>California</v>
      </c>
      <c r="N1376" t="str">
        <f>_xlfn.XLOOKUP(Orders[[#This Row],[CustomerID]],Customers[CustomerID],Customers[CustomerName])</f>
        <v>Zainab Obi</v>
      </c>
      <c r="O1376" t="str">
        <f>_xlfn.XLOOKUP(Orders[[#This Row],[CustomerID]],Customers[CustomerID],Customers[Gender])</f>
        <v>Female</v>
      </c>
      <c r="P1376">
        <f>_xlfn.XLOOKUP(Orders[[#This Row],[CustomerID]],Customers[CustomerID],Customers[CustomerAge])</f>
        <v>18</v>
      </c>
      <c r="Q1376" t="str">
        <f>IF(Orders[[#This Row],[Age]]&gt;=35,"older","young")</f>
        <v>young</v>
      </c>
      <c r="R1376" t="str">
        <f>_xlfn.XLOOKUP(Orders[[#This Row],[ProductID]],Products[ProductID],Products[ProductName])</f>
        <v>EARRINGS</v>
      </c>
      <c r="S1376" t="str">
        <f>_xlfn.XLOOKUP(Orders[[#This Row],[ProductID]],Products!A:A,Products!C:C)</f>
        <v>Accessories</v>
      </c>
    </row>
    <row r="1377" spans="1:19" x14ac:dyDescent="0.2">
      <c r="A1377" s="4" t="s">
        <v>1566</v>
      </c>
      <c r="B1377" s="5">
        <v>45982</v>
      </c>
      <c r="C1377" s="15">
        <f>WEEKNUM(Orders[[#This Row],[OrderDate]])</f>
        <v>47</v>
      </c>
      <c r="D1377" s="4" t="s">
        <v>293</v>
      </c>
      <c r="E1377" s="4" t="s">
        <v>76</v>
      </c>
      <c r="F1377" s="4">
        <v>1</v>
      </c>
      <c r="G1377" s="4">
        <v>1360.1</v>
      </c>
      <c r="H1377">
        <v>1156.085</v>
      </c>
      <c r="I1377">
        <f>Orders[[#This Row],[Quantity]]*Orders[[#This Row],[Selling Price]]</f>
        <v>1360.1</v>
      </c>
      <c r="J1377">
        <f>Orders[[#This Row],[Quantity]]*Orders[[#This Row],[Cost Price]]</f>
        <v>1156.085</v>
      </c>
      <c r="K1377">
        <f>Orders[[#This Row],[Revenue]]-Orders[[#This Row],[Expenses]]</f>
        <v>204.01499999999987</v>
      </c>
      <c r="L1377" t="s">
        <v>2199</v>
      </c>
      <c r="M1377" t="str">
        <f>_xlfn.XLOOKUP(Orders[[#This Row],[CustomerID]],Customers[CustomerID],Customers[City])</f>
        <v>Florida</v>
      </c>
      <c r="N1377" t="str">
        <f>_xlfn.XLOOKUP(Orders[[#This Row],[CustomerID]],Customers[CustomerID],Customers[CustomerName])</f>
        <v>Tunde Eze</v>
      </c>
      <c r="O1377" t="str">
        <f>_xlfn.XLOOKUP(Orders[[#This Row],[CustomerID]],Customers[CustomerID],Customers[Gender])</f>
        <v>Male</v>
      </c>
      <c r="P1377">
        <f>_xlfn.XLOOKUP(Orders[[#This Row],[CustomerID]],Customers[CustomerID],Customers[CustomerAge])</f>
        <v>46</v>
      </c>
      <c r="Q1377" t="str">
        <f>IF(Orders[[#This Row],[Age]]&gt;=35,"older","young")</f>
        <v>older</v>
      </c>
      <c r="R1377" t="str">
        <f>_xlfn.XLOOKUP(Orders[[#This Row],[ProductID]],Products[ProductID],Products[ProductName])</f>
        <v>BLENDER</v>
      </c>
      <c r="S1377" t="str">
        <f>_xlfn.XLOOKUP(Orders[[#This Row],[ProductID]],Products!A:A,Products!C:C)</f>
        <v>Electronics</v>
      </c>
    </row>
    <row r="1378" spans="1:19" x14ac:dyDescent="0.2">
      <c r="A1378" s="4" t="s">
        <v>1567</v>
      </c>
      <c r="B1378" s="5">
        <v>45952</v>
      </c>
      <c r="C1378" s="15">
        <f>WEEKNUM(Orders[[#This Row],[OrderDate]])</f>
        <v>43</v>
      </c>
      <c r="D1378" s="4" t="s">
        <v>227</v>
      </c>
      <c r="E1378" s="4" t="s">
        <v>168</v>
      </c>
      <c r="F1378" s="4">
        <v>4</v>
      </c>
      <c r="G1378" s="4">
        <v>7763.9</v>
      </c>
      <c r="H1378">
        <v>6599.3149999999996</v>
      </c>
      <c r="I1378">
        <f>Orders[[#This Row],[Quantity]]*Orders[[#This Row],[Selling Price]]</f>
        <v>31055.599999999999</v>
      </c>
      <c r="J1378">
        <f>Orders[[#This Row],[Quantity]]*Orders[[#This Row],[Cost Price]]</f>
        <v>26397.26</v>
      </c>
      <c r="K1378">
        <f>Orders[[#This Row],[Revenue]]-Orders[[#This Row],[Expenses]]</f>
        <v>4658.34</v>
      </c>
      <c r="L1378" t="s">
        <v>2197</v>
      </c>
      <c r="M1378" t="str">
        <f>_xlfn.XLOOKUP(Orders[[#This Row],[CustomerID]],Customers[CustomerID],Customers[City])</f>
        <v>Washington</v>
      </c>
      <c r="N1378" t="str">
        <f>_xlfn.XLOOKUP(Orders[[#This Row],[CustomerID]],Customers[CustomerID],Customers[CustomerName])</f>
        <v>Emmanuel Victor</v>
      </c>
      <c r="O1378" t="str">
        <f>_xlfn.XLOOKUP(Orders[[#This Row],[CustomerID]],Customers[CustomerID],Customers[Gender])</f>
        <v>Male</v>
      </c>
      <c r="P1378">
        <f>_xlfn.XLOOKUP(Orders[[#This Row],[CustomerID]],Customers[CustomerID],Customers[CustomerAge])</f>
        <v>35</v>
      </c>
      <c r="Q1378" t="str">
        <f>IF(Orders[[#This Row],[Age]]&gt;=35,"older","young")</f>
        <v>older</v>
      </c>
      <c r="R1378" t="str">
        <f>_xlfn.XLOOKUP(Orders[[#This Row],[ProductID]],Products[ProductID],Products[ProductName])</f>
        <v>DUMB BELLS</v>
      </c>
      <c r="S1378" t="str">
        <f>_xlfn.XLOOKUP(Orders[[#This Row],[ProductID]],Products!A:A,Products!C:C)</f>
        <v>Gym</v>
      </c>
    </row>
    <row r="1379" spans="1:19" x14ac:dyDescent="0.2">
      <c r="A1379" s="4" t="s">
        <v>1568</v>
      </c>
      <c r="B1379" s="5">
        <v>45997</v>
      </c>
      <c r="C1379" s="15">
        <f>WEEKNUM(Orders[[#This Row],[OrderDate]])</f>
        <v>49</v>
      </c>
      <c r="D1379" s="4" t="s">
        <v>252</v>
      </c>
      <c r="E1379" s="4" t="s">
        <v>60</v>
      </c>
      <c r="F1379" s="4">
        <v>1</v>
      </c>
      <c r="G1379" s="4">
        <v>18205.2</v>
      </c>
      <c r="H1379">
        <v>15474.42</v>
      </c>
      <c r="I1379">
        <f>Orders[[#This Row],[Quantity]]*Orders[[#This Row],[Selling Price]]</f>
        <v>18205.2</v>
      </c>
      <c r="J1379">
        <f>Orders[[#This Row],[Quantity]]*Orders[[#This Row],[Cost Price]]</f>
        <v>15474.42</v>
      </c>
      <c r="K1379">
        <f>Orders[[#This Row],[Revenue]]-Orders[[#This Row],[Expenses]]</f>
        <v>2730.7800000000007</v>
      </c>
      <c r="L1379" t="s">
        <v>2201</v>
      </c>
      <c r="M1379" t="str">
        <f>_xlfn.XLOOKUP(Orders[[#This Row],[CustomerID]],Customers[CustomerID],Customers[City])</f>
        <v>Texas</v>
      </c>
      <c r="N1379" t="str">
        <f>_xlfn.XLOOKUP(Orders[[#This Row],[CustomerID]],Customers[CustomerID],Customers[CustomerName])</f>
        <v>Chioma Adeyemi</v>
      </c>
      <c r="O1379" t="str">
        <f>_xlfn.XLOOKUP(Orders[[#This Row],[CustomerID]],Customers[CustomerID],Customers[Gender])</f>
        <v>Female</v>
      </c>
      <c r="P1379">
        <f>_xlfn.XLOOKUP(Orders[[#This Row],[CustomerID]],Customers[CustomerID],Customers[CustomerAge])</f>
        <v>20</v>
      </c>
      <c r="Q1379" t="str">
        <f>IF(Orders[[#This Row],[Age]]&gt;=35,"older","young")</f>
        <v>young</v>
      </c>
      <c r="R1379" t="str">
        <f>_xlfn.XLOOKUP(Orders[[#This Row],[ProductID]],Products[ProductID],Products[ProductName])</f>
        <v>SILVER RINGS</v>
      </c>
      <c r="S1379" t="str">
        <f>_xlfn.XLOOKUP(Orders[[#This Row],[ProductID]],Products!A:A,Products!C:C)</f>
        <v>Accessories</v>
      </c>
    </row>
    <row r="1380" spans="1:19" x14ac:dyDescent="0.2">
      <c r="A1380" s="4" t="s">
        <v>1569</v>
      </c>
      <c r="B1380" s="5">
        <v>45993</v>
      </c>
      <c r="C1380" s="15">
        <f>WEEKNUM(Orders[[#This Row],[OrderDate]])</f>
        <v>49</v>
      </c>
      <c r="D1380" s="4" t="s">
        <v>43</v>
      </c>
      <c r="E1380" s="4" t="s">
        <v>37</v>
      </c>
      <c r="F1380" s="4">
        <v>7</v>
      </c>
      <c r="G1380" s="4">
        <v>18633.2</v>
      </c>
      <c r="H1380">
        <v>15838.220000000001</v>
      </c>
      <c r="I1380">
        <f>Orders[[#This Row],[Quantity]]*Orders[[#This Row],[Selling Price]]</f>
        <v>130432.40000000001</v>
      </c>
      <c r="J1380">
        <f>Orders[[#This Row],[Quantity]]*Orders[[#This Row],[Cost Price]]</f>
        <v>110867.54000000001</v>
      </c>
      <c r="K1380">
        <f>Orders[[#This Row],[Revenue]]-Orders[[#This Row],[Expenses]]</f>
        <v>19564.86</v>
      </c>
      <c r="L1380" t="s">
        <v>2209</v>
      </c>
      <c r="M1380" t="str">
        <f>_xlfn.XLOOKUP(Orders[[#This Row],[CustomerID]],Customers[CustomerID],Customers[City])</f>
        <v>Georgia</v>
      </c>
      <c r="N1380" t="str">
        <f>_xlfn.XLOOKUP(Orders[[#This Row],[CustomerID]],Customers[CustomerID],Customers[CustomerName])</f>
        <v>Mustafa Danladi</v>
      </c>
      <c r="O1380" t="str">
        <f>_xlfn.XLOOKUP(Orders[[#This Row],[CustomerID]],Customers[CustomerID],Customers[Gender])</f>
        <v>Male</v>
      </c>
      <c r="P1380">
        <f>_xlfn.XLOOKUP(Orders[[#This Row],[CustomerID]],Customers[CustomerID],Customers[CustomerAge])</f>
        <v>49</v>
      </c>
      <c r="Q1380" t="str">
        <f>IF(Orders[[#This Row],[Age]]&gt;=35,"older","young")</f>
        <v>older</v>
      </c>
      <c r="R1380" t="str">
        <f>_xlfn.XLOOKUP(Orders[[#This Row],[ProductID]],Products[ProductID],Products[ProductName])</f>
        <v>IRON</v>
      </c>
      <c r="S1380" t="str">
        <f>_xlfn.XLOOKUP(Orders[[#This Row],[ProductID]],Products!A:A,Products!C:C)</f>
        <v>Electronics</v>
      </c>
    </row>
    <row r="1381" spans="1:19" x14ac:dyDescent="0.2">
      <c r="A1381" s="4" t="s">
        <v>1570</v>
      </c>
      <c r="B1381" s="5">
        <v>45977</v>
      </c>
      <c r="C1381" s="15">
        <f>WEEKNUM(Orders[[#This Row],[OrderDate]])</f>
        <v>47</v>
      </c>
      <c r="D1381" s="4" t="s">
        <v>176</v>
      </c>
      <c r="E1381" s="4" t="s">
        <v>120</v>
      </c>
      <c r="F1381" s="4">
        <v>8</v>
      </c>
      <c r="G1381" s="4">
        <v>19792.599999999999</v>
      </c>
      <c r="H1381">
        <v>16823.71</v>
      </c>
      <c r="I1381">
        <f>Orders[[#This Row],[Quantity]]*Orders[[#This Row],[Selling Price]]</f>
        <v>158340.79999999999</v>
      </c>
      <c r="J1381">
        <f>Orders[[#This Row],[Quantity]]*Orders[[#This Row],[Cost Price]]</f>
        <v>134589.68</v>
      </c>
      <c r="K1381">
        <f>Orders[[#This Row],[Revenue]]-Orders[[#This Row],[Expenses]]</f>
        <v>23751.119999999995</v>
      </c>
      <c r="L1381" t="s">
        <v>2199</v>
      </c>
      <c r="M1381" t="str">
        <f>_xlfn.XLOOKUP(Orders[[#This Row],[CustomerID]],Customers[CustomerID],Customers[City])</f>
        <v>Florida</v>
      </c>
      <c r="N1381" t="str">
        <f>_xlfn.XLOOKUP(Orders[[#This Row],[CustomerID]],Customers[CustomerID],Customers[CustomerName])</f>
        <v>Okon Eze</v>
      </c>
      <c r="O1381" t="str">
        <f>_xlfn.XLOOKUP(Orders[[#This Row],[CustomerID]],Customers[CustomerID],Customers[Gender])</f>
        <v>Male</v>
      </c>
      <c r="P1381">
        <f>_xlfn.XLOOKUP(Orders[[#This Row],[CustomerID]],Customers[CustomerID],Customers[CustomerAge])</f>
        <v>26</v>
      </c>
      <c r="Q1381" t="str">
        <f>IF(Orders[[#This Row],[Age]]&gt;=35,"older","young")</f>
        <v>young</v>
      </c>
      <c r="R1381" t="str">
        <f>_xlfn.XLOOKUP(Orders[[#This Row],[ProductID]],Products[ProductID],Products[ProductName])</f>
        <v>CHESS</v>
      </c>
      <c r="S1381" t="str">
        <f>_xlfn.XLOOKUP(Orders[[#This Row],[ProductID]],Products!A:A,Products!C:C)</f>
        <v>Games</v>
      </c>
    </row>
    <row r="1382" spans="1:19" x14ac:dyDescent="0.2">
      <c r="A1382" s="4" t="s">
        <v>1571</v>
      </c>
      <c r="B1382" s="5">
        <v>45970</v>
      </c>
      <c r="C1382" s="15">
        <f>WEEKNUM(Orders[[#This Row],[OrderDate]])</f>
        <v>46</v>
      </c>
      <c r="D1382" s="4" t="s">
        <v>218</v>
      </c>
      <c r="E1382" s="4" t="s">
        <v>253</v>
      </c>
      <c r="F1382" s="4">
        <v>5</v>
      </c>
      <c r="G1382" s="4">
        <v>6117.5</v>
      </c>
      <c r="H1382">
        <v>5199.875</v>
      </c>
      <c r="I1382">
        <f>Orders[[#This Row],[Quantity]]*Orders[[#This Row],[Selling Price]]</f>
        <v>30587.5</v>
      </c>
      <c r="J1382">
        <f>Orders[[#This Row],[Quantity]]*Orders[[#This Row],[Cost Price]]</f>
        <v>25999.375</v>
      </c>
      <c r="K1382">
        <f>Orders[[#This Row],[Revenue]]-Orders[[#This Row],[Expenses]]</f>
        <v>4588.125</v>
      </c>
      <c r="L1382" t="s">
        <v>2206</v>
      </c>
      <c r="M1382" t="str">
        <f>_xlfn.XLOOKUP(Orders[[#This Row],[CustomerID]],Customers[CustomerID],Customers[City])</f>
        <v>Florida</v>
      </c>
      <c r="N1382" t="str">
        <f>_xlfn.XLOOKUP(Orders[[#This Row],[CustomerID]],Customers[CustomerID],Customers[CustomerName])</f>
        <v>Temi Danladi</v>
      </c>
      <c r="O1382" t="str">
        <f>_xlfn.XLOOKUP(Orders[[#This Row],[CustomerID]],Customers[CustomerID],Customers[Gender])</f>
        <v>Female</v>
      </c>
      <c r="P1382">
        <f>_xlfn.XLOOKUP(Orders[[#This Row],[CustomerID]],Customers[CustomerID],Customers[CustomerAge])</f>
        <v>48</v>
      </c>
      <c r="Q1382" t="str">
        <f>IF(Orders[[#This Row],[Age]]&gt;=35,"older","young")</f>
        <v>older</v>
      </c>
      <c r="R1382" t="str">
        <f>_xlfn.XLOOKUP(Orders[[#This Row],[ProductID]],Products[ProductID],Products[ProductName])</f>
        <v>NOSE RINGS</v>
      </c>
      <c r="S1382" t="str">
        <f>_xlfn.XLOOKUP(Orders[[#This Row],[ProductID]],Products!A:A,Products!C:C)</f>
        <v>Accessories</v>
      </c>
    </row>
    <row r="1383" spans="1:19" x14ac:dyDescent="0.2">
      <c r="A1383" s="4" t="s">
        <v>1572</v>
      </c>
      <c r="B1383" s="5">
        <v>46012</v>
      </c>
      <c r="C1383" s="15">
        <f>WEEKNUM(Orders[[#This Row],[OrderDate]])</f>
        <v>52</v>
      </c>
      <c r="D1383" s="4" t="s">
        <v>39</v>
      </c>
      <c r="E1383" s="4" t="s">
        <v>208</v>
      </c>
      <c r="F1383" s="4">
        <v>4</v>
      </c>
      <c r="G1383" s="4">
        <v>2512.7000000000003</v>
      </c>
      <c r="H1383">
        <v>2135.7950000000001</v>
      </c>
      <c r="I1383">
        <f>Orders[[#This Row],[Quantity]]*Orders[[#This Row],[Selling Price]]</f>
        <v>10050.800000000001</v>
      </c>
      <c r="J1383">
        <f>Orders[[#This Row],[Quantity]]*Orders[[#This Row],[Cost Price]]</f>
        <v>8543.18</v>
      </c>
      <c r="K1383">
        <f>Orders[[#This Row],[Revenue]]-Orders[[#This Row],[Expenses]]</f>
        <v>1507.6200000000008</v>
      </c>
      <c r="L1383" t="s">
        <v>2218</v>
      </c>
      <c r="M1383" t="str">
        <f>_xlfn.XLOOKUP(Orders[[#This Row],[CustomerID]],Customers[CustomerID],Customers[City])</f>
        <v>Florida</v>
      </c>
      <c r="N1383" t="str">
        <f>_xlfn.XLOOKUP(Orders[[#This Row],[CustomerID]],Customers[CustomerID],Customers[CustomerName])</f>
        <v>Efe Adeyemi</v>
      </c>
      <c r="O1383" t="str">
        <f>_xlfn.XLOOKUP(Orders[[#This Row],[CustomerID]],Customers[CustomerID],Customers[Gender])</f>
        <v>Female</v>
      </c>
      <c r="P1383">
        <f>_xlfn.XLOOKUP(Orders[[#This Row],[CustomerID]],Customers[CustomerID],Customers[CustomerAge])</f>
        <v>20</v>
      </c>
      <c r="Q1383" t="str">
        <f>IF(Orders[[#This Row],[Age]]&gt;=35,"older","young")</f>
        <v>young</v>
      </c>
      <c r="R1383" t="str">
        <f>_xlfn.XLOOKUP(Orders[[#This Row],[ProductID]],Products[ProductID],Products[ProductName])</f>
        <v>SKIPPING ROPE</v>
      </c>
      <c r="S1383" t="str">
        <f>_xlfn.XLOOKUP(Orders[[#This Row],[ProductID]],Products!A:A,Products!C:C)</f>
        <v>Sports</v>
      </c>
    </row>
    <row r="1384" spans="1:19" x14ac:dyDescent="0.2">
      <c r="A1384" s="4" t="s">
        <v>1573</v>
      </c>
      <c r="B1384" s="5">
        <v>45979</v>
      </c>
      <c r="C1384" s="15">
        <f>WEEKNUM(Orders[[#This Row],[OrderDate]])</f>
        <v>47</v>
      </c>
      <c r="D1384" s="4" t="s">
        <v>161</v>
      </c>
      <c r="E1384" s="4" t="s">
        <v>157</v>
      </c>
      <c r="F1384" s="4">
        <v>8</v>
      </c>
      <c r="G1384" s="4">
        <v>8401.6</v>
      </c>
      <c r="H1384">
        <v>7141.3600000000006</v>
      </c>
      <c r="I1384">
        <f>Orders[[#This Row],[Quantity]]*Orders[[#This Row],[Selling Price]]</f>
        <v>67212.800000000003</v>
      </c>
      <c r="J1384">
        <f>Orders[[#This Row],[Quantity]]*Orders[[#This Row],[Cost Price]]</f>
        <v>57130.880000000005</v>
      </c>
      <c r="K1384">
        <f>Orders[[#This Row],[Revenue]]-Orders[[#This Row],[Expenses]]</f>
        <v>10081.919999999998</v>
      </c>
      <c r="L1384" t="s">
        <v>2209</v>
      </c>
      <c r="M1384" t="str">
        <f>_xlfn.XLOOKUP(Orders[[#This Row],[CustomerID]],Customers[CustomerID],Customers[City])</f>
        <v>Georgia</v>
      </c>
      <c r="N1384" t="str">
        <f>_xlfn.XLOOKUP(Orders[[#This Row],[CustomerID]],Customers[CustomerID],Customers[CustomerName])</f>
        <v>Okon Adeyemi</v>
      </c>
      <c r="O1384" t="str">
        <f>_xlfn.XLOOKUP(Orders[[#This Row],[CustomerID]],Customers[CustomerID],Customers[Gender])</f>
        <v>Male</v>
      </c>
      <c r="P1384">
        <f>_xlfn.XLOOKUP(Orders[[#This Row],[CustomerID]],Customers[CustomerID],Customers[CustomerAge])</f>
        <v>31</v>
      </c>
      <c r="Q1384" t="str">
        <f>IF(Orders[[#This Row],[Age]]&gt;=35,"older","young")</f>
        <v>young</v>
      </c>
      <c r="R1384" t="str">
        <f>_xlfn.XLOOKUP(Orders[[#This Row],[ProductID]],Products[ProductID],Products[ProductName])</f>
        <v>FOOTBALL</v>
      </c>
      <c r="S1384" t="str">
        <f>_xlfn.XLOOKUP(Orders[[#This Row],[ProductID]],Products!A:A,Products!C:C)</f>
        <v>Sports</v>
      </c>
    </row>
    <row r="1385" spans="1:19" x14ac:dyDescent="0.2">
      <c r="A1385" s="4" t="s">
        <v>1574</v>
      </c>
      <c r="B1385" s="5">
        <v>45959</v>
      </c>
      <c r="C1385" s="15">
        <f>WEEKNUM(Orders[[#This Row],[OrderDate]])</f>
        <v>44</v>
      </c>
      <c r="D1385" s="4" t="s">
        <v>83</v>
      </c>
      <c r="E1385" s="4" t="s">
        <v>84</v>
      </c>
      <c r="F1385" s="4">
        <v>9</v>
      </c>
      <c r="G1385" s="4">
        <v>17700</v>
      </c>
      <c r="H1385">
        <v>15045</v>
      </c>
      <c r="I1385">
        <f>Orders[[#This Row],[Quantity]]*Orders[[#This Row],[Selling Price]]</f>
        <v>159300</v>
      </c>
      <c r="J1385">
        <f>Orders[[#This Row],[Quantity]]*Orders[[#This Row],[Cost Price]]</f>
        <v>135405</v>
      </c>
      <c r="K1385">
        <f>Orders[[#This Row],[Revenue]]-Orders[[#This Row],[Expenses]]</f>
        <v>23895</v>
      </c>
      <c r="L1385" t="s">
        <v>2216</v>
      </c>
      <c r="M1385" t="str">
        <f>_xlfn.XLOOKUP(Orders[[#This Row],[CustomerID]],Customers[CustomerID],Customers[City])</f>
        <v>Florida</v>
      </c>
      <c r="N1385" t="str">
        <f>_xlfn.XLOOKUP(Orders[[#This Row],[CustomerID]],Customers[CustomerID],Customers[CustomerName])</f>
        <v>Funke Danladi</v>
      </c>
      <c r="O1385" t="str">
        <f>_xlfn.XLOOKUP(Orders[[#This Row],[CustomerID]],Customers[CustomerID],Customers[Gender])</f>
        <v>Female</v>
      </c>
      <c r="P1385">
        <f>_xlfn.XLOOKUP(Orders[[#This Row],[CustomerID]],Customers[CustomerID],Customers[CustomerAge])</f>
        <v>26</v>
      </c>
      <c r="Q1385" t="str">
        <f>IF(Orders[[#This Row],[Age]]&gt;=35,"older","young")</f>
        <v>young</v>
      </c>
      <c r="R1385" t="str">
        <f>_xlfn.XLOOKUP(Orders[[#This Row],[ProductID]],Products[ProductID],Products[ProductName])</f>
        <v>GYM WEARS</v>
      </c>
      <c r="S1385" t="str">
        <f>_xlfn.XLOOKUP(Orders[[#This Row],[ProductID]],Products!A:A,Products!C:C)</f>
        <v>Clothing</v>
      </c>
    </row>
    <row r="1386" spans="1:19" x14ac:dyDescent="0.2">
      <c r="A1386" s="4" t="s">
        <v>1575</v>
      </c>
      <c r="B1386" s="5">
        <v>45948</v>
      </c>
      <c r="C1386" s="15">
        <f>WEEKNUM(Orders[[#This Row],[OrderDate]])</f>
        <v>42</v>
      </c>
      <c r="D1386" s="4" t="s">
        <v>314</v>
      </c>
      <c r="E1386" s="4" t="s">
        <v>125</v>
      </c>
      <c r="F1386" s="4">
        <v>8</v>
      </c>
      <c r="G1386" s="4">
        <v>12017.1</v>
      </c>
      <c r="H1386">
        <v>10214.535</v>
      </c>
      <c r="I1386">
        <f>Orders[[#This Row],[Quantity]]*Orders[[#This Row],[Selling Price]]</f>
        <v>96136.8</v>
      </c>
      <c r="J1386">
        <f>Orders[[#This Row],[Quantity]]*Orders[[#This Row],[Cost Price]]</f>
        <v>81716.28</v>
      </c>
      <c r="K1386">
        <f>Orders[[#This Row],[Revenue]]-Orders[[#This Row],[Expenses]]</f>
        <v>14420.520000000004</v>
      </c>
      <c r="L1386" t="s">
        <v>2216</v>
      </c>
      <c r="M1386" t="str">
        <f>_xlfn.XLOOKUP(Orders[[#This Row],[CustomerID]],Customers[CustomerID],Customers[City])</f>
        <v>Washington</v>
      </c>
      <c r="N1386" t="str">
        <f>_xlfn.XLOOKUP(Orders[[#This Row],[CustomerID]],Customers[CustomerID],Customers[CustomerName])</f>
        <v>Bisi Ojo</v>
      </c>
      <c r="O1386" t="str">
        <f>_xlfn.XLOOKUP(Orders[[#This Row],[CustomerID]],Customers[CustomerID],Customers[Gender])</f>
        <v>Female</v>
      </c>
      <c r="P1386">
        <f>_xlfn.XLOOKUP(Orders[[#This Row],[CustomerID]],Customers[CustomerID],Customers[CustomerAge])</f>
        <v>18</v>
      </c>
      <c r="Q1386" t="str">
        <f>IF(Orders[[#This Row],[Age]]&gt;=35,"older","young")</f>
        <v>young</v>
      </c>
      <c r="R1386" t="str">
        <f>_xlfn.XLOOKUP(Orders[[#This Row],[ProductID]],Products[ProductID],Products[ProductName])</f>
        <v>EARRINGS</v>
      </c>
      <c r="S1386" t="str">
        <f>_xlfn.XLOOKUP(Orders[[#This Row],[ProductID]],Products!A:A,Products!C:C)</f>
        <v>Accessories</v>
      </c>
    </row>
    <row r="1387" spans="1:19" x14ac:dyDescent="0.2">
      <c r="A1387" s="4" t="s">
        <v>1576</v>
      </c>
      <c r="B1387" s="5">
        <v>45934</v>
      </c>
      <c r="C1387" s="15">
        <f>WEEKNUM(Orders[[#This Row],[OrderDate]])</f>
        <v>40</v>
      </c>
      <c r="D1387" s="4" t="s">
        <v>122</v>
      </c>
      <c r="E1387" s="4" t="s">
        <v>60</v>
      </c>
      <c r="F1387" s="4">
        <v>4</v>
      </c>
      <c r="G1387" s="4">
        <v>12980</v>
      </c>
      <c r="H1387">
        <v>11033</v>
      </c>
      <c r="I1387">
        <f>Orders[[#This Row],[Quantity]]*Orders[[#This Row],[Selling Price]]</f>
        <v>51920</v>
      </c>
      <c r="J1387">
        <f>Orders[[#This Row],[Quantity]]*Orders[[#This Row],[Cost Price]]</f>
        <v>44132</v>
      </c>
      <c r="K1387">
        <f>Orders[[#This Row],[Revenue]]-Orders[[#This Row],[Expenses]]</f>
        <v>7788</v>
      </c>
      <c r="L1387" t="s">
        <v>2207</v>
      </c>
      <c r="M1387" t="str">
        <f>_xlfn.XLOOKUP(Orders[[#This Row],[CustomerID]],Customers[CustomerID],Customers[City])</f>
        <v>Texas</v>
      </c>
      <c r="N1387" t="str">
        <f>_xlfn.XLOOKUP(Orders[[#This Row],[CustomerID]],Customers[CustomerID],Customers[CustomerName])</f>
        <v>Ibrahim Eze</v>
      </c>
      <c r="O1387" t="str">
        <f>_xlfn.XLOOKUP(Orders[[#This Row],[CustomerID]],Customers[CustomerID],Customers[Gender])</f>
        <v>Male</v>
      </c>
      <c r="P1387">
        <f>_xlfn.XLOOKUP(Orders[[#This Row],[CustomerID]],Customers[CustomerID],Customers[CustomerAge])</f>
        <v>52</v>
      </c>
      <c r="Q1387" t="str">
        <f>IF(Orders[[#This Row],[Age]]&gt;=35,"older","young")</f>
        <v>older</v>
      </c>
      <c r="R1387" t="str">
        <f>_xlfn.XLOOKUP(Orders[[#This Row],[ProductID]],Products[ProductID],Products[ProductName])</f>
        <v>SILVER RINGS</v>
      </c>
      <c r="S1387" t="str">
        <f>_xlfn.XLOOKUP(Orders[[#This Row],[ProductID]],Products!A:A,Products!C:C)</f>
        <v>Accessories</v>
      </c>
    </row>
    <row r="1388" spans="1:19" x14ac:dyDescent="0.2">
      <c r="A1388" s="4" t="s">
        <v>1577</v>
      </c>
      <c r="B1388" s="5">
        <v>45951</v>
      </c>
      <c r="C1388" s="15">
        <f>WEEKNUM(Orders[[#This Row],[OrderDate]])</f>
        <v>43</v>
      </c>
      <c r="D1388" s="4" t="s">
        <v>333</v>
      </c>
      <c r="E1388" s="4" t="s">
        <v>189</v>
      </c>
      <c r="F1388" s="4">
        <v>7</v>
      </c>
      <c r="G1388" s="4">
        <v>16890.599999999999</v>
      </c>
      <c r="H1388">
        <v>14357.009999999998</v>
      </c>
      <c r="I1388">
        <f>Orders[[#This Row],[Quantity]]*Orders[[#This Row],[Selling Price]]</f>
        <v>118234.19999999998</v>
      </c>
      <c r="J1388">
        <f>Orders[[#This Row],[Quantity]]*Orders[[#This Row],[Cost Price]]</f>
        <v>100499.06999999999</v>
      </c>
      <c r="K1388">
        <f>Orders[[#This Row],[Revenue]]-Orders[[#This Row],[Expenses]]</f>
        <v>17735.12999999999</v>
      </c>
      <c r="L1388" t="s">
        <v>2205</v>
      </c>
      <c r="M1388" t="str">
        <f>_xlfn.XLOOKUP(Orders[[#This Row],[CustomerID]],Customers[CustomerID],Customers[City])</f>
        <v>Washington</v>
      </c>
      <c r="N1388" t="str">
        <f>_xlfn.XLOOKUP(Orders[[#This Row],[CustomerID]],Customers[CustomerID],Customers[CustomerName])</f>
        <v>Emeka Obi</v>
      </c>
      <c r="O1388" t="str">
        <f>_xlfn.XLOOKUP(Orders[[#This Row],[CustomerID]],Customers[CustomerID],Customers[Gender])</f>
        <v>Male</v>
      </c>
      <c r="P1388">
        <f>_xlfn.XLOOKUP(Orders[[#This Row],[CustomerID]],Customers[CustomerID],Customers[CustomerAge])</f>
        <v>44</v>
      </c>
      <c r="Q1388" t="str">
        <f>IF(Orders[[#This Row],[Age]]&gt;=35,"older","young")</f>
        <v>older</v>
      </c>
      <c r="R1388" t="str">
        <f>_xlfn.XLOOKUP(Orders[[#This Row],[ProductID]],Products[ProductID],Products[ProductName])</f>
        <v>SCRABBLE</v>
      </c>
      <c r="S1388" t="str">
        <f>_xlfn.XLOOKUP(Orders[[#This Row],[ProductID]],Products!A:A,Products!C:C)</f>
        <v>Games</v>
      </c>
    </row>
    <row r="1389" spans="1:19" x14ac:dyDescent="0.2">
      <c r="A1389" s="4" t="s">
        <v>1578</v>
      </c>
      <c r="B1389" s="5">
        <v>45989</v>
      </c>
      <c r="C1389" s="15">
        <f>WEEKNUM(Orders[[#This Row],[OrderDate]])</f>
        <v>48</v>
      </c>
      <c r="D1389" s="4" t="s">
        <v>260</v>
      </c>
      <c r="E1389" s="4" t="s">
        <v>9</v>
      </c>
      <c r="F1389" s="4">
        <v>6</v>
      </c>
      <c r="G1389" s="4">
        <v>4505</v>
      </c>
      <c r="H1389">
        <v>3829.25</v>
      </c>
      <c r="I1389">
        <f>Orders[[#This Row],[Quantity]]*Orders[[#This Row],[Selling Price]]</f>
        <v>27030</v>
      </c>
      <c r="J1389">
        <f>Orders[[#This Row],[Quantity]]*Orders[[#This Row],[Cost Price]]</f>
        <v>22975.5</v>
      </c>
      <c r="K1389">
        <f>Orders[[#This Row],[Revenue]]-Orders[[#This Row],[Expenses]]</f>
        <v>4054.5</v>
      </c>
      <c r="L1389" t="s">
        <v>2212</v>
      </c>
      <c r="M1389" t="str">
        <f>_xlfn.XLOOKUP(Orders[[#This Row],[CustomerID]],Customers[CustomerID],Customers[City])</f>
        <v>Florida</v>
      </c>
      <c r="N1389" t="str">
        <f>_xlfn.XLOOKUP(Orders[[#This Row],[CustomerID]],Customers[CustomerID],Customers[CustomerName])</f>
        <v>Amina Obi</v>
      </c>
      <c r="O1389" t="str">
        <f>_xlfn.XLOOKUP(Orders[[#This Row],[CustomerID]],Customers[CustomerID],Customers[Gender])</f>
        <v>Female</v>
      </c>
      <c r="P1389">
        <f>_xlfn.XLOOKUP(Orders[[#This Row],[CustomerID]],Customers[CustomerID],Customers[CustomerAge])</f>
        <v>29</v>
      </c>
      <c r="Q1389" t="str">
        <f>IF(Orders[[#This Row],[Age]]&gt;=35,"older","young")</f>
        <v>young</v>
      </c>
      <c r="R1389" t="str">
        <f>_xlfn.XLOOKUP(Orders[[#This Row],[ProductID]],Products[ProductID],Products[ProductName])</f>
        <v>BEADED EARRINGS AND NECKLACES</v>
      </c>
      <c r="S1389" t="str">
        <f>_xlfn.XLOOKUP(Orders[[#This Row],[ProductID]],Products!A:A,Products!C:C)</f>
        <v>Accessories</v>
      </c>
    </row>
    <row r="1390" spans="1:19" x14ac:dyDescent="0.2">
      <c r="A1390" s="4" t="s">
        <v>1579</v>
      </c>
      <c r="B1390" s="5">
        <v>45947</v>
      </c>
      <c r="C1390" s="15">
        <f>WEEKNUM(Orders[[#This Row],[OrderDate]])</f>
        <v>42</v>
      </c>
      <c r="D1390" s="4" t="s">
        <v>174</v>
      </c>
      <c r="E1390" s="4" t="s">
        <v>120</v>
      </c>
      <c r="F1390" s="4">
        <v>10</v>
      </c>
      <c r="G1390" s="4">
        <v>13333</v>
      </c>
      <c r="H1390">
        <v>11333.05</v>
      </c>
      <c r="I1390">
        <f>Orders[[#This Row],[Quantity]]*Orders[[#This Row],[Selling Price]]</f>
        <v>133330</v>
      </c>
      <c r="J1390">
        <f>Orders[[#This Row],[Quantity]]*Orders[[#This Row],[Cost Price]]</f>
        <v>113330.5</v>
      </c>
      <c r="K1390">
        <f>Orders[[#This Row],[Revenue]]-Orders[[#This Row],[Expenses]]</f>
        <v>19999.5</v>
      </c>
      <c r="L1390" t="s">
        <v>2199</v>
      </c>
      <c r="M1390" t="str">
        <f>_xlfn.XLOOKUP(Orders[[#This Row],[CustomerID]],Customers[CustomerID],Customers[City])</f>
        <v>California</v>
      </c>
      <c r="N1390" t="str">
        <f>_xlfn.XLOOKUP(Orders[[#This Row],[CustomerID]],Customers[CustomerID],Customers[CustomerName])</f>
        <v>Zainab Obi</v>
      </c>
      <c r="O1390" t="str">
        <f>_xlfn.XLOOKUP(Orders[[#This Row],[CustomerID]],Customers[CustomerID],Customers[Gender])</f>
        <v>Female</v>
      </c>
      <c r="P1390">
        <f>_xlfn.XLOOKUP(Orders[[#This Row],[CustomerID]],Customers[CustomerID],Customers[CustomerAge])</f>
        <v>18</v>
      </c>
      <c r="Q1390" t="str">
        <f>IF(Orders[[#This Row],[Age]]&gt;=35,"older","young")</f>
        <v>young</v>
      </c>
      <c r="R1390" t="str">
        <f>_xlfn.XLOOKUP(Orders[[#This Row],[ProductID]],Products[ProductID],Products[ProductName])</f>
        <v>CHESS</v>
      </c>
      <c r="S1390" t="str">
        <f>_xlfn.XLOOKUP(Orders[[#This Row],[ProductID]],Products!A:A,Products!C:C)</f>
        <v>Games</v>
      </c>
    </row>
    <row r="1391" spans="1:19" x14ac:dyDescent="0.2">
      <c r="A1391" s="4" t="s">
        <v>1580</v>
      </c>
      <c r="B1391" s="5">
        <v>45961</v>
      </c>
      <c r="C1391" s="15">
        <f>WEEKNUM(Orders[[#This Row],[OrderDate]])</f>
        <v>44</v>
      </c>
      <c r="D1391" s="4" t="s">
        <v>176</v>
      </c>
      <c r="E1391" s="4" t="s">
        <v>23</v>
      </c>
      <c r="F1391" s="4">
        <v>1</v>
      </c>
      <c r="G1391" s="4">
        <v>6850.7000000000007</v>
      </c>
      <c r="H1391">
        <v>5823.0950000000012</v>
      </c>
      <c r="I1391">
        <f>Orders[[#This Row],[Quantity]]*Orders[[#This Row],[Selling Price]]</f>
        <v>6850.7000000000007</v>
      </c>
      <c r="J1391">
        <f>Orders[[#This Row],[Quantity]]*Orders[[#This Row],[Cost Price]]</f>
        <v>5823.0950000000012</v>
      </c>
      <c r="K1391">
        <f>Orders[[#This Row],[Revenue]]-Orders[[#This Row],[Expenses]]</f>
        <v>1027.6049999999996</v>
      </c>
      <c r="L1391" t="s">
        <v>2211</v>
      </c>
      <c r="M1391" t="str">
        <f>_xlfn.XLOOKUP(Orders[[#This Row],[CustomerID]],Customers[CustomerID],Customers[City])</f>
        <v>Florida</v>
      </c>
      <c r="N1391" t="str">
        <f>_xlfn.XLOOKUP(Orders[[#This Row],[CustomerID]],Customers[CustomerID],Customers[CustomerName])</f>
        <v>Okon Eze</v>
      </c>
      <c r="O1391" t="str">
        <f>_xlfn.XLOOKUP(Orders[[#This Row],[CustomerID]],Customers[CustomerID],Customers[Gender])</f>
        <v>Male</v>
      </c>
      <c r="P1391">
        <f>_xlfn.XLOOKUP(Orders[[#This Row],[CustomerID]],Customers[CustomerID],Customers[CustomerAge])</f>
        <v>26</v>
      </c>
      <c r="Q1391" t="str">
        <f>IF(Orders[[#This Row],[Age]]&gt;=35,"older","young")</f>
        <v>young</v>
      </c>
      <c r="R1391" t="str">
        <f>_xlfn.XLOOKUP(Orders[[#This Row],[ProductID]],Products[ProductID],Products[ProductName])</f>
        <v>GYM GLOVES</v>
      </c>
      <c r="S1391" t="str">
        <f>_xlfn.XLOOKUP(Orders[[#This Row],[ProductID]],Products!A:A,Products!C:C)</f>
        <v>Gym</v>
      </c>
    </row>
    <row r="1392" spans="1:19" x14ac:dyDescent="0.2">
      <c r="A1392" s="4" t="s">
        <v>1581</v>
      </c>
      <c r="B1392" s="5">
        <v>45999</v>
      </c>
      <c r="C1392" s="15">
        <f>WEEKNUM(Orders[[#This Row],[OrderDate]])</f>
        <v>50</v>
      </c>
      <c r="D1392" s="4" t="s">
        <v>514</v>
      </c>
      <c r="E1392" s="4" t="s">
        <v>28</v>
      </c>
      <c r="F1392" s="4">
        <v>8</v>
      </c>
      <c r="G1392" s="4">
        <v>16348.900000000001</v>
      </c>
      <c r="H1392">
        <v>13896.565000000002</v>
      </c>
      <c r="I1392">
        <f>Orders[[#This Row],[Quantity]]*Orders[[#This Row],[Selling Price]]</f>
        <v>130791.20000000001</v>
      </c>
      <c r="J1392">
        <f>Orders[[#This Row],[Quantity]]*Orders[[#This Row],[Cost Price]]</f>
        <v>111172.52000000002</v>
      </c>
      <c r="K1392">
        <f>Orders[[#This Row],[Revenue]]-Orders[[#This Row],[Expenses]]</f>
        <v>19618.679999999993</v>
      </c>
      <c r="L1392" t="s">
        <v>2202</v>
      </c>
      <c r="M1392" t="str">
        <f>_xlfn.XLOOKUP(Orders[[#This Row],[CustomerID]],Customers[CustomerID],Customers[City])</f>
        <v>Florida</v>
      </c>
      <c r="N1392" t="str">
        <f>_xlfn.XLOOKUP(Orders[[#This Row],[CustomerID]],Customers[CustomerID],Customers[CustomerName])</f>
        <v>Ibrahim Okonkwo</v>
      </c>
      <c r="O1392" t="str">
        <f>_xlfn.XLOOKUP(Orders[[#This Row],[CustomerID]],Customers[CustomerID],Customers[Gender])</f>
        <v>Male</v>
      </c>
      <c r="P1392">
        <f>_xlfn.XLOOKUP(Orders[[#This Row],[CustomerID]],Customers[CustomerID],Customers[CustomerAge])</f>
        <v>28</v>
      </c>
      <c r="Q1392" t="str">
        <f>IF(Orders[[#This Row],[Age]]&gt;=35,"older","young")</f>
        <v>young</v>
      </c>
      <c r="R1392" t="str">
        <f>_xlfn.XLOOKUP(Orders[[#This Row],[ProductID]],Products[ProductID],Products[ProductName])</f>
        <v>SNEAKERS</v>
      </c>
      <c r="S1392" t="str">
        <f>_xlfn.XLOOKUP(Orders[[#This Row],[ProductID]],Products!A:A,Products!C:C)</f>
        <v>Sports</v>
      </c>
    </row>
    <row r="1393" spans="1:19" x14ac:dyDescent="0.2">
      <c r="A1393" s="4" t="s">
        <v>1582</v>
      </c>
      <c r="B1393" s="5">
        <v>46005</v>
      </c>
      <c r="C1393" s="15">
        <f>WEEKNUM(Orders[[#This Row],[OrderDate]])</f>
        <v>51</v>
      </c>
      <c r="D1393" s="4" t="s">
        <v>574</v>
      </c>
      <c r="E1393" s="4" t="s">
        <v>23</v>
      </c>
      <c r="F1393" s="4">
        <v>4</v>
      </c>
      <c r="G1393" s="4">
        <v>9352.1</v>
      </c>
      <c r="H1393">
        <v>7949.2849999999999</v>
      </c>
      <c r="I1393">
        <f>Orders[[#This Row],[Quantity]]*Orders[[#This Row],[Selling Price]]</f>
        <v>37408.400000000001</v>
      </c>
      <c r="J1393">
        <f>Orders[[#This Row],[Quantity]]*Orders[[#This Row],[Cost Price]]</f>
        <v>31797.14</v>
      </c>
      <c r="K1393">
        <f>Orders[[#This Row],[Revenue]]-Orders[[#This Row],[Expenses]]</f>
        <v>5611.260000000002</v>
      </c>
      <c r="L1393" t="s">
        <v>2217</v>
      </c>
      <c r="M1393" t="str">
        <f>_xlfn.XLOOKUP(Orders[[#This Row],[CustomerID]],Customers[CustomerID],Customers[City])</f>
        <v>Texas</v>
      </c>
      <c r="N1393" t="str">
        <f>_xlfn.XLOOKUP(Orders[[#This Row],[CustomerID]],Customers[CustomerID],Customers[CustomerName])</f>
        <v>Adanma Obi</v>
      </c>
      <c r="O1393" t="str">
        <f>_xlfn.XLOOKUP(Orders[[#This Row],[CustomerID]],Customers[CustomerID],Customers[Gender])</f>
        <v>Female</v>
      </c>
      <c r="P1393">
        <f>_xlfn.XLOOKUP(Orders[[#This Row],[CustomerID]],Customers[CustomerID],Customers[CustomerAge])</f>
        <v>23</v>
      </c>
      <c r="Q1393" t="str">
        <f>IF(Orders[[#This Row],[Age]]&gt;=35,"older","young")</f>
        <v>young</v>
      </c>
      <c r="R1393" t="str">
        <f>_xlfn.XLOOKUP(Orders[[#This Row],[ProductID]],Products[ProductID],Products[ProductName])</f>
        <v>GYM GLOVES</v>
      </c>
      <c r="S1393" t="str">
        <f>_xlfn.XLOOKUP(Orders[[#This Row],[ProductID]],Products!A:A,Products!C:C)</f>
        <v>Gym</v>
      </c>
    </row>
    <row r="1394" spans="1:19" x14ac:dyDescent="0.2">
      <c r="A1394" s="4" t="s">
        <v>1583</v>
      </c>
      <c r="B1394" s="5">
        <v>45979</v>
      </c>
      <c r="C1394" s="15">
        <f>WEEKNUM(Orders[[#This Row],[OrderDate]])</f>
        <v>47</v>
      </c>
      <c r="D1394" s="4" t="s">
        <v>383</v>
      </c>
      <c r="E1394" s="4" t="s">
        <v>92</v>
      </c>
      <c r="F1394" s="4">
        <v>7</v>
      </c>
      <c r="G1394" s="4">
        <v>14422.6</v>
      </c>
      <c r="H1394">
        <v>12259.210000000001</v>
      </c>
      <c r="I1394">
        <f>Orders[[#This Row],[Quantity]]*Orders[[#This Row],[Selling Price]]</f>
        <v>100958.2</v>
      </c>
      <c r="J1394">
        <f>Orders[[#This Row],[Quantity]]*Orders[[#This Row],[Cost Price]]</f>
        <v>85814.47</v>
      </c>
      <c r="K1394">
        <f>Orders[[#This Row],[Revenue]]-Orders[[#This Row],[Expenses]]</f>
        <v>15143.729999999996</v>
      </c>
      <c r="L1394" t="s">
        <v>2204</v>
      </c>
      <c r="M1394" t="str">
        <f>_xlfn.XLOOKUP(Orders[[#This Row],[CustomerID]],Customers[CustomerID],Customers[City])</f>
        <v>Florida</v>
      </c>
      <c r="N1394" t="str">
        <f>_xlfn.XLOOKUP(Orders[[#This Row],[CustomerID]],Customers[CustomerID],Customers[CustomerName])</f>
        <v>Ibrahim Balogun</v>
      </c>
      <c r="O1394" t="str">
        <f>_xlfn.XLOOKUP(Orders[[#This Row],[CustomerID]],Customers[CustomerID],Customers[Gender])</f>
        <v>Male</v>
      </c>
      <c r="P1394">
        <f>_xlfn.XLOOKUP(Orders[[#This Row],[CustomerID]],Customers[CustomerID],Customers[CustomerAge])</f>
        <v>27</v>
      </c>
      <c r="Q1394" t="str">
        <f>IF(Orders[[#This Row],[Age]]&gt;=35,"older","young")</f>
        <v>young</v>
      </c>
      <c r="R1394" t="str">
        <f>_xlfn.XLOOKUP(Orders[[#This Row],[ProductID]],Products[ProductID],Products[ProductName])</f>
        <v>CHEST EXPANDER</v>
      </c>
      <c r="S1394" t="str">
        <f>_xlfn.XLOOKUP(Orders[[#This Row],[ProductID]],Products!A:A,Products!C:C)</f>
        <v>Gym</v>
      </c>
    </row>
    <row r="1395" spans="1:19" x14ac:dyDescent="0.2">
      <c r="A1395" s="4" t="s">
        <v>1584</v>
      </c>
      <c r="B1395" s="5">
        <v>45942</v>
      </c>
      <c r="C1395" s="15">
        <f>WEEKNUM(Orders[[#This Row],[OrderDate]])</f>
        <v>42</v>
      </c>
      <c r="D1395" s="4" t="s">
        <v>258</v>
      </c>
      <c r="E1395" s="4" t="s">
        <v>34</v>
      </c>
      <c r="F1395" s="4">
        <v>3</v>
      </c>
      <c r="G1395" s="4">
        <v>15600.699999999999</v>
      </c>
      <c r="H1395">
        <v>13260.594999999999</v>
      </c>
      <c r="I1395">
        <f>Orders[[#This Row],[Quantity]]*Orders[[#This Row],[Selling Price]]</f>
        <v>46802.1</v>
      </c>
      <c r="J1395">
        <f>Orders[[#This Row],[Quantity]]*Orders[[#This Row],[Cost Price]]</f>
        <v>39781.784999999996</v>
      </c>
      <c r="K1395">
        <f>Orders[[#This Row],[Revenue]]-Orders[[#This Row],[Expenses]]</f>
        <v>7020.3150000000023</v>
      </c>
      <c r="L1395" t="s">
        <v>2207</v>
      </c>
      <c r="M1395" t="str">
        <f>_xlfn.XLOOKUP(Orders[[#This Row],[CustomerID]],Customers[CustomerID],Customers[City])</f>
        <v>Washington</v>
      </c>
      <c r="N1395" t="str">
        <f>_xlfn.XLOOKUP(Orders[[#This Row],[CustomerID]],Customers[CustomerID],Customers[CustomerName])</f>
        <v>Sani Abubakar</v>
      </c>
      <c r="O1395" t="str">
        <f>_xlfn.XLOOKUP(Orders[[#This Row],[CustomerID]],Customers[CustomerID],Customers[Gender])</f>
        <v>Male</v>
      </c>
      <c r="P1395">
        <f>_xlfn.XLOOKUP(Orders[[#This Row],[CustomerID]],Customers[CustomerID],Customers[CustomerAge])</f>
        <v>37</v>
      </c>
      <c r="Q1395" t="str">
        <f>IF(Orders[[#This Row],[Age]]&gt;=35,"older","young")</f>
        <v>older</v>
      </c>
      <c r="R1395" t="str">
        <f>_xlfn.XLOOKUP(Orders[[#This Row],[ProductID]],Products[ProductID],Products[ProductName])</f>
        <v>GOLD BRACELETS</v>
      </c>
      <c r="S1395" t="str">
        <f>_xlfn.XLOOKUP(Orders[[#This Row],[ProductID]],Products!A:A,Products!C:C)</f>
        <v>Accessories</v>
      </c>
    </row>
    <row r="1396" spans="1:19" x14ac:dyDescent="0.2">
      <c r="A1396" s="4" t="s">
        <v>1585</v>
      </c>
      <c r="B1396" s="5">
        <v>45980</v>
      </c>
      <c r="C1396" s="15">
        <f>WEEKNUM(Orders[[#This Row],[OrderDate]])</f>
        <v>47</v>
      </c>
      <c r="D1396" s="4" t="s">
        <v>30</v>
      </c>
      <c r="E1396" s="4" t="s">
        <v>151</v>
      </c>
      <c r="F1396" s="4">
        <v>3</v>
      </c>
      <c r="G1396" s="4">
        <v>15289.1</v>
      </c>
      <c r="H1396">
        <v>12995.735000000001</v>
      </c>
      <c r="I1396">
        <f>Orders[[#This Row],[Quantity]]*Orders[[#This Row],[Selling Price]]</f>
        <v>45867.3</v>
      </c>
      <c r="J1396">
        <f>Orders[[#This Row],[Quantity]]*Orders[[#This Row],[Cost Price]]</f>
        <v>38987.205000000002</v>
      </c>
      <c r="K1396">
        <f>Orders[[#This Row],[Revenue]]-Orders[[#This Row],[Expenses]]</f>
        <v>6880.0950000000012</v>
      </c>
      <c r="L1396" t="s">
        <v>2201</v>
      </c>
      <c r="M1396" t="str">
        <f>_xlfn.XLOOKUP(Orders[[#This Row],[CustomerID]],Customers[CustomerID],Customers[City])</f>
        <v>Florida</v>
      </c>
      <c r="N1396" t="str">
        <f>_xlfn.XLOOKUP(Orders[[#This Row],[CustomerID]],Customers[CustomerID],Customers[CustomerName])</f>
        <v>Amina Danladi</v>
      </c>
      <c r="O1396" t="str">
        <f>_xlfn.XLOOKUP(Orders[[#This Row],[CustomerID]],Customers[CustomerID],Customers[Gender])</f>
        <v>Female</v>
      </c>
      <c r="P1396">
        <f>_xlfn.XLOOKUP(Orders[[#This Row],[CustomerID]],Customers[CustomerID],Customers[CustomerAge])</f>
        <v>42</v>
      </c>
      <c r="Q1396" t="str">
        <f>IF(Orders[[#This Row],[Age]]&gt;=35,"older","young")</f>
        <v>older</v>
      </c>
      <c r="R1396" t="str">
        <f>_xlfn.XLOOKUP(Orders[[#This Row],[ProductID]],Products[ProductID],Products[ProductName])</f>
        <v>CHECKERS</v>
      </c>
      <c r="S1396" t="str">
        <f>_xlfn.XLOOKUP(Orders[[#This Row],[ProductID]],Products!A:A,Products!C:C)</f>
        <v>Games</v>
      </c>
    </row>
    <row r="1397" spans="1:19" x14ac:dyDescent="0.2">
      <c r="A1397" s="4" t="s">
        <v>1586</v>
      </c>
      <c r="B1397" s="5">
        <v>45944</v>
      </c>
      <c r="C1397" s="15">
        <f>WEEKNUM(Orders[[#This Row],[OrderDate]])</f>
        <v>42</v>
      </c>
      <c r="D1397" s="4" t="s">
        <v>327</v>
      </c>
      <c r="E1397" s="4" t="s">
        <v>84</v>
      </c>
      <c r="F1397" s="4">
        <v>10</v>
      </c>
      <c r="G1397" s="4">
        <v>18004.2</v>
      </c>
      <c r="H1397">
        <v>15303.57</v>
      </c>
      <c r="I1397">
        <f>Orders[[#This Row],[Quantity]]*Orders[[#This Row],[Selling Price]]</f>
        <v>180042</v>
      </c>
      <c r="J1397">
        <f>Orders[[#This Row],[Quantity]]*Orders[[#This Row],[Cost Price]]</f>
        <v>153035.70000000001</v>
      </c>
      <c r="K1397">
        <f>Orders[[#This Row],[Revenue]]-Orders[[#This Row],[Expenses]]</f>
        <v>27006.299999999988</v>
      </c>
      <c r="L1397" t="s">
        <v>2213</v>
      </c>
      <c r="M1397" t="str">
        <f>_xlfn.XLOOKUP(Orders[[#This Row],[CustomerID]],Customers[CustomerID],Customers[City])</f>
        <v>Washington</v>
      </c>
      <c r="N1397" t="str">
        <f>_xlfn.XLOOKUP(Orders[[#This Row],[CustomerID]],Customers[CustomerID],Customers[CustomerName])</f>
        <v>Folasade Ojo</v>
      </c>
      <c r="O1397" t="str">
        <f>_xlfn.XLOOKUP(Orders[[#This Row],[CustomerID]],Customers[CustomerID],Customers[Gender])</f>
        <v>Female</v>
      </c>
      <c r="P1397">
        <f>_xlfn.XLOOKUP(Orders[[#This Row],[CustomerID]],Customers[CustomerID],Customers[CustomerAge])</f>
        <v>24</v>
      </c>
      <c r="Q1397" t="str">
        <f>IF(Orders[[#This Row],[Age]]&gt;=35,"older","young")</f>
        <v>young</v>
      </c>
      <c r="R1397" t="str">
        <f>_xlfn.XLOOKUP(Orders[[#This Row],[ProductID]],Products[ProductID],Products[ProductName])</f>
        <v>GYM WEARS</v>
      </c>
      <c r="S1397" t="str">
        <f>_xlfn.XLOOKUP(Orders[[#This Row],[ProductID]],Products!A:A,Products!C:C)</f>
        <v>Clothing</v>
      </c>
    </row>
    <row r="1398" spans="1:19" x14ac:dyDescent="0.2">
      <c r="A1398" s="4" t="s">
        <v>1587</v>
      </c>
      <c r="B1398" s="5">
        <v>45954</v>
      </c>
      <c r="C1398" s="15">
        <f>WEEKNUM(Orders[[#This Row],[OrderDate]])</f>
        <v>43</v>
      </c>
      <c r="D1398" s="4" t="s">
        <v>369</v>
      </c>
      <c r="E1398" s="4" t="s">
        <v>189</v>
      </c>
      <c r="F1398" s="4">
        <v>6</v>
      </c>
      <c r="G1398" s="4">
        <v>8852.5</v>
      </c>
      <c r="H1398">
        <v>7524.625</v>
      </c>
      <c r="I1398">
        <f>Orders[[#This Row],[Quantity]]*Orders[[#This Row],[Selling Price]]</f>
        <v>53115</v>
      </c>
      <c r="J1398">
        <f>Orders[[#This Row],[Quantity]]*Orders[[#This Row],[Cost Price]]</f>
        <v>45147.75</v>
      </c>
      <c r="K1398">
        <f>Orders[[#This Row],[Revenue]]-Orders[[#This Row],[Expenses]]</f>
        <v>7967.25</v>
      </c>
      <c r="L1398" t="s">
        <v>2198</v>
      </c>
      <c r="M1398" t="str">
        <f>_xlfn.XLOOKUP(Orders[[#This Row],[CustomerID]],Customers[CustomerID],Customers[City])</f>
        <v>Washington</v>
      </c>
      <c r="N1398" t="str">
        <f>_xlfn.XLOOKUP(Orders[[#This Row],[CustomerID]],Customers[CustomerID],Customers[CustomerName])</f>
        <v>Ibrahim Bello</v>
      </c>
      <c r="O1398" t="str">
        <f>_xlfn.XLOOKUP(Orders[[#This Row],[CustomerID]],Customers[CustomerID],Customers[Gender])</f>
        <v>Male</v>
      </c>
      <c r="P1398">
        <f>_xlfn.XLOOKUP(Orders[[#This Row],[CustomerID]],Customers[CustomerID],Customers[CustomerAge])</f>
        <v>40</v>
      </c>
      <c r="Q1398" t="str">
        <f>IF(Orders[[#This Row],[Age]]&gt;=35,"older","young")</f>
        <v>older</v>
      </c>
      <c r="R1398" t="str">
        <f>_xlfn.XLOOKUP(Orders[[#This Row],[ProductID]],Products[ProductID],Products[ProductName])</f>
        <v>SCRABBLE</v>
      </c>
      <c r="S1398" t="str">
        <f>_xlfn.XLOOKUP(Orders[[#This Row],[ProductID]],Products!A:A,Products!C:C)</f>
        <v>Games</v>
      </c>
    </row>
    <row r="1399" spans="1:19" x14ac:dyDescent="0.2">
      <c r="A1399" s="4" t="s">
        <v>1588</v>
      </c>
      <c r="B1399" s="5">
        <v>45990</v>
      </c>
      <c r="C1399" s="15">
        <f>WEEKNUM(Orders[[#This Row],[OrderDate]])</f>
        <v>48</v>
      </c>
      <c r="D1399" s="4" t="s">
        <v>73</v>
      </c>
      <c r="E1399" s="4" t="s">
        <v>15</v>
      </c>
      <c r="F1399" s="4">
        <v>1</v>
      </c>
      <c r="G1399" s="4">
        <v>18982.8</v>
      </c>
      <c r="H1399">
        <v>16135.38</v>
      </c>
      <c r="I1399">
        <f>Orders[[#This Row],[Quantity]]*Orders[[#This Row],[Selling Price]]</f>
        <v>18982.8</v>
      </c>
      <c r="J1399">
        <f>Orders[[#This Row],[Quantity]]*Orders[[#This Row],[Cost Price]]</f>
        <v>16135.38</v>
      </c>
      <c r="K1399">
        <f>Orders[[#This Row],[Revenue]]-Orders[[#This Row],[Expenses]]</f>
        <v>2847.42</v>
      </c>
      <c r="L1399" t="s">
        <v>2197</v>
      </c>
      <c r="M1399" t="str">
        <f>_xlfn.XLOOKUP(Orders[[#This Row],[CustomerID]],Customers[CustomerID],Customers[City])</f>
        <v>California</v>
      </c>
      <c r="N1399" t="str">
        <f>_xlfn.XLOOKUP(Orders[[#This Row],[CustomerID]],Customers[CustomerID],Customers[CustomerName])</f>
        <v>Ronke Okonkwo</v>
      </c>
      <c r="O1399" t="str">
        <f>_xlfn.XLOOKUP(Orders[[#This Row],[CustomerID]],Customers[CustomerID],Customers[Gender])</f>
        <v>Female</v>
      </c>
      <c r="P1399">
        <f>_xlfn.XLOOKUP(Orders[[#This Row],[CustomerID]],Customers[CustomerID],Customers[CustomerAge])</f>
        <v>20</v>
      </c>
      <c r="Q1399" t="str">
        <f>IF(Orders[[#This Row],[Age]]&gt;=35,"older","young")</f>
        <v>young</v>
      </c>
      <c r="R1399" t="str">
        <f>_xlfn.XLOOKUP(Orders[[#This Row],[ProductID]],Products[ProductID],Products[ProductName])</f>
        <v>MONOPOLY</v>
      </c>
      <c r="S1399" t="str">
        <f>_xlfn.XLOOKUP(Orders[[#This Row],[ProductID]],Products!A:A,Products!C:C)</f>
        <v>Games</v>
      </c>
    </row>
    <row r="1400" spans="1:19" x14ac:dyDescent="0.2">
      <c r="A1400" s="4" t="s">
        <v>1589</v>
      </c>
      <c r="B1400" s="5">
        <v>45934</v>
      </c>
      <c r="C1400" s="15">
        <f>WEEKNUM(Orders[[#This Row],[OrderDate]])</f>
        <v>40</v>
      </c>
      <c r="D1400" s="4" t="s">
        <v>564</v>
      </c>
      <c r="E1400" s="4" t="s">
        <v>76</v>
      </c>
      <c r="F1400" s="4">
        <v>6</v>
      </c>
      <c r="G1400" s="4">
        <v>13688.5</v>
      </c>
      <c r="H1400">
        <v>11635.225</v>
      </c>
      <c r="I1400">
        <f>Orders[[#This Row],[Quantity]]*Orders[[#This Row],[Selling Price]]</f>
        <v>82131</v>
      </c>
      <c r="J1400">
        <f>Orders[[#This Row],[Quantity]]*Orders[[#This Row],[Cost Price]]</f>
        <v>69811.350000000006</v>
      </c>
      <c r="K1400">
        <f>Orders[[#This Row],[Revenue]]-Orders[[#This Row],[Expenses]]</f>
        <v>12319.649999999994</v>
      </c>
      <c r="L1400" t="s">
        <v>2193</v>
      </c>
      <c r="M1400" t="str">
        <f>_xlfn.XLOOKUP(Orders[[#This Row],[CustomerID]],Customers[CustomerID],Customers[City])</f>
        <v>Georgia</v>
      </c>
      <c r="N1400" t="str">
        <f>_xlfn.XLOOKUP(Orders[[#This Row],[CustomerID]],Customers[CustomerID],Customers[CustomerName])</f>
        <v>Blessing Eze</v>
      </c>
      <c r="O1400" t="str">
        <f>_xlfn.XLOOKUP(Orders[[#This Row],[CustomerID]],Customers[CustomerID],Customers[Gender])</f>
        <v>Female</v>
      </c>
      <c r="P1400">
        <f>_xlfn.XLOOKUP(Orders[[#This Row],[CustomerID]],Customers[CustomerID],Customers[CustomerAge])</f>
        <v>19</v>
      </c>
      <c r="Q1400" t="str">
        <f>IF(Orders[[#This Row],[Age]]&gt;=35,"older","young")</f>
        <v>young</v>
      </c>
      <c r="R1400" t="str">
        <f>_xlfn.XLOOKUP(Orders[[#This Row],[ProductID]],Products[ProductID],Products[ProductName])</f>
        <v>BLENDER</v>
      </c>
      <c r="S1400" t="str">
        <f>_xlfn.XLOOKUP(Orders[[#This Row],[ProductID]],Products!A:A,Products!C:C)</f>
        <v>Electronics</v>
      </c>
    </row>
    <row r="1401" spans="1:19" x14ac:dyDescent="0.2">
      <c r="A1401" s="4" t="s">
        <v>1590</v>
      </c>
      <c r="B1401" s="5">
        <v>45961</v>
      </c>
      <c r="C1401" s="15">
        <f>WEEKNUM(Orders[[#This Row],[OrderDate]])</f>
        <v>44</v>
      </c>
      <c r="D1401" s="4" t="s">
        <v>132</v>
      </c>
      <c r="E1401" s="4" t="s">
        <v>168</v>
      </c>
      <c r="F1401" s="4">
        <v>4</v>
      </c>
      <c r="G1401" s="4">
        <v>1197.6000000000001</v>
      </c>
      <c r="H1401">
        <v>1017.9600000000002</v>
      </c>
      <c r="I1401">
        <f>Orders[[#This Row],[Quantity]]*Orders[[#This Row],[Selling Price]]</f>
        <v>4790.4000000000005</v>
      </c>
      <c r="J1401">
        <f>Orders[[#This Row],[Quantity]]*Orders[[#This Row],[Cost Price]]</f>
        <v>4071.8400000000006</v>
      </c>
      <c r="K1401">
        <f>Orders[[#This Row],[Revenue]]-Orders[[#This Row],[Expenses]]</f>
        <v>718.56</v>
      </c>
      <c r="L1401" t="s">
        <v>2197</v>
      </c>
      <c r="M1401" t="str">
        <f>_xlfn.XLOOKUP(Orders[[#This Row],[CustomerID]],Customers[CustomerID],Customers[City])</f>
        <v>Illinois</v>
      </c>
      <c r="N1401" t="str">
        <f>_xlfn.XLOOKUP(Orders[[#This Row],[CustomerID]],Customers[CustomerID],Customers[CustomerName])</f>
        <v>Emeka Balogun</v>
      </c>
      <c r="O1401" t="str">
        <f>_xlfn.XLOOKUP(Orders[[#This Row],[CustomerID]],Customers[CustomerID],Customers[Gender])</f>
        <v>Male</v>
      </c>
      <c r="P1401">
        <f>_xlfn.XLOOKUP(Orders[[#This Row],[CustomerID]],Customers[CustomerID],Customers[CustomerAge])</f>
        <v>36</v>
      </c>
      <c r="Q1401" t="str">
        <f>IF(Orders[[#This Row],[Age]]&gt;=35,"older","young")</f>
        <v>older</v>
      </c>
      <c r="R1401" t="str">
        <f>_xlfn.XLOOKUP(Orders[[#This Row],[ProductID]],Products[ProductID],Products[ProductName])</f>
        <v>DUMB BELLS</v>
      </c>
      <c r="S1401" t="str">
        <f>_xlfn.XLOOKUP(Orders[[#This Row],[ProductID]],Products!A:A,Products!C:C)</f>
        <v>Gym</v>
      </c>
    </row>
    <row r="1402" spans="1:19" x14ac:dyDescent="0.2">
      <c r="A1402" s="4" t="s">
        <v>1591</v>
      </c>
      <c r="B1402" s="5">
        <v>45989</v>
      </c>
      <c r="C1402" s="15">
        <f>WEEKNUM(Orders[[#This Row],[OrderDate]])</f>
        <v>48</v>
      </c>
      <c r="D1402" s="4" t="s">
        <v>140</v>
      </c>
      <c r="E1402" s="4" t="s">
        <v>157</v>
      </c>
      <c r="F1402" s="4">
        <v>2</v>
      </c>
      <c r="G1402" s="4">
        <v>2291.6</v>
      </c>
      <c r="H1402">
        <v>1947.86</v>
      </c>
      <c r="I1402">
        <f>Orders[[#This Row],[Quantity]]*Orders[[#This Row],[Selling Price]]</f>
        <v>4583.2</v>
      </c>
      <c r="J1402">
        <f>Orders[[#This Row],[Quantity]]*Orders[[#This Row],[Cost Price]]</f>
        <v>3895.72</v>
      </c>
      <c r="K1402">
        <f>Orders[[#This Row],[Revenue]]-Orders[[#This Row],[Expenses]]</f>
        <v>687.48</v>
      </c>
      <c r="L1402" t="s">
        <v>2193</v>
      </c>
      <c r="M1402" t="str">
        <f>_xlfn.XLOOKUP(Orders[[#This Row],[CustomerID]],Customers[CustomerID],Customers[City])</f>
        <v>Washington</v>
      </c>
      <c r="N1402" t="str">
        <f>_xlfn.XLOOKUP(Orders[[#This Row],[CustomerID]],Customers[CustomerID],Customers[CustomerName])</f>
        <v>Tunde Igwe</v>
      </c>
      <c r="O1402" t="str">
        <f>_xlfn.XLOOKUP(Orders[[#This Row],[CustomerID]],Customers[CustomerID],Customers[Gender])</f>
        <v>Male</v>
      </c>
      <c r="P1402">
        <f>_xlfn.XLOOKUP(Orders[[#This Row],[CustomerID]],Customers[CustomerID],Customers[CustomerAge])</f>
        <v>20</v>
      </c>
      <c r="Q1402" t="str">
        <f>IF(Orders[[#This Row],[Age]]&gt;=35,"older","young")</f>
        <v>young</v>
      </c>
      <c r="R1402" t="str">
        <f>_xlfn.XLOOKUP(Orders[[#This Row],[ProductID]],Products[ProductID],Products[ProductName])</f>
        <v>FOOTBALL</v>
      </c>
      <c r="S1402" t="str">
        <f>_xlfn.XLOOKUP(Orders[[#This Row],[ProductID]],Products!A:A,Products!C:C)</f>
        <v>Sports</v>
      </c>
    </row>
    <row r="1403" spans="1:19" x14ac:dyDescent="0.2">
      <c r="A1403" s="4" t="s">
        <v>1592</v>
      </c>
      <c r="B1403" s="5">
        <v>45969</v>
      </c>
      <c r="C1403" s="15">
        <f>WEEKNUM(Orders[[#This Row],[OrderDate]])</f>
        <v>45</v>
      </c>
      <c r="D1403" s="4" t="s">
        <v>574</v>
      </c>
      <c r="E1403" s="4" t="s">
        <v>28</v>
      </c>
      <c r="F1403" s="4">
        <v>6</v>
      </c>
      <c r="G1403" s="4">
        <v>8947.2000000000007</v>
      </c>
      <c r="H1403">
        <v>7605.1200000000008</v>
      </c>
      <c r="I1403">
        <f>Orders[[#This Row],[Quantity]]*Orders[[#This Row],[Selling Price]]</f>
        <v>53683.200000000004</v>
      </c>
      <c r="J1403">
        <f>Orders[[#This Row],[Quantity]]*Orders[[#This Row],[Cost Price]]</f>
        <v>45630.720000000001</v>
      </c>
      <c r="K1403">
        <f>Orders[[#This Row],[Revenue]]-Orders[[#This Row],[Expenses]]</f>
        <v>8052.4800000000032</v>
      </c>
      <c r="L1403" t="s">
        <v>2218</v>
      </c>
      <c r="M1403" t="str">
        <f>_xlfn.XLOOKUP(Orders[[#This Row],[CustomerID]],Customers[CustomerID],Customers[City])</f>
        <v>Texas</v>
      </c>
      <c r="N1403" t="str">
        <f>_xlfn.XLOOKUP(Orders[[#This Row],[CustomerID]],Customers[CustomerID],Customers[CustomerName])</f>
        <v>Adanma Obi</v>
      </c>
      <c r="O1403" t="str">
        <f>_xlfn.XLOOKUP(Orders[[#This Row],[CustomerID]],Customers[CustomerID],Customers[Gender])</f>
        <v>Female</v>
      </c>
      <c r="P1403">
        <f>_xlfn.XLOOKUP(Orders[[#This Row],[CustomerID]],Customers[CustomerID],Customers[CustomerAge])</f>
        <v>23</v>
      </c>
      <c r="Q1403" t="str">
        <f>IF(Orders[[#This Row],[Age]]&gt;=35,"older","young")</f>
        <v>young</v>
      </c>
      <c r="R1403" t="str">
        <f>_xlfn.XLOOKUP(Orders[[#This Row],[ProductID]],Products[ProductID],Products[ProductName])</f>
        <v>SNEAKERS</v>
      </c>
      <c r="S1403" t="str">
        <f>_xlfn.XLOOKUP(Orders[[#This Row],[ProductID]],Products!A:A,Products!C:C)</f>
        <v>Sports</v>
      </c>
    </row>
    <row r="1404" spans="1:19" x14ac:dyDescent="0.2">
      <c r="A1404" s="4" t="s">
        <v>1593</v>
      </c>
      <c r="B1404" s="5">
        <v>45980</v>
      </c>
      <c r="C1404" s="15">
        <f>WEEKNUM(Orders[[#This Row],[OrderDate]])</f>
        <v>47</v>
      </c>
      <c r="D1404" s="4" t="s">
        <v>207</v>
      </c>
      <c r="E1404" s="4" t="s">
        <v>189</v>
      </c>
      <c r="F1404" s="4">
        <v>7</v>
      </c>
      <c r="G1404" s="4">
        <v>16676.400000000001</v>
      </c>
      <c r="H1404">
        <v>14174.940000000002</v>
      </c>
      <c r="I1404">
        <f>Orders[[#This Row],[Quantity]]*Orders[[#This Row],[Selling Price]]</f>
        <v>116734.80000000002</v>
      </c>
      <c r="J1404">
        <f>Orders[[#This Row],[Quantity]]*Orders[[#This Row],[Cost Price]]</f>
        <v>99224.580000000016</v>
      </c>
      <c r="K1404">
        <f>Orders[[#This Row],[Revenue]]-Orders[[#This Row],[Expenses]]</f>
        <v>17510.22</v>
      </c>
      <c r="L1404" t="s">
        <v>2197</v>
      </c>
      <c r="M1404" t="str">
        <f>_xlfn.XLOOKUP(Orders[[#This Row],[CustomerID]],Customers[CustomerID],Customers[City])</f>
        <v>Florida</v>
      </c>
      <c r="N1404" t="str">
        <f>_xlfn.XLOOKUP(Orders[[#This Row],[CustomerID]],Customers[CustomerID],Customers[CustomerName])</f>
        <v>Bisi Eze</v>
      </c>
      <c r="O1404" t="str">
        <f>_xlfn.XLOOKUP(Orders[[#This Row],[CustomerID]],Customers[CustomerID],Customers[Gender])</f>
        <v>Female</v>
      </c>
      <c r="P1404">
        <f>_xlfn.XLOOKUP(Orders[[#This Row],[CustomerID]],Customers[CustomerID],Customers[CustomerAge])</f>
        <v>37</v>
      </c>
      <c r="Q1404" t="str">
        <f>IF(Orders[[#This Row],[Age]]&gt;=35,"older","young")</f>
        <v>older</v>
      </c>
      <c r="R1404" t="str">
        <f>_xlfn.XLOOKUP(Orders[[#This Row],[ProductID]],Products[ProductID],Products[ProductName])</f>
        <v>SCRABBLE</v>
      </c>
      <c r="S1404" t="str">
        <f>_xlfn.XLOOKUP(Orders[[#This Row],[ProductID]],Products!A:A,Products!C:C)</f>
        <v>Games</v>
      </c>
    </row>
    <row r="1405" spans="1:19" x14ac:dyDescent="0.2">
      <c r="A1405" s="4" t="s">
        <v>1594</v>
      </c>
      <c r="B1405" s="5">
        <v>45990</v>
      </c>
      <c r="C1405" s="15">
        <f>WEEKNUM(Orders[[#This Row],[OrderDate]])</f>
        <v>48</v>
      </c>
      <c r="D1405" s="4" t="s">
        <v>444</v>
      </c>
      <c r="E1405" s="4" t="s">
        <v>84</v>
      </c>
      <c r="F1405" s="4">
        <v>4</v>
      </c>
      <c r="G1405" s="4">
        <v>1451.1000000000001</v>
      </c>
      <c r="H1405">
        <v>1233.4350000000002</v>
      </c>
      <c r="I1405">
        <f>Orders[[#This Row],[Quantity]]*Orders[[#This Row],[Selling Price]]</f>
        <v>5804.4000000000005</v>
      </c>
      <c r="J1405">
        <f>Orders[[#This Row],[Quantity]]*Orders[[#This Row],[Cost Price]]</f>
        <v>4933.7400000000007</v>
      </c>
      <c r="K1405">
        <f>Orders[[#This Row],[Revenue]]-Orders[[#This Row],[Expenses]]</f>
        <v>870.65999999999985</v>
      </c>
      <c r="L1405" t="s">
        <v>2200</v>
      </c>
      <c r="M1405" t="str">
        <f>_xlfn.XLOOKUP(Orders[[#This Row],[CustomerID]],Customers[CustomerID],Customers[City])</f>
        <v>Texas</v>
      </c>
      <c r="N1405" t="str">
        <f>_xlfn.XLOOKUP(Orders[[#This Row],[CustomerID]],Customers[CustomerID],Customers[CustomerName])</f>
        <v>Blessing Eze</v>
      </c>
      <c r="O1405" t="str">
        <f>_xlfn.XLOOKUP(Orders[[#This Row],[CustomerID]],Customers[CustomerID],Customers[Gender])</f>
        <v>Female</v>
      </c>
      <c r="P1405">
        <f>_xlfn.XLOOKUP(Orders[[#This Row],[CustomerID]],Customers[CustomerID],Customers[CustomerAge])</f>
        <v>24</v>
      </c>
      <c r="Q1405" t="str">
        <f>IF(Orders[[#This Row],[Age]]&gt;=35,"older","young")</f>
        <v>young</v>
      </c>
      <c r="R1405" t="str">
        <f>_xlfn.XLOOKUP(Orders[[#This Row],[ProductID]],Products[ProductID],Products[ProductName])</f>
        <v>GYM WEARS</v>
      </c>
      <c r="S1405" t="str">
        <f>_xlfn.XLOOKUP(Orders[[#This Row],[ProductID]],Products!A:A,Products!C:C)</f>
        <v>Clothing</v>
      </c>
    </row>
    <row r="1406" spans="1:19" x14ac:dyDescent="0.2">
      <c r="A1406" s="4" t="s">
        <v>1595</v>
      </c>
      <c r="B1406" s="5">
        <v>45990</v>
      </c>
      <c r="C1406" s="15">
        <f>WEEKNUM(Orders[[#This Row],[OrderDate]])</f>
        <v>48</v>
      </c>
      <c r="D1406" s="4" t="s">
        <v>369</v>
      </c>
      <c r="E1406" s="4" t="s">
        <v>34</v>
      </c>
      <c r="F1406" s="4">
        <v>3</v>
      </c>
      <c r="G1406" s="4">
        <v>16218.800000000001</v>
      </c>
      <c r="H1406">
        <v>13785.980000000001</v>
      </c>
      <c r="I1406">
        <f>Orders[[#This Row],[Quantity]]*Orders[[#This Row],[Selling Price]]</f>
        <v>48656.4</v>
      </c>
      <c r="J1406">
        <f>Orders[[#This Row],[Quantity]]*Orders[[#This Row],[Cost Price]]</f>
        <v>41357.94</v>
      </c>
      <c r="K1406">
        <f>Orders[[#This Row],[Revenue]]-Orders[[#This Row],[Expenses]]</f>
        <v>7298.4599999999991</v>
      </c>
      <c r="L1406" t="s">
        <v>2204</v>
      </c>
      <c r="M1406" t="str">
        <f>_xlfn.XLOOKUP(Orders[[#This Row],[CustomerID]],Customers[CustomerID],Customers[City])</f>
        <v>Washington</v>
      </c>
      <c r="N1406" t="str">
        <f>_xlfn.XLOOKUP(Orders[[#This Row],[CustomerID]],Customers[CustomerID],Customers[CustomerName])</f>
        <v>Ibrahim Bello</v>
      </c>
      <c r="O1406" t="str">
        <f>_xlfn.XLOOKUP(Orders[[#This Row],[CustomerID]],Customers[CustomerID],Customers[Gender])</f>
        <v>Male</v>
      </c>
      <c r="P1406">
        <f>_xlfn.XLOOKUP(Orders[[#This Row],[CustomerID]],Customers[CustomerID],Customers[CustomerAge])</f>
        <v>40</v>
      </c>
      <c r="Q1406" t="str">
        <f>IF(Orders[[#This Row],[Age]]&gt;=35,"older","young")</f>
        <v>older</v>
      </c>
      <c r="R1406" t="str">
        <f>_xlfn.XLOOKUP(Orders[[#This Row],[ProductID]],Products[ProductID],Products[ProductName])</f>
        <v>GOLD BRACELETS</v>
      </c>
      <c r="S1406" t="str">
        <f>_xlfn.XLOOKUP(Orders[[#This Row],[ProductID]],Products!A:A,Products!C:C)</f>
        <v>Accessories</v>
      </c>
    </row>
    <row r="1407" spans="1:19" x14ac:dyDescent="0.2">
      <c r="A1407" s="4" t="s">
        <v>1596</v>
      </c>
      <c r="B1407" s="5">
        <v>45939</v>
      </c>
      <c r="C1407" s="15">
        <f>WEEKNUM(Orders[[#This Row],[OrderDate]])</f>
        <v>41</v>
      </c>
      <c r="D1407" s="4" t="s">
        <v>122</v>
      </c>
      <c r="E1407" s="4" t="s">
        <v>120</v>
      </c>
      <c r="F1407" s="4">
        <v>10</v>
      </c>
      <c r="G1407" s="4">
        <v>5885.9000000000005</v>
      </c>
      <c r="H1407">
        <v>5003.0150000000003</v>
      </c>
      <c r="I1407">
        <f>Orders[[#This Row],[Quantity]]*Orders[[#This Row],[Selling Price]]</f>
        <v>58859.000000000007</v>
      </c>
      <c r="J1407">
        <f>Orders[[#This Row],[Quantity]]*Orders[[#This Row],[Cost Price]]</f>
        <v>50030.15</v>
      </c>
      <c r="K1407">
        <f>Orders[[#This Row],[Revenue]]-Orders[[#This Row],[Expenses]]</f>
        <v>8828.8500000000058</v>
      </c>
      <c r="L1407" t="s">
        <v>2211</v>
      </c>
      <c r="M1407" t="str">
        <f>_xlfn.XLOOKUP(Orders[[#This Row],[CustomerID]],Customers[CustomerID],Customers[City])</f>
        <v>Texas</v>
      </c>
      <c r="N1407" t="str">
        <f>_xlfn.XLOOKUP(Orders[[#This Row],[CustomerID]],Customers[CustomerID],Customers[CustomerName])</f>
        <v>Ibrahim Eze</v>
      </c>
      <c r="O1407" t="str">
        <f>_xlfn.XLOOKUP(Orders[[#This Row],[CustomerID]],Customers[CustomerID],Customers[Gender])</f>
        <v>Male</v>
      </c>
      <c r="P1407">
        <f>_xlfn.XLOOKUP(Orders[[#This Row],[CustomerID]],Customers[CustomerID],Customers[CustomerAge])</f>
        <v>52</v>
      </c>
      <c r="Q1407" t="str">
        <f>IF(Orders[[#This Row],[Age]]&gt;=35,"older","young")</f>
        <v>older</v>
      </c>
      <c r="R1407" t="str">
        <f>_xlfn.XLOOKUP(Orders[[#This Row],[ProductID]],Products[ProductID],Products[ProductName])</f>
        <v>CHESS</v>
      </c>
      <c r="S1407" t="str">
        <f>_xlfn.XLOOKUP(Orders[[#This Row],[ProductID]],Products!A:A,Products!C:C)</f>
        <v>Games</v>
      </c>
    </row>
    <row r="1408" spans="1:19" x14ac:dyDescent="0.2">
      <c r="A1408" s="4" t="s">
        <v>1597</v>
      </c>
      <c r="B1408" s="5">
        <v>46015</v>
      </c>
      <c r="C1408" s="15">
        <f>WEEKNUM(Orders[[#This Row],[OrderDate]])</f>
        <v>52</v>
      </c>
      <c r="D1408" s="4" t="s">
        <v>148</v>
      </c>
      <c r="E1408" s="4" t="s">
        <v>353</v>
      </c>
      <c r="F1408" s="4">
        <v>6</v>
      </c>
      <c r="G1408" s="4">
        <v>16459.8</v>
      </c>
      <c r="H1408">
        <v>13990.83</v>
      </c>
      <c r="I1408">
        <f>Orders[[#This Row],[Quantity]]*Orders[[#This Row],[Selling Price]]</f>
        <v>98758.799999999988</v>
      </c>
      <c r="J1408">
        <f>Orders[[#This Row],[Quantity]]*Orders[[#This Row],[Cost Price]]</f>
        <v>83944.98</v>
      </c>
      <c r="K1408">
        <f>Orders[[#This Row],[Revenue]]-Orders[[#This Row],[Expenses]]</f>
        <v>14813.819999999992</v>
      </c>
      <c r="L1408" t="s">
        <v>2198</v>
      </c>
      <c r="M1408" t="str">
        <f>_xlfn.XLOOKUP(Orders[[#This Row],[CustomerID]],Customers[CustomerID],Customers[City])</f>
        <v>Florida</v>
      </c>
      <c r="N1408" t="str">
        <f>_xlfn.XLOOKUP(Orders[[#This Row],[CustomerID]],Customers[CustomerID],Customers[CustomerName])</f>
        <v>Zainab Abubakar</v>
      </c>
      <c r="O1408" t="str">
        <f>_xlfn.XLOOKUP(Orders[[#This Row],[CustomerID]],Customers[CustomerID],Customers[Gender])</f>
        <v>Female</v>
      </c>
      <c r="P1408">
        <f>_xlfn.XLOOKUP(Orders[[#This Row],[CustomerID]],Customers[CustomerID],Customers[CustomerAge])</f>
        <v>29</v>
      </c>
      <c r="Q1408" t="str">
        <f>IF(Orders[[#This Row],[Age]]&gt;=35,"older","young")</f>
        <v>young</v>
      </c>
      <c r="R1408" t="str">
        <f>_xlfn.XLOOKUP(Orders[[#This Row],[ProductID]],Products[ProductID],Products[ProductName])</f>
        <v>SILVER EARRINGS AND NECKLACES</v>
      </c>
      <c r="S1408" t="str">
        <f>_xlfn.XLOOKUP(Orders[[#This Row],[ProductID]],Products!A:A,Products!C:C)</f>
        <v>Accessories</v>
      </c>
    </row>
    <row r="1409" spans="1:19" x14ac:dyDescent="0.2">
      <c r="A1409" s="4" t="s">
        <v>1598</v>
      </c>
      <c r="B1409" s="5">
        <v>45950</v>
      </c>
      <c r="C1409" s="15">
        <f>WEEKNUM(Orders[[#This Row],[OrderDate]])</f>
        <v>43</v>
      </c>
      <c r="D1409" s="4" t="s">
        <v>374</v>
      </c>
      <c r="E1409" s="4" t="s">
        <v>189</v>
      </c>
      <c r="F1409" s="4">
        <v>8</v>
      </c>
      <c r="G1409" s="4">
        <v>6879.2</v>
      </c>
      <c r="H1409">
        <v>5847.32</v>
      </c>
      <c r="I1409">
        <f>Orders[[#This Row],[Quantity]]*Orders[[#This Row],[Selling Price]]</f>
        <v>55033.599999999999</v>
      </c>
      <c r="J1409">
        <f>Orders[[#This Row],[Quantity]]*Orders[[#This Row],[Cost Price]]</f>
        <v>46778.559999999998</v>
      </c>
      <c r="K1409">
        <f>Orders[[#This Row],[Revenue]]-Orders[[#This Row],[Expenses]]</f>
        <v>8255.0400000000009</v>
      </c>
      <c r="L1409" t="s">
        <v>2194</v>
      </c>
      <c r="M1409" t="str">
        <f>_xlfn.XLOOKUP(Orders[[#This Row],[CustomerID]],Customers[CustomerID],Customers[City])</f>
        <v>Texas</v>
      </c>
      <c r="N1409" t="str">
        <f>_xlfn.XLOOKUP(Orders[[#This Row],[CustomerID]],Customers[CustomerID],Customers[CustomerName])</f>
        <v>Uche Okonkwo</v>
      </c>
      <c r="O1409" t="str">
        <f>_xlfn.XLOOKUP(Orders[[#This Row],[CustomerID]],Customers[CustomerID],Customers[Gender])</f>
        <v>Male</v>
      </c>
      <c r="P1409">
        <f>_xlfn.XLOOKUP(Orders[[#This Row],[CustomerID]],Customers[CustomerID],Customers[CustomerAge])</f>
        <v>27</v>
      </c>
      <c r="Q1409" t="str">
        <f>IF(Orders[[#This Row],[Age]]&gt;=35,"older","young")</f>
        <v>young</v>
      </c>
      <c r="R1409" t="str">
        <f>_xlfn.XLOOKUP(Orders[[#This Row],[ProductID]],Products[ProductID],Products[ProductName])</f>
        <v>SCRABBLE</v>
      </c>
      <c r="S1409" t="str">
        <f>_xlfn.XLOOKUP(Orders[[#This Row],[ProductID]],Products!A:A,Products!C:C)</f>
        <v>Games</v>
      </c>
    </row>
    <row r="1410" spans="1:19" x14ac:dyDescent="0.2">
      <c r="A1410" s="4" t="s">
        <v>1599</v>
      </c>
      <c r="B1410" s="5">
        <v>45983</v>
      </c>
      <c r="C1410" s="15">
        <f>WEEKNUM(Orders[[#This Row],[OrderDate]])</f>
        <v>47</v>
      </c>
      <c r="D1410" s="4" t="s">
        <v>205</v>
      </c>
      <c r="E1410" s="4" t="s">
        <v>189</v>
      </c>
      <c r="F1410" s="4">
        <v>5</v>
      </c>
      <c r="G1410" s="4">
        <v>10690.5</v>
      </c>
      <c r="H1410">
        <v>9086.9249999999993</v>
      </c>
      <c r="I1410">
        <f>Orders[[#This Row],[Quantity]]*Orders[[#This Row],[Selling Price]]</f>
        <v>53452.5</v>
      </c>
      <c r="J1410">
        <f>Orders[[#This Row],[Quantity]]*Orders[[#This Row],[Cost Price]]</f>
        <v>45434.625</v>
      </c>
      <c r="K1410">
        <f>Orders[[#This Row],[Revenue]]-Orders[[#This Row],[Expenses]]</f>
        <v>8017.875</v>
      </c>
      <c r="L1410" t="s">
        <v>2192</v>
      </c>
      <c r="M1410" t="str">
        <f>_xlfn.XLOOKUP(Orders[[#This Row],[CustomerID]],Customers[CustomerID],Customers[City])</f>
        <v>Washington</v>
      </c>
      <c r="N1410" t="str">
        <f>_xlfn.XLOOKUP(Orders[[#This Row],[CustomerID]],Customers[CustomerID],Customers[CustomerName])</f>
        <v>Jide Adeyemi</v>
      </c>
      <c r="O1410" t="str">
        <f>_xlfn.XLOOKUP(Orders[[#This Row],[CustomerID]],Customers[CustomerID],Customers[Gender])</f>
        <v>Male</v>
      </c>
      <c r="P1410">
        <f>_xlfn.XLOOKUP(Orders[[#This Row],[CustomerID]],Customers[CustomerID],Customers[CustomerAge])</f>
        <v>19</v>
      </c>
      <c r="Q1410" t="str">
        <f>IF(Orders[[#This Row],[Age]]&gt;=35,"older","young")</f>
        <v>young</v>
      </c>
      <c r="R1410" t="str">
        <f>_xlfn.XLOOKUP(Orders[[#This Row],[ProductID]],Products[ProductID],Products[ProductName])</f>
        <v>SCRABBLE</v>
      </c>
      <c r="S1410" t="str">
        <f>_xlfn.XLOOKUP(Orders[[#This Row],[ProductID]],Products!A:A,Products!C:C)</f>
        <v>Games</v>
      </c>
    </row>
    <row r="1411" spans="1:19" x14ac:dyDescent="0.2">
      <c r="A1411" s="4" t="s">
        <v>1600</v>
      </c>
      <c r="B1411" s="5">
        <v>45952</v>
      </c>
      <c r="C1411" s="15">
        <f>WEEKNUM(Orders[[#This Row],[OrderDate]])</f>
        <v>43</v>
      </c>
      <c r="D1411" s="4" t="s">
        <v>227</v>
      </c>
      <c r="E1411" s="4" t="s">
        <v>25</v>
      </c>
      <c r="F1411" s="4">
        <v>7</v>
      </c>
      <c r="G1411" s="4">
        <v>10819.2</v>
      </c>
      <c r="H1411">
        <v>9196.32</v>
      </c>
      <c r="I1411">
        <f>Orders[[#This Row],[Quantity]]*Orders[[#This Row],[Selling Price]]</f>
        <v>75734.400000000009</v>
      </c>
      <c r="J1411">
        <f>Orders[[#This Row],[Quantity]]*Orders[[#This Row],[Cost Price]]</f>
        <v>64374.239999999998</v>
      </c>
      <c r="K1411">
        <f>Orders[[#This Row],[Revenue]]-Orders[[#This Row],[Expenses]]</f>
        <v>11360.160000000011</v>
      </c>
      <c r="L1411" t="s">
        <v>2199</v>
      </c>
      <c r="M1411" t="str">
        <f>_xlfn.XLOOKUP(Orders[[#This Row],[CustomerID]],Customers[CustomerID],Customers[City])</f>
        <v>Washington</v>
      </c>
      <c r="N1411" t="str">
        <f>_xlfn.XLOOKUP(Orders[[#This Row],[CustomerID]],Customers[CustomerID],Customers[CustomerName])</f>
        <v>Emmanuel Victor</v>
      </c>
      <c r="O1411" t="str">
        <f>_xlfn.XLOOKUP(Orders[[#This Row],[CustomerID]],Customers[CustomerID],Customers[Gender])</f>
        <v>Male</v>
      </c>
      <c r="P1411">
        <f>_xlfn.XLOOKUP(Orders[[#This Row],[CustomerID]],Customers[CustomerID],Customers[CustomerAge])</f>
        <v>35</v>
      </c>
      <c r="Q1411" t="str">
        <f>IF(Orders[[#This Row],[Age]]&gt;=35,"older","young")</f>
        <v>older</v>
      </c>
      <c r="R1411" t="str">
        <f>_xlfn.XLOOKUP(Orders[[#This Row],[ProductID]],Products[ProductID],Products[ProductName])</f>
        <v>GOLD RINGS</v>
      </c>
      <c r="S1411" t="str">
        <f>_xlfn.XLOOKUP(Orders[[#This Row],[ProductID]],Products!A:A,Products!C:C)</f>
        <v>Accessories</v>
      </c>
    </row>
    <row r="1412" spans="1:19" x14ac:dyDescent="0.2">
      <c r="A1412" s="4" t="s">
        <v>1601</v>
      </c>
      <c r="B1412" s="5">
        <v>46017</v>
      </c>
      <c r="C1412" s="15">
        <f>WEEKNUM(Orders[[#This Row],[OrderDate]])</f>
        <v>52</v>
      </c>
      <c r="D1412" s="4" t="s">
        <v>96</v>
      </c>
      <c r="E1412" s="4" t="s">
        <v>60</v>
      </c>
      <c r="F1412" s="4">
        <v>6</v>
      </c>
      <c r="G1412" s="4">
        <v>15791.400000000001</v>
      </c>
      <c r="H1412">
        <v>13422.690000000002</v>
      </c>
      <c r="I1412">
        <f>Orders[[#This Row],[Quantity]]*Orders[[#This Row],[Selling Price]]</f>
        <v>94748.400000000009</v>
      </c>
      <c r="J1412">
        <f>Orders[[#This Row],[Quantity]]*Orders[[#This Row],[Cost Price]]</f>
        <v>80536.140000000014</v>
      </c>
      <c r="K1412">
        <f>Orders[[#This Row],[Revenue]]-Orders[[#This Row],[Expenses]]</f>
        <v>14212.259999999995</v>
      </c>
      <c r="L1412" t="s">
        <v>2210</v>
      </c>
      <c r="M1412" t="str">
        <f>_xlfn.XLOOKUP(Orders[[#This Row],[CustomerID]],Customers[CustomerID],Customers[City])</f>
        <v>Texas</v>
      </c>
      <c r="N1412" t="str">
        <f>_xlfn.XLOOKUP(Orders[[#This Row],[CustomerID]],Customers[CustomerID],Customers[CustomerName])</f>
        <v>Amina Abubakar</v>
      </c>
      <c r="O1412" t="str">
        <f>_xlfn.XLOOKUP(Orders[[#This Row],[CustomerID]],Customers[CustomerID],Customers[Gender])</f>
        <v>Female</v>
      </c>
      <c r="P1412">
        <f>_xlfn.XLOOKUP(Orders[[#This Row],[CustomerID]],Customers[CustomerID],Customers[CustomerAge])</f>
        <v>35</v>
      </c>
      <c r="Q1412" t="str">
        <f>IF(Orders[[#This Row],[Age]]&gt;=35,"older","young")</f>
        <v>older</v>
      </c>
      <c r="R1412" t="str">
        <f>_xlfn.XLOOKUP(Orders[[#This Row],[ProductID]],Products[ProductID],Products[ProductName])</f>
        <v>SILVER RINGS</v>
      </c>
      <c r="S1412" t="str">
        <f>_xlfn.XLOOKUP(Orders[[#This Row],[ProductID]],Products!A:A,Products!C:C)</f>
        <v>Accessories</v>
      </c>
    </row>
    <row r="1413" spans="1:19" x14ac:dyDescent="0.2">
      <c r="A1413" s="4" t="s">
        <v>1602</v>
      </c>
      <c r="B1413" s="5">
        <v>45932</v>
      </c>
      <c r="C1413" s="15">
        <f>WEEKNUM(Orders[[#This Row],[OrderDate]])</f>
        <v>40</v>
      </c>
      <c r="D1413" s="4" t="s">
        <v>307</v>
      </c>
      <c r="E1413" s="4" t="s">
        <v>9</v>
      </c>
      <c r="F1413" s="4">
        <v>9</v>
      </c>
      <c r="G1413" s="4">
        <v>16183.099999999999</v>
      </c>
      <c r="H1413">
        <v>13755.634999999998</v>
      </c>
      <c r="I1413">
        <f>Orders[[#This Row],[Quantity]]*Orders[[#This Row],[Selling Price]]</f>
        <v>145647.9</v>
      </c>
      <c r="J1413">
        <f>Orders[[#This Row],[Quantity]]*Orders[[#This Row],[Cost Price]]</f>
        <v>123800.71499999998</v>
      </c>
      <c r="K1413">
        <f>Orders[[#This Row],[Revenue]]-Orders[[#This Row],[Expenses]]</f>
        <v>21847.185000000012</v>
      </c>
      <c r="L1413" t="s">
        <v>2194</v>
      </c>
      <c r="M1413" t="str">
        <f>_xlfn.XLOOKUP(Orders[[#This Row],[CustomerID]],Customers[CustomerID],Customers[City])</f>
        <v>Illinois</v>
      </c>
      <c r="N1413" t="str">
        <f>_xlfn.XLOOKUP(Orders[[#This Row],[CustomerID]],Customers[CustomerID],Customers[CustomerName])</f>
        <v>Adanma Bello</v>
      </c>
      <c r="O1413" t="str">
        <f>_xlfn.XLOOKUP(Orders[[#This Row],[CustomerID]],Customers[CustomerID],Customers[Gender])</f>
        <v>Female</v>
      </c>
      <c r="P1413">
        <f>_xlfn.XLOOKUP(Orders[[#This Row],[CustomerID]],Customers[CustomerID],Customers[CustomerAge])</f>
        <v>51</v>
      </c>
      <c r="Q1413" t="str">
        <f>IF(Orders[[#This Row],[Age]]&gt;=35,"older","young")</f>
        <v>older</v>
      </c>
      <c r="R1413" t="str">
        <f>_xlfn.XLOOKUP(Orders[[#This Row],[ProductID]],Products[ProductID],Products[ProductName])</f>
        <v>BEADED EARRINGS AND NECKLACES</v>
      </c>
      <c r="S1413" t="str">
        <f>_xlfn.XLOOKUP(Orders[[#This Row],[ProductID]],Products!A:A,Products!C:C)</f>
        <v>Accessories</v>
      </c>
    </row>
    <row r="1414" spans="1:19" x14ac:dyDescent="0.2">
      <c r="A1414" s="4" t="s">
        <v>1603</v>
      </c>
      <c r="B1414" s="5">
        <v>45953</v>
      </c>
      <c r="C1414" s="15">
        <f>WEEKNUM(Orders[[#This Row],[OrderDate]])</f>
        <v>43</v>
      </c>
      <c r="D1414" s="4" t="s">
        <v>94</v>
      </c>
      <c r="E1414" s="4" t="s">
        <v>15</v>
      </c>
      <c r="F1414" s="4">
        <v>6</v>
      </c>
      <c r="G1414" s="4">
        <v>6847.4</v>
      </c>
      <c r="H1414">
        <v>5820.29</v>
      </c>
      <c r="I1414">
        <f>Orders[[#This Row],[Quantity]]*Orders[[#This Row],[Selling Price]]</f>
        <v>41084.399999999994</v>
      </c>
      <c r="J1414">
        <f>Orders[[#This Row],[Quantity]]*Orders[[#This Row],[Cost Price]]</f>
        <v>34921.74</v>
      </c>
      <c r="K1414">
        <f>Orders[[#This Row],[Revenue]]-Orders[[#This Row],[Expenses]]</f>
        <v>6162.6599999999962</v>
      </c>
      <c r="L1414" t="s">
        <v>2218</v>
      </c>
      <c r="M1414" t="str">
        <f>_xlfn.XLOOKUP(Orders[[#This Row],[CustomerID]],Customers[CustomerID],Customers[City])</f>
        <v>Texas</v>
      </c>
      <c r="N1414" t="str">
        <f>_xlfn.XLOOKUP(Orders[[#This Row],[CustomerID]],Customers[CustomerID],Customers[CustomerName])</f>
        <v>Uche Abubakar</v>
      </c>
      <c r="O1414" t="str">
        <f>_xlfn.XLOOKUP(Orders[[#This Row],[CustomerID]],Customers[CustomerID],Customers[Gender])</f>
        <v>Male</v>
      </c>
      <c r="P1414">
        <f>_xlfn.XLOOKUP(Orders[[#This Row],[CustomerID]],Customers[CustomerID],Customers[CustomerAge])</f>
        <v>26</v>
      </c>
      <c r="Q1414" t="str">
        <f>IF(Orders[[#This Row],[Age]]&gt;=35,"older","young")</f>
        <v>young</v>
      </c>
      <c r="R1414" t="str">
        <f>_xlfn.XLOOKUP(Orders[[#This Row],[ProductID]],Products[ProductID],Products[ProductName])</f>
        <v>MONOPOLY</v>
      </c>
      <c r="S1414" t="str">
        <f>_xlfn.XLOOKUP(Orders[[#This Row],[ProductID]],Products!A:A,Products!C:C)</f>
        <v>Games</v>
      </c>
    </row>
    <row r="1415" spans="1:19" x14ac:dyDescent="0.2">
      <c r="A1415" s="4" t="s">
        <v>1604</v>
      </c>
      <c r="B1415" s="5">
        <v>46009</v>
      </c>
      <c r="C1415" s="15">
        <f>WEEKNUM(Orders[[#This Row],[OrderDate]])</f>
        <v>51</v>
      </c>
      <c r="D1415" s="4" t="s">
        <v>203</v>
      </c>
      <c r="E1415" s="4" t="s">
        <v>23</v>
      </c>
      <c r="F1415" s="4">
        <v>9</v>
      </c>
      <c r="G1415" s="4">
        <v>8914.4000000000015</v>
      </c>
      <c r="H1415">
        <v>7577.2400000000016</v>
      </c>
      <c r="I1415">
        <f>Orders[[#This Row],[Quantity]]*Orders[[#This Row],[Selling Price]]</f>
        <v>80229.600000000006</v>
      </c>
      <c r="J1415">
        <f>Orders[[#This Row],[Quantity]]*Orders[[#This Row],[Cost Price]]</f>
        <v>68195.160000000018</v>
      </c>
      <c r="K1415">
        <f>Orders[[#This Row],[Revenue]]-Orders[[#This Row],[Expenses]]</f>
        <v>12034.439999999988</v>
      </c>
      <c r="L1415" t="s">
        <v>2196</v>
      </c>
      <c r="M1415" t="str">
        <f>_xlfn.XLOOKUP(Orders[[#This Row],[CustomerID]],Customers[CustomerID],Customers[City])</f>
        <v>Texas</v>
      </c>
      <c r="N1415" t="str">
        <f>_xlfn.XLOOKUP(Orders[[#This Row],[CustomerID]],Customers[CustomerID],Customers[CustomerName])</f>
        <v>Okon Bello</v>
      </c>
      <c r="O1415" t="str">
        <f>_xlfn.XLOOKUP(Orders[[#This Row],[CustomerID]],Customers[CustomerID],Customers[Gender])</f>
        <v>Male</v>
      </c>
      <c r="P1415">
        <f>_xlfn.XLOOKUP(Orders[[#This Row],[CustomerID]],Customers[CustomerID],Customers[CustomerAge])</f>
        <v>20</v>
      </c>
      <c r="Q1415" t="str">
        <f>IF(Orders[[#This Row],[Age]]&gt;=35,"older","young")</f>
        <v>young</v>
      </c>
      <c r="R1415" t="str">
        <f>_xlfn.XLOOKUP(Orders[[#This Row],[ProductID]],Products[ProductID],Products[ProductName])</f>
        <v>GYM GLOVES</v>
      </c>
      <c r="S1415" t="str">
        <f>_xlfn.XLOOKUP(Orders[[#This Row],[ProductID]],Products!A:A,Products!C:C)</f>
        <v>Gym</v>
      </c>
    </row>
    <row r="1416" spans="1:19" x14ac:dyDescent="0.2">
      <c r="A1416" s="4" t="s">
        <v>1605</v>
      </c>
      <c r="B1416" s="5">
        <v>45968</v>
      </c>
      <c r="C1416" s="15">
        <f>WEEKNUM(Orders[[#This Row],[OrderDate]])</f>
        <v>45</v>
      </c>
      <c r="D1416" s="4" t="s">
        <v>83</v>
      </c>
      <c r="E1416" s="4" t="s">
        <v>15</v>
      </c>
      <c r="F1416" s="4">
        <v>2</v>
      </c>
      <c r="G1416" s="4">
        <v>16141.7</v>
      </c>
      <c r="H1416">
        <v>13720.445</v>
      </c>
      <c r="I1416">
        <f>Orders[[#This Row],[Quantity]]*Orders[[#This Row],[Selling Price]]</f>
        <v>32283.4</v>
      </c>
      <c r="J1416">
        <f>Orders[[#This Row],[Quantity]]*Orders[[#This Row],[Cost Price]]</f>
        <v>27440.89</v>
      </c>
      <c r="K1416">
        <f>Orders[[#This Row],[Revenue]]-Orders[[#This Row],[Expenses]]</f>
        <v>4842.510000000002</v>
      </c>
      <c r="L1416" t="s">
        <v>2209</v>
      </c>
      <c r="M1416" t="str">
        <f>_xlfn.XLOOKUP(Orders[[#This Row],[CustomerID]],Customers[CustomerID],Customers[City])</f>
        <v>Florida</v>
      </c>
      <c r="N1416" t="str">
        <f>_xlfn.XLOOKUP(Orders[[#This Row],[CustomerID]],Customers[CustomerID],Customers[CustomerName])</f>
        <v>Funke Danladi</v>
      </c>
      <c r="O1416" t="str">
        <f>_xlfn.XLOOKUP(Orders[[#This Row],[CustomerID]],Customers[CustomerID],Customers[Gender])</f>
        <v>Female</v>
      </c>
      <c r="P1416">
        <f>_xlfn.XLOOKUP(Orders[[#This Row],[CustomerID]],Customers[CustomerID],Customers[CustomerAge])</f>
        <v>26</v>
      </c>
      <c r="Q1416" t="str">
        <f>IF(Orders[[#This Row],[Age]]&gt;=35,"older","young")</f>
        <v>young</v>
      </c>
      <c r="R1416" t="str">
        <f>_xlfn.XLOOKUP(Orders[[#This Row],[ProductID]],Products[ProductID],Products[ProductName])</f>
        <v>MONOPOLY</v>
      </c>
      <c r="S1416" t="str">
        <f>_xlfn.XLOOKUP(Orders[[#This Row],[ProductID]],Products!A:A,Products!C:C)</f>
        <v>Games</v>
      </c>
    </row>
    <row r="1417" spans="1:19" x14ac:dyDescent="0.2">
      <c r="A1417" s="4" t="s">
        <v>1606</v>
      </c>
      <c r="B1417" s="5">
        <v>46004</v>
      </c>
      <c r="C1417" s="15">
        <f>WEEKNUM(Orders[[#This Row],[OrderDate]])</f>
        <v>50</v>
      </c>
      <c r="D1417" s="4" t="s">
        <v>309</v>
      </c>
      <c r="E1417" s="4" t="s">
        <v>151</v>
      </c>
      <c r="F1417" s="4">
        <v>4</v>
      </c>
      <c r="G1417" s="4">
        <v>8022.1</v>
      </c>
      <c r="H1417">
        <v>6818.7849999999999</v>
      </c>
      <c r="I1417">
        <f>Orders[[#This Row],[Quantity]]*Orders[[#This Row],[Selling Price]]</f>
        <v>32088.400000000001</v>
      </c>
      <c r="J1417">
        <f>Orders[[#This Row],[Quantity]]*Orders[[#This Row],[Cost Price]]</f>
        <v>27275.14</v>
      </c>
      <c r="K1417">
        <f>Orders[[#This Row],[Revenue]]-Orders[[#This Row],[Expenses]]</f>
        <v>4813.260000000002</v>
      </c>
      <c r="L1417" t="s">
        <v>2199</v>
      </c>
      <c r="M1417" t="str">
        <f>_xlfn.XLOOKUP(Orders[[#This Row],[CustomerID]],Customers[CustomerID],Customers[City])</f>
        <v>Washington</v>
      </c>
      <c r="N1417" t="str">
        <f>_xlfn.XLOOKUP(Orders[[#This Row],[CustomerID]],Customers[CustomerID],Customers[CustomerName])</f>
        <v>Temi Ojo</v>
      </c>
      <c r="O1417" t="str">
        <f>_xlfn.XLOOKUP(Orders[[#This Row],[CustomerID]],Customers[CustomerID],Customers[Gender])</f>
        <v>Female</v>
      </c>
      <c r="P1417">
        <f>_xlfn.XLOOKUP(Orders[[#This Row],[CustomerID]],Customers[CustomerID],Customers[CustomerAge])</f>
        <v>36</v>
      </c>
      <c r="Q1417" t="str">
        <f>IF(Orders[[#This Row],[Age]]&gt;=35,"older","young")</f>
        <v>older</v>
      </c>
      <c r="R1417" t="str">
        <f>_xlfn.XLOOKUP(Orders[[#This Row],[ProductID]],Products[ProductID],Products[ProductName])</f>
        <v>CHECKERS</v>
      </c>
      <c r="S1417" t="str">
        <f>_xlfn.XLOOKUP(Orders[[#This Row],[ProductID]],Products!A:A,Products!C:C)</f>
        <v>Games</v>
      </c>
    </row>
    <row r="1418" spans="1:19" x14ac:dyDescent="0.2">
      <c r="A1418" s="4" t="s">
        <v>1607</v>
      </c>
      <c r="B1418" s="5">
        <v>46012</v>
      </c>
      <c r="C1418" s="15">
        <f>WEEKNUM(Orders[[#This Row],[OrderDate]])</f>
        <v>52</v>
      </c>
      <c r="D1418" s="4" t="s">
        <v>122</v>
      </c>
      <c r="E1418" s="4" t="s">
        <v>20</v>
      </c>
      <c r="F1418" s="4">
        <v>6</v>
      </c>
      <c r="G1418" s="4">
        <v>17545.2</v>
      </c>
      <c r="H1418">
        <v>14913.42</v>
      </c>
      <c r="I1418">
        <f>Orders[[#This Row],[Quantity]]*Orders[[#This Row],[Selling Price]]</f>
        <v>105271.20000000001</v>
      </c>
      <c r="J1418">
        <f>Orders[[#This Row],[Quantity]]*Orders[[#This Row],[Cost Price]]</f>
        <v>89480.52</v>
      </c>
      <c r="K1418">
        <f>Orders[[#This Row],[Revenue]]-Orders[[#This Row],[Expenses]]</f>
        <v>15790.680000000008</v>
      </c>
      <c r="L1418" t="s">
        <v>2197</v>
      </c>
      <c r="M1418" t="str">
        <f>_xlfn.XLOOKUP(Orders[[#This Row],[CustomerID]],Customers[CustomerID],Customers[City])</f>
        <v>Texas</v>
      </c>
      <c r="N1418" t="str">
        <f>_xlfn.XLOOKUP(Orders[[#This Row],[CustomerID]],Customers[CustomerID],Customers[CustomerName])</f>
        <v>Ibrahim Eze</v>
      </c>
      <c r="O1418" t="str">
        <f>_xlfn.XLOOKUP(Orders[[#This Row],[CustomerID]],Customers[CustomerID],Customers[Gender])</f>
        <v>Male</v>
      </c>
      <c r="P1418">
        <f>_xlfn.XLOOKUP(Orders[[#This Row],[CustomerID]],Customers[CustomerID],Customers[CustomerAge])</f>
        <v>52</v>
      </c>
      <c r="Q1418" t="str">
        <f>IF(Orders[[#This Row],[Age]]&gt;=35,"older","young")</f>
        <v>older</v>
      </c>
      <c r="R1418" t="str">
        <f>_xlfn.XLOOKUP(Orders[[#This Row],[ProductID]],Products[ProductID],Products[ProductName])</f>
        <v>GYM BAG</v>
      </c>
      <c r="S1418" t="str">
        <f>_xlfn.XLOOKUP(Orders[[#This Row],[ProductID]],Products!A:A,Products!C:C)</f>
        <v>Gym</v>
      </c>
    </row>
    <row r="1419" spans="1:19" x14ac:dyDescent="0.2">
      <c r="A1419" s="4" t="s">
        <v>1608</v>
      </c>
      <c r="B1419" s="5">
        <v>46021</v>
      </c>
      <c r="C1419" s="15">
        <f>WEEKNUM(Orders[[#This Row],[OrderDate]])</f>
        <v>53</v>
      </c>
      <c r="D1419" s="4" t="s">
        <v>91</v>
      </c>
      <c r="E1419" s="4" t="s">
        <v>60</v>
      </c>
      <c r="F1419" s="4">
        <v>10</v>
      </c>
      <c r="G1419" s="4">
        <v>11937.1</v>
      </c>
      <c r="H1419">
        <v>10146.535</v>
      </c>
      <c r="I1419">
        <f>Orders[[#This Row],[Quantity]]*Orders[[#This Row],[Selling Price]]</f>
        <v>119371</v>
      </c>
      <c r="J1419">
        <f>Orders[[#This Row],[Quantity]]*Orders[[#This Row],[Cost Price]]</f>
        <v>101465.35</v>
      </c>
      <c r="K1419">
        <f>Orders[[#This Row],[Revenue]]-Orders[[#This Row],[Expenses]]</f>
        <v>17905.649999999994</v>
      </c>
      <c r="L1419" t="s">
        <v>2197</v>
      </c>
      <c r="M1419" t="str">
        <f>_xlfn.XLOOKUP(Orders[[#This Row],[CustomerID]],Customers[CustomerID],Customers[City])</f>
        <v>Florida</v>
      </c>
      <c r="N1419" t="str">
        <f>_xlfn.XLOOKUP(Orders[[#This Row],[CustomerID]],Customers[CustomerID],Customers[CustomerName])</f>
        <v>Uche Abubakar</v>
      </c>
      <c r="O1419" t="str">
        <f>_xlfn.XLOOKUP(Orders[[#This Row],[CustomerID]],Customers[CustomerID],Customers[Gender])</f>
        <v>Male</v>
      </c>
      <c r="P1419">
        <f>_xlfn.XLOOKUP(Orders[[#This Row],[CustomerID]],Customers[CustomerID],Customers[CustomerAge])</f>
        <v>28</v>
      </c>
      <c r="Q1419" t="str">
        <f>IF(Orders[[#This Row],[Age]]&gt;=35,"older","young")</f>
        <v>young</v>
      </c>
      <c r="R1419" t="str">
        <f>_xlfn.XLOOKUP(Orders[[#This Row],[ProductID]],Products[ProductID],Products[ProductName])</f>
        <v>SILVER RINGS</v>
      </c>
      <c r="S1419" t="str">
        <f>_xlfn.XLOOKUP(Orders[[#This Row],[ProductID]],Products!A:A,Products!C:C)</f>
        <v>Accessories</v>
      </c>
    </row>
    <row r="1420" spans="1:19" x14ac:dyDescent="0.2">
      <c r="A1420" s="4" t="s">
        <v>1609</v>
      </c>
      <c r="B1420" s="5">
        <v>45992</v>
      </c>
      <c r="C1420" s="15">
        <f>WEEKNUM(Orders[[#This Row],[OrderDate]])</f>
        <v>49</v>
      </c>
      <c r="D1420" s="4" t="s">
        <v>55</v>
      </c>
      <c r="E1420" s="4" t="s">
        <v>57</v>
      </c>
      <c r="F1420" s="4">
        <v>4</v>
      </c>
      <c r="G1420" s="4">
        <v>16399.7</v>
      </c>
      <c r="H1420">
        <v>13939.745000000001</v>
      </c>
      <c r="I1420">
        <f>Orders[[#This Row],[Quantity]]*Orders[[#This Row],[Selling Price]]</f>
        <v>65598.8</v>
      </c>
      <c r="J1420">
        <f>Orders[[#This Row],[Quantity]]*Orders[[#This Row],[Cost Price]]</f>
        <v>55758.98</v>
      </c>
      <c r="K1420">
        <f>Orders[[#This Row],[Revenue]]-Orders[[#This Row],[Expenses]]</f>
        <v>9839.82</v>
      </c>
      <c r="L1420" t="s">
        <v>2213</v>
      </c>
      <c r="M1420" t="str">
        <f>_xlfn.XLOOKUP(Orders[[#This Row],[CustomerID]],Customers[CustomerID],Customers[City])</f>
        <v>California</v>
      </c>
      <c r="N1420" t="str">
        <f>_xlfn.XLOOKUP(Orders[[#This Row],[CustomerID]],Customers[CustomerID],Customers[CustomerName])</f>
        <v>Adanma Ojo</v>
      </c>
      <c r="O1420" t="str">
        <f>_xlfn.XLOOKUP(Orders[[#This Row],[CustomerID]],Customers[CustomerID],Customers[Gender])</f>
        <v>Female</v>
      </c>
      <c r="P1420">
        <f>_xlfn.XLOOKUP(Orders[[#This Row],[CustomerID]],Customers[CustomerID],Customers[CustomerAge])</f>
        <v>48</v>
      </c>
      <c r="Q1420" t="str">
        <f>IF(Orders[[#This Row],[Age]]&gt;=35,"older","young")</f>
        <v>older</v>
      </c>
      <c r="R1420" t="str">
        <f>_xlfn.XLOOKUP(Orders[[#This Row],[ProductID]],Products[ProductID],Products[ProductName])</f>
        <v>BADMINTON RACKET</v>
      </c>
      <c r="S1420" t="str">
        <f>_xlfn.XLOOKUP(Orders[[#This Row],[ProductID]],Products!A:A,Products!C:C)</f>
        <v>Sports</v>
      </c>
    </row>
    <row r="1421" spans="1:19" x14ac:dyDescent="0.2">
      <c r="A1421" s="4" t="s">
        <v>1610</v>
      </c>
      <c r="B1421" s="5">
        <v>45991</v>
      </c>
      <c r="C1421" s="15">
        <f>WEEKNUM(Orders[[#This Row],[OrderDate]])</f>
        <v>49</v>
      </c>
      <c r="D1421" s="4" t="s">
        <v>256</v>
      </c>
      <c r="E1421" s="4" t="s">
        <v>84</v>
      </c>
      <c r="F1421" s="4">
        <v>2</v>
      </c>
      <c r="G1421" s="4">
        <v>6521.7999999999993</v>
      </c>
      <c r="H1421">
        <v>5543.53</v>
      </c>
      <c r="I1421">
        <f>Orders[[#This Row],[Quantity]]*Orders[[#This Row],[Selling Price]]</f>
        <v>13043.599999999999</v>
      </c>
      <c r="J1421">
        <f>Orders[[#This Row],[Quantity]]*Orders[[#This Row],[Cost Price]]</f>
        <v>11087.06</v>
      </c>
      <c r="K1421">
        <f>Orders[[#This Row],[Revenue]]-Orders[[#This Row],[Expenses]]</f>
        <v>1956.5399999999991</v>
      </c>
      <c r="L1421" t="s">
        <v>2205</v>
      </c>
      <c r="M1421" t="str">
        <f>_xlfn.XLOOKUP(Orders[[#This Row],[CustomerID]],Customers[CustomerID],Customers[City])</f>
        <v>Georgia</v>
      </c>
      <c r="N1421" t="str">
        <f>_xlfn.XLOOKUP(Orders[[#This Row],[CustomerID]],Customers[CustomerID],Customers[CustomerName])</f>
        <v>Efe Ojo</v>
      </c>
      <c r="O1421" t="str">
        <f>_xlfn.XLOOKUP(Orders[[#This Row],[CustomerID]],Customers[CustomerID],Customers[Gender])</f>
        <v>Female</v>
      </c>
      <c r="P1421">
        <f>_xlfn.XLOOKUP(Orders[[#This Row],[CustomerID]],Customers[CustomerID],Customers[CustomerAge])</f>
        <v>23</v>
      </c>
      <c r="Q1421" t="str">
        <f>IF(Orders[[#This Row],[Age]]&gt;=35,"older","young")</f>
        <v>young</v>
      </c>
      <c r="R1421" t="str">
        <f>_xlfn.XLOOKUP(Orders[[#This Row],[ProductID]],Products[ProductID],Products[ProductName])</f>
        <v>GYM WEARS</v>
      </c>
      <c r="S1421" t="str">
        <f>_xlfn.XLOOKUP(Orders[[#This Row],[ProductID]],Products!A:A,Products!C:C)</f>
        <v>Clothing</v>
      </c>
    </row>
    <row r="1422" spans="1:19" x14ac:dyDescent="0.2">
      <c r="A1422" s="4" t="s">
        <v>1611</v>
      </c>
      <c r="B1422" s="5">
        <v>46018</v>
      </c>
      <c r="C1422" s="15">
        <f>WEEKNUM(Orders[[#This Row],[OrderDate]])</f>
        <v>52</v>
      </c>
      <c r="D1422" s="4" t="s">
        <v>649</v>
      </c>
      <c r="E1422" s="4" t="s">
        <v>232</v>
      </c>
      <c r="F1422" s="4">
        <v>1</v>
      </c>
      <c r="G1422" s="4">
        <v>10020.4</v>
      </c>
      <c r="H1422">
        <v>8517.34</v>
      </c>
      <c r="I1422">
        <f>Orders[[#This Row],[Quantity]]*Orders[[#This Row],[Selling Price]]</f>
        <v>10020.4</v>
      </c>
      <c r="J1422">
        <f>Orders[[#This Row],[Quantity]]*Orders[[#This Row],[Cost Price]]</f>
        <v>8517.34</v>
      </c>
      <c r="K1422">
        <f>Orders[[#This Row],[Revenue]]-Orders[[#This Row],[Expenses]]</f>
        <v>1503.0599999999995</v>
      </c>
      <c r="L1422" t="s">
        <v>2208</v>
      </c>
      <c r="M1422" t="str">
        <f>_xlfn.XLOOKUP(Orders[[#This Row],[CustomerID]],Customers[CustomerID],Customers[City])</f>
        <v>Washington</v>
      </c>
      <c r="N1422" t="str">
        <f>_xlfn.XLOOKUP(Orders[[#This Row],[CustomerID]],Customers[CustomerID],Customers[CustomerName])</f>
        <v>Bisi Abubakar</v>
      </c>
      <c r="O1422" t="str">
        <f>_xlfn.XLOOKUP(Orders[[#This Row],[CustomerID]],Customers[CustomerID],Customers[Gender])</f>
        <v>Female</v>
      </c>
      <c r="P1422">
        <f>_xlfn.XLOOKUP(Orders[[#This Row],[CustomerID]],Customers[CustomerID],Customers[CustomerAge])</f>
        <v>35</v>
      </c>
      <c r="Q1422" t="str">
        <f>IF(Orders[[#This Row],[Age]]&gt;=35,"older","young")</f>
        <v>older</v>
      </c>
      <c r="R1422" t="str">
        <f>_xlfn.XLOOKUP(Orders[[#This Row],[ProductID]],Products[ProductID],Products[ProductName])</f>
        <v>ANKARA</v>
      </c>
      <c r="S1422" t="str">
        <f>_xlfn.XLOOKUP(Orders[[#This Row],[ProductID]],Products!A:A,Products!C:C)</f>
        <v>Clothing</v>
      </c>
    </row>
    <row r="1423" spans="1:19" x14ac:dyDescent="0.2">
      <c r="A1423" s="4" t="s">
        <v>1612</v>
      </c>
      <c r="B1423" s="5">
        <v>45934</v>
      </c>
      <c r="C1423" s="15">
        <f>WEEKNUM(Orders[[#This Row],[OrderDate]])</f>
        <v>40</v>
      </c>
      <c r="D1423" s="4" t="s">
        <v>203</v>
      </c>
      <c r="E1423" s="4" t="s">
        <v>168</v>
      </c>
      <c r="F1423" s="4">
        <v>8</v>
      </c>
      <c r="G1423" s="4">
        <v>11599.9</v>
      </c>
      <c r="H1423">
        <v>9859.9149999999991</v>
      </c>
      <c r="I1423">
        <f>Orders[[#This Row],[Quantity]]*Orders[[#This Row],[Selling Price]]</f>
        <v>92799.2</v>
      </c>
      <c r="J1423">
        <f>Orders[[#This Row],[Quantity]]*Orders[[#This Row],[Cost Price]]</f>
        <v>78879.319999999992</v>
      </c>
      <c r="K1423">
        <f>Orders[[#This Row],[Revenue]]-Orders[[#This Row],[Expenses]]</f>
        <v>13919.880000000005</v>
      </c>
      <c r="L1423" t="s">
        <v>2199</v>
      </c>
      <c r="M1423" t="str">
        <f>_xlfn.XLOOKUP(Orders[[#This Row],[CustomerID]],Customers[CustomerID],Customers[City])</f>
        <v>Texas</v>
      </c>
      <c r="N1423" t="str">
        <f>_xlfn.XLOOKUP(Orders[[#This Row],[CustomerID]],Customers[CustomerID],Customers[CustomerName])</f>
        <v>Okon Bello</v>
      </c>
      <c r="O1423" t="str">
        <f>_xlfn.XLOOKUP(Orders[[#This Row],[CustomerID]],Customers[CustomerID],Customers[Gender])</f>
        <v>Male</v>
      </c>
      <c r="P1423">
        <f>_xlfn.XLOOKUP(Orders[[#This Row],[CustomerID]],Customers[CustomerID],Customers[CustomerAge])</f>
        <v>20</v>
      </c>
      <c r="Q1423" t="str">
        <f>IF(Orders[[#This Row],[Age]]&gt;=35,"older","young")</f>
        <v>young</v>
      </c>
      <c r="R1423" t="str">
        <f>_xlfn.XLOOKUP(Orders[[#This Row],[ProductID]],Products[ProductID],Products[ProductName])</f>
        <v>DUMB BELLS</v>
      </c>
      <c r="S1423" t="str">
        <f>_xlfn.XLOOKUP(Orders[[#This Row],[ProductID]],Products!A:A,Products!C:C)</f>
        <v>Gym</v>
      </c>
    </row>
    <row r="1424" spans="1:19" x14ac:dyDescent="0.2">
      <c r="A1424" s="4" t="s">
        <v>1613</v>
      </c>
      <c r="B1424" s="5">
        <v>45963</v>
      </c>
      <c r="C1424" s="15">
        <f>WEEKNUM(Orders[[#This Row],[OrderDate]])</f>
        <v>45</v>
      </c>
      <c r="D1424" s="4" t="s">
        <v>52</v>
      </c>
      <c r="E1424" s="4" t="s">
        <v>84</v>
      </c>
      <c r="F1424" s="4">
        <v>3</v>
      </c>
      <c r="G1424" s="4">
        <v>7922.7999999999993</v>
      </c>
      <c r="H1424">
        <v>6734.3799999999992</v>
      </c>
      <c r="I1424">
        <f>Orders[[#This Row],[Quantity]]*Orders[[#This Row],[Selling Price]]</f>
        <v>23768.399999999998</v>
      </c>
      <c r="J1424">
        <f>Orders[[#This Row],[Quantity]]*Orders[[#This Row],[Cost Price]]</f>
        <v>20203.14</v>
      </c>
      <c r="K1424">
        <f>Orders[[#This Row],[Revenue]]-Orders[[#This Row],[Expenses]]</f>
        <v>3565.2599999999984</v>
      </c>
      <c r="L1424" t="s">
        <v>2210</v>
      </c>
      <c r="M1424" t="str">
        <f>_xlfn.XLOOKUP(Orders[[#This Row],[CustomerID]],Customers[CustomerID],Customers[City])</f>
        <v>Texas</v>
      </c>
      <c r="N1424" t="str">
        <f>_xlfn.XLOOKUP(Orders[[#This Row],[CustomerID]],Customers[CustomerID],Customers[CustomerName])</f>
        <v>Folasade Ojo</v>
      </c>
      <c r="O1424" t="str">
        <f>_xlfn.XLOOKUP(Orders[[#This Row],[CustomerID]],Customers[CustomerID],Customers[Gender])</f>
        <v>Female</v>
      </c>
      <c r="P1424">
        <f>_xlfn.XLOOKUP(Orders[[#This Row],[CustomerID]],Customers[CustomerID],Customers[CustomerAge])</f>
        <v>29</v>
      </c>
      <c r="Q1424" t="str">
        <f>IF(Orders[[#This Row],[Age]]&gt;=35,"older","young")</f>
        <v>young</v>
      </c>
      <c r="R1424" t="str">
        <f>_xlfn.XLOOKUP(Orders[[#This Row],[ProductID]],Products[ProductID],Products[ProductName])</f>
        <v>GYM WEARS</v>
      </c>
      <c r="S1424" t="str">
        <f>_xlfn.XLOOKUP(Orders[[#This Row],[ProductID]],Products!A:A,Products!C:C)</f>
        <v>Clothing</v>
      </c>
    </row>
    <row r="1425" spans="1:19" x14ac:dyDescent="0.2">
      <c r="A1425" s="4" t="s">
        <v>1614</v>
      </c>
      <c r="B1425" s="5">
        <v>46016</v>
      </c>
      <c r="C1425" s="15">
        <f>WEEKNUM(Orders[[#This Row],[OrderDate]])</f>
        <v>52</v>
      </c>
      <c r="D1425" s="4" t="s">
        <v>234</v>
      </c>
      <c r="E1425" s="4" t="s">
        <v>208</v>
      </c>
      <c r="F1425" s="4">
        <v>7</v>
      </c>
      <c r="G1425" s="4">
        <v>17017.3</v>
      </c>
      <c r="H1425">
        <v>14464.705</v>
      </c>
      <c r="I1425">
        <f>Orders[[#This Row],[Quantity]]*Orders[[#This Row],[Selling Price]]</f>
        <v>119121.09999999999</v>
      </c>
      <c r="J1425">
        <f>Orders[[#This Row],[Quantity]]*Orders[[#This Row],[Cost Price]]</f>
        <v>101252.935</v>
      </c>
      <c r="K1425">
        <f>Orders[[#This Row],[Revenue]]-Orders[[#This Row],[Expenses]]</f>
        <v>17868.164999999994</v>
      </c>
      <c r="L1425" t="s">
        <v>2200</v>
      </c>
      <c r="M1425" t="str">
        <f>_xlfn.XLOOKUP(Orders[[#This Row],[CustomerID]],Customers[CustomerID],Customers[City])</f>
        <v>Texas</v>
      </c>
      <c r="N1425" t="str">
        <f>_xlfn.XLOOKUP(Orders[[#This Row],[CustomerID]],Customers[CustomerID],Customers[CustomerName])</f>
        <v>Adanma Ojo</v>
      </c>
      <c r="O1425" t="str">
        <f>_xlfn.XLOOKUP(Orders[[#This Row],[CustomerID]],Customers[CustomerID],Customers[Gender])</f>
        <v>Female</v>
      </c>
      <c r="P1425">
        <f>_xlfn.XLOOKUP(Orders[[#This Row],[CustomerID]],Customers[CustomerID],Customers[CustomerAge])</f>
        <v>18</v>
      </c>
      <c r="Q1425" t="str">
        <f>IF(Orders[[#This Row],[Age]]&gt;=35,"older","young")</f>
        <v>young</v>
      </c>
      <c r="R1425" t="str">
        <f>_xlfn.XLOOKUP(Orders[[#This Row],[ProductID]],Products[ProductID],Products[ProductName])</f>
        <v>SKIPPING ROPE</v>
      </c>
      <c r="S1425" t="str">
        <f>_xlfn.XLOOKUP(Orders[[#This Row],[ProductID]],Products!A:A,Products!C:C)</f>
        <v>Sports</v>
      </c>
    </row>
    <row r="1426" spans="1:19" x14ac:dyDescent="0.2">
      <c r="A1426" s="4" t="s">
        <v>1615</v>
      </c>
      <c r="B1426" s="5">
        <v>45931</v>
      </c>
      <c r="C1426" s="15">
        <f>WEEKNUM(Orders[[#This Row],[OrderDate]])</f>
        <v>40</v>
      </c>
      <c r="D1426" s="4" t="s">
        <v>124</v>
      </c>
      <c r="E1426" s="4" t="s">
        <v>12</v>
      </c>
      <c r="F1426" s="4">
        <v>10</v>
      </c>
      <c r="G1426" s="4">
        <v>5842.2000000000007</v>
      </c>
      <c r="H1426">
        <v>4965.8700000000008</v>
      </c>
      <c r="I1426">
        <f>Orders[[#This Row],[Quantity]]*Orders[[#This Row],[Selling Price]]</f>
        <v>58422.000000000007</v>
      </c>
      <c r="J1426">
        <f>Orders[[#This Row],[Quantity]]*Orders[[#This Row],[Cost Price]]</f>
        <v>49658.700000000012</v>
      </c>
      <c r="K1426">
        <f>Orders[[#This Row],[Revenue]]-Orders[[#This Row],[Expenses]]</f>
        <v>8763.2999999999956</v>
      </c>
      <c r="L1426" t="s">
        <v>2215</v>
      </c>
      <c r="M1426" t="str">
        <f>_xlfn.XLOOKUP(Orders[[#This Row],[CustomerID]],Customers[CustomerID],Customers[City])</f>
        <v>Texas</v>
      </c>
      <c r="N1426" t="str">
        <f>_xlfn.XLOOKUP(Orders[[#This Row],[CustomerID]],Customers[CustomerID],Customers[CustomerName])</f>
        <v>Ngozi Ojo</v>
      </c>
      <c r="O1426" t="str">
        <f>_xlfn.XLOOKUP(Orders[[#This Row],[CustomerID]],Customers[CustomerID],Customers[Gender])</f>
        <v>Female</v>
      </c>
      <c r="P1426">
        <f>_xlfn.XLOOKUP(Orders[[#This Row],[CustomerID]],Customers[CustomerID],Customers[CustomerAge])</f>
        <v>22</v>
      </c>
      <c r="Q1426" t="str">
        <f>IF(Orders[[#This Row],[Age]]&gt;=35,"older","young")</f>
        <v>young</v>
      </c>
      <c r="R1426" t="str">
        <f>_xlfn.XLOOKUP(Orders[[#This Row],[ProductID]],Products[ProductID],Products[ProductName])</f>
        <v>BOUBOU</v>
      </c>
      <c r="S1426" t="str">
        <f>_xlfn.XLOOKUP(Orders[[#This Row],[ProductID]],Products!A:A,Products!C:C)</f>
        <v>Clothing</v>
      </c>
    </row>
    <row r="1427" spans="1:19" x14ac:dyDescent="0.2">
      <c r="A1427" s="4" t="s">
        <v>1616</v>
      </c>
      <c r="B1427" s="5">
        <v>45970</v>
      </c>
      <c r="C1427" s="15">
        <f>WEEKNUM(Orders[[#This Row],[OrderDate]])</f>
        <v>46</v>
      </c>
      <c r="D1427" s="4" t="s">
        <v>295</v>
      </c>
      <c r="E1427" s="4" t="s">
        <v>37</v>
      </c>
      <c r="F1427" s="4">
        <v>2</v>
      </c>
      <c r="G1427" s="4">
        <v>1049.3000000000002</v>
      </c>
      <c r="H1427">
        <v>891.9050000000002</v>
      </c>
      <c r="I1427">
        <f>Orders[[#This Row],[Quantity]]*Orders[[#This Row],[Selling Price]]</f>
        <v>2098.6000000000004</v>
      </c>
      <c r="J1427">
        <f>Orders[[#This Row],[Quantity]]*Orders[[#This Row],[Cost Price]]</f>
        <v>1783.8100000000004</v>
      </c>
      <c r="K1427">
        <f>Orders[[#This Row],[Revenue]]-Orders[[#This Row],[Expenses]]</f>
        <v>314.78999999999996</v>
      </c>
      <c r="L1427" t="s">
        <v>2215</v>
      </c>
      <c r="M1427" t="str">
        <f>_xlfn.XLOOKUP(Orders[[#This Row],[CustomerID]],Customers[CustomerID],Customers[City])</f>
        <v>Texas</v>
      </c>
      <c r="N1427" t="str">
        <f>_xlfn.XLOOKUP(Orders[[#This Row],[CustomerID]],Customers[CustomerID],Customers[CustomerName])</f>
        <v>Sani Obi</v>
      </c>
      <c r="O1427" t="str">
        <f>_xlfn.XLOOKUP(Orders[[#This Row],[CustomerID]],Customers[CustomerID],Customers[Gender])</f>
        <v>Male</v>
      </c>
      <c r="P1427">
        <f>_xlfn.XLOOKUP(Orders[[#This Row],[CustomerID]],Customers[CustomerID],Customers[CustomerAge])</f>
        <v>31</v>
      </c>
      <c r="Q1427" t="str">
        <f>IF(Orders[[#This Row],[Age]]&gt;=35,"older","young")</f>
        <v>young</v>
      </c>
      <c r="R1427" t="str">
        <f>_xlfn.XLOOKUP(Orders[[#This Row],[ProductID]],Products[ProductID],Products[ProductName])</f>
        <v>IRON</v>
      </c>
      <c r="S1427" t="str">
        <f>_xlfn.XLOOKUP(Orders[[#This Row],[ProductID]],Products!A:A,Products!C:C)</f>
        <v>Electronics</v>
      </c>
    </row>
    <row r="1428" spans="1:19" x14ac:dyDescent="0.2">
      <c r="A1428" s="4" t="s">
        <v>1617</v>
      </c>
      <c r="B1428" s="5">
        <v>45951</v>
      </c>
      <c r="C1428" s="15">
        <f>WEEKNUM(Orders[[#This Row],[OrderDate]])</f>
        <v>43</v>
      </c>
      <c r="D1428" s="4" t="s">
        <v>418</v>
      </c>
      <c r="E1428" s="4" t="s">
        <v>208</v>
      </c>
      <c r="F1428" s="4">
        <v>4</v>
      </c>
      <c r="G1428" s="4">
        <v>17740.3</v>
      </c>
      <c r="H1428">
        <v>15079.254999999999</v>
      </c>
      <c r="I1428">
        <f>Orders[[#This Row],[Quantity]]*Orders[[#This Row],[Selling Price]]</f>
        <v>70961.2</v>
      </c>
      <c r="J1428">
        <f>Orders[[#This Row],[Quantity]]*Orders[[#This Row],[Cost Price]]</f>
        <v>60317.02</v>
      </c>
      <c r="K1428">
        <f>Orders[[#This Row],[Revenue]]-Orders[[#This Row],[Expenses]]</f>
        <v>10644.18</v>
      </c>
      <c r="L1428" t="s">
        <v>2194</v>
      </c>
      <c r="M1428" t="str">
        <f>_xlfn.XLOOKUP(Orders[[#This Row],[CustomerID]],Customers[CustomerID],Customers[City])</f>
        <v>Illinois</v>
      </c>
      <c r="N1428" t="str">
        <f>_xlfn.XLOOKUP(Orders[[#This Row],[CustomerID]],Customers[CustomerID],Customers[CustomerName])</f>
        <v>Amina Danladi</v>
      </c>
      <c r="O1428" t="str">
        <f>_xlfn.XLOOKUP(Orders[[#This Row],[CustomerID]],Customers[CustomerID],Customers[Gender])</f>
        <v>Female</v>
      </c>
      <c r="P1428">
        <f>_xlfn.XLOOKUP(Orders[[#This Row],[CustomerID]],Customers[CustomerID],Customers[CustomerAge])</f>
        <v>20</v>
      </c>
      <c r="Q1428" t="str">
        <f>IF(Orders[[#This Row],[Age]]&gt;=35,"older","young")</f>
        <v>young</v>
      </c>
      <c r="R1428" t="str">
        <f>_xlfn.XLOOKUP(Orders[[#This Row],[ProductID]],Products[ProductID],Products[ProductName])</f>
        <v>SKIPPING ROPE</v>
      </c>
      <c r="S1428" t="str">
        <f>_xlfn.XLOOKUP(Orders[[#This Row],[ProductID]],Products!A:A,Products!C:C)</f>
        <v>Sports</v>
      </c>
    </row>
    <row r="1429" spans="1:19" x14ac:dyDescent="0.2">
      <c r="A1429" s="4" t="s">
        <v>1618</v>
      </c>
      <c r="B1429" s="5">
        <v>45978</v>
      </c>
      <c r="C1429" s="15">
        <f>WEEKNUM(Orders[[#This Row],[OrderDate]])</f>
        <v>47</v>
      </c>
      <c r="D1429" s="4" t="s">
        <v>33</v>
      </c>
      <c r="E1429" s="4" t="s">
        <v>25</v>
      </c>
      <c r="F1429" s="4">
        <v>10</v>
      </c>
      <c r="G1429" s="4">
        <v>9631.2000000000007</v>
      </c>
      <c r="H1429">
        <v>8186.52</v>
      </c>
      <c r="I1429">
        <f>Orders[[#This Row],[Quantity]]*Orders[[#This Row],[Selling Price]]</f>
        <v>96312</v>
      </c>
      <c r="J1429">
        <f>Orders[[#This Row],[Quantity]]*Orders[[#This Row],[Cost Price]]</f>
        <v>81865.200000000012</v>
      </c>
      <c r="K1429">
        <f>Orders[[#This Row],[Revenue]]-Orders[[#This Row],[Expenses]]</f>
        <v>14446.799999999988</v>
      </c>
      <c r="L1429" t="s">
        <v>2197</v>
      </c>
      <c r="M1429" t="str">
        <f>_xlfn.XLOOKUP(Orders[[#This Row],[CustomerID]],Customers[CustomerID],Customers[City])</f>
        <v>Texas</v>
      </c>
      <c r="N1429" t="str">
        <f>_xlfn.XLOOKUP(Orders[[#This Row],[CustomerID]],Customers[CustomerID],Customers[CustomerName])</f>
        <v>Okon Balogun</v>
      </c>
      <c r="O1429" t="str">
        <f>_xlfn.XLOOKUP(Orders[[#This Row],[CustomerID]],Customers[CustomerID],Customers[Gender])</f>
        <v>Male</v>
      </c>
      <c r="P1429">
        <f>_xlfn.XLOOKUP(Orders[[#This Row],[CustomerID]],Customers[CustomerID],Customers[CustomerAge])</f>
        <v>28</v>
      </c>
      <c r="Q1429" t="str">
        <f>IF(Orders[[#This Row],[Age]]&gt;=35,"older","young")</f>
        <v>young</v>
      </c>
      <c r="R1429" t="str">
        <f>_xlfn.XLOOKUP(Orders[[#This Row],[ProductID]],Products[ProductID],Products[ProductName])</f>
        <v>GOLD RINGS</v>
      </c>
      <c r="S1429" t="str">
        <f>_xlfn.XLOOKUP(Orders[[#This Row],[ProductID]],Products!A:A,Products!C:C)</f>
        <v>Accessories</v>
      </c>
    </row>
    <row r="1430" spans="1:19" x14ac:dyDescent="0.2">
      <c r="A1430" s="4" t="s">
        <v>1619</v>
      </c>
      <c r="B1430" s="5">
        <v>45992</v>
      </c>
      <c r="C1430" s="15">
        <f>WEEKNUM(Orders[[#This Row],[OrderDate]])</f>
        <v>49</v>
      </c>
      <c r="D1430" s="4" t="s">
        <v>309</v>
      </c>
      <c r="E1430" s="4" t="s">
        <v>12</v>
      </c>
      <c r="F1430" s="4">
        <v>1</v>
      </c>
      <c r="G1430" s="4">
        <v>12096.099999999999</v>
      </c>
      <c r="H1430">
        <v>10281.684999999999</v>
      </c>
      <c r="I1430">
        <f>Orders[[#This Row],[Quantity]]*Orders[[#This Row],[Selling Price]]</f>
        <v>12096.099999999999</v>
      </c>
      <c r="J1430">
        <f>Orders[[#This Row],[Quantity]]*Orders[[#This Row],[Cost Price]]</f>
        <v>10281.684999999999</v>
      </c>
      <c r="K1430">
        <f>Orders[[#This Row],[Revenue]]-Orders[[#This Row],[Expenses]]</f>
        <v>1814.4149999999991</v>
      </c>
      <c r="L1430" t="s">
        <v>2205</v>
      </c>
      <c r="M1430" t="str">
        <f>_xlfn.XLOOKUP(Orders[[#This Row],[CustomerID]],Customers[CustomerID],Customers[City])</f>
        <v>Washington</v>
      </c>
      <c r="N1430" t="str">
        <f>_xlfn.XLOOKUP(Orders[[#This Row],[CustomerID]],Customers[CustomerID],Customers[CustomerName])</f>
        <v>Temi Ojo</v>
      </c>
      <c r="O1430" t="str">
        <f>_xlfn.XLOOKUP(Orders[[#This Row],[CustomerID]],Customers[CustomerID],Customers[Gender])</f>
        <v>Female</v>
      </c>
      <c r="P1430">
        <f>_xlfn.XLOOKUP(Orders[[#This Row],[CustomerID]],Customers[CustomerID],Customers[CustomerAge])</f>
        <v>36</v>
      </c>
      <c r="Q1430" t="str">
        <f>IF(Orders[[#This Row],[Age]]&gt;=35,"older","young")</f>
        <v>older</v>
      </c>
      <c r="R1430" t="str">
        <f>_xlfn.XLOOKUP(Orders[[#This Row],[ProductID]],Products[ProductID],Products[ProductName])</f>
        <v>BOUBOU</v>
      </c>
      <c r="S1430" t="str">
        <f>_xlfn.XLOOKUP(Orders[[#This Row],[ProductID]],Products!A:A,Products!C:C)</f>
        <v>Clothing</v>
      </c>
    </row>
    <row r="1431" spans="1:19" x14ac:dyDescent="0.2">
      <c r="A1431" s="4" t="s">
        <v>1620</v>
      </c>
      <c r="B1431" s="5">
        <v>45977</v>
      </c>
      <c r="C1431" s="15">
        <f>WEEKNUM(Orders[[#This Row],[OrderDate]])</f>
        <v>47</v>
      </c>
      <c r="D1431" s="4" t="s">
        <v>41</v>
      </c>
      <c r="E1431" s="4" t="s">
        <v>63</v>
      </c>
      <c r="F1431" s="4">
        <v>1</v>
      </c>
      <c r="G1431" s="4">
        <v>7967</v>
      </c>
      <c r="H1431">
        <v>6771.95</v>
      </c>
      <c r="I1431">
        <f>Orders[[#This Row],[Quantity]]*Orders[[#This Row],[Selling Price]]</f>
        <v>7967</v>
      </c>
      <c r="J1431">
        <f>Orders[[#This Row],[Quantity]]*Orders[[#This Row],[Cost Price]]</f>
        <v>6771.95</v>
      </c>
      <c r="K1431">
        <f>Orders[[#This Row],[Revenue]]-Orders[[#This Row],[Expenses]]</f>
        <v>1195.0500000000002</v>
      </c>
      <c r="L1431" t="s">
        <v>2201</v>
      </c>
      <c r="M1431" t="str">
        <f>_xlfn.XLOOKUP(Orders[[#This Row],[CustomerID]],Customers[CustomerID],Customers[City])</f>
        <v>Texas</v>
      </c>
      <c r="N1431" t="str">
        <f>_xlfn.XLOOKUP(Orders[[#This Row],[CustomerID]],Customers[CustomerID],Customers[CustomerName])</f>
        <v>Mustafa Balogun</v>
      </c>
      <c r="O1431" t="str">
        <f>_xlfn.XLOOKUP(Orders[[#This Row],[CustomerID]],Customers[CustomerID],Customers[Gender])</f>
        <v>Male</v>
      </c>
      <c r="P1431">
        <f>_xlfn.XLOOKUP(Orders[[#This Row],[CustomerID]],Customers[CustomerID],Customers[CustomerAge])</f>
        <v>40</v>
      </c>
      <c r="Q1431" t="str">
        <f>IF(Orders[[#This Row],[Age]]&gt;=35,"older","young")</f>
        <v>older</v>
      </c>
      <c r="R1431" t="str">
        <f>_xlfn.XLOOKUP(Orders[[#This Row],[ProductID]],Products[ProductID],Products[ProductName])</f>
        <v>TENNIS BAT</v>
      </c>
      <c r="S1431" t="str">
        <f>_xlfn.XLOOKUP(Orders[[#This Row],[ProductID]],Products!A:A,Products!C:C)</f>
        <v>Sports</v>
      </c>
    </row>
    <row r="1432" spans="1:19" x14ac:dyDescent="0.2">
      <c r="A1432" s="4" t="s">
        <v>1621</v>
      </c>
      <c r="B1432" s="5">
        <v>46017</v>
      </c>
      <c r="C1432" s="15">
        <f>WEEKNUM(Orders[[#This Row],[OrderDate]])</f>
        <v>52</v>
      </c>
      <c r="D1432" s="4" t="s">
        <v>264</v>
      </c>
      <c r="E1432" s="4" t="s">
        <v>28</v>
      </c>
      <c r="F1432" s="4">
        <v>3</v>
      </c>
      <c r="G1432" s="4">
        <v>10831</v>
      </c>
      <c r="H1432">
        <v>9206.35</v>
      </c>
      <c r="I1432">
        <f>Orders[[#This Row],[Quantity]]*Orders[[#This Row],[Selling Price]]</f>
        <v>32493</v>
      </c>
      <c r="J1432">
        <f>Orders[[#This Row],[Quantity]]*Orders[[#This Row],[Cost Price]]</f>
        <v>27619.050000000003</v>
      </c>
      <c r="K1432">
        <f>Orders[[#This Row],[Revenue]]-Orders[[#This Row],[Expenses]]</f>
        <v>4873.9499999999971</v>
      </c>
      <c r="L1432" t="s">
        <v>2216</v>
      </c>
      <c r="M1432" t="str">
        <f>_xlfn.XLOOKUP(Orders[[#This Row],[CustomerID]],Customers[CustomerID],Customers[City])</f>
        <v>Georgia</v>
      </c>
      <c r="N1432" t="str">
        <f>_xlfn.XLOOKUP(Orders[[#This Row],[CustomerID]],Customers[CustomerID],Customers[CustomerName])</f>
        <v>Ronke Adeyemi</v>
      </c>
      <c r="O1432" t="str">
        <f>_xlfn.XLOOKUP(Orders[[#This Row],[CustomerID]],Customers[CustomerID],Customers[Gender])</f>
        <v>Female</v>
      </c>
      <c r="P1432">
        <f>_xlfn.XLOOKUP(Orders[[#This Row],[CustomerID]],Customers[CustomerID],Customers[CustomerAge])</f>
        <v>19</v>
      </c>
      <c r="Q1432" t="str">
        <f>IF(Orders[[#This Row],[Age]]&gt;=35,"older","young")</f>
        <v>young</v>
      </c>
      <c r="R1432" t="str">
        <f>_xlfn.XLOOKUP(Orders[[#This Row],[ProductID]],Products[ProductID],Products[ProductName])</f>
        <v>SNEAKERS</v>
      </c>
      <c r="S1432" t="str">
        <f>_xlfn.XLOOKUP(Orders[[#This Row],[ProductID]],Products!A:A,Products!C:C)</f>
        <v>Sports</v>
      </c>
    </row>
    <row r="1433" spans="1:19" x14ac:dyDescent="0.2">
      <c r="A1433" s="4" t="s">
        <v>1622</v>
      </c>
      <c r="B1433" s="5">
        <v>46017</v>
      </c>
      <c r="C1433" s="15">
        <f>WEEKNUM(Orders[[#This Row],[OrderDate]])</f>
        <v>52</v>
      </c>
      <c r="D1433" s="4" t="s">
        <v>416</v>
      </c>
      <c r="E1433" s="4" t="s">
        <v>15</v>
      </c>
      <c r="F1433" s="4">
        <v>6</v>
      </c>
      <c r="G1433" s="4">
        <v>11102.2</v>
      </c>
      <c r="H1433">
        <v>9436.8700000000008</v>
      </c>
      <c r="I1433">
        <f>Orders[[#This Row],[Quantity]]*Orders[[#This Row],[Selling Price]]</f>
        <v>66613.200000000012</v>
      </c>
      <c r="J1433">
        <f>Orders[[#This Row],[Quantity]]*Orders[[#This Row],[Cost Price]]</f>
        <v>56621.22</v>
      </c>
      <c r="K1433">
        <f>Orders[[#This Row],[Revenue]]-Orders[[#This Row],[Expenses]]</f>
        <v>9991.9800000000105</v>
      </c>
      <c r="L1433" t="s">
        <v>2201</v>
      </c>
      <c r="M1433" t="str">
        <f>_xlfn.XLOOKUP(Orders[[#This Row],[CustomerID]],Customers[CustomerID],Customers[City])</f>
        <v>Texas</v>
      </c>
      <c r="N1433" t="str">
        <f>_xlfn.XLOOKUP(Orders[[#This Row],[CustomerID]],Customers[CustomerID],Customers[CustomerName])</f>
        <v>Chinedu Igwe</v>
      </c>
      <c r="O1433" t="str">
        <f>_xlfn.XLOOKUP(Orders[[#This Row],[CustomerID]],Customers[CustomerID],Customers[Gender])</f>
        <v>Male</v>
      </c>
      <c r="P1433">
        <f>_xlfn.XLOOKUP(Orders[[#This Row],[CustomerID]],Customers[CustomerID],Customers[CustomerAge])</f>
        <v>26</v>
      </c>
      <c r="Q1433" t="str">
        <f>IF(Orders[[#This Row],[Age]]&gt;=35,"older","young")</f>
        <v>young</v>
      </c>
      <c r="R1433" t="str">
        <f>_xlfn.XLOOKUP(Orders[[#This Row],[ProductID]],Products[ProductID],Products[ProductName])</f>
        <v>MONOPOLY</v>
      </c>
      <c r="S1433" t="str">
        <f>_xlfn.XLOOKUP(Orders[[#This Row],[ProductID]],Products!A:A,Products!C:C)</f>
        <v>Games</v>
      </c>
    </row>
    <row r="1434" spans="1:19" x14ac:dyDescent="0.2">
      <c r="A1434" s="4" t="s">
        <v>1623</v>
      </c>
      <c r="B1434" s="5">
        <v>45941</v>
      </c>
      <c r="C1434" s="15">
        <f>WEEKNUM(Orders[[#This Row],[OrderDate]])</f>
        <v>41</v>
      </c>
      <c r="D1434" s="4" t="s">
        <v>89</v>
      </c>
      <c r="E1434" s="4" t="s">
        <v>84</v>
      </c>
      <c r="F1434" s="4">
        <v>2</v>
      </c>
      <c r="G1434" s="4">
        <v>4782.0999999999995</v>
      </c>
      <c r="H1434">
        <v>4064.7849999999994</v>
      </c>
      <c r="I1434">
        <f>Orders[[#This Row],[Quantity]]*Orders[[#This Row],[Selling Price]]</f>
        <v>9564.1999999999989</v>
      </c>
      <c r="J1434">
        <f>Orders[[#This Row],[Quantity]]*Orders[[#This Row],[Cost Price]]</f>
        <v>8129.5699999999988</v>
      </c>
      <c r="K1434">
        <f>Orders[[#This Row],[Revenue]]-Orders[[#This Row],[Expenses]]</f>
        <v>1434.63</v>
      </c>
      <c r="L1434" t="s">
        <v>2201</v>
      </c>
      <c r="M1434" t="str">
        <f>_xlfn.XLOOKUP(Orders[[#This Row],[CustomerID]],Customers[CustomerID],Customers[City])</f>
        <v>Washington</v>
      </c>
      <c r="N1434" t="str">
        <f>_xlfn.XLOOKUP(Orders[[#This Row],[CustomerID]],Customers[CustomerID],Customers[CustomerName])</f>
        <v>Blessing Balogun</v>
      </c>
      <c r="O1434" t="str">
        <f>_xlfn.XLOOKUP(Orders[[#This Row],[CustomerID]],Customers[CustomerID],Customers[Gender])</f>
        <v>Female</v>
      </c>
      <c r="P1434">
        <f>_xlfn.XLOOKUP(Orders[[#This Row],[CustomerID]],Customers[CustomerID],Customers[CustomerAge])</f>
        <v>19</v>
      </c>
      <c r="Q1434" t="str">
        <f>IF(Orders[[#This Row],[Age]]&gt;=35,"older","young")</f>
        <v>young</v>
      </c>
      <c r="R1434" t="str">
        <f>_xlfn.XLOOKUP(Orders[[#This Row],[ProductID]],Products[ProductID],Products[ProductName])</f>
        <v>GYM WEARS</v>
      </c>
      <c r="S1434" t="str">
        <f>_xlfn.XLOOKUP(Orders[[#This Row],[ProductID]],Products!A:A,Products!C:C)</f>
        <v>Clothing</v>
      </c>
    </row>
    <row r="1435" spans="1:19" x14ac:dyDescent="0.2">
      <c r="A1435" s="4" t="s">
        <v>1624</v>
      </c>
      <c r="B1435" s="5">
        <v>45968</v>
      </c>
      <c r="C1435" s="15">
        <f>WEEKNUM(Orders[[#This Row],[OrderDate]])</f>
        <v>45</v>
      </c>
      <c r="D1435" s="4" t="s">
        <v>352</v>
      </c>
      <c r="E1435" s="4" t="s">
        <v>31</v>
      </c>
      <c r="F1435" s="4">
        <v>4</v>
      </c>
      <c r="G1435" s="4">
        <v>17611.8</v>
      </c>
      <c r="H1435">
        <v>14970.029999999999</v>
      </c>
      <c r="I1435">
        <f>Orders[[#This Row],[Quantity]]*Orders[[#This Row],[Selling Price]]</f>
        <v>70447.199999999997</v>
      </c>
      <c r="J1435">
        <f>Orders[[#This Row],[Quantity]]*Orders[[#This Row],[Cost Price]]</f>
        <v>59880.119999999995</v>
      </c>
      <c r="K1435">
        <f>Orders[[#This Row],[Revenue]]-Orders[[#This Row],[Expenses]]</f>
        <v>10567.080000000002</v>
      </c>
      <c r="L1435" t="s">
        <v>2199</v>
      </c>
      <c r="M1435" t="str">
        <f>_xlfn.XLOOKUP(Orders[[#This Row],[CustomerID]],Customers[CustomerID],Customers[City])</f>
        <v>Texas</v>
      </c>
      <c r="N1435" t="str">
        <f>_xlfn.XLOOKUP(Orders[[#This Row],[CustomerID]],Customers[CustomerID],Customers[CustomerName])</f>
        <v>Zainab Eze</v>
      </c>
      <c r="O1435" t="str">
        <f>_xlfn.XLOOKUP(Orders[[#This Row],[CustomerID]],Customers[CustomerID],Customers[Gender])</f>
        <v>Female</v>
      </c>
      <c r="P1435">
        <f>_xlfn.XLOOKUP(Orders[[#This Row],[CustomerID]],Customers[CustomerID],Customers[CustomerAge])</f>
        <v>40</v>
      </c>
      <c r="Q1435" t="str">
        <f>IF(Orders[[#This Row],[Age]]&gt;=35,"older","young")</f>
        <v>older</v>
      </c>
      <c r="R1435" t="str">
        <f>_xlfn.XLOOKUP(Orders[[#This Row],[ProductID]],Products[ProductID],Products[ProductName])</f>
        <v>KIDS GAMES</v>
      </c>
      <c r="S1435" t="str">
        <f>_xlfn.XLOOKUP(Orders[[#This Row],[ProductID]],Products!A:A,Products!C:C)</f>
        <v>Games</v>
      </c>
    </row>
    <row r="1436" spans="1:19" x14ac:dyDescent="0.2">
      <c r="A1436" s="4" t="s">
        <v>1625</v>
      </c>
      <c r="B1436" s="5">
        <v>45959</v>
      </c>
      <c r="C1436" s="15">
        <f>WEEKNUM(Orders[[#This Row],[OrderDate]])</f>
        <v>44</v>
      </c>
      <c r="D1436" s="4" t="s">
        <v>343</v>
      </c>
      <c r="E1436" s="4" t="s">
        <v>353</v>
      </c>
      <c r="F1436" s="4">
        <v>4</v>
      </c>
      <c r="G1436" s="4">
        <v>19560.8</v>
      </c>
      <c r="H1436">
        <v>16626.68</v>
      </c>
      <c r="I1436">
        <f>Orders[[#This Row],[Quantity]]*Orders[[#This Row],[Selling Price]]</f>
        <v>78243.199999999997</v>
      </c>
      <c r="J1436">
        <f>Orders[[#This Row],[Quantity]]*Orders[[#This Row],[Cost Price]]</f>
        <v>66506.720000000001</v>
      </c>
      <c r="K1436">
        <f>Orders[[#This Row],[Revenue]]-Orders[[#This Row],[Expenses]]</f>
        <v>11736.479999999996</v>
      </c>
      <c r="L1436" t="s">
        <v>2220</v>
      </c>
      <c r="M1436" t="str">
        <f>_xlfn.XLOOKUP(Orders[[#This Row],[CustomerID]],Customers[CustomerID],Customers[City])</f>
        <v>Washington</v>
      </c>
      <c r="N1436" t="str">
        <f>_xlfn.XLOOKUP(Orders[[#This Row],[CustomerID]],Customers[CustomerID],Customers[CustomerName])</f>
        <v>Ronke Obi</v>
      </c>
      <c r="O1436" t="str">
        <f>_xlfn.XLOOKUP(Orders[[#This Row],[CustomerID]],Customers[CustomerID],Customers[Gender])</f>
        <v>Female</v>
      </c>
      <c r="P1436">
        <f>_xlfn.XLOOKUP(Orders[[#This Row],[CustomerID]],Customers[CustomerID],Customers[CustomerAge])</f>
        <v>31</v>
      </c>
      <c r="Q1436" t="str">
        <f>IF(Orders[[#This Row],[Age]]&gt;=35,"older","young")</f>
        <v>young</v>
      </c>
      <c r="R1436" t="str">
        <f>_xlfn.XLOOKUP(Orders[[#This Row],[ProductID]],Products[ProductID],Products[ProductName])</f>
        <v>SILVER EARRINGS AND NECKLACES</v>
      </c>
      <c r="S1436" t="str">
        <f>_xlfn.XLOOKUP(Orders[[#This Row],[ProductID]],Products!A:A,Products!C:C)</f>
        <v>Accessories</v>
      </c>
    </row>
    <row r="1437" spans="1:19" x14ac:dyDescent="0.2">
      <c r="A1437" s="4" t="s">
        <v>1626</v>
      </c>
      <c r="B1437" s="5">
        <v>46021</v>
      </c>
      <c r="C1437" s="15">
        <f>WEEKNUM(Orders[[#This Row],[OrderDate]])</f>
        <v>53</v>
      </c>
      <c r="D1437" s="4" t="s">
        <v>178</v>
      </c>
      <c r="E1437" s="4" t="s">
        <v>189</v>
      </c>
      <c r="F1437" s="4">
        <v>3</v>
      </c>
      <c r="G1437" s="4">
        <v>14864.400000000001</v>
      </c>
      <c r="H1437">
        <v>12634.740000000002</v>
      </c>
      <c r="I1437">
        <f>Orders[[#This Row],[Quantity]]*Orders[[#This Row],[Selling Price]]</f>
        <v>44593.200000000004</v>
      </c>
      <c r="J1437">
        <f>Orders[[#This Row],[Quantity]]*Orders[[#This Row],[Cost Price]]</f>
        <v>37904.22</v>
      </c>
      <c r="K1437">
        <f>Orders[[#This Row],[Revenue]]-Orders[[#This Row],[Expenses]]</f>
        <v>6688.9800000000032</v>
      </c>
      <c r="L1437" t="s">
        <v>2214</v>
      </c>
      <c r="M1437" t="str">
        <f>_xlfn.XLOOKUP(Orders[[#This Row],[CustomerID]],Customers[CustomerID],Customers[City])</f>
        <v>Florida</v>
      </c>
      <c r="N1437" t="str">
        <f>_xlfn.XLOOKUP(Orders[[#This Row],[CustomerID]],Customers[CustomerID],Customers[CustomerName])</f>
        <v>Ibrahim Igwe</v>
      </c>
      <c r="O1437" t="str">
        <f>_xlfn.XLOOKUP(Orders[[#This Row],[CustomerID]],Customers[CustomerID],Customers[Gender])</f>
        <v>Male</v>
      </c>
      <c r="P1437">
        <f>_xlfn.XLOOKUP(Orders[[#This Row],[CustomerID]],Customers[CustomerID],Customers[CustomerAge])</f>
        <v>19</v>
      </c>
      <c r="Q1437" t="str">
        <f>IF(Orders[[#This Row],[Age]]&gt;=35,"older","young")</f>
        <v>young</v>
      </c>
      <c r="R1437" t="str">
        <f>_xlfn.XLOOKUP(Orders[[#This Row],[ProductID]],Products[ProductID],Products[ProductName])</f>
        <v>SCRABBLE</v>
      </c>
      <c r="S1437" t="str">
        <f>_xlfn.XLOOKUP(Orders[[#This Row],[ProductID]],Products!A:A,Products!C:C)</f>
        <v>Games</v>
      </c>
    </row>
    <row r="1438" spans="1:19" x14ac:dyDescent="0.2">
      <c r="A1438" s="4" t="s">
        <v>1627</v>
      </c>
      <c r="B1438" s="5">
        <v>45960</v>
      </c>
      <c r="C1438" s="15">
        <f>WEEKNUM(Orders[[#This Row],[OrderDate]])</f>
        <v>44</v>
      </c>
      <c r="D1438" s="4" t="s">
        <v>124</v>
      </c>
      <c r="E1438" s="4" t="s">
        <v>20</v>
      </c>
      <c r="F1438" s="4">
        <v>7</v>
      </c>
      <c r="G1438" s="4">
        <v>6974.5</v>
      </c>
      <c r="H1438">
        <v>5928.3249999999998</v>
      </c>
      <c r="I1438">
        <f>Orders[[#This Row],[Quantity]]*Orders[[#This Row],[Selling Price]]</f>
        <v>48821.5</v>
      </c>
      <c r="J1438">
        <f>Orders[[#This Row],[Quantity]]*Orders[[#This Row],[Cost Price]]</f>
        <v>41498.275000000001</v>
      </c>
      <c r="K1438">
        <f>Orders[[#This Row],[Revenue]]-Orders[[#This Row],[Expenses]]</f>
        <v>7323.2249999999985</v>
      </c>
      <c r="L1438" t="s">
        <v>2194</v>
      </c>
      <c r="M1438" t="str">
        <f>_xlfn.XLOOKUP(Orders[[#This Row],[CustomerID]],Customers[CustomerID],Customers[City])</f>
        <v>Texas</v>
      </c>
      <c r="N1438" t="str">
        <f>_xlfn.XLOOKUP(Orders[[#This Row],[CustomerID]],Customers[CustomerID],Customers[CustomerName])</f>
        <v>Ngozi Ojo</v>
      </c>
      <c r="O1438" t="str">
        <f>_xlfn.XLOOKUP(Orders[[#This Row],[CustomerID]],Customers[CustomerID],Customers[Gender])</f>
        <v>Female</v>
      </c>
      <c r="P1438">
        <f>_xlfn.XLOOKUP(Orders[[#This Row],[CustomerID]],Customers[CustomerID],Customers[CustomerAge])</f>
        <v>22</v>
      </c>
      <c r="Q1438" t="str">
        <f>IF(Orders[[#This Row],[Age]]&gt;=35,"older","young")</f>
        <v>young</v>
      </c>
      <c r="R1438" t="str">
        <f>_xlfn.XLOOKUP(Orders[[#This Row],[ProductID]],Products[ProductID],Products[ProductName])</f>
        <v>GYM BAG</v>
      </c>
      <c r="S1438" t="str">
        <f>_xlfn.XLOOKUP(Orders[[#This Row],[ProductID]],Products!A:A,Products!C:C)</f>
        <v>Gym</v>
      </c>
    </row>
    <row r="1439" spans="1:19" x14ac:dyDescent="0.2">
      <c r="A1439" s="4" t="s">
        <v>1628</v>
      </c>
      <c r="B1439" s="5">
        <v>45977</v>
      </c>
      <c r="C1439" s="15">
        <f>WEEKNUM(Orders[[#This Row],[OrderDate]])</f>
        <v>47</v>
      </c>
      <c r="D1439" s="4" t="s">
        <v>107</v>
      </c>
      <c r="E1439" s="4" t="s">
        <v>130</v>
      </c>
      <c r="F1439" s="4">
        <v>2</v>
      </c>
      <c r="G1439" s="4">
        <v>3289.9</v>
      </c>
      <c r="H1439">
        <v>2796.415</v>
      </c>
      <c r="I1439">
        <f>Orders[[#This Row],[Quantity]]*Orders[[#This Row],[Selling Price]]</f>
        <v>6579.8</v>
      </c>
      <c r="J1439">
        <f>Orders[[#This Row],[Quantity]]*Orders[[#This Row],[Cost Price]]</f>
        <v>5592.83</v>
      </c>
      <c r="K1439">
        <f>Orders[[#This Row],[Revenue]]-Orders[[#This Row],[Expenses]]</f>
        <v>986.97000000000025</v>
      </c>
      <c r="L1439" t="s">
        <v>2201</v>
      </c>
      <c r="M1439" t="str">
        <f>_xlfn.XLOOKUP(Orders[[#This Row],[CustomerID]],Customers[CustomerID],Customers[City])</f>
        <v>Texas</v>
      </c>
      <c r="N1439" t="str">
        <f>_xlfn.XLOOKUP(Orders[[#This Row],[CustomerID]],Customers[CustomerID],Customers[CustomerName])</f>
        <v>Blessing Eze</v>
      </c>
      <c r="O1439" t="str">
        <f>_xlfn.XLOOKUP(Orders[[#This Row],[CustomerID]],Customers[CustomerID],Customers[Gender])</f>
        <v>Female</v>
      </c>
      <c r="P1439">
        <f>_xlfn.XLOOKUP(Orders[[#This Row],[CustomerID]],Customers[CustomerID],Customers[CustomerAge])</f>
        <v>44</v>
      </c>
      <c r="Q1439" t="str">
        <f>IF(Orders[[#This Row],[Age]]&gt;=35,"older","young")</f>
        <v>older</v>
      </c>
      <c r="R1439" t="str">
        <f>_xlfn.XLOOKUP(Orders[[#This Row],[ProductID]],Products[ProductID],Products[ProductName])</f>
        <v>GOLD EARRINGS AND NECKLACES</v>
      </c>
      <c r="S1439" t="str">
        <f>_xlfn.XLOOKUP(Orders[[#This Row],[ProductID]],Products!A:A,Products!C:C)</f>
        <v>Accessories</v>
      </c>
    </row>
    <row r="1440" spans="1:19" x14ac:dyDescent="0.2">
      <c r="A1440" s="4" t="s">
        <v>1629</v>
      </c>
      <c r="B1440" s="5">
        <v>46010</v>
      </c>
      <c r="C1440" s="15">
        <f>WEEKNUM(Orders[[#This Row],[OrderDate]])</f>
        <v>51</v>
      </c>
      <c r="D1440" s="4" t="s">
        <v>280</v>
      </c>
      <c r="E1440" s="4" t="s">
        <v>46</v>
      </c>
      <c r="F1440" s="4">
        <v>4</v>
      </c>
      <c r="G1440" s="4">
        <v>11754.6</v>
      </c>
      <c r="H1440">
        <v>9991.41</v>
      </c>
      <c r="I1440">
        <f>Orders[[#This Row],[Quantity]]*Orders[[#This Row],[Selling Price]]</f>
        <v>47018.400000000001</v>
      </c>
      <c r="J1440">
        <f>Orders[[#This Row],[Quantity]]*Orders[[#This Row],[Cost Price]]</f>
        <v>39965.64</v>
      </c>
      <c r="K1440">
        <f>Orders[[#This Row],[Revenue]]-Orders[[#This Row],[Expenses]]</f>
        <v>7052.760000000002</v>
      </c>
      <c r="L1440" t="s">
        <v>2213</v>
      </c>
      <c r="M1440" t="str">
        <f>_xlfn.XLOOKUP(Orders[[#This Row],[CustomerID]],Customers[CustomerID],Customers[City])</f>
        <v>Texas</v>
      </c>
      <c r="N1440" t="str">
        <f>_xlfn.XLOOKUP(Orders[[#This Row],[CustomerID]],Customers[CustomerID],Customers[CustomerName])</f>
        <v>Folasade Okonkwo</v>
      </c>
      <c r="O1440" t="str">
        <f>_xlfn.XLOOKUP(Orders[[#This Row],[CustomerID]],Customers[CustomerID],Customers[Gender])</f>
        <v>Female</v>
      </c>
      <c r="P1440">
        <f>_xlfn.XLOOKUP(Orders[[#This Row],[CustomerID]],Customers[CustomerID],Customers[CustomerAge])</f>
        <v>21</v>
      </c>
      <c r="Q1440" t="str">
        <f>IF(Orders[[#This Row],[Age]]&gt;=35,"older","young")</f>
        <v>young</v>
      </c>
      <c r="R1440" t="str">
        <f>_xlfn.XLOOKUP(Orders[[#This Row],[ProductID]],Products[ProductID],Products[ProductName])</f>
        <v>TURTLE NECK</v>
      </c>
      <c r="S1440" t="str">
        <f>_xlfn.XLOOKUP(Orders[[#This Row],[ProductID]],Products!A:A,Products!C:C)</f>
        <v>Clothing</v>
      </c>
    </row>
    <row r="1441" spans="1:19" x14ac:dyDescent="0.2">
      <c r="A1441" s="4" t="s">
        <v>1630</v>
      </c>
      <c r="B1441" s="5">
        <v>46016</v>
      </c>
      <c r="C1441" s="15">
        <f>WEEKNUM(Orders[[#This Row],[OrderDate]])</f>
        <v>52</v>
      </c>
      <c r="D1441" s="4" t="s">
        <v>574</v>
      </c>
      <c r="E1441" s="4" t="s">
        <v>9</v>
      </c>
      <c r="F1441" s="4">
        <v>9</v>
      </c>
      <c r="G1441" s="4">
        <v>7581</v>
      </c>
      <c r="H1441">
        <v>6443.85</v>
      </c>
      <c r="I1441">
        <f>Orders[[#This Row],[Quantity]]*Orders[[#This Row],[Selling Price]]</f>
        <v>68229</v>
      </c>
      <c r="J1441">
        <f>Orders[[#This Row],[Quantity]]*Orders[[#This Row],[Cost Price]]</f>
        <v>57994.65</v>
      </c>
      <c r="K1441">
        <f>Orders[[#This Row],[Revenue]]-Orders[[#This Row],[Expenses]]</f>
        <v>10234.349999999999</v>
      </c>
      <c r="L1441" t="s">
        <v>2220</v>
      </c>
      <c r="M1441" t="str">
        <f>_xlfn.XLOOKUP(Orders[[#This Row],[CustomerID]],Customers[CustomerID],Customers[City])</f>
        <v>Texas</v>
      </c>
      <c r="N1441" t="str">
        <f>_xlfn.XLOOKUP(Orders[[#This Row],[CustomerID]],Customers[CustomerID],Customers[CustomerName])</f>
        <v>Adanma Obi</v>
      </c>
      <c r="O1441" t="str">
        <f>_xlfn.XLOOKUP(Orders[[#This Row],[CustomerID]],Customers[CustomerID],Customers[Gender])</f>
        <v>Female</v>
      </c>
      <c r="P1441">
        <f>_xlfn.XLOOKUP(Orders[[#This Row],[CustomerID]],Customers[CustomerID],Customers[CustomerAge])</f>
        <v>23</v>
      </c>
      <c r="Q1441" t="str">
        <f>IF(Orders[[#This Row],[Age]]&gt;=35,"older","young")</f>
        <v>young</v>
      </c>
      <c r="R1441" t="str">
        <f>_xlfn.XLOOKUP(Orders[[#This Row],[ProductID]],Products[ProductID],Products[ProductName])</f>
        <v>BEADED EARRINGS AND NECKLACES</v>
      </c>
      <c r="S1441" t="str">
        <f>_xlfn.XLOOKUP(Orders[[#This Row],[ProductID]],Products!A:A,Products!C:C)</f>
        <v>Accessories</v>
      </c>
    </row>
    <row r="1442" spans="1:19" x14ac:dyDescent="0.2">
      <c r="A1442" s="4" t="s">
        <v>1631</v>
      </c>
      <c r="B1442" s="5">
        <v>45972</v>
      </c>
      <c r="C1442" s="15">
        <f>WEEKNUM(Orders[[#This Row],[OrderDate]])</f>
        <v>46</v>
      </c>
      <c r="D1442" s="4" t="s">
        <v>14</v>
      </c>
      <c r="E1442" s="4" t="s">
        <v>46</v>
      </c>
      <c r="F1442" s="4">
        <v>1</v>
      </c>
      <c r="G1442" s="4">
        <v>6979.0999999999995</v>
      </c>
      <c r="H1442">
        <v>5932.2349999999997</v>
      </c>
      <c r="I1442">
        <f>Orders[[#This Row],[Quantity]]*Orders[[#This Row],[Selling Price]]</f>
        <v>6979.0999999999995</v>
      </c>
      <c r="J1442">
        <f>Orders[[#This Row],[Quantity]]*Orders[[#This Row],[Cost Price]]</f>
        <v>5932.2349999999997</v>
      </c>
      <c r="K1442">
        <f>Orders[[#This Row],[Revenue]]-Orders[[#This Row],[Expenses]]</f>
        <v>1046.8649999999998</v>
      </c>
      <c r="L1442" t="s">
        <v>2201</v>
      </c>
      <c r="M1442" t="str">
        <f>_xlfn.XLOOKUP(Orders[[#This Row],[CustomerID]],Customers[CustomerID],Customers[City])</f>
        <v>Texas</v>
      </c>
      <c r="N1442" t="str">
        <f>_xlfn.XLOOKUP(Orders[[#This Row],[CustomerID]],Customers[CustomerID],Customers[CustomerName])</f>
        <v>Abiola Igwe</v>
      </c>
      <c r="O1442" t="str">
        <f>_xlfn.XLOOKUP(Orders[[#This Row],[CustomerID]],Customers[CustomerID],Customers[Gender])</f>
        <v>Male</v>
      </c>
      <c r="P1442">
        <f>_xlfn.XLOOKUP(Orders[[#This Row],[CustomerID]],Customers[CustomerID],Customers[CustomerAge])</f>
        <v>39</v>
      </c>
      <c r="Q1442" t="str">
        <f>IF(Orders[[#This Row],[Age]]&gt;=35,"older","young")</f>
        <v>older</v>
      </c>
      <c r="R1442" t="str">
        <f>_xlfn.XLOOKUP(Orders[[#This Row],[ProductID]],Products[ProductID],Products[ProductName])</f>
        <v>TURTLE NECK</v>
      </c>
      <c r="S1442" t="str">
        <f>_xlfn.XLOOKUP(Orders[[#This Row],[ProductID]],Products!A:A,Products!C:C)</f>
        <v>Clothing</v>
      </c>
    </row>
    <row r="1443" spans="1:19" x14ac:dyDescent="0.2">
      <c r="A1443" s="4" t="s">
        <v>1632</v>
      </c>
      <c r="B1443" s="5">
        <v>46010</v>
      </c>
      <c r="C1443" s="15">
        <f>WEEKNUM(Orders[[#This Row],[OrderDate]])</f>
        <v>51</v>
      </c>
      <c r="D1443" s="4" t="s">
        <v>178</v>
      </c>
      <c r="E1443" s="4" t="s">
        <v>111</v>
      </c>
      <c r="F1443" s="4">
        <v>10</v>
      </c>
      <c r="G1443" s="4">
        <v>6651.2</v>
      </c>
      <c r="H1443">
        <v>5653.5199999999995</v>
      </c>
      <c r="I1443">
        <f>Orders[[#This Row],[Quantity]]*Orders[[#This Row],[Selling Price]]</f>
        <v>66512</v>
      </c>
      <c r="J1443">
        <f>Orders[[#This Row],[Quantity]]*Orders[[#This Row],[Cost Price]]</f>
        <v>56535.199999999997</v>
      </c>
      <c r="K1443">
        <f>Orders[[#This Row],[Revenue]]-Orders[[#This Row],[Expenses]]</f>
        <v>9976.8000000000029</v>
      </c>
      <c r="L1443" t="s">
        <v>2219</v>
      </c>
      <c r="M1443" t="str">
        <f>_xlfn.XLOOKUP(Orders[[#This Row],[CustomerID]],Customers[CustomerID],Customers[City])</f>
        <v>Florida</v>
      </c>
      <c r="N1443" t="str">
        <f>_xlfn.XLOOKUP(Orders[[#This Row],[CustomerID]],Customers[CustomerID],Customers[CustomerName])</f>
        <v>Ibrahim Igwe</v>
      </c>
      <c r="O1443" t="str">
        <f>_xlfn.XLOOKUP(Orders[[#This Row],[CustomerID]],Customers[CustomerID],Customers[Gender])</f>
        <v>Male</v>
      </c>
      <c r="P1443">
        <f>_xlfn.XLOOKUP(Orders[[#This Row],[CustomerID]],Customers[CustomerID],Customers[CustomerAge])</f>
        <v>19</v>
      </c>
      <c r="Q1443" t="str">
        <f>IF(Orders[[#This Row],[Age]]&gt;=35,"older","young")</f>
        <v>young</v>
      </c>
      <c r="R1443" t="str">
        <f>_xlfn.XLOOKUP(Orders[[#This Row],[ProductID]],Products[ProductID],Products[ProductName])</f>
        <v>REFRIGERATOR</v>
      </c>
      <c r="S1443" t="str">
        <f>_xlfn.XLOOKUP(Orders[[#This Row],[ProductID]],Products!A:A,Products!C:C)</f>
        <v>Electronics</v>
      </c>
    </row>
    <row r="1444" spans="1:19" x14ac:dyDescent="0.2">
      <c r="A1444" s="4" t="s">
        <v>1633</v>
      </c>
      <c r="B1444" s="5">
        <v>45949</v>
      </c>
      <c r="C1444" s="15">
        <f>WEEKNUM(Orders[[#This Row],[OrderDate]])</f>
        <v>43</v>
      </c>
      <c r="D1444" s="4" t="s">
        <v>96</v>
      </c>
      <c r="E1444" s="4" t="s">
        <v>208</v>
      </c>
      <c r="F1444" s="4">
        <v>3</v>
      </c>
      <c r="G1444" s="4">
        <v>13911</v>
      </c>
      <c r="H1444">
        <v>11824.35</v>
      </c>
      <c r="I1444">
        <f>Orders[[#This Row],[Quantity]]*Orders[[#This Row],[Selling Price]]</f>
        <v>41733</v>
      </c>
      <c r="J1444">
        <f>Orders[[#This Row],[Quantity]]*Orders[[#This Row],[Cost Price]]</f>
        <v>35473.050000000003</v>
      </c>
      <c r="K1444">
        <f>Orders[[#This Row],[Revenue]]-Orders[[#This Row],[Expenses]]</f>
        <v>6259.9499999999971</v>
      </c>
      <c r="L1444" t="s">
        <v>2202</v>
      </c>
      <c r="M1444" t="str">
        <f>_xlfn.XLOOKUP(Orders[[#This Row],[CustomerID]],Customers[CustomerID],Customers[City])</f>
        <v>Texas</v>
      </c>
      <c r="N1444" t="str">
        <f>_xlfn.XLOOKUP(Orders[[#This Row],[CustomerID]],Customers[CustomerID],Customers[CustomerName])</f>
        <v>Amina Abubakar</v>
      </c>
      <c r="O1444" t="str">
        <f>_xlfn.XLOOKUP(Orders[[#This Row],[CustomerID]],Customers[CustomerID],Customers[Gender])</f>
        <v>Female</v>
      </c>
      <c r="P1444">
        <f>_xlfn.XLOOKUP(Orders[[#This Row],[CustomerID]],Customers[CustomerID],Customers[CustomerAge])</f>
        <v>35</v>
      </c>
      <c r="Q1444" t="str">
        <f>IF(Orders[[#This Row],[Age]]&gt;=35,"older","young")</f>
        <v>older</v>
      </c>
      <c r="R1444" t="str">
        <f>_xlfn.XLOOKUP(Orders[[#This Row],[ProductID]],Products[ProductID],Products[ProductName])</f>
        <v>SKIPPING ROPE</v>
      </c>
      <c r="S1444" t="str">
        <f>_xlfn.XLOOKUP(Orders[[#This Row],[ProductID]],Products!A:A,Products!C:C)</f>
        <v>Sports</v>
      </c>
    </row>
    <row r="1445" spans="1:19" x14ac:dyDescent="0.2">
      <c r="A1445" s="4" t="s">
        <v>1634</v>
      </c>
      <c r="B1445" s="5">
        <v>46016</v>
      </c>
      <c r="C1445" s="15">
        <f>WEEKNUM(Orders[[#This Row],[OrderDate]])</f>
        <v>52</v>
      </c>
      <c r="D1445" s="4" t="s">
        <v>521</v>
      </c>
      <c r="E1445" s="4" t="s">
        <v>63</v>
      </c>
      <c r="F1445" s="4">
        <v>5</v>
      </c>
      <c r="G1445" s="4">
        <v>1525.3999999999999</v>
      </c>
      <c r="H1445">
        <v>1296.5899999999999</v>
      </c>
      <c r="I1445">
        <f>Orders[[#This Row],[Quantity]]*Orders[[#This Row],[Selling Price]]</f>
        <v>7626.9999999999991</v>
      </c>
      <c r="J1445">
        <f>Orders[[#This Row],[Quantity]]*Orders[[#This Row],[Cost Price]]</f>
        <v>6482.95</v>
      </c>
      <c r="K1445">
        <f>Orders[[#This Row],[Revenue]]-Orders[[#This Row],[Expenses]]</f>
        <v>1144.0499999999993</v>
      </c>
      <c r="L1445" t="s">
        <v>2220</v>
      </c>
      <c r="M1445" t="str">
        <f>_xlfn.XLOOKUP(Orders[[#This Row],[CustomerID]],Customers[CustomerID],Customers[City])</f>
        <v>Illinois</v>
      </c>
      <c r="N1445" t="str">
        <f>_xlfn.XLOOKUP(Orders[[#This Row],[CustomerID]],Customers[CustomerID],Customers[CustomerName])</f>
        <v>Ronke Eze</v>
      </c>
      <c r="O1445" t="str">
        <f>_xlfn.XLOOKUP(Orders[[#This Row],[CustomerID]],Customers[CustomerID],Customers[Gender])</f>
        <v>Female</v>
      </c>
      <c r="P1445">
        <f>_xlfn.XLOOKUP(Orders[[#This Row],[CustomerID]],Customers[CustomerID],Customers[CustomerAge])</f>
        <v>25</v>
      </c>
      <c r="Q1445" t="str">
        <f>IF(Orders[[#This Row],[Age]]&gt;=35,"older","young")</f>
        <v>young</v>
      </c>
      <c r="R1445" t="str">
        <f>_xlfn.XLOOKUP(Orders[[#This Row],[ProductID]],Products[ProductID],Products[ProductName])</f>
        <v>TENNIS BAT</v>
      </c>
      <c r="S1445" t="str">
        <f>_xlfn.XLOOKUP(Orders[[#This Row],[ProductID]],Products!A:A,Products!C:C)</f>
        <v>Sports</v>
      </c>
    </row>
    <row r="1446" spans="1:19" x14ac:dyDescent="0.2">
      <c r="A1446" s="4" t="s">
        <v>1635</v>
      </c>
      <c r="B1446" s="5">
        <v>45998</v>
      </c>
      <c r="C1446" s="15">
        <f>WEEKNUM(Orders[[#This Row],[OrderDate]])</f>
        <v>50</v>
      </c>
      <c r="D1446" s="4" t="s">
        <v>73</v>
      </c>
      <c r="E1446" s="4" t="s">
        <v>12</v>
      </c>
      <c r="F1446" s="4">
        <v>7</v>
      </c>
      <c r="G1446" s="4">
        <v>2052.4</v>
      </c>
      <c r="H1446">
        <v>1744.54</v>
      </c>
      <c r="I1446">
        <f>Orders[[#This Row],[Quantity]]*Orders[[#This Row],[Selling Price]]</f>
        <v>14366.800000000001</v>
      </c>
      <c r="J1446">
        <f>Orders[[#This Row],[Quantity]]*Orders[[#This Row],[Cost Price]]</f>
        <v>12211.779999999999</v>
      </c>
      <c r="K1446">
        <f>Orders[[#This Row],[Revenue]]-Orders[[#This Row],[Expenses]]</f>
        <v>2155.0200000000023</v>
      </c>
      <c r="L1446" t="s">
        <v>2192</v>
      </c>
      <c r="M1446" t="str">
        <f>_xlfn.XLOOKUP(Orders[[#This Row],[CustomerID]],Customers[CustomerID],Customers[City])</f>
        <v>California</v>
      </c>
      <c r="N1446" t="str">
        <f>_xlfn.XLOOKUP(Orders[[#This Row],[CustomerID]],Customers[CustomerID],Customers[CustomerName])</f>
        <v>Ronke Okonkwo</v>
      </c>
      <c r="O1446" t="str">
        <f>_xlfn.XLOOKUP(Orders[[#This Row],[CustomerID]],Customers[CustomerID],Customers[Gender])</f>
        <v>Female</v>
      </c>
      <c r="P1446">
        <f>_xlfn.XLOOKUP(Orders[[#This Row],[CustomerID]],Customers[CustomerID],Customers[CustomerAge])</f>
        <v>20</v>
      </c>
      <c r="Q1446" t="str">
        <f>IF(Orders[[#This Row],[Age]]&gt;=35,"older","young")</f>
        <v>young</v>
      </c>
      <c r="R1446" t="str">
        <f>_xlfn.XLOOKUP(Orders[[#This Row],[ProductID]],Products[ProductID],Products[ProductName])</f>
        <v>BOUBOU</v>
      </c>
      <c r="S1446" t="str">
        <f>_xlfn.XLOOKUP(Orders[[#This Row],[ProductID]],Products!A:A,Products!C:C)</f>
        <v>Clothing</v>
      </c>
    </row>
    <row r="1447" spans="1:19" x14ac:dyDescent="0.2">
      <c r="A1447" s="4" t="s">
        <v>1636</v>
      </c>
      <c r="B1447" s="5">
        <v>45954</v>
      </c>
      <c r="C1447" s="15">
        <f>WEEKNUM(Orders[[#This Row],[OrderDate]])</f>
        <v>43</v>
      </c>
      <c r="D1447" s="4" t="s">
        <v>295</v>
      </c>
      <c r="E1447" s="4" t="s">
        <v>76</v>
      </c>
      <c r="F1447" s="4">
        <v>2</v>
      </c>
      <c r="G1447" s="4">
        <v>5717.6</v>
      </c>
      <c r="H1447">
        <v>4859.96</v>
      </c>
      <c r="I1447">
        <f>Orders[[#This Row],[Quantity]]*Orders[[#This Row],[Selling Price]]</f>
        <v>11435.2</v>
      </c>
      <c r="J1447">
        <f>Orders[[#This Row],[Quantity]]*Orders[[#This Row],[Cost Price]]</f>
        <v>9719.92</v>
      </c>
      <c r="K1447">
        <f>Orders[[#This Row],[Revenue]]-Orders[[#This Row],[Expenses]]</f>
        <v>1715.2800000000007</v>
      </c>
      <c r="L1447" t="s">
        <v>2217</v>
      </c>
      <c r="M1447" t="str">
        <f>_xlfn.XLOOKUP(Orders[[#This Row],[CustomerID]],Customers[CustomerID],Customers[City])</f>
        <v>Texas</v>
      </c>
      <c r="N1447" t="str">
        <f>_xlfn.XLOOKUP(Orders[[#This Row],[CustomerID]],Customers[CustomerID],Customers[CustomerName])</f>
        <v>Sani Obi</v>
      </c>
      <c r="O1447" t="str">
        <f>_xlfn.XLOOKUP(Orders[[#This Row],[CustomerID]],Customers[CustomerID],Customers[Gender])</f>
        <v>Male</v>
      </c>
      <c r="P1447">
        <f>_xlfn.XLOOKUP(Orders[[#This Row],[CustomerID]],Customers[CustomerID],Customers[CustomerAge])</f>
        <v>31</v>
      </c>
      <c r="Q1447" t="str">
        <f>IF(Orders[[#This Row],[Age]]&gt;=35,"older","young")</f>
        <v>young</v>
      </c>
      <c r="R1447" t="str">
        <f>_xlfn.XLOOKUP(Orders[[#This Row],[ProductID]],Products[ProductID],Products[ProductName])</f>
        <v>BLENDER</v>
      </c>
      <c r="S1447" t="str">
        <f>_xlfn.XLOOKUP(Orders[[#This Row],[ProductID]],Products!A:A,Products!C:C)</f>
        <v>Electronics</v>
      </c>
    </row>
    <row r="1448" spans="1:19" x14ac:dyDescent="0.2">
      <c r="A1448" s="4" t="s">
        <v>1637</v>
      </c>
      <c r="B1448" s="5">
        <v>45982</v>
      </c>
      <c r="C1448" s="15">
        <f>WEEKNUM(Orders[[#This Row],[OrderDate]])</f>
        <v>47</v>
      </c>
      <c r="D1448" s="4" t="s">
        <v>322</v>
      </c>
      <c r="E1448" s="4" t="s">
        <v>31</v>
      </c>
      <c r="F1448" s="4">
        <v>6</v>
      </c>
      <c r="G1448" s="4">
        <v>5232.6000000000004</v>
      </c>
      <c r="H1448">
        <v>4447.71</v>
      </c>
      <c r="I1448">
        <f>Orders[[#This Row],[Quantity]]*Orders[[#This Row],[Selling Price]]</f>
        <v>31395.600000000002</v>
      </c>
      <c r="J1448">
        <f>Orders[[#This Row],[Quantity]]*Orders[[#This Row],[Cost Price]]</f>
        <v>26686.260000000002</v>
      </c>
      <c r="K1448">
        <f>Orders[[#This Row],[Revenue]]-Orders[[#This Row],[Expenses]]</f>
        <v>4709.34</v>
      </c>
      <c r="L1448" t="s">
        <v>2213</v>
      </c>
      <c r="M1448" t="str">
        <f>_xlfn.XLOOKUP(Orders[[#This Row],[CustomerID]],Customers[CustomerID],Customers[City])</f>
        <v>Washington</v>
      </c>
      <c r="N1448" t="str">
        <f>_xlfn.XLOOKUP(Orders[[#This Row],[CustomerID]],Customers[CustomerID],Customers[CustomerName])</f>
        <v>Ngozi Bello</v>
      </c>
      <c r="O1448" t="str">
        <f>_xlfn.XLOOKUP(Orders[[#This Row],[CustomerID]],Customers[CustomerID],Customers[Gender])</f>
        <v>Female</v>
      </c>
      <c r="P1448">
        <f>_xlfn.XLOOKUP(Orders[[#This Row],[CustomerID]],Customers[CustomerID],Customers[CustomerAge])</f>
        <v>32</v>
      </c>
      <c r="Q1448" t="str">
        <f>IF(Orders[[#This Row],[Age]]&gt;=35,"older","young")</f>
        <v>young</v>
      </c>
      <c r="R1448" t="str">
        <f>_xlfn.XLOOKUP(Orders[[#This Row],[ProductID]],Products[ProductID],Products[ProductName])</f>
        <v>KIDS GAMES</v>
      </c>
      <c r="S1448" t="str">
        <f>_xlfn.XLOOKUP(Orders[[#This Row],[ProductID]],Products!A:A,Products!C:C)</f>
        <v>Games</v>
      </c>
    </row>
    <row r="1449" spans="1:19" x14ac:dyDescent="0.2">
      <c r="A1449" s="4" t="s">
        <v>1638</v>
      </c>
      <c r="B1449" s="5">
        <v>46022</v>
      </c>
      <c r="C1449" s="15">
        <f>WEEKNUM(Orders[[#This Row],[OrderDate]])</f>
        <v>53</v>
      </c>
      <c r="D1449" s="4" t="s">
        <v>207</v>
      </c>
      <c r="E1449" s="4" t="s">
        <v>66</v>
      </c>
      <c r="F1449" s="4">
        <v>4</v>
      </c>
      <c r="G1449" s="4">
        <v>14938.800000000001</v>
      </c>
      <c r="H1449">
        <v>12697.980000000001</v>
      </c>
      <c r="I1449">
        <f>Orders[[#This Row],[Quantity]]*Orders[[#This Row],[Selling Price]]</f>
        <v>59755.200000000004</v>
      </c>
      <c r="J1449">
        <f>Orders[[#This Row],[Quantity]]*Orders[[#This Row],[Cost Price]]</f>
        <v>50791.920000000006</v>
      </c>
      <c r="K1449">
        <f>Orders[[#This Row],[Revenue]]-Orders[[#This Row],[Expenses]]</f>
        <v>8963.2799999999988</v>
      </c>
      <c r="L1449" t="s">
        <v>2200</v>
      </c>
      <c r="M1449" t="str">
        <f>_xlfn.XLOOKUP(Orders[[#This Row],[CustomerID]],Customers[CustomerID],Customers[City])</f>
        <v>Florida</v>
      </c>
      <c r="N1449" t="str">
        <f>_xlfn.XLOOKUP(Orders[[#This Row],[CustomerID]],Customers[CustomerID],Customers[CustomerName])</f>
        <v>Bisi Eze</v>
      </c>
      <c r="O1449" t="str">
        <f>_xlfn.XLOOKUP(Orders[[#This Row],[CustomerID]],Customers[CustomerID],Customers[Gender])</f>
        <v>Female</v>
      </c>
      <c r="P1449">
        <f>_xlfn.XLOOKUP(Orders[[#This Row],[CustomerID]],Customers[CustomerID],Customers[CustomerAge])</f>
        <v>37</v>
      </c>
      <c r="Q1449" t="str">
        <f>IF(Orders[[#This Row],[Age]]&gt;=35,"older","young")</f>
        <v>older</v>
      </c>
      <c r="R1449" t="str">
        <f>_xlfn.XLOOKUP(Orders[[#This Row],[ProductID]],Products[ProductID],Products[ProductName])</f>
        <v>MICROWAVE</v>
      </c>
      <c r="S1449" t="str">
        <f>_xlfn.XLOOKUP(Orders[[#This Row],[ProductID]],Products!A:A,Products!C:C)</f>
        <v>Electronics</v>
      </c>
    </row>
    <row r="1450" spans="1:19" x14ac:dyDescent="0.2">
      <c r="A1450" s="4" t="s">
        <v>1639</v>
      </c>
      <c r="B1450" s="5">
        <v>45989</v>
      </c>
      <c r="C1450" s="15">
        <f>WEEKNUM(Orders[[#This Row],[OrderDate]])</f>
        <v>48</v>
      </c>
      <c r="D1450" s="4" t="s">
        <v>237</v>
      </c>
      <c r="E1450" s="4" t="s">
        <v>151</v>
      </c>
      <c r="F1450" s="4">
        <v>6</v>
      </c>
      <c r="G1450" s="4">
        <v>8740.2000000000007</v>
      </c>
      <c r="H1450">
        <v>7429.170000000001</v>
      </c>
      <c r="I1450">
        <f>Orders[[#This Row],[Quantity]]*Orders[[#This Row],[Selling Price]]</f>
        <v>52441.200000000004</v>
      </c>
      <c r="J1450">
        <f>Orders[[#This Row],[Quantity]]*Orders[[#This Row],[Cost Price]]</f>
        <v>44575.020000000004</v>
      </c>
      <c r="K1450">
        <f>Orders[[#This Row],[Revenue]]-Orders[[#This Row],[Expenses]]</f>
        <v>7866.18</v>
      </c>
      <c r="L1450" t="s">
        <v>2201</v>
      </c>
      <c r="M1450" t="str">
        <f>_xlfn.XLOOKUP(Orders[[#This Row],[CustomerID]],Customers[CustomerID],Customers[City])</f>
        <v>Florida</v>
      </c>
      <c r="N1450" t="str">
        <f>_xlfn.XLOOKUP(Orders[[#This Row],[CustomerID]],Customers[CustomerID],Customers[CustomerName])</f>
        <v>Ronke Danladi</v>
      </c>
      <c r="O1450" t="str">
        <f>_xlfn.XLOOKUP(Orders[[#This Row],[CustomerID]],Customers[CustomerID],Customers[Gender])</f>
        <v>Female</v>
      </c>
      <c r="P1450">
        <f>_xlfn.XLOOKUP(Orders[[#This Row],[CustomerID]],Customers[CustomerID],Customers[CustomerAge])</f>
        <v>25</v>
      </c>
      <c r="Q1450" t="str">
        <f>IF(Orders[[#This Row],[Age]]&gt;=35,"older","young")</f>
        <v>young</v>
      </c>
      <c r="R1450" t="str">
        <f>_xlfn.XLOOKUP(Orders[[#This Row],[ProductID]],Products[ProductID],Products[ProductName])</f>
        <v>CHECKERS</v>
      </c>
      <c r="S1450" t="str">
        <f>_xlfn.XLOOKUP(Orders[[#This Row],[ProductID]],Products!A:A,Products!C:C)</f>
        <v>Games</v>
      </c>
    </row>
    <row r="1451" spans="1:19" x14ac:dyDescent="0.2">
      <c r="A1451" s="4" t="s">
        <v>1640</v>
      </c>
      <c r="B1451" s="5">
        <v>46017</v>
      </c>
      <c r="C1451" s="15">
        <f>WEEKNUM(Orders[[#This Row],[OrderDate]])</f>
        <v>52</v>
      </c>
      <c r="D1451" s="4" t="s">
        <v>91</v>
      </c>
      <c r="E1451" s="4" t="s">
        <v>84</v>
      </c>
      <c r="F1451" s="4">
        <v>10</v>
      </c>
      <c r="G1451" s="4">
        <v>9496.6999999999989</v>
      </c>
      <c r="H1451">
        <v>8072.1949999999988</v>
      </c>
      <c r="I1451">
        <f>Orders[[#This Row],[Quantity]]*Orders[[#This Row],[Selling Price]]</f>
        <v>94966.999999999985</v>
      </c>
      <c r="J1451">
        <f>Orders[[#This Row],[Quantity]]*Orders[[#This Row],[Cost Price]]</f>
        <v>80721.949999999983</v>
      </c>
      <c r="K1451">
        <f>Orders[[#This Row],[Revenue]]-Orders[[#This Row],[Expenses]]</f>
        <v>14245.050000000003</v>
      </c>
      <c r="L1451" t="s">
        <v>2217</v>
      </c>
      <c r="M1451" t="str">
        <f>_xlfn.XLOOKUP(Orders[[#This Row],[CustomerID]],Customers[CustomerID],Customers[City])</f>
        <v>Florida</v>
      </c>
      <c r="N1451" t="str">
        <f>_xlfn.XLOOKUP(Orders[[#This Row],[CustomerID]],Customers[CustomerID],Customers[CustomerName])</f>
        <v>Uche Abubakar</v>
      </c>
      <c r="O1451" t="str">
        <f>_xlfn.XLOOKUP(Orders[[#This Row],[CustomerID]],Customers[CustomerID],Customers[Gender])</f>
        <v>Male</v>
      </c>
      <c r="P1451">
        <f>_xlfn.XLOOKUP(Orders[[#This Row],[CustomerID]],Customers[CustomerID],Customers[CustomerAge])</f>
        <v>28</v>
      </c>
      <c r="Q1451" t="str">
        <f>IF(Orders[[#This Row],[Age]]&gt;=35,"older","young")</f>
        <v>young</v>
      </c>
      <c r="R1451" t="str">
        <f>_xlfn.XLOOKUP(Orders[[#This Row],[ProductID]],Products[ProductID],Products[ProductName])</f>
        <v>GYM WEARS</v>
      </c>
      <c r="S1451" t="str">
        <f>_xlfn.XLOOKUP(Orders[[#This Row],[ProductID]],Products!A:A,Products!C:C)</f>
        <v>Clothing</v>
      </c>
    </row>
    <row r="1452" spans="1:19" x14ac:dyDescent="0.2">
      <c r="A1452" s="4" t="s">
        <v>1641</v>
      </c>
      <c r="B1452" s="5">
        <v>45991</v>
      </c>
      <c r="C1452" s="15">
        <f>WEEKNUM(Orders[[#This Row],[OrderDate]])</f>
        <v>49</v>
      </c>
      <c r="D1452" s="4" t="s">
        <v>324</v>
      </c>
      <c r="E1452" s="4" t="s">
        <v>76</v>
      </c>
      <c r="F1452" s="4">
        <v>4</v>
      </c>
      <c r="G1452" s="4">
        <v>15876.5</v>
      </c>
      <c r="H1452">
        <v>13495.025</v>
      </c>
      <c r="I1452">
        <f>Orders[[#This Row],[Quantity]]*Orders[[#This Row],[Selling Price]]</f>
        <v>63506</v>
      </c>
      <c r="J1452">
        <f>Orders[[#This Row],[Quantity]]*Orders[[#This Row],[Cost Price]]</f>
        <v>53980.1</v>
      </c>
      <c r="K1452">
        <f>Orders[[#This Row],[Revenue]]-Orders[[#This Row],[Expenses]]</f>
        <v>9525.9000000000015</v>
      </c>
      <c r="L1452" t="s">
        <v>2199</v>
      </c>
      <c r="M1452" t="str">
        <f>_xlfn.XLOOKUP(Orders[[#This Row],[CustomerID]],Customers[CustomerID],Customers[City])</f>
        <v>Texas</v>
      </c>
      <c r="N1452" t="str">
        <f>_xlfn.XLOOKUP(Orders[[#This Row],[CustomerID]],Customers[CustomerID],Customers[CustomerName])</f>
        <v>Tunde Okonkwo</v>
      </c>
      <c r="O1452" t="str">
        <f>_xlfn.XLOOKUP(Orders[[#This Row],[CustomerID]],Customers[CustomerID],Customers[Gender])</f>
        <v>Male</v>
      </c>
      <c r="P1452">
        <f>_xlfn.XLOOKUP(Orders[[#This Row],[CustomerID]],Customers[CustomerID],Customers[CustomerAge])</f>
        <v>25</v>
      </c>
      <c r="Q1452" t="str">
        <f>IF(Orders[[#This Row],[Age]]&gt;=35,"older","young")</f>
        <v>young</v>
      </c>
      <c r="R1452" t="str">
        <f>_xlfn.XLOOKUP(Orders[[#This Row],[ProductID]],Products[ProductID],Products[ProductName])</f>
        <v>BLENDER</v>
      </c>
      <c r="S1452" t="str">
        <f>_xlfn.XLOOKUP(Orders[[#This Row],[ProductID]],Products!A:A,Products!C:C)</f>
        <v>Electronics</v>
      </c>
    </row>
    <row r="1453" spans="1:19" x14ac:dyDescent="0.2">
      <c r="A1453" s="4" t="s">
        <v>1642</v>
      </c>
      <c r="B1453" s="5">
        <v>45933</v>
      </c>
      <c r="C1453" s="15">
        <f>WEEKNUM(Orders[[#This Row],[OrderDate]])</f>
        <v>40</v>
      </c>
      <c r="D1453" s="4" t="s">
        <v>607</v>
      </c>
      <c r="E1453" s="4" t="s">
        <v>57</v>
      </c>
      <c r="F1453" s="4">
        <v>3</v>
      </c>
      <c r="G1453" s="4">
        <v>11334.6</v>
      </c>
      <c r="H1453">
        <v>9634.41</v>
      </c>
      <c r="I1453">
        <f>Orders[[#This Row],[Quantity]]*Orders[[#This Row],[Selling Price]]</f>
        <v>34003.800000000003</v>
      </c>
      <c r="J1453">
        <f>Orders[[#This Row],[Quantity]]*Orders[[#This Row],[Cost Price]]</f>
        <v>28903.23</v>
      </c>
      <c r="K1453">
        <f>Orders[[#This Row],[Revenue]]-Orders[[#This Row],[Expenses]]</f>
        <v>5100.5700000000033</v>
      </c>
      <c r="L1453" t="s">
        <v>2213</v>
      </c>
      <c r="M1453" t="str">
        <f>_xlfn.XLOOKUP(Orders[[#This Row],[CustomerID]],Customers[CustomerID],Customers[City])</f>
        <v>Texas</v>
      </c>
      <c r="N1453" t="str">
        <f>_xlfn.XLOOKUP(Orders[[#This Row],[CustomerID]],Customers[CustomerID],Customers[CustomerName])</f>
        <v>Folasade Ojo</v>
      </c>
      <c r="O1453" t="str">
        <f>_xlfn.XLOOKUP(Orders[[#This Row],[CustomerID]],Customers[CustomerID],Customers[Gender])</f>
        <v>Female</v>
      </c>
      <c r="P1453">
        <f>_xlfn.XLOOKUP(Orders[[#This Row],[CustomerID]],Customers[CustomerID],Customers[CustomerAge])</f>
        <v>19</v>
      </c>
      <c r="Q1453" t="str">
        <f>IF(Orders[[#This Row],[Age]]&gt;=35,"older","young")</f>
        <v>young</v>
      </c>
      <c r="R1453" t="str">
        <f>_xlfn.XLOOKUP(Orders[[#This Row],[ProductID]],Products[ProductID],Products[ProductName])</f>
        <v>BADMINTON RACKET</v>
      </c>
      <c r="S1453" t="str">
        <f>_xlfn.XLOOKUP(Orders[[#This Row],[ProductID]],Products!A:A,Products!C:C)</f>
        <v>Sports</v>
      </c>
    </row>
    <row r="1454" spans="1:19" x14ac:dyDescent="0.2">
      <c r="A1454" s="4" t="s">
        <v>1643</v>
      </c>
      <c r="B1454" s="5">
        <v>45989</v>
      </c>
      <c r="C1454" s="15">
        <f>WEEKNUM(Orders[[#This Row],[OrderDate]])</f>
        <v>48</v>
      </c>
      <c r="D1454" s="4" t="s">
        <v>118</v>
      </c>
      <c r="E1454" s="4" t="s">
        <v>81</v>
      </c>
      <c r="F1454" s="4">
        <v>1</v>
      </c>
      <c r="G1454" s="4">
        <v>1071.0999999999999</v>
      </c>
      <c r="H1454">
        <v>910.43499999999995</v>
      </c>
      <c r="I1454">
        <f>Orders[[#This Row],[Quantity]]*Orders[[#This Row],[Selling Price]]</f>
        <v>1071.0999999999999</v>
      </c>
      <c r="J1454">
        <f>Orders[[#This Row],[Quantity]]*Orders[[#This Row],[Cost Price]]</f>
        <v>910.43499999999995</v>
      </c>
      <c r="K1454">
        <f>Orders[[#This Row],[Revenue]]-Orders[[#This Row],[Expenses]]</f>
        <v>160.66499999999996</v>
      </c>
      <c r="L1454" t="s">
        <v>2198</v>
      </c>
      <c r="M1454" t="str">
        <f>_xlfn.XLOOKUP(Orders[[#This Row],[CustomerID]],Customers[CustomerID],Customers[City])</f>
        <v>Georgia</v>
      </c>
      <c r="N1454" t="str">
        <f>_xlfn.XLOOKUP(Orders[[#This Row],[CustomerID]],Customers[CustomerID],Customers[CustomerName])</f>
        <v>Ibrahim Balogun</v>
      </c>
      <c r="O1454" t="str">
        <f>_xlfn.XLOOKUP(Orders[[#This Row],[CustomerID]],Customers[CustomerID],Customers[Gender])</f>
        <v>Male</v>
      </c>
      <c r="P1454">
        <f>_xlfn.XLOOKUP(Orders[[#This Row],[CustomerID]],Customers[CustomerID],Customers[CustomerAge])</f>
        <v>55</v>
      </c>
      <c r="Q1454" t="str">
        <f>IF(Orders[[#This Row],[Age]]&gt;=35,"older","young")</f>
        <v>older</v>
      </c>
      <c r="R1454" t="str">
        <f>_xlfn.XLOOKUP(Orders[[#This Row],[ProductID]],Products[ProductID],Products[ProductName])</f>
        <v>TROUSERS</v>
      </c>
      <c r="S1454" t="str">
        <f>_xlfn.XLOOKUP(Orders[[#This Row],[ProductID]],Products!A:A,Products!C:C)</f>
        <v>Clothing</v>
      </c>
    </row>
    <row r="1455" spans="1:19" x14ac:dyDescent="0.2">
      <c r="A1455" s="4" t="s">
        <v>1644</v>
      </c>
      <c r="B1455" s="5">
        <v>45971</v>
      </c>
      <c r="C1455" s="15">
        <f>WEEKNUM(Orders[[#This Row],[OrderDate]])</f>
        <v>46</v>
      </c>
      <c r="D1455" s="4" t="s">
        <v>311</v>
      </c>
      <c r="E1455" s="4" t="s">
        <v>232</v>
      </c>
      <c r="F1455" s="4">
        <v>6</v>
      </c>
      <c r="G1455" s="4">
        <v>7824.8</v>
      </c>
      <c r="H1455">
        <v>6651.08</v>
      </c>
      <c r="I1455">
        <f>Orders[[#This Row],[Quantity]]*Orders[[#This Row],[Selling Price]]</f>
        <v>46948.800000000003</v>
      </c>
      <c r="J1455">
        <f>Orders[[#This Row],[Quantity]]*Orders[[#This Row],[Cost Price]]</f>
        <v>39906.479999999996</v>
      </c>
      <c r="K1455">
        <f>Orders[[#This Row],[Revenue]]-Orders[[#This Row],[Expenses]]</f>
        <v>7042.320000000007</v>
      </c>
      <c r="L1455" t="s">
        <v>2220</v>
      </c>
      <c r="M1455" t="str">
        <f>_xlfn.XLOOKUP(Orders[[#This Row],[CustomerID]],Customers[CustomerID],Customers[City])</f>
        <v>Georgia</v>
      </c>
      <c r="N1455" t="str">
        <f>_xlfn.XLOOKUP(Orders[[#This Row],[CustomerID]],Customers[CustomerID],Customers[CustomerName])</f>
        <v>Bisi Bello</v>
      </c>
      <c r="O1455" t="str">
        <f>_xlfn.XLOOKUP(Orders[[#This Row],[CustomerID]],Customers[CustomerID],Customers[Gender])</f>
        <v>Female</v>
      </c>
      <c r="P1455">
        <f>_xlfn.XLOOKUP(Orders[[#This Row],[CustomerID]],Customers[CustomerID],Customers[CustomerAge])</f>
        <v>31</v>
      </c>
      <c r="Q1455" t="str">
        <f>IF(Orders[[#This Row],[Age]]&gt;=35,"older","young")</f>
        <v>young</v>
      </c>
      <c r="R1455" t="str">
        <f>_xlfn.XLOOKUP(Orders[[#This Row],[ProductID]],Products[ProductID],Products[ProductName])</f>
        <v>ANKARA</v>
      </c>
      <c r="S1455" t="str">
        <f>_xlfn.XLOOKUP(Orders[[#This Row],[ProductID]],Products!A:A,Products!C:C)</f>
        <v>Clothing</v>
      </c>
    </row>
    <row r="1456" spans="1:19" x14ac:dyDescent="0.2">
      <c r="A1456" s="4" t="s">
        <v>1645</v>
      </c>
      <c r="B1456" s="5">
        <v>46006</v>
      </c>
      <c r="C1456" s="15">
        <f>WEEKNUM(Orders[[#This Row],[OrderDate]])</f>
        <v>51</v>
      </c>
      <c r="D1456" s="4" t="s">
        <v>216</v>
      </c>
      <c r="E1456" s="4" t="s">
        <v>34</v>
      </c>
      <c r="F1456" s="4">
        <v>5</v>
      </c>
      <c r="G1456" s="4">
        <v>7300.2999999999993</v>
      </c>
      <c r="H1456">
        <v>6205.2549999999992</v>
      </c>
      <c r="I1456">
        <f>Orders[[#This Row],[Quantity]]*Orders[[#This Row],[Selling Price]]</f>
        <v>36501.5</v>
      </c>
      <c r="J1456">
        <f>Orders[[#This Row],[Quantity]]*Orders[[#This Row],[Cost Price]]</f>
        <v>31026.274999999994</v>
      </c>
      <c r="K1456">
        <f>Orders[[#This Row],[Revenue]]-Orders[[#This Row],[Expenses]]</f>
        <v>5475.2250000000058</v>
      </c>
      <c r="L1456" t="s">
        <v>2196</v>
      </c>
      <c r="M1456" t="str">
        <f>_xlfn.XLOOKUP(Orders[[#This Row],[CustomerID]],Customers[CustomerID],Customers[City])</f>
        <v>California</v>
      </c>
      <c r="N1456" t="str">
        <f>_xlfn.XLOOKUP(Orders[[#This Row],[CustomerID]],Customers[CustomerID],Customers[CustomerName])</f>
        <v>Ngozi Obi</v>
      </c>
      <c r="O1456" t="str">
        <f>_xlfn.XLOOKUP(Orders[[#This Row],[CustomerID]],Customers[CustomerID],Customers[Gender])</f>
        <v>Female</v>
      </c>
      <c r="P1456">
        <f>_xlfn.XLOOKUP(Orders[[#This Row],[CustomerID]],Customers[CustomerID],Customers[CustomerAge])</f>
        <v>54</v>
      </c>
      <c r="Q1456" t="str">
        <f>IF(Orders[[#This Row],[Age]]&gt;=35,"older","young")</f>
        <v>older</v>
      </c>
      <c r="R1456" t="str">
        <f>_xlfn.XLOOKUP(Orders[[#This Row],[ProductID]],Products[ProductID],Products[ProductName])</f>
        <v>GOLD BRACELETS</v>
      </c>
      <c r="S1456" t="str">
        <f>_xlfn.XLOOKUP(Orders[[#This Row],[ProductID]],Products!A:A,Products!C:C)</f>
        <v>Accessories</v>
      </c>
    </row>
    <row r="1457" spans="1:19" x14ac:dyDescent="0.2">
      <c r="A1457" s="4" t="s">
        <v>1646</v>
      </c>
      <c r="B1457" s="5">
        <v>45993</v>
      </c>
      <c r="C1457" s="15">
        <f>WEEKNUM(Orders[[#This Row],[OrderDate]])</f>
        <v>49</v>
      </c>
      <c r="D1457" s="4" t="s">
        <v>207</v>
      </c>
      <c r="E1457" s="4" t="s">
        <v>353</v>
      </c>
      <c r="F1457" s="4">
        <v>8</v>
      </c>
      <c r="G1457" s="4">
        <v>11419.8</v>
      </c>
      <c r="H1457">
        <v>9706.83</v>
      </c>
      <c r="I1457">
        <f>Orders[[#This Row],[Quantity]]*Orders[[#This Row],[Selling Price]]</f>
        <v>91358.399999999994</v>
      </c>
      <c r="J1457">
        <f>Orders[[#This Row],[Quantity]]*Orders[[#This Row],[Cost Price]]</f>
        <v>77654.64</v>
      </c>
      <c r="K1457">
        <f>Orders[[#This Row],[Revenue]]-Orders[[#This Row],[Expenses]]</f>
        <v>13703.759999999995</v>
      </c>
      <c r="L1457" t="s">
        <v>2219</v>
      </c>
      <c r="M1457" t="str">
        <f>_xlfn.XLOOKUP(Orders[[#This Row],[CustomerID]],Customers[CustomerID],Customers[City])</f>
        <v>Florida</v>
      </c>
      <c r="N1457" t="str">
        <f>_xlfn.XLOOKUP(Orders[[#This Row],[CustomerID]],Customers[CustomerID],Customers[CustomerName])</f>
        <v>Bisi Eze</v>
      </c>
      <c r="O1457" t="str">
        <f>_xlfn.XLOOKUP(Orders[[#This Row],[CustomerID]],Customers[CustomerID],Customers[Gender])</f>
        <v>Female</v>
      </c>
      <c r="P1457">
        <f>_xlfn.XLOOKUP(Orders[[#This Row],[CustomerID]],Customers[CustomerID],Customers[CustomerAge])</f>
        <v>37</v>
      </c>
      <c r="Q1457" t="str">
        <f>IF(Orders[[#This Row],[Age]]&gt;=35,"older","young")</f>
        <v>older</v>
      </c>
      <c r="R1457" t="str">
        <f>_xlfn.XLOOKUP(Orders[[#This Row],[ProductID]],Products[ProductID],Products[ProductName])</f>
        <v>SILVER EARRINGS AND NECKLACES</v>
      </c>
      <c r="S1457" t="str">
        <f>_xlfn.XLOOKUP(Orders[[#This Row],[ProductID]],Products!A:A,Products!C:C)</f>
        <v>Accessories</v>
      </c>
    </row>
    <row r="1458" spans="1:19" x14ac:dyDescent="0.2">
      <c r="A1458" s="4" t="s">
        <v>1647</v>
      </c>
      <c r="B1458" s="5">
        <v>45976</v>
      </c>
      <c r="C1458" s="15">
        <f>WEEKNUM(Orders[[#This Row],[OrderDate]])</f>
        <v>46</v>
      </c>
      <c r="D1458" s="4" t="s">
        <v>386</v>
      </c>
      <c r="E1458" s="4" t="s">
        <v>31</v>
      </c>
      <c r="F1458" s="4">
        <v>6</v>
      </c>
      <c r="G1458" s="4">
        <v>11460</v>
      </c>
      <c r="H1458">
        <v>9741</v>
      </c>
      <c r="I1458">
        <f>Orders[[#This Row],[Quantity]]*Orders[[#This Row],[Selling Price]]</f>
        <v>68760</v>
      </c>
      <c r="J1458">
        <f>Orders[[#This Row],[Quantity]]*Orders[[#This Row],[Cost Price]]</f>
        <v>58446</v>
      </c>
      <c r="K1458">
        <f>Orders[[#This Row],[Revenue]]-Orders[[#This Row],[Expenses]]</f>
        <v>10314</v>
      </c>
      <c r="L1458" t="s">
        <v>2212</v>
      </c>
      <c r="M1458" t="str">
        <f>_xlfn.XLOOKUP(Orders[[#This Row],[CustomerID]],Customers[CustomerID],Customers[City])</f>
        <v>Washington</v>
      </c>
      <c r="N1458" t="str">
        <f>_xlfn.XLOOKUP(Orders[[#This Row],[CustomerID]],Customers[CustomerID],Customers[CustomerName])</f>
        <v>Chinedu Eze</v>
      </c>
      <c r="O1458" t="str">
        <f>_xlfn.XLOOKUP(Orders[[#This Row],[CustomerID]],Customers[CustomerID],Customers[Gender])</f>
        <v>Male</v>
      </c>
      <c r="P1458">
        <f>_xlfn.XLOOKUP(Orders[[#This Row],[CustomerID]],Customers[CustomerID],Customers[CustomerAge])</f>
        <v>32</v>
      </c>
      <c r="Q1458" t="str">
        <f>IF(Orders[[#This Row],[Age]]&gt;=35,"older","young")</f>
        <v>young</v>
      </c>
      <c r="R1458" t="str">
        <f>_xlfn.XLOOKUP(Orders[[#This Row],[ProductID]],Products[ProductID],Products[ProductName])</f>
        <v>KIDS GAMES</v>
      </c>
      <c r="S1458" t="str">
        <f>_xlfn.XLOOKUP(Orders[[#This Row],[ProductID]],Products!A:A,Products!C:C)</f>
        <v>Games</v>
      </c>
    </row>
    <row r="1459" spans="1:19" x14ac:dyDescent="0.2">
      <c r="A1459" s="4" t="s">
        <v>1648</v>
      </c>
      <c r="B1459" s="5">
        <v>45931</v>
      </c>
      <c r="C1459" s="15">
        <f>WEEKNUM(Orders[[#This Row],[OrderDate]])</f>
        <v>40</v>
      </c>
      <c r="D1459" s="4" t="s">
        <v>210</v>
      </c>
      <c r="E1459" s="4" t="s">
        <v>253</v>
      </c>
      <c r="F1459" s="4">
        <v>4</v>
      </c>
      <c r="G1459" s="4">
        <v>14283.4</v>
      </c>
      <c r="H1459">
        <v>12140.89</v>
      </c>
      <c r="I1459">
        <f>Orders[[#This Row],[Quantity]]*Orders[[#This Row],[Selling Price]]</f>
        <v>57133.599999999999</v>
      </c>
      <c r="J1459">
        <f>Orders[[#This Row],[Quantity]]*Orders[[#This Row],[Cost Price]]</f>
        <v>48563.56</v>
      </c>
      <c r="K1459">
        <f>Orders[[#This Row],[Revenue]]-Orders[[#This Row],[Expenses]]</f>
        <v>8570.0400000000009</v>
      </c>
      <c r="L1459" t="s">
        <v>2211</v>
      </c>
      <c r="M1459" t="str">
        <f>_xlfn.XLOOKUP(Orders[[#This Row],[CustomerID]],Customers[CustomerID],Customers[City])</f>
        <v>Illinois</v>
      </c>
      <c r="N1459" t="str">
        <f>_xlfn.XLOOKUP(Orders[[#This Row],[CustomerID]],Customers[CustomerID],Customers[CustomerName])</f>
        <v>Zainab Bello</v>
      </c>
      <c r="O1459" t="str">
        <f>_xlfn.XLOOKUP(Orders[[#This Row],[CustomerID]],Customers[CustomerID],Customers[Gender])</f>
        <v>Female</v>
      </c>
      <c r="P1459">
        <f>_xlfn.XLOOKUP(Orders[[#This Row],[CustomerID]],Customers[CustomerID],Customers[CustomerAge])</f>
        <v>27</v>
      </c>
      <c r="Q1459" t="str">
        <f>IF(Orders[[#This Row],[Age]]&gt;=35,"older","young")</f>
        <v>young</v>
      </c>
      <c r="R1459" t="str">
        <f>_xlfn.XLOOKUP(Orders[[#This Row],[ProductID]],Products[ProductID],Products[ProductName])</f>
        <v>NOSE RINGS</v>
      </c>
      <c r="S1459" t="str">
        <f>_xlfn.XLOOKUP(Orders[[#This Row],[ProductID]],Products!A:A,Products!C:C)</f>
        <v>Accessories</v>
      </c>
    </row>
    <row r="1460" spans="1:19" x14ac:dyDescent="0.2">
      <c r="A1460" s="4" t="s">
        <v>1649</v>
      </c>
      <c r="B1460" s="5">
        <v>46021</v>
      </c>
      <c r="C1460" s="15">
        <f>WEEKNUM(Orders[[#This Row],[OrderDate]])</f>
        <v>53</v>
      </c>
      <c r="D1460" s="4" t="s">
        <v>216</v>
      </c>
      <c r="E1460" s="4" t="s">
        <v>53</v>
      </c>
      <c r="F1460" s="4">
        <v>9</v>
      </c>
      <c r="G1460" s="4">
        <v>10269.300000000001</v>
      </c>
      <c r="H1460">
        <v>8728.9050000000007</v>
      </c>
      <c r="I1460">
        <f>Orders[[#This Row],[Quantity]]*Orders[[#This Row],[Selling Price]]</f>
        <v>92423.700000000012</v>
      </c>
      <c r="J1460">
        <f>Orders[[#This Row],[Quantity]]*Orders[[#This Row],[Cost Price]]</f>
        <v>78560.145000000004</v>
      </c>
      <c r="K1460">
        <f>Orders[[#This Row],[Revenue]]-Orders[[#This Row],[Expenses]]</f>
        <v>13863.555000000008</v>
      </c>
      <c r="L1460" t="s">
        <v>2214</v>
      </c>
      <c r="M1460" t="str">
        <f>_xlfn.XLOOKUP(Orders[[#This Row],[CustomerID]],Customers[CustomerID],Customers[City])</f>
        <v>California</v>
      </c>
      <c r="N1460" t="str">
        <f>_xlfn.XLOOKUP(Orders[[#This Row],[CustomerID]],Customers[CustomerID],Customers[CustomerName])</f>
        <v>Ngozi Obi</v>
      </c>
      <c r="O1460" t="str">
        <f>_xlfn.XLOOKUP(Orders[[#This Row],[CustomerID]],Customers[CustomerID],Customers[Gender])</f>
        <v>Female</v>
      </c>
      <c r="P1460">
        <f>_xlfn.XLOOKUP(Orders[[#This Row],[CustomerID]],Customers[CustomerID],Customers[CustomerAge])</f>
        <v>54</v>
      </c>
      <c r="Q1460" t="str">
        <f>IF(Orders[[#This Row],[Age]]&gt;=35,"older","young")</f>
        <v>older</v>
      </c>
      <c r="R1460" t="str">
        <f>_xlfn.XLOOKUP(Orders[[#This Row],[ProductID]],Products[ProductID],Products[ProductName])</f>
        <v>SILVER BANGLES</v>
      </c>
      <c r="S1460" t="str">
        <f>_xlfn.XLOOKUP(Orders[[#This Row],[ProductID]],Products!A:A,Products!C:C)</f>
        <v>Accessories</v>
      </c>
    </row>
    <row r="1461" spans="1:19" x14ac:dyDescent="0.2">
      <c r="A1461" s="4" t="s">
        <v>1650</v>
      </c>
      <c r="B1461" s="5">
        <v>46022</v>
      </c>
      <c r="C1461" s="15">
        <f>WEEKNUM(Orders[[#This Row],[OrderDate]])</f>
        <v>53</v>
      </c>
      <c r="D1461" s="4" t="s">
        <v>383</v>
      </c>
      <c r="E1461" s="4" t="s">
        <v>151</v>
      </c>
      <c r="F1461" s="4">
        <v>1</v>
      </c>
      <c r="G1461" s="4">
        <v>17720.099999999999</v>
      </c>
      <c r="H1461">
        <v>15062.084999999999</v>
      </c>
      <c r="I1461">
        <f>Orders[[#This Row],[Quantity]]*Orders[[#This Row],[Selling Price]]</f>
        <v>17720.099999999999</v>
      </c>
      <c r="J1461">
        <f>Orders[[#This Row],[Quantity]]*Orders[[#This Row],[Cost Price]]</f>
        <v>15062.084999999999</v>
      </c>
      <c r="K1461">
        <f>Orders[[#This Row],[Revenue]]-Orders[[#This Row],[Expenses]]</f>
        <v>2658.0149999999994</v>
      </c>
      <c r="L1461" t="s">
        <v>2202</v>
      </c>
      <c r="M1461" t="str">
        <f>_xlfn.XLOOKUP(Orders[[#This Row],[CustomerID]],Customers[CustomerID],Customers[City])</f>
        <v>Florida</v>
      </c>
      <c r="N1461" t="str">
        <f>_xlfn.XLOOKUP(Orders[[#This Row],[CustomerID]],Customers[CustomerID],Customers[CustomerName])</f>
        <v>Ibrahim Balogun</v>
      </c>
      <c r="O1461" t="str">
        <f>_xlfn.XLOOKUP(Orders[[#This Row],[CustomerID]],Customers[CustomerID],Customers[Gender])</f>
        <v>Male</v>
      </c>
      <c r="P1461">
        <f>_xlfn.XLOOKUP(Orders[[#This Row],[CustomerID]],Customers[CustomerID],Customers[CustomerAge])</f>
        <v>27</v>
      </c>
      <c r="Q1461" t="str">
        <f>IF(Orders[[#This Row],[Age]]&gt;=35,"older","young")</f>
        <v>young</v>
      </c>
      <c r="R1461" t="str">
        <f>_xlfn.XLOOKUP(Orders[[#This Row],[ProductID]],Products[ProductID],Products[ProductName])</f>
        <v>CHECKERS</v>
      </c>
      <c r="S1461" t="str">
        <f>_xlfn.XLOOKUP(Orders[[#This Row],[ProductID]],Products!A:A,Products!C:C)</f>
        <v>Games</v>
      </c>
    </row>
    <row r="1462" spans="1:19" x14ac:dyDescent="0.2">
      <c r="A1462" s="4" t="s">
        <v>1651</v>
      </c>
      <c r="B1462" s="5">
        <v>46007</v>
      </c>
      <c r="C1462" s="15">
        <f>WEEKNUM(Orders[[#This Row],[OrderDate]])</f>
        <v>51</v>
      </c>
      <c r="D1462" s="4" t="s">
        <v>186</v>
      </c>
      <c r="E1462" s="4" t="s">
        <v>15</v>
      </c>
      <c r="F1462" s="4">
        <v>3</v>
      </c>
      <c r="G1462" s="4">
        <v>12082.1</v>
      </c>
      <c r="H1462">
        <v>10269.785</v>
      </c>
      <c r="I1462">
        <f>Orders[[#This Row],[Quantity]]*Orders[[#This Row],[Selling Price]]</f>
        <v>36246.300000000003</v>
      </c>
      <c r="J1462">
        <f>Orders[[#This Row],[Quantity]]*Orders[[#This Row],[Cost Price]]</f>
        <v>30809.355</v>
      </c>
      <c r="K1462">
        <f>Orders[[#This Row],[Revenue]]-Orders[[#This Row],[Expenses]]</f>
        <v>5436.9450000000033</v>
      </c>
      <c r="L1462" t="s">
        <v>2210</v>
      </c>
      <c r="M1462" t="str">
        <f>_xlfn.XLOOKUP(Orders[[#This Row],[CustomerID]],Customers[CustomerID],Customers[City])</f>
        <v>Texas</v>
      </c>
      <c r="N1462" t="str">
        <f>_xlfn.XLOOKUP(Orders[[#This Row],[CustomerID]],Customers[CustomerID],Customers[CustomerName])</f>
        <v>Ronke Eze</v>
      </c>
      <c r="O1462" t="str">
        <f>_xlfn.XLOOKUP(Orders[[#This Row],[CustomerID]],Customers[CustomerID],Customers[Gender])</f>
        <v>Female</v>
      </c>
      <c r="P1462">
        <f>_xlfn.XLOOKUP(Orders[[#This Row],[CustomerID]],Customers[CustomerID],Customers[CustomerAge])</f>
        <v>37</v>
      </c>
      <c r="Q1462" t="str">
        <f>IF(Orders[[#This Row],[Age]]&gt;=35,"older","young")</f>
        <v>older</v>
      </c>
      <c r="R1462" t="str">
        <f>_xlfn.XLOOKUP(Orders[[#This Row],[ProductID]],Products[ProductID],Products[ProductName])</f>
        <v>MONOPOLY</v>
      </c>
      <c r="S1462" t="str">
        <f>_xlfn.XLOOKUP(Orders[[#This Row],[ProductID]],Products!A:A,Products!C:C)</f>
        <v>Games</v>
      </c>
    </row>
    <row r="1463" spans="1:19" x14ac:dyDescent="0.2">
      <c r="A1463" s="4" t="s">
        <v>1652</v>
      </c>
      <c r="B1463" s="5">
        <v>45946</v>
      </c>
      <c r="C1463" s="15">
        <f>WEEKNUM(Orders[[#This Row],[OrderDate]])</f>
        <v>42</v>
      </c>
      <c r="D1463" s="4" t="s">
        <v>89</v>
      </c>
      <c r="E1463" s="4" t="s">
        <v>20</v>
      </c>
      <c r="F1463" s="4">
        <v>4</v>
      </c>
      <c r="G1463" s="4">
        <v>19901.5</v>
      </c>
      <c r="H1463">
        <v>16916.275000000001</v>
      </c>
      <c r="I1463">
        <f>Orders[[#This Row],[Quantity]]*Orders[[#This Row],[Selling Price]]</f>
        <v>79606</v>
      </c>
      <c r="J1463">
        <f>Orders[[#This Row],[Quantity]]*Orders[[#This Row],[Cost Price]]</f>
        <v>67665.100000000006</v>
      </c>
      <c r="K1463">
        <f>Orders[[#This Row],[Revenue]]-Orders[[#This Row],[Expenses]]</f>
        <v>11940.899999999994</v>
      </c>
      <c r="L1463" t="s">
        <v>2193</v>
      </c>
      <c r="M1463" t="str">
        <f>_xlfn.XLOOKUP(Orders[[#This Row],[CustomerID]],Customers[CustomerID],Customers[City])</f>
        <v>Washington</v>
      </c>
      <c r="N1463" t="str">
        <f>_xlfn.XLOOKUP(Orders[[#This Row],[CustomerID]],Customers[CustomerID],Customers[CustomerName])</f>
        <v>Blessing Balogun</v>
      </c>
      <c r="O1463" t="str">
        <f>_xlfn.XLOOKUP(Orders[[#This Row],[CustomerID]],Customers[CustomerID],Customers[Gender])</f>
        <v>Female</v>
      </c>
      <c r="P1463">
        <f>_xlfn.XLOOKUP(Orders[[#This Row],[CustomerID]],Customers[CustomerID],Customers[CustomerAge])</f>
        <v>19</v>
      </c>
      <c r="Q1463" t="str">
        <f>IF(Orders[[#This Row],[Age]]&gt;=35,"older","young")</f>
        <v>young</v>
      </c>
      <c r="R1463" t="str">
        <f>_xlfn.XLOOKUP(Orders[[#This Row],[ProductID]],Products[ProductID],Products[ProductName])</f>
        <v>GYM BAG</v>
      </c>
      <c r="S1463" t="str">
        <f>_xlfn.XLOOKUP(Orders[[#This Row],[ProductID]],Products!A:A,Products!C:C)</f>
        <v>Gym</v>
      </c>
    </row>
    <row r="1464" spans="1:19" x14ac:dyDescent="0.2">
      <c r="A1464" s="4" t="s">
        <v>1653</v>
      </c>
      <c r="B1464" s="5">
        <v>45934</v>
      </c>
      <c r="C1464" s="15">
        <f>WEEKNUM(Orders[[#This Row],[OrderDate]])</f>
        <v>40</v>
      </c>
      <c r="D1464" s="4" t="s">
        <v>298</v>
      </c>
      <c r="E1464" s="4" t="s">
        <v>23</v>
      </c>
      <c r="F1464" s="4">
        <v>4</v>
      </c>
      <c r="G1464" s="4">
        <v>4117.7999999999993</v>
      </c>
      <c r="H1464">
        <v>3500.1299999999992</v>
      </c>
      <c r="I1464">
        <f>Orders[[#This Row],[Quantity]]*Orders[[#This Row],[Selling Price]]</f>
        <v>16471.199999999997</v>
      </c>
      <c r="J1464">
        <f>Orders[[#This Row],[Quantity]]*Orders[[#This Row],[Cost Price]]</f>
        <v>14000.519999999997</v>
      </c>
      <c r="K1464">
        <f>Orders[[#This Row],[Revenue]]-Orders[[#This Row],[Expenses]]</f>
        <v>2470.6800000000003</v>
      </c>
      <c r="L1464" t="s">
        <v>2209</v>
      </c>
      <c r="M1464" t="str">
        <f>_xlfn.XLOOKUP(Orders[[#This Row],[CustomerID]],Customers[CustomerID],Customers[City])</f>
        <v>Florida</v>
      </c>
      <c r="N1464" t="str">
        <f>_xlfn.XLOOKUP(Orders[[#This Row],[CustomerID]],Customers[CustomerID],Customers[CustomerName])</f>
        <v>Amina Obi</v>
      </c>
      <c r="O1464" t="str">
        <f>_xlfn.XLOOKUP(Orders[[#This Row],[CustomerID]],Customers[CustomerID],Customers[Gender])</f>
        <v>Female</v>
      </c>
      <c r="P1464">
        <f>_xlfn.XLOOKUP(Orders[[#This Row],[CustomerID]],Customers[CustomerID],Customers[CustomerAge])</f>
        <v>19</v>
      </c>
      <c r="Q1464" t="str">
        <f>IF(Orders[[#This Row],[Age]]&gt;=35,"older","young")</f>
        <v>young</v>
      </c>
      <c r="R1464" t="str">
        <f>_xlfn.XLOOKUP(Orders[[#This Row],[ProductID]],Products[ProductID],Products[ProductName])</f>
        <v>GYM GLOVES</v>
      </c>
      <c r="S1464" t="str">
        <f>_xlfn.XLOOKUP(Orders[[#This Row],[ProductID]],Products!A:A,Products!C:C)</f>
        <v>Gym</v>
      </c>
    </row>
    <row r="1465" spans="1:19" x14ac:dyDescent="0.2">
      <c r="A1465" s="4" t="s">
        <v>1654</v>
      </c>
      <c r="B1465" s="5">
        <v>45970</v>
      </c>
      <c r="C1465" s="15">
        <f>WEEKNUM(Orders[[#This Row],[OrderDate]])</f>
        <v>46</v>
      </c>
      <c r="D1465" s="4" t="s">
        <v>113</v>
      </c>
      <c r="E1465" s="4" t="s">
        <v>81</v>
      </c>
      <c r="F1465" s="4">
        <v>7</v>
      </c>
      <c r="G1465" s="4">
        <v>14602.9</v>
      </c>
      <c r="H1465">
        <v>12412.465</v>
      </c>
      <c r="I1465">
        <f>Orders[[#This Row],[Quantity]]*Orders[[#This Row],[Selling Price]]</f>
        <v>102220.3</v>
      </c>
      <c r="J1465">
        <f>Orders[[#This Row],[Quantity]]*Orders[[#This Row],[Cost Price]]</f>
        <v>86887.255000000005</v>
      </c>
      <c r="K1465">
        <f>Orders[[#This Row],[Revenue]]-Orders[[#This Row],[Expenses]]</f>
        <v>15333.044999999998</v>
      </c>
      <c r="L1465" t="s">
        <v>2215</v>
      </c>
      <c r="M1465" t="str">
        <f>_xlfn.XLOOKUP(Orders[[#This Row],[CustomerID]],Customers[CustomerID],Customers[City])</f>
        <v>Texas</v>
      </c>
      <c r="N1465" t="str">
        <f>_xlfn.XLOOKUP(Orders[[#This Row],[CustomerID]],Customers[CustomerID],Customers[CustomerName])</f>
        <v>Uche Igwe</v>
      </c>
      <c r="O1465" t="str">
        <f>_xlfn.XLOOKUP(Orders[[#This Row],[CustomerID]],Customers[CustomerID],Customers[Gender])</f>
        <v>Male</v>
      </c>
      <c r="P1465">
        <f>_xlfn.XLOOKUP(Orders[[#This Row],[CustomerID]],Customers[CustomerID],Customers[CustomerAge])</f>
        <v>35</v>
      </c>
      <c r="Q1465" t="str">
        <f>IF(Orders[[#This Row],[Age]]&gt;=35,"older","young")</f>
        <v>older</v>
      </c>
      <c r="R1465" t="str">
        <f>_xlfn.XLOOKUP(Orders[[#This Row],[ProductID]],Products[ProductID],Products[ProductName])</f>
        <v>TROUSERS</v>
      </c>
      <c r="S1465" t="str">
        <f>_xlfn.XLOOKUP(Orders[[#This Row],[ProductID]],Products!A:A,Products!C:C)</f>
        <v>Clothing</v>
      </c>
    </row>
    <row r="1466" spans="1:19" x14ac:dyDescent="0.2">
      <c r="A1466" s="4" t="s">
        <v>1655</v>
      </c>
      <c r="B1466" s="5">
        <v>45997</v>
      </c>
      <c r="C1466" s="15">
        <f>WEEKNUM(Orders[[#This Row],[OrderDate]])</f>
        <v>49</v>
      </c>
      <c r="D1466" s="4" t="s">
        <v>186</v>
      </c>
      <c r="E1466" s="4" t="s">
        <v>46</v>
      </c>
      <c r="F1466" s="4">
        <v>10</v>
      </c>
      <c r="G1466" s="4">
        <v>1682.2</v>
      </c>
      <c r="H1466">
        <v>1429.8700000000001</v>
      </c>
      <c r="I1466">
        <f>Orders[[#This Row],[Quantity]]*Orders[[#This Row],[Selling Price]]</f>
        <v>16822</v>
      </c>
      <c r="J1466">
        <f>Orders[[#This Row],[Quantity]]*Orders[[#This Row],[Cost Price]]</f>
        <v>14298.7</v>
      </c>
      <c r="K1466">
        <f>Orders[[#This Row],[Revenue]]-Orders[[#This Row],[Expenses]]</f>
        <v>2523.2999999999993</v>
      </c>
      <c r="L1466" t="s">
        <v>2206</v>
      </c>
      <c r="M1466" t="str">
        <f>_xlfn.XLOOKUP(Orders[[#This Row],[CustomerID]],Customers[CustomerID],Customers[City])</f>
        <v>Texas</v>
      </c>
      <c r="N1466" t="str">
        <f>_xlfn.XLOOKUP(Orders[[#This Row],[CustomerID]],Customers[CustomerID],Customers[CustomerName])</f>
        <v>Ronke Eze</v>
      </c>
      <c r="O1466" t="str">
        <f>_xlfn.XLOOKUP(Orders[[#This Row],[CustomerID]],Customers[CustomerID],Customers[Gender])</f>
        <v>Female</v>
      </c>
      <c r="P1466">
        <f>_xlfn.XLOOKUP(Orders[[#This Row],[CustomerID]],Customers[CustomerID],Customers[CustomerAge])</f>
        <v>37</v>
      </c>
      <c r="Q1466" t="str">
        <f>IF(Orders[[#This Row],[Age]]&gt;=35,"older","young")</f>
        <v>older</v>
      </c>
      <c r="R1466" t="str">
        <f>_xlfn.XLOOKUP(Orders[[#This Row],[ProductID]],Products[ProductID],Products[ProductName])</f>
        <v>TURTLE NECK</v>
      </c>
      <c r="S1466" t="str">
        <f>_xlfn.XLOOKUP(Orders[[#This Row],[ProductID]],Products!A:A,Products!C:C)</f>
        <v>Clothing</v>
      </c>
    </row>
    <row r="1467" spans="1:19" x14ac:dyDescent="0.2">
      <c r="A1467" s="4" t="s">
        <v>1656</v>
      </c>
      <c r="B1467" s="5">
        <v>45939</v>
      </c>
      <c r="C1467" s="15">
        <f>WEEKNUM(Orders[[#This Row],[OrderDate]])</f>
        <v>41</v>
      </c>
      <c r="D1467" s="4" t="s">
        <v>113</v>
      </c>
      <c r="E1467" s="4" t="s">
        <v>20</v>
      </c>
      <c r="F1467" s="4">
        <v>9</v>
      </c>
      <c r="G1467" s="4">
        <v>6977.4</v>
      </c>
      <c r="H1467">
        <v>5930.79</v>
      </c>
      <c r="I1467">
        <f>Orders[[#This Row],[Quantity]]*Orders[[#This Row],[Selling Price]]</f>
        <v>62796.6</v>
      </c>
      <c r="J1467">
        <f>Orders[[#This Row],[Quantity]]*Orders[[#This Row],[Cost Price]]</f>
        <v>53377.11</v>
      </c>
      <c r="K1467">
        <f>Orders[[#This Row],[Revenue]]-Orders[[#This Row],[Expenses]]</f>
        <v>9419.489999999998</v>
      </c>
      <c r="L1467" t="s">
        <v>2214</v>
      </c>
      <c r="M1467" t="str">
        <f>_xlfn.XLOOKUP(Orders[[#This Row],[CustomerID]],Customers[CustomerID],Customers[City])</f>
        <v>Texas</v>
      </c>
      <c r="N1467" t="str">
        <f>_xlfn.XLOOKUP(Orders[[#This Row],[CustomerID]],Customers[CustomerID],Customers[CustomerName])</f>
        <v>Uche Igwe</v>
      </c>
      <c r="O1467" t="str">
        <f>_xlfn.XLOOKUP(Orders[[#This Row],[CustomerID]],Customers[CustomerID],Customers[Gender])</f>
        <v>Male</v>
      </c>
      <c r="P1467">
        <f>_xlfn.XLOOKUP(Orders[[#This Row],[CustomerID]],Customers[CustomerID],Customers[CustomerAge])</f>
        <v>35</v>
      </c>
      <c r="Q1467" t="str">
        <f>IF(Orders[[#This Row],[Age]]&gt;=35,"older","young")</f>
        <v>older</v>
      </c>
      <c r="R1467" t="str">
        <f>_xlfn.XLOOKUP(Orders[[#This Row],[ProductID]],Products[ProductID],Products[ProductName])</f>
        <v>GYM BAG</v>
      </c>
      <c r="S1467" t="str">
        <f>_xlfn.XLOOKUP(Orders[[#This Row],[ProductID]],Products!A:A,Products!C:C)</f>
        <v>Gym</v>
      </c>
    </row>
    <row r="1468" spans="1:19" x14ac:dyDescent="0.2">
      <c r="A1468" s="4" t="s">
        <v>1657</v>
      </c>
      <c r="B1468" s="5">
        <v>46004</v>
      </c>
      <c r="C1468" s="15">
        <f>WEEKNUM(Orders[[#This Row],[OrderDate]])</f>
        <v>50</v>
      </c>
      <c r="D1468" s="4" t="s">
        <v>291</v>
      </c>
      <c r="E1468" s="4" t="s">
        <v>81</v>
      </c>
      <c r="F1468" s="4">
        <v>3</v>
      </c>
      <c r="G1468" s="4">
        <v>8913.7999999999993</v>
      </c>
      <c r="H1468">
        <v>7576.73</v>
      </c>
      <c r="I1468">
        <f>Orders[[#This Row],[Quantity]]*Orders[[#This Row],[Selling Price]]</f>
        <v>26741.399999999998</v>
      </c>
      <c r="J1468">
        <f>Orders[[#This Row],[Quantity]]*Orders[[#This Row],[Cost Price]]</f>
        <v>22730.19</v>
      </c>
      <c r="K1468">
        <f>Orders[[#This Row],[Revenue]]-Orders[[#This Row],[Expenses]]</f>
        <v>4011.2099999999991</v>
      </c>
      <c r="L1468" t="s">
        <v>2216</v>
      </c>
      <c r="M1468" t="str">
        <f>_xlfn.XLOOKUP(Orders[[#This Row],[CustomerID]],Customers[CustomerID],Customers[City])</f>
        <v>Texas</v>
      </c>
      <c r="N1468" t="str">
        <f>_xlfn.XLOOKUP(Orders[[#This Row],[CustomerID]],Customers[CustomerID],Customers[CustomerName])</f>
        <v>Okon Igwe</v>
      </c>
      <c r="O1468" t="str">
        <f>_xlfn.XLOOKUP(Orders[[#This Row],[CustomerID]],Customers[CustomerID],Customers[Gender])</f>
        <v>Male</v>
      </c>
      <c r="P1468">
        <f>_xlfn.XLOOKUP(Orders[[#This Row],[CustomerID]],Customers[CustomerID],Customers[CustomerAge])</f>
        <v>33</v>
      </c>
      <c r="Q1468" t="str">
        <f>IF(Orders[[#This Row],[Age]]&gt;=35,"older","young")</f>
        <v>young</v>
      </c>
      <c r="R1468" t="str">
        <f>_xlfn.XLOOKUP(Orders[[#This Row],[ProductID]],Products[ProductID],Products[ProductName])</f>
        <v>TROUSERS</v>
      </c>
      <c r="S1468" t="str">
        <f>_xlfn.XLOOKUP(Orders[[#This Row],[ProductID]],Products!A:A,Products!C:C)</f>
        <v>Clothing</v>
      </c>
    </row>
    <row r="1469" spans="1:19" x14ac:dyDescent="0.2">
      <c r="A1469" s="4" t="s">
        <v>1658</v>
      </c>
      <c r="B1469" s="5">
        <v>45982</v>
      </c>
      <c r="C1469" s="15">
        <f>WEEKNUM(Orders[[#This Row],[OrderDate]])</f>
        <v>47</v>
      </c>
      <c r="D1469" s="4" t="s">
        <v>552</v>
      </c>
      <c r="E1469" s="4" t="s">
        <v>31</v>
      </c>
      <c r="F1469" s="4">
        <v>6</v>
      </c>
      <c r="G1469" s="4">
        <v>7657.2000000000007</v>
      </c>
      <c r="H1469">
        <v>6508.6200000000008</v>
      </c>
      <c r="I1469">
        <f>Orders[[#This Row],[Quantity]]*Orders[[#This Row],[Selling Price]]</f>
        <v>45943.200000000004</v>
      </c>
      <c r="J1469">
        <f>Orders[[#This Row],[Quantity]]*Orders[[#This Row],[Cost Price]]</f>
        <v>39051.72</v>
      </c>
      <c r="K1469">
        <f>Orders[[#This Row],[Revenue]]-Orders[[#This Row],[Expenses]]</f>
        <v>6891.4800000000032</v>
      </c>
      <c r="L1469" t="s">
        <v>2219</v>
      </c>
      <c r="M1469" t="str">
        <f>_xlfn.XLOOKUP(Orders[[#This Row],[CustomerID]],Customers[CustomerID],Customers[City])</f>
        <v>Georgia</v>
      </c>
      <c r="N1469" t="str">
        <f>_xlfn.XLOOKUP(Orders[[#This Row],[CustomerID]],Customers[CustomerID],Customers[CustomerName])</f>
        <v>Chioma Eze</v>
      </c>
      <c r="O1469" t="str">
        <f>_xlfn.XLOOKUP(Orders[[#This Row],[CustomerID]],Customers[CustomerID],Customers[Gender])</f>
        <v>Female</v>
      </c>
      <c r="P1469">
        <f>_xlfn.XLOOKUP(Orders[[#This Row],[CustomerID]],Customers[CustomerID],Customers[CustomerAge])</f>
        <v>40</v>
      </c>
      <c r="Q1469" t="str">
        <f>IF(Orders[[#This Row],[Age]]&gt;=35,"older","young")</f>
        <v>older</v>
      </c>
      <c r="R1469" t="str">
        <f>_xlfn.XLOOKUP(Orders[[#This Row],[ProductID]],Products[ProductID],Products[ProductName])</f>
        <v>KIDS GAMES</v>
      </c>
      <c r="S1469" t="str">
        <f>_xlfn.XLOOKUP(Orders[[#This Row],[ProductID]],Products!A:A,Products!C:C)</f>
        <v>Games</v>
      </c>
    </row>
    <row r="1470" spans="1:19" x14ac:dyDescent="0.2">
      <c r="A1470" s="4" t="s">
        <v>1659</v>
      </c>
      <c r="B1470" s="5">
        <v>45965</v>
      </c>
      <c r="C1470" s="15">
        <f>WEEKNUM(Orders[[#This Row],[OrderDate]])</f>
        <v>45</v>
      </c>
      <c r="D1470" s="4" t="s">
        <v>352</v>
      </c>
      <c r="E1470" s="4" t="s">
        <v>208</v>
      </c>
      <c r="F1470" s="4">
        <v>4</v>
      </c>
      <c r="G1470" s="4">
        <v>10333.199999999999</v>
      </c>
      <c r="H1470">
        <v>8783.2199999999993</v>
      </c>
      <c r="I1470">
        <f>Orders[[#This Row],[Quantity]]*Orders[[#This Row],[Selling Price]]</f>
        <v>41332.799999999996</v>
      </c>
      <c r="J1470">
        <f>Orders[[#This Row],[Quantity]]*Orders[[#This Row],[Cost Price]]</f>
        <v>35132.879999999997</v>
      </c>
      <c r="K1470">
        <f>Orders[[#This Row],[Revenue]]-Orders[[#This Row],[Expenses]]</f>
        <v>6199.9199999999983</v>
      </c>
      <c r="L1470" t="s">
        <v>2203</v>
      </c>
      <c r="M1470" t="str">
        <f>_xlfn.XLOOKUP(Orders[[#This Row],[CustomerID]],Customers[CustomerID],Customers[City])</f>
        <v>Texas</v>
      </c>
      <c r="N1470" t="str">
        <f>_xlfn.XLOOKUP(Orders[[#This Row],[CustomerID]],Customers[CustomerID],Customers[CustomerName])</f>
        <v>Zainab Eze</v>
      </c>
      <c r="O1470" t="str">
        <f>_xlfn.XLOOKUP(Orders[[#This Row],[CustomerID]],Customers[CustomerID],Customers[Gender])</f>
        <v>Female</v>
      </c>
      <c r="P1470">
        <f>_xlfn.XLOOKUP(Orders[[#This Row],[CustomerID]],Customers[CustomerID],Customers[CustomerAge])</f>
        <v>40</v>
      </c>
      <c r="Q1470" t="str">
        <f>IF(Orders[[#This Row],[Age]]&gt;=35,"older","young")</f>
        <v>older</v>
      </c>
      <c r="R1470" t="str">
        <f>_xlfn.XLOOKUP(Orders[[#This Row],[ProductID]],Products[ProductID],Products[ProductName])</f>
        <v>SKIPPING ROPE</v>
      </c>
      <c r="S1470" t="str">
        <f>_xlfn.XLOOKUP(Orders[[#This Row],[ProductID]],Products!A:A,Products!C:C)</f>
        <v>Sports</v>
      </c>
    </row>
    <row r="1471" spans="1:19" x14ac:dyDescent="0.2">
      <c r="A1471" s="4" t="s">
        <v>1660</v>
      </c>
      <c r="B1471" s="5">
        <v>45992</v>
      </c>
      <c r="C1471" s="15">
        <f>WEEKNUM(Orders[[#This Row],[OrderDate]])</f>
        <v>49</v>
      </c>
      <c r="D1471" s="4" t="s">
        <v>502</v>
      </c>
      <c r="E1471" s="4" t="s">
        <v>92</v>
      </c>
      <c r="F1471" s="4">
        <v>5</v>
      </c>
      <c r="G1471" s="4">
        <v>10015.5</v>
      </c>
      <c r="H1471">
        <v>8513.1749999999993</v>
      </c>
      <c r="I1471">
        <f>Orders[[#This Row],[Quantity]]*Orders[[#This Row],[Selling Price]]</f>
        <v>50077.5</v>
      </c>
      <c r="J1471">
        <f>Orders[[#This Row],[Quantity]]*Orders[[#This Row],[Cost Price]]</f>
        <v>42565.875</v>
      </c>
      <c r="K1471">
        <f>Orders[[#This Row],[Revenue]]-Orders[[#This Row],[Expenses]]</f>
        <v>7511.625</v>
      </c>
      <c r="L1471" t="s">
        <v>2195</v>
      </c>
      <c r="M1471" t="str">
        <f>_xlfn.XLOOKUP(Orders[[#This Row],[CustomerID]],Customers[CustomerID],Customers[City])</f>
        <v>Texas</v>
      </c>
      <c r="N1471" t="str">
        <f>_xlfn.XLOOKUP(Orders[[#This Row],[CustomerID]],Customers[CustomerID],Customers[CustomerName])</f>
        <v>Obi Eze</v>
      </c>
      <c r="O1471" t="str">
        <f>_xlfn.XLOOKUP(Orders[[#This Row],[CustomerID]],Customers[CustomerID],Customers[Gender])</f>
        <v>Male</v>
      </c>
      <c r="P1471">
        <f>_xlfn.XLOOKUP(Orders[[#This Row],[CustomerID]],Customers[CustomerID],Customers[CustomerAge])</f>
        <v>24</v>
      </c>
      <c r="Q1471" t="str">
        <f>IF(Orders[[#This Row],[Age]]&gt;=35,"older","young")</f>
        <v>young</v>
      </c>
      <c r="R1471" t="str">
        <f>_xlfn.XLOOKUP(Orders[[#This Row],[ProductID]],Products[ProductID],Products[ProductName])</f>
        <v>CHEST EXPANDER</v>
      </c>
      <c r="S1471" t="str">
        <f>_xlfn.XLOOKUP(Orders[[#This Row],[ProductID]],Products!A:A,Products!C:C)</f>
        <v>Gym</v>
      </c>
    </row>
    <row r="1472" spans="1:19" x14ac:dyDescent="0.2">
      <c r="A1472" s="4" t="s">
        <v>1661</v>
      </c>
      <c r="B1472" s="5">
        <v>45998</v>
      </c>
      <c r="C1472" s="15">
        <f>WEEKNUM(Orders[[#This Row],[OrderDate]])</f>
        <v>50</v>
      </c>
      <c r="D1472" s="4" t="s">
        <v>96</v>
      </c>
      <c r="E1472" s="4" t="s">
        <v>208</v>
      </c>
      <c r="F1472" s="4">
        <v>6</v>
      </c>
      <c r="G1472" s="4">
        <v>6234.4000000000005</v>
      </c>
      <c r="H1472">
        <v>5299.2400000000007</v>
      </c>
      <c r="I1472">
        <f>Orders[[#This Row],[Quantity]]*Orders[[#This Row],[Selling Price]]</f>
        <v>37406.400000000001</v>
      </c>
      <c r="J1472">
        <f>Orders[[#This Row],[Quantity]]*Orders[[#This Row],[Cost Price]]</f>
        <v>31795.440000000002</v>
      </c>
      <c r="K1472">
        <f>Orders[[#This Row],[Revenue]]-Orders[[#This Row],[Expenses]]</f>
        <v>5610.9599999999991</v>
      </c>
      <c r="L1472" t="s">
        <v>2208</v>
      </c>
      <c r="M1472" t="str">
        <f>_xlfn.XLOOKUP(Orders[[#This Row],[CustomerID]],Customers[CustomerID],Customers[City])</f>
        <v>Texas</v>
      </c>
      <c r="N1472" t="str">
        <f>_xlfn.XLOOKUP(Orders[[#This Row],[CustomerID]],Customers[CustomerID],Customers[CustomerName])</f>
        <v>Amina Abubakar</v>
      </c>
      <c r="O1472" t="str">
        <f>_xlfn.XLOOKUP(Orders[[#This Row],[CustomerID]],Customers[CustomerID],Customers[Gender])</f>
        <v>Female</v>
      </c>
      <c r="P1472">
        <f>_xlfn.XLOOKUP(Orders[[#This Row],[CustomerID]],Customers[CustomerID],Customers[CustomerAge])</f>
        <v>35</v>
      </c>
      <c r="Q1472" t="str">
        <f>IF(Orders[[#This Row],[Age]]&gt;=35,"older","young")</f>
        <v>older</v>
      </c>
      <c r="R1472" t="str">
        <f>_xlfn.XLOOKUP(Orders[[#This Row],[ProductID]],Products[ProductID],Products[ProductName])</f>
        <v>SKIPPING ROPE</v>
      </c>
      <c r="S1472" t="str">
        <f>_xlfn.XLOOKUP(Orders[[#This Row],[ProductID]],Products!A:A,Products!C:C)</f>
        <v>Sports</v>
      </c>
    </row>
    <row r="1473" spans="1:19" x14ac:dyDescent="0.2">
      <c r="A1473" s="4" t="s">
        <v>1662</v>
      </c>
      <c r="B1473" s="5">
        <v>45948</v>
      </c>
      <c r="C1473" s="15">
        <f>WEEKNUM(Orders[[#This Row],[OrderDate]])</f>
        <v>42</v>
      </c>
      <c r="D1473" s="4" t="s">
        <v>340</v>
      </c>
      <c r="E1473" s="4" t="s">
        <v>70</v>
      </c>
      <c r="F1473" s="4">
        <v>2</v>
      </c>
      <c r="G1473" s="4">
        <v>14664</v>
      </c>
      <c r="H1473">
        <v>12464.4</v>
      </c>
      <c r="I1473">
        <f>Orders[[#This Row],[Quantity]]*Orders[[#This Row],[Selling Price]]</f>
        <v>29328</v>
      </c>
      <c r="J1473">
        <f>Orders[[#This Row],[Quantity]]*Orders[[#This Row],[Cost Price]]</f>
        <v>24928.799999999999</v>
      </c>
      <c r="K1473">
        <f>Orders[[#This Row],[Revenue]]-Orders[[#This Row],[Expenses]]</f>
        <v>4399.2000000000007</v>
      </c>
      <c r="L1473" t="s">
        <v>2211</v>
      </c>
      <c r="M1473" t="str">
        <f>_xlfn.XLOOKUP(Orders[[#This Row],[CustomerID]],Customers[CustomerID],Customers[City])</f>
        <v>Illinois</v>
      </c>
      <c r="N1473" t="str">
        <f>_xlfn.XLOOKUP(Orders[[#This Row],[CustomerID]],Customers[CustomerID],Customers[CustomerName])</f>
        <v>Uche Abubakar</v>
      </c>
      <c r="O1473" t="str">
        <f>_xlfn.XLOOKUP(Orders[[#This Row],[CustomerID]],Customers[CustomerID],Customers[Gender])</f>
        <v>Male</v>
      </c>
      <c r="P1473">
        <f>_xlfn.XLOOKUP(Orders[[#This Row],[CustomerID]],Customers[CustomerID],Customers[CustomerAge])</f>
        <v>18</v>
      </c>
      <c r="Q1473" t="str">
        <f>IF(Orders[[#This Row],[Age]]&gt;=35,"older","young")</f>
        <v>young</v>
      </c>
      <c r="R1473" t="str">
        <f>_xlfn.XLOOKUP(Orders[[#This Row],[ProductID]],Products[ProductID],Products[ProductName])</f>
        <v>YOGA MAT</v>
      </c>
      <c r="S1473" t="str">
        <f>_xlfn.XLOOKUP(Orders[[#This Row],[ProductID]],Products!A:A,Products!C:C)</f>
        <v>Gym</v>
      </c>
    </row>
    <row r="1474" spans="1:19" x14ac:dyDescent="0.2">
      <c r="A1474" s="4" t="s">
        <v>1663</v>
      </c>
      <c r="B1474" s="5">
        <v>45988</v>
      </c>
      <c r="C1474" s="15">
        <f>WEEKNUM(Orders[[#This Row],[OrderDate]])</f>
        <v>48</v>
      </c>
      <c r="D1474" s="4" t="s">
        <v>388</v>
      </c>
      <c r="E1474" s="4" t="s">
        <v>76</v>
      </c>
      <c r="F1474" s="4">
        <v>3</v>
      </c>
      <c r="G1474" s="4">
        <v>5008.3999999999996</v>
      </c>
      <c r="H1474">
        <v>4257.1399999999994</v>
      </c>
      <c r="I1474">
        <f>Orders[[#This Row],[Quantity]]*Orders[[#This Row],[Selling Price]]</f>
        <v>15025.199999999999</v>
      </c>
      <c r="J1474">
        <f>Orders[[#This Row],[Quantity]]*Orders[[#This Row],[Cost Price]]</f>
        <v>12771.419999999998</v>
      </c>
      <c r="K1474">
        <f>Orders[[#This Row],[Revenue]]-Orders[[#This Row],[Expenses]]</f>
        <v>2253.7800000000007</v>
      </c>
      <c r="L1474" t="s">
        <v>2192</v>
      </c>
      <c r="M1474" t="str">
        <f>_xlfn.XLOOKUP(Orders[[#This Row],[CustomerID]],Customers[CustomerID],Customers[City])</f>
        <v>Washington</v>
      </c>
      <c r="N1474" t="str">
        <f>_xlfn.XLOOKUP(Orders[[#This Row],[CustomerID]],Customers[CustomerID],Customers[CustomerName])</f>
        <v>Folasade Okonkwo</v>
      </c>
      <c r="O1474" t="str">
        <f>_xlfn.XLOOKUP(Orders[[#This Row],[CustomerID]],Customers[CustomerID],Customers[Gender])</f>
        <v>Female</v>
      </c>
      <c r="P1474">
        <f>_xlfn.XLOOKUP(Orders[[#This Row],[CustomerID]],Customers[CustomerID],Customers[CustomerAge])</f>
        <v>52</v>
      </c>
      <c r="Q1474" t="str">
        <f>IF(Orders[[#This Row],[Age]]&gt;=35,"older","young")</f>
        <v>older</v>
      </c>
      <c r="R1474" t="str">
        <f>_xlfn.XLOOKUP(Orders[[#This Row],[ProductID]],Products[ProductID],Products[ProductName])</f>
        <v>BLENDER</v>
      </c>
      <c r="S1474" t="str">
        <f>_xlfn.XLOOKUP(Orders[[#This Row],[ProductID]],Products!A:A,Products!C:C)</f>
        <v>Electronics</v>
      </c>
    </row>
    <row r="1475" spans="1:19" x14ac:dyDescent="0.2">
      <c r="A1475" s="4" t="s">
        <v>1664</v>
      </c>
      <c r="B1475" s="5">
        <v>46003</v>
      </c>
      <c r="C1475" s="15">
        <f>WEEKNUM(Orders[[#This Row],[OrderDate]])</f>
        <v>50</v>
      </c>
      <c r="D1475" s="4" t="s">
        <v>68</v>
      </c>
      <c r="E1475" s="4" t="s">
        <v>15</v>
      </c>
      <c r="F1475" s="4">
        <v>7</v>
      </c>
      <c r="G1475" s="4">
        <v>11077.2</v>
      </c>
      <c r="H1475">
        <v>9415.6200000000008</v>
      </c>
      <c r="I1475">
        <f>Orders[[#This Row],[Quantity]]*Orders[[#This Row],[Selling Price]]</f>
        <v>77540.400000000009</v>
      </c>
      <c r="J1475">
        <f>Orders[[#This Row],[Quantity]]*Orders[[#This Row],[Cost Price]]</f>
        <v>65909.340000000011</v>
      </c>
      <c r="K1475">
        <f>Orders[[#This Row],[Revenue]]-Orders[[#This Row],[Expenses]]</f>
        <v>11631.059999999998</v>
      </c>
      <c r="L1475" t="s">
        <v>2197</v>
      </c>
      <c r="M1475" t="str">
        <f>_xlfn.XLOOKUP(Orders[[#This Row],[CustomerID]],Customers[CustomerID],Customers[City])</f>
        <v>Texas</v>
      </c>
      <c r="N1475" t="str">
        <f>_xlfn.XLOOKUP(Orders[[#This Row],[CustomerID]],Customers[CustomerID],Customers[CustomerName])</f>
        <v>Abiola Balogun</v>
      </c>
      <c r="O1475" t="str">
        <f>_xlfn.XLOOKUP(Orders[[#This Row],[CustomerID]],Customers[CustomerID],Customers[Gender])</f>
        <v>Male</v>
      </c>
      <c r="P1475">
        <f>_xlfn.XLOOKUP(Orders[[#This Row],[CustomerID]],Customers[CustomerID],Customers[CustomerAge])</f>
        <v>29</v>
      </c>
      <c r="Q1475" t="str">
        <f>IF(Orders[[#This Row],[Age]]&gt;=35,"older","young")</f>
        <v>young</v>
      </c>
      <c r="R1475" t="str">
        <f>_xlfn.XLOOKUP(Orders[[#This Row],[ProductID]],Products[ProductID],Products[ProductName])</f>
        <v>MONOPOLY</v>
      </c>
      <c r="S1475" t="str">
        <f>_xlfn.XLOOKUP(Orders[[#This Row],[ProductID]],Products!A:A,Products!C:C)</f>
        <v>Games</v>
      </c>
    </row>
    <row r="1476" spans="1:19" x14ac:dyDescent="0.2">
      <c r="A1476" s="4" t="s">
        <v>1665</v>
      </c>
      <c r="B1476" s="5">
        <v>45977</v>
      </c>
      <c r="C1476" s="15">
        <f>WEEKNUM(Orders[[#This Row],[OrderDate]])</f>
        <v>47</v>
      </c>
      <c r="D1476" s="4" t="s">
        <v>293</v>
      </c>
      <c r="E1476" s="4" t="s">
        <v>111</v>
      </c>
      <c r="F1476" s="4">
        <v>1</v>
      </c>
      <c r="G1476" s="4">
        <v>16847.5</v>
      </c>
      <c r="H1476">
        <v>14320.375</v>
      </c>
      <c r="I1476">
        <f>Orders[[#This Row],[Quantity]]*Orders[[#This Row],[Selling Price]]</f>
        <v>16847.5</v>
      </c>
      <c r="J1476">
        <f>Orders[[#This Row],[Quantity]]*Orders[[#This Row],[Cost Price]]</f>
        <v>14320.375</v>
      </c>
      <c r="K1476">
        <f>Orders[[#This Row],[Revenue]]-Orders[[#This Row],[Expenses]]</f>
        <v>2527.125</v>
      </c>
      <c r="L1476" t="s">
        <v>2199</v>
      </c>
      <c r="M1476" t="str">
        <f>_xlfn.XLOOKUP(Orders[[#This Row],[CustomerID]],Customers[CustomerID],Customers[City])</f>
        <v>Florida</v>
      </c>
      <c r="N1476" t="str">
        <f>_xlfn.XLOOKUP(Orders[[#This Row],[CustomerID]],Customers[CustomerID],Customers[CustomerName])</f>
        <v>Tunde Eze</v>
      </c>
      <c r="O1476" t="str">
        <f>_xlfn.XLOOKUP(Orders[[#This Row],[CustomerID]],Customers[CustomerID],Customers[Gender])</f>
        <v>Male</v>
      </c>
      <c r="P1476">
        <f>_xlfn.XLOOKUP(Orders[[#This Row],[CustomerID]],Customers[CustomerID],Customers[CustomerAge])</f>
        <v>46</v>
      </c>
      <c r="Q1476" t="str">
        <f>IF(Orders[[#This Row],[Age]]&gt;=35,"older","young")</f>
        <v>older</v>
      </c>
      <c r="R1476" t="str">
        <f>_xlfn.XLOOKUP(Orders[[#This Row],[ProductID]],Products[ProductID],Products[ProductName])</f>
        <v>REFRIGERATOR</v>
      </c>
      <c r="S1476" t="str">
        <f>_xlfn.XLOOKUP(Orders[[#This Row],[ProductID]],Products!A:A,Products!C:C)</f>
        <v>Electronics</v>
      </c>
    </row>
    <row r="1477" spans="1:19" x14ac:dyDescent="0.2">
      <c r="A1477" s="4" t="s">
        <v>1666</v>
      </c>
      <c r="B1477" s="5">
        <v>45973</v>
      </c>
      <c r="C1477" s="15">
        <f>WEEKNUM(Orders[[#This Row],[OrderDate]])</f>
        <v>46</v>
      </c>
      <c r="D1477" s="4" t="s">
        <v>83</v>
      </c>
      <c r="E1477" s="4" t="s">
        <v>353</v>
      </c>
      <c r="F1477" s="4">
        <v>4</v>
      </c>
      <c r="G1477" s="4">
        <v>15100.599999999999</v>
      </c>
      <c r="H1477">
        <v>12835.509999999998</v>
      </c>
      <c r="I1477">
        <f>Orders[[#This Row],[Quantity]]*Orders[[#This Row],[Selling Price]]</f>
        <v>60402.399999999994</v>
      </c>
      <c r="J1477">
        <f>Orders[[#This Row],[Quantity]]*Orders[[#This Row],[Cost Price]]</f>
        <v>51342.039999999994</v>
      </c>
      <c r="K1477">
        <f>Orders[[#This Row],[Revenue]]-Orders[[#This Row],[Expenses]]</f>
        <v>9060.36</v>
      </c>
      <c r="L1477" t="s">
        <v>2208</v>
      </c>
      <c r="M1477" t="str">
        <f>_xlfn.XLOOKUP(Orders[[#This Row],[CustomerID]],Customers[CustomerID],Customers[City])</f>
        <v>Florida</v>
      </c>
      <c r="N1477" t="str">
        <f>_xlfn.XLOOKUP(Orders[[#This Row],[CustomerID]],Customers[CustomerID],Customers[CustomerName])</f>
        <v>Funke Danladi</v>
      </c>
      <c r="O1477" t="str">
        <f>_xlfn.XLOOKUP(Orders[[#This Row],[CustomerID]],Customers[CustomerID],Customers[Gender])</f>
        <v>Female</v>
      </c>
      <c r="P1477">
        <f>_xlfn.XLOOKUP(Orders[[#This Row],[CustomerID]],Customers[CustomerID],Customers[CustomerAge])</f>
        <v>26</v>
      </c>
      <c r="Q1477" t="str">
        <f>IF(Orders[[#This Row],[Age]]&gt;=35,"older","young")</f>
        <v>young</v>
      </c>
      <c r="R1477" t="str">
        <f>_xlfn.XLOOKUP(Orders[[#This Row],[ProductID]],Products[ProductID],Products[ProductName])</f>
        <v>SILVER EARRINGS AND NECKLACES</v>
      </c>
      <c r="S1477" t="str">
        <f>_xlfn.XLOOKUP(Orders[[#This Row],[ProductID]],Products!A:A,Products!C:C)</f>
        <v>Accessories</v>
      </c>
    </row>
    <row r="1478" spans="1:19" x14ac:dyDescent="0.2">
      <c r="A1478" s="4" t="s">
        <v>1667</v>
      </c>
      <c r="B1478" s="5">
        <v>45977</v>
      </c>
      <c r="C1478" s="15">
        <f>WEEKNUM(Orders[[#This Row],[OrderDate]])</f>
        <v>47</v>
      </c>
      <c r="D1478" s="4" t="s">
        <v>8</v>
      </c>
      <c r="E1478" s="4" t="s">
        <v>34</v>
      </c>
      <c r="F1478" s="4">
        <v>1</v>
      </c>
      <c r="G1478" s="4">
        <v>4373</v>
      </c>
      <c r="H1478">
        <v>3717.05</v>
      </c>
      <c r="I1478">
        <f>Orders[[#This Row],[Quantity]]*Orders[[#This Row],[Selling Price]]</f>
        <v>4373</v>
      </c>
      <c r="J1478">
        <f>Orders[[#This Row],[Quantity]]*Orders[[#This Row],[Cost Price]]</f>
        <v>3717.05</v>
      </c>
      <c r="K1478">
        <f>Orders[[#This Row],[Revenue]]-Orders[[#This Row],[Expenses]]</f>
        <v>655.94999999999982</v>
      </c>
      <c r="L1478" t="s">
        <v>2192</v>
      </c>
      <c r="M1478" t="str">
        <f>_xlfn.XLOOKUP(Orders[[#This Row],[CustomerID]],Customers[CustomerID],Customers[City])</f>
        <v>Washington</v>
      </c>
      <c r="N1478" t="str">
        <f>_xlfn.XLOOKUP(Orders[[#This Row],[CustomerID]],Customers[CustomerID],Customers[CustomerName])</f>
        <v>Bi si Bello</v>
      </c>
      <c r="O1478" t="str">
        <f>_xlfn.XLOOKUP(Orders[[#This Row],[CustomerID]],Customers[CustomerID],Customers[Gender])</f>
        <v>Female</v>
      </c>
      <c r="P1478">
        <f>_xlfn.XLOOKUP(Orders[[#This Row],[CustomerID]],Customers[CustomerID],Customers[CustomerAge])</f>
        <v>38</v>
      </c>
      <c r="Q1478" t="str">
        <f>IF(Orders[[#This Row],[Age]]&gt;=35,"older","young")</f>
        <v>older</v>
      </c>
      <c r="R1478" t="str">
        <f>_xlfn.XLOOKUP(Orders[[#This Row],[ProductID]],Products[ProductID],Products[ProductName])</f>
        <v>GOLD BRACELETS</v>
      </c>
      <c r="S1478" t="str">
        <f>_xlfn.XLOOKUP(Orders[[#This Row],[ProductID]],Products!A:A,Products!C:C)</f>
        <v>Accessories</v>
      </c>
    </row>
    <row r="1479" spans="1:19" x14ac:dyDescent="0.2">
      <c r="A1479" s="4" t="s">
        <v>1668</v>
      </c>
      <c r="B1479" s="5">
        <v>46011</v>
      </c>
      <c r="C1479" s="15">
        <f>WEEKNUM(Orders[[#This Row],[OrderDate]])</f>
        <v>51</v>
      </c>
      <c r="D1479" s="4" t="s">
        <v>252</v>
      </c>
      <c r="E1479" s="4" t="s">
        <v>37</v>
      </c>
      <c r="F1479" s="4">
        <v>10</v>
      </c>
      <c r="G1479" s="4">
        <v>4981.5</v>
      </c>
      <c r="H1479">
        <v>4234.2749999999996</v>
      </c>
      <c r="I1479">
        <f>Orders[[#This Row],[Quantity]]*Orders[[#This Row],[Selling Price]]</f>
        <v>49815</v>
      </c>
      <c r="J1479">
        <f>Orders[[#This Row],[Quantity]]*Orders[[#This Row],[Cost Price]]</f>
        <v>42342.75</v>
      </c>
      <c r="K1479">
        <f>Orders[[#This Row],[Revenue]]-Orders[[#This Row],[Expenses]]</f>
        <v>7472.25</v>
      </c>
      <c r="L1479" t="s">
        <v>2208</v>
      </c>
      <c r="M1479" t="str">
        <f>_xlfn.XLOOKUP(Orders[[#This Row],[CustomerID]],Customers[CustomerID],Customers[City])</f>
        <v>Texas</v>
      </c>
      <c r="N1479" t="str">
        <f>_xlfn.XLOOKUP(Orders[[#This Row],[CustomerID]],Customers[CustomerID],Customers[CustomerName])</f>
        <v>Chioma Adeyemi</v>
      </c>
      <c r="O1479" t="str">
        <f>_xlfn.XLOOKUP(Orders[[#This Row],[CustomerID]],Customers[CustomerID],Customers[Gender])</f>
        <v>Female</v>
      </c>
      <c r="P1479">
        <f>_xlfn.XLOOKUP(Orders[[#This Row],[CustomerID]],Customers[CustomerID],Customers[CustomerAge])</f>
        <v>20</v>
      </c>
      <c r="Q1479" t="str">
        <f>IF(Orders[[#This Row],[Age]]&gt;=35,"older","young")</f>
        <v>young</v>
      </c>
      <c r="R1479" t="str">
        <f>_xlfn.XLOOKUP(Orders[[#This Row],[ProductID]],Products[ProductID],Products[ProductName])</f>
        <v>IRON</v>
      </c>
      <c r="S1479" t="str">
        <f>_xlfn.XLOOKUP(Orders[[#This Row],[ProductID]],Products!A:A,Products!C:C)</f>
        <v>Electronics</v>
      </c>
    </row>
    <row r="1480" spans="1:19" x14ac:dyDescent="0.2">
      <c r="A1480" s="4" t="s">
        <v>1669</v>
      </c>
      <c r="B1480" s="5">
        <v>45995</v>
      </c>
      <c r="C1480" s="15">
        <f>WEEKNUM(Orders[[#This Row],[OrderDate]])</f>
        <v>49</v>
      </c>
      <c r="D1480" s="4" t="s">
        <v>216</v>
      </c>
      <c r="E1480" s="4" t="s">
        <v>34</v>
      </c>
      <c r="F1480" s="4">
        <v>2</v>
      </c>
      <c r="G1480" s="4">
        <v>11496.800000000001</v>
      </c>
      <c r="H1480">
        <v>9772.2800000000007</v>
      </c>
      <c r="I1480">
        <f>Orders[[#This Row],[Quantity]]*Orders[[#This Row],[Selling Price]]</f>
        <v>22993.600000000002</v>
      </c>
      <c r="J1480">
        <f>Orders[[#This Row],[Quantity]]*Orders[[#This Row],[Cost Price]]</f>
        <v>19544.560000000001</v>
      </c>
      <c r="K1480">
        <f>Orders[[#This Row],[Revenue]]-Orders[[#This Row],[Expenses]]</f>
        <v>3449.0400000000009</v>
      </c>
      <c r="L1480" t="s">
        <v>2220</v>
      </c>
      <c r="M1480" t="str">
        <f>_xlfn.XLOOKUP(Orders[[#This Row],[CustomerID]],Customers[CustomerID],Customers[City])</f>
        <v>California</v>
      </c>
      <c r="N1480" t="str">
        <f>_xlfn.XLOOKUP(Orders[[#This Row],[CustomerID]],Customers[CustomerID],Customers[CustomerName])</f>
        <v>Ngozi Obi</v>
      </c>
      <c r="O1480" t="str">
        <f>_xlfn.XLOOKUP(Orders[[#This Row],[CustomerID]],Customers[CustomerID],Customers[Gender])</f>
        <v>Female</v>
      </c>
      <c r="P1480">
        <f>_xlfn.XLOOKUP(Orders[[#This Row],[CustomerID]],Customers[CustomerID],Customers[CustomerAge])</f>
        <v>54</v>
      </c>
      <c r="Q1480" t="str">
        <f>IF(Orders[[#This Row],[Age]]&gt;=35,"older","young")</f>
        <v>older</v>
      </c>
      <c r="R1480" t="str">
        <f>_xlfn.XLOOKUP(Orders[[#This Row],[ProductID]],Products[ProductID],Products[ProductName])</f>
        <v>GOLD BRACELETS</v>
      </c>
      <c r="S1480" t="str">
        <f>_xlfn.XLOOKUP(Orders[[#This Row],[ProductID]],Products!A:A,Products!C:C)</f>
        <v>Accessories</v>
      </c>
    </row>
    <row r="1481" spans="1:19" x14ac:dyDescent="0.2">
      <c r="A1481" s="4" t="s">
        <v>1670</v>
      </c>
      <c r="B1481" s="5">
        <v>45932</v>
      </c>
      <c r="C1481" s="15">
        <f>WEEKNUM(Orders[[#This Row],[OrderDate]])</f>
        <v>40</v>
      </c>
      <c r="D1481" s="4" t="s">
        <v>264</v>
      </c>
      <c r="E1481" s="4" t="s">
        <v>60</v>
      </c>
      <c r="F1481" s="4">
        <v>1</v>
      </c>
      <c r="G1481" s="4">
        <v>2180.3000000000002</v>
      </c>
      <c r="H1481">
        <v>1853.2550000000001</v>
      </c>
      <c r="I1481">
        <f>Orders[[#This Row],[Quantity]]*Orders[[#This Row],[Selling Price]]</f>
        <v>2180.3000000000002</v>
      </c>
      <c r="J1481">
        <f>Orders[[#This Row],[Quantity]]*Orders[[#This Row],[Cost Price]]</f>
        <v>1853.2550000000001</v>
      </c>
      <c r="K1481">
        <f>Orders[[#This Row],[Revenue]]-Orders[[#This Row],[Expenses]]</f>
        <v>327.04500000000007</v>
      </c>
      <c r="L1481" t="s">
        <v>2201</v>
      </c>
      <c r="M1481" t="str">
        <f>_xlfn.XLOOKUP(Orders[[#This Row],[CustomerID]],Customers[CustomerID],Customers[City])</f>
        <v>Georgia</v>
      </c>
      <c r="N1481" t="str">
        <f>_xlfn.XLOOKUP(Orders[[#This Row],[CustomerID]],Customers[CustomerID],Customers[CustomerName])</f>
        <v>Ronke Adeyemi</v>
      </c>
      <c r="O1481" t="str">
        <f>_xlfn.XLOOKUP(Orders[[#This Row],[CustomerID]],Customers[CustomerID],Customers[Gender])</f>
        <v>Female</v>
      </c>
      <c r="P1481">
        <f>_xlfn.XLOOKUP(Orders[[#This Row],[CustomerID]],Customers[CustomerID],Customers[CustomerAge])</f>
        <v>19</v>
      </c>
      <c r="Q1481" t="str">
        <f>IF(Orders[[#This Row],[Age]]&gt;=35,"older","young")</f>
        <v>young</v>
      </c>
      <c r="R1481" t="str">
        <f>_xlfn.XLOOKUP(Orders[[#This Row],[ProductID]],Products[ProductID],Products[ProductName])</f>
        <v>SILVER RINGS</v>
      </c>
      <c r="S1481" t="str">
        <f>_xlfn.XLOOKUP(Orders[[#This Row],[ProductID]],Products!A:A,Products!C:C)</f>
        <v>Accessories</v>
      </c>
    </row>
    <row r="1482" spans="1:19" x14ac:dyDescent="0.2">
      <c r="A1482" s="4" t="s">
        <v>1671</v>
      </c>
      <c r="B1482" s="5">
        <v>45935</v>
      </c>
      <c r="C1482" s="15">
        <f>WEEKNUM(Orders[[#This Row],[OrderDate]])</f>
        <v>41</v>
      </c>
      <c r="D1482" s="4" t="s">
        <v>546</v>
      </c>
      <c r="E1482" s="4" t="s">
        <v>125</v>
      </c>
      <c r="F1482" s="4">
        <v>4</v>
      </c>
      <c r="G1482" s="4">
        <v>11262.4</v>
      </c>
      <c r="H1482">
        <v>9573.0399999999991</v>
      </c>
      <c r="I1482">
        <f>Orders[[#This Row],[Quantity]]*Orders[[#This Row],[Selling Price]]</f>
        <v>45049.599999999999</v>
      </c>
      <c r="J1482">
        <f>Orders[[#This Row],[Quantity]]*Orders[[#This Row],[Cost Price]]</f>
        <v>38292.159999999996</v>
      </c>
      <c r="K1482">
        <f>Orders[[#This Row],[Revenue]]-Orders[[#This Row],[Expenses]]</f>
        <v>6757.4400000000023</v>
      </c>
      <c r="L1482" t="s">
        <v>2194</v>
      </c>
      <c r="M1482" t="str">
        <f>_xlfn.XLOOKUP(Orders[[#This Row],[CustomerID]],Customers[CustomerID],Customers[City])</f>
        <v>Texas</v>
      </c>
      <c r="N1482" t="str">
        <f>_xlfn.XLOOKUP(Orders[[#This Row],[CustomerID]],Customers[CustomerID],Customers[CustomerName])</f>
        <v>Bisi Eze</v>
      </c>
      <c r="O1482" t="str">
        <f>_xlfn.XLOOKUP(Orders[[#This Row],[CustomerID]],Customers[CustomerID],Customers[Gender])</f>
        <v>Female</v>
      </c>
      <c r="P1482">
        <f>_xlfn.XLOOKUP(Orders[[#This Row],[CustomerID]],Customers[CustomerID],Customers[CustomerAge])</f>
        <v>32</v>
      </c>
      <c r="Q1482" t="str">
        <f>IF(Orders[[#This Row],[Age]]&gt;=35,"older","young")</f>
        <v>young</v>
      </c>
      <c r="R1482" t="str">
        <f>_xlfn.XLOOKUP(Orders[[#This Row],[ProductID]],Products[ProductID],Products[ProductName])</f>
        <v>EARRINGS</v>
      </c>
      <c r="S1482" t="str">
        <f>_xlfn.XLOOKUP(Orders[[#This Row],[ProductID]],Products!A:A,Products!C:C)</f>
        <v>Accessories</v>
      </c>
    </row>
    <row r="1483" spans="1:19" x14ac:dyDescent="0.2">
      <c r="A1483" s="4" t="s">
        <v>1672</v>
      </c>
      <c r="B1483" s="5">
        <v>46006</v>
      </c>
      <c r="C1483" s="15">
        <f>WEEKNUM(Orders[[#This Row],[OrderDate]])</f>
        <v>51</v>
      </c>
      <c r="D1483" s="4" t="s">
        <v>671</v>
      </c>
      <c r="E1483" s="4" t="s">
        <v>31</v>
      </c>
      <c r="F1483" s="4">
        <v>10</v>
      </c>
      <c r="G1483" s="4">
        <v>7041.2</v>
      </c>
      <c r="H1483">
        <v>5985.02</v>
      </c>
      <c r="I1483">
        <f>Orders[[#This Row],[Quantity]]*Orders[[#This Row],[Selling Price]]</f>
        <v>70412</v>
      </c>
      <c r="J1483">
        <f>Orders[[#This Row],[Quantity]]*Orders[[#This Row],[Cost Price]]</f>
        <v>59850.200000000004</v>
      </c>
      <c r="K1483">
        <f>Orders[[#This Row],[Revenue]]-Orders[[#This Row],[Expenses]]</f>
        <v>10561.799999999996</v>
      </c>
      <c r="L1483" t="s">
        <v>2214</v>
      </c>
      <c r="M1483" t="str">
        <f>_xlfn.XLOOKUP(Orders[[#This Row],[CustomerID]],Customers[CustomerID],Customers[City])</f>
        <v>Texas</v>
      </c>
      <c r="N1483" t="str">
        <f>_xlfn.XLOOKUP(Orders[[#This Row],[CustomerID]],Customers[CustomerID],Customers[CustomerName])</f>
        <v>Tunde Abubakar</v>
      </c>
      <c r="O1483" t="str">
        <f>_xlfn.XLOOKUP(Orders[[#This Row],[CustomerID]],Customers[CustomerID],Customers[Gender])</f>
        <v>Male</v>
      </c>
      <c r="P1483">
        <f>_xlfn.XLOOKUP(Orders[[#This Row],[CustomerID]],Customers[CustomerID],Customers[CustomerAge])</f>
        <v>26</v>
      </c>
      <c r="Q1483" t="str">
        <f>IF(Orders[[#This Row],[Age]]&gt;=35,"older","young")</f>
        <v>young</v>
      </c>
      <c r="R1483" t="str">
        <f>_xlfn.XLOOKUP(Orders[[#This Row],[ProductID]],Products[ProductID],Products[ProductName])</f>
        <v>KIDS GAMES</v>
      </c>
      <c r="S1483" t="str">
        <f>_xlfn.XLOOKUP(Orders[[#This Row],[ProductID]],Products!A:A,Products!C:C)</f>
        <v>Games</v>
      </c>
    </row>
    <row r="1484" spans="1:19" x14ac:dyDescent="0.2">
      <c r="A1484" s="4" t="s">
        <v>1673</v>
      </c>
      <c r="B1484" s="5">
        <v>45984</v>
      </c>
      <c r="C1484" s="15">
        <f>WEEKNUM(Orders[[#This Row],[OrderDate]])</f>
        <v>48</v>
      </c>
      <c r="D1484" s="4" t="s">
        <v>110</v>
      </c>
      <c r="E1484" s="4" t="s">
        <v>84</v>
      </c>
      <c r="F1484" s="4">
        <v>10</v>
      </c>
      <c r="G1484" s="4">
        <v>16935.5</v>
      </c>
      <c r="H1484">
        <v>14395.174999999999</v>
      </c>
      <c r="I1484">
        <f>Orders[[#This Row],[Quantity]]*Orders[[#This Row],[Selling Price]]</f>
        <v>169355</v>
      </c>
      <c r="J1484">
        <f>Orders[[#This Row],[Quantity]]*Orders[[#This Row],[Cost Price]]</f>
        <v>143951.75</v>
      </c>
      <c r="K1484">
        <f>Orders[[#This Row],[Revenue]]-Orders[[#This Row],[Expenses]]</f>
        <v>25403.25</v>
      </c>
      <c r="L1484" t="s">
        <v>2203</v>
      </c>
      <c r="M1484" t="str">
        <f>_xlfn.XLOOKUP(Orders[[#This Row],[CustomerID]],Customers[CustomerID],Customers[City])</f>
        <v>Washington</v>
      </c>
      <c r="N1484" t="str">
        <f>_xlfn.XLOOKUP(Orders[[#This Row],[CustomerID]],Customers[CustomerID],Customers[CustomerName])</f>
        <v>Ngozi Danladi</v>
      </c>
      <c r="O1484" t="str">
        <f>_xlfn.XLOOKUP(Orders[[#This Row],[CustomerID]],Customers[CustomerID],Customers[Gender])</f>
        <v>Female</v>
      </c>
      <c r="P1484">
        <f>_xlfn.XLOOKUP(Orders[[#This Row],[CustomerID]],Customers[CustomerID],Customers[CustomerAge])</f>
        <v>28</v>
      </c>
      <c r="Q1484" t="str">
        <f>IF(Orders[[#This Row],[Age]]&gt;=35,"older","young")</f>
        <v>young</v>
      </c>
      <c r="R1484" t="str">
        <f>_xlfn.XLOOKUP(Orders[[#This Row],[ProductID]],Products[ProductID],Products[ProductName])</f>
        <v>GYM WEARS</v>
      </c>
      <c r="S1484" t="str">
        <f>_xlfn.XLOOKUP(Orders[[#This Row],[ProductID]],Products!A:A,Products!C:C)</f>
        <v>Clothing</v>
      </c>
    </row>
    <row r="1485" spans="1:19" x14ac:dyDescent="0.2">
      <c r="A1485" s="4" t="s">
        <v>1674</v>
      </c>
      <c r="B1485" s="5">
        <v>46010</v>
      </c>
      <c r="C1485" s="15">
        <f>WEEKNUM(Orders[[#This Row],[OrderDate]])</f>
        <v>51</v>
      </c>
      <c r="D1485" s="4" t="s">
        <v>514</v>
      </c>
      <c r="E1485" s="4" t="s">
        <v>37</v>
      </c>
      <c r="F1485" s="4">
        <v>6</v>
      </c>
      <c r="G1485" s="4">
        <v>1803.4</v>
      </c>
      <c r="H1485">
        <v>1532.89</v>
      </c>
      <c r="I1485">
        <f>Orders[[#This Row],[Quantity]]*Orders[[#This Row],[Selling Price]]</f>
        <v>10820.400000000001</v>
      </c>
      <c r="J1485">
        <f>Orders[[#This Row],[Quantity]]*Orders[[#This Row],[Cost Price]]</f>
        <v>9197.34</v>
      </c>
      <c r="K1485">
        <f>Orders[[#This Row],[Revenue]]-Orders[[#This Row],[Expenses]]</f>
        <v>1623.0600000000013</v>
      </c>
      <c r="L1485" t="s">
        <v>2198</v>
      </c>
      <c r="M1485" t="str">
        <f>_xlfn.XLOOKUP(Orders[[#This Row],[CustomerID]],Customers[CustomerID],Customers[City])</f>
        <v>Florida</v>
      </c>
      <c r="N1485" t="str">
        <f>_xlfn.XLOOKUP(Orders[[#This Row],[CustomerID]],Customers[CustomerID],Customers[CustomerName])</f>
        <v>Ibrahim Okonkwo</v>
      </c>
      <c r="O1485" t="str">
        <f>_xlfn.XLOOKUP(Orders[[#This Row],[CustomerID]],Customers[CustomerID],Customers[Gender])</f>
        <v>Male</v>
      </c>
      <c r="P1485">
        <f>_xlfn.XLOOKUP(Orders[[#This Row],[CustomerID]],Customers[CustomerID],Customers[CustomerAge])</f>
        <v>28</v>
      </c>
      <c r="Q1485" t="str">
        <f>IF(Orders[[#This Row],[Age]]&gt;=35,"older","young")</f>
        <v>young</v>
      </c>
      <c r="R1485" t="str">
        <f>_xlfn.XLOOKUP(Orders[[#This Row],[ProductID]],Products[ProductID],Products[ProductName])</f>
        <v>IRON</v>
      </c>
      <c r="S1485" t="str">
        <f>_xlfn.XLOOKUP(Orders[[#This Row],[ProductID]],Products!A:A,Products!C:C)</f>
        <v>Electronics</v>
      </c>
    </row>
    <row r="1486" spans="1:19" x14ac:dyDescent="0.2">
      <c r="A1486" s="4" t="s">
        <v>1675</v>
      </c>
      <c r="B1486" s="5">
        <v>45962</v>
      </c>
      <c r="C1486" s="15">
        <f>WEEKNUM(Orders[[#This Row],[OrderDate]])</f>
        <v>44</v>
      </c>
      <c r="D1486" s="4" t="s">
        <v>142</v>
      </c>
      <c r="E1486" s="4" t="s">
        <v>81</v>
      </c>
      <c r="F1486" s="4">
        <v>3</v>
      </c>
      <c r="G1486" s="4">
        <v>12926.7</v>
      </c>
      <c r="H1486">
        <v>10987.695</v>
      </c>
      <c r="I1486">
        <f>Orders[[#This Row],[Quantity]]*Orders[[#This Row],[Selling Price]]</f>
        <v>38780.100000000006</v>
      </c>
      <c r="J1486">
        <f>Orders[[#This Row],[Quantity]]*Orders[[#This Row],[Cost Price]]</f>
        <v>32963.084999999999</v>
      </c>
      <c r="K1486">
        <f>Orders[[#This Row],[Revenue]]-Orders[[#This Row],[Expenses]]</f>
        <v>5817.0150000000067</v>
      </c>
      <c r="L1486" t="s">
        <v>2192</v>
      </c>
      <c r="M1486" t="str">
        <f>_xlfn.XLOOKUP(Orders[[#This Row],[CustomerID]],Customers[CustomerID],Customers[City])</f>
        <v>Florida</v>
      </c>
      <c r="N1486" t="str">
        <f>_xlfn.XLOOKUP(Orders[[#This Row],[CustomerID]],Customers[CustomerID],Customers[CustomerName])</f>
        <v>Obi Adeyemi</v>
      </c>
      <c r="O1486" t="str">
        <f>_xlfn.XLOOKUP(Orders[[#This Row],[CustomerID]],Customers[CustomerID],Customers[Gender])</f>
        <v>Male</v>
      </c>
      <c r="P1486">
        <f>_xlfn.XLOOKUP(Orders[[#This Row],[CustomerID]],Customers[CustomerID],Customers[CustomerAge])</f>
        <v>31</v>
      </c>
      <c r="Q1486" t="str">
        <f>IF(Orders[[#This Row],[Age]]&gt;=35,"older","young")</f>
        <v>young</v>
      </c>
      <c r="R1486" t="str">
        <f>_xlfn.XLOOKUP(Orders[[#This Row],[ProductID]],Products[ProductID],Products[ProductName])</f>
        <v>TROUSERS</v>
      </c>
      <c r="S1486" t="str">
        <f>_xlfn.XLOOKUP(Orders[[#This Row],[ProductID]],Products!A:A,Products!C:C)</f>
        <v>Clothing</v>
      </c>
    </row>
    <row r="1487" spans="1:19" x14ac:dyDescent="0.2">
      <c r="A1487" s="4" t="s">
        <v>1676</v>
      </c>
      <c r="B1487" s="5">
        <v>45999</v>
      </c>
      <c r="C1487" s="15">
        <f>WEEKNUM(Orders[[#This Row],[OrderDate]])</f>
        <v>50</v>
      </c>
      <c r="D1487" s="4" t="s">
        <v>11</v>
      </c>
      <c r="E1487" s="4" t="s">
        <v>53</v>
      </c>
      <c r="F1487" s="4">
        <v>5</v>
      </c>
      <c r="G1487" s="4">
        <v>9098.0999999999985</v>
      </c>
      <c r="H1487">
        <v>7733.3849999999984</v>
      </c>
      <c r="I1487">
        <f>Orders[[#This Row],[Quantity]]*Orders[[#This Row],[Selling Price]]</f>
        <v>45490.499999999993</v>
      </c>
      <c r="J1487">
        <f>Orders[[#This Row],[Quantity]]*Orders[[#This Row],[Cost Price]]</f>
        <v>38666.924999999988</v>
      </c>
      <c r="K1487">
        <f>Orders[[#This Row],[Revenue]]-Orders[[#This Row],[Expenses]]</f>
        <v>6823.5750000000044</v>
      </c>
      <c r="L1487" t="s">
        <v>2215</v>
      </c>
      <c r="M1487" t="str">
        <f>_xlfn.XLOOKUP(Orders[[#This Row],[CustomerID]],Customers[CustomerID],Customers[City])</f>
        <v>Texas</v>
      </c>
      <c r="N1487" t="str">
        <f>_xlfn.XLOOKUP(Orders[[#This Row],[CustomerID]],Customers[CustomerID],Customers[CustomerName])</f>
        <v>Efe Ojo</v>
      </c>
      <c r="O1487" t="str">
        <f>_xlfn.XLOOKUP(Orders[[#This Row],[CustomerID]],Customers[CustomerID],Customers[Gender])</f>
        <v>Female</v>
      </c>
      <c r="P1487">
        <f>_xlfn.XLOOKUP(Orders[[#This Row],[CustomerID]],Customers[CustomerID],Customers[CustomerAge])</f>
        <v>55</v>
      </c>
      <c r="Q1487" t="str">
        <f>IF(Orders[[#This Row],[Age]]&gt;=35,"older","young")</f>
        <v>older</v>
      </c>
      <c r="R1487" t="str">
        <f>_xlfn.XLOOKUP(Orders[[#This Row],[ProductID]],Products[ProductID],Products[ProductName])</f>
        <v>SILVER BANGLES</v>
      </c>
      <c r="S1487" t="str">
        <f>_xlfn.XLOOKUP(Orders[[#This Row],[ProductID]],Products!A:A,Products!C:C)</f>
        <v>Accessories</v>
      </c>
    </row>
    <row r="1488" spans="1:19" x14ac:dyDescent="0.2">
      <c r="A1488" s="4" t="s">
        <v>1677</v>
      </c>
      <c r="B1488" s="5">
        <v>45931</v>
      </c>
      <c r="C1488" s="15">
        <f>WEEKNUM(Orders[[#This Row],[OrderDate]])</f>
        <v>40</v>
      </c>
      <c r="D1488" s="4" t="s">
        <v>212</v>
      </c>
      <c r="E1488" s="4" t="s">
        <v>9</v>
      </c>
      <c r="F1488" s="4">
        <v>10</v>
      </c>
      <c r="G1488" s="4">
        <v>16750.3</v>
      </c>
      <c r="H1488">
        <v>14237.754999999999</v>
      </c>
      <c r="I1488">
        <f>Orders[[#This Row],[Quantity]]*Orders[[#This Row],[Selling Price]]</f>
        <v>167503</v>
      </c>
      <c r="J1488">
        <f>Orders[[#This Row],[Quantity]]*Orders[[#This Row],[Cost Price]]</f>
        <v>142377.54999999999</v>
      </c>
      <c r="K1488">
        <f>Orders[[#This Row],[Revenue]]-Orders[[#This Row],[Expenses]]</f>
        <v>25125.450000000012</v>
      </c>
      <c r="L1488" t="s">
        <v>2201</v>
      </c>
      <c r="M1488" t="str">
        <f>_xlfn.XLOOKUP(Orders[[#This Row],[CustomerID]],Customers[CustomerID],Customers[City])</f>
        <v>Illinois</v>
      </c>
      <c r="N1488" t="str">
        <f>_xlfn.XLOOKUP(Orders[[#This Row],[CustomerID]],Customers[CustomerID],Customers[CustomerName])</f>
        <v>Ngozi Ojo</v>
      </c>
      <c r="O1488" t="str">
        <f>_xlfn.XLOOKUP(Orders[[#This Row],[CustomerID]],Customers[CustomerID],Customers[Gender])</f>
        <v>Female</v>
      </c>
      <c r="P1488">
        <f>_xlfn.XLOOKUP(Orders[[#This Row],[CustomerID]],Customers[CustomerID],Customers[CustomerAge])</f>
        <v>53</v>
      </c>
      <c r="Q1488" t="str">
        <f>IF(Orders[[#This Row],[Age]]&gt;=35,"older","young")</f>
        <v>older</v>
      </c>
      <c r="R1488" t="str">
        <f>_xlfn.XLOOKUP(Orders[[#This Row],[ProductID]],Products[ProductID],Products[ProductName])</f>
        <v>BEADED EARRINGS AND NECKLACES</v>
      </c>
      <c r="S1488" t="str">
        <f>_xlfn.XLOOKUP(Orders[[#This Row],[ProductID]],Products!A:A,Products!C:C)</f>
        <v>Accessories</v>
      </c>
    </row>
    <row r="1489" spans="1:19" x14ac:dyDescent="0.2">
      <c r="A1489" s="4" t="s">
        <v>1678</v>
      </c>
      <c r="B1489" s="5">
        <v>45969</v>
      </c>
      <c r="C1489" s="15">
        <f>WEEKNUM(Orders[[#This Row],[OrderDate]])</f>
        <v>45</v>
      </c>
      <c r="D1489" s="4" t="s">
        <v>75</v>
      </c>
      <c r="E1489" s="4" t="s">
        <v>76</v>
      </c>
      <c r="F1489" s="4">
        <v>7</v>
      </c>
      <c r="G1489" s="4">
        <v>19976.900000000001</v>
      </c>
      <c r="H1489">
        <v>16980.365000000002</v>
      </c>
      <c r="I1489">
        <f>Orders[[#This Row],[Quantity]]*Orders[[#This Row],[Selling Price]]</f>
        <v>139838.30000000002</v>
      </c>
      <c r="J1489">
        <f>Orders[[#This Row],[Quantity]]*Orders[[#This Row],[Cost Price]]</f>
        <v>118862.55500000001</v>
      </c>
      <c r="K1489">
        <f>Orders[[#This Row],[Revenue]]-Orders[[#This Row],[Expenses]]</f>
        <v>20975.74500000001</v>
      </c>
      <c r="L1489" t="s">
        <v>2201</v>
      </c>
      <c r="M1489" t="str">
        <f>_xlfn.XLOOKUP(Orders[[#This Row],[CustomerID]],Customers[CustomerID],Customers[City])</f>
        <v>Texas</v>
      </c>
      <c r="N1489" t="str">
        <f>_xlfn.XLOOKUP(Orders[[#This Row],[CustomerID]],Customers[CustomerID],Customers[CustomerName])</f>
        <v>Tunde Danladi</v>
      </c>
      <c r="O1489" t="str">
        <f>_xlfn.XLOOKUP(Orders[[#This Row],[CustomerID]],Customers[CustomerID],Customers[Gender])</f>
        <v>Male</v>
      </c>
      <c r="P1489">
        <f>_xlfn.XLOOKUP(Orders[[#This Row],[CustomerID]],Customers[CustomerID],Customers[CustomerAge])</f>
        <v>47</v>
      </c>
      <c r="Q1489" t="str">
        <f>IF(Orders[[#This Row],[Age]]&gt;=35,"older","young")</f>
        <v>older</v>
      </c>
      <c r="R1489" t="str">
        <f>_xlfn.XLOOKUP(Orders[[#This Row],[ProductID]],Products[ProductID],Products[ProductName])</f>
        <v>BLENDER</v>
      </c>
      <c r="S1489" t="str">
        <f>_xlfn.XLOOKUP(Orders[[#This Row],[ProductID]],Products!A:A,Products!C:C)</f>
        <v>Electronics</v>
      </c>
    </row>
    <row r="1490" spans="1:19" x14ac:dyDescent="0.2">
      <c r="A1490" s="4" t="s">
        <v>1679</v>
      </c>
      <c r="B1490" s="5">
        <v>45947</v>
      </c>
      <c r="C1490" s="15">
        <f>WEEKNUM(Orders[[#This Row],[OrderDate]])</f>
        <v>42</v>
      </c>
      <c r="D1490" s="4" t="s">
        <v>346</v>
      </c>
      <c r="E1490" s="4" t="s">
        <v>31</v>
      </c>
      <c r="F1490" s="4">
        <v>2</v>
      </c>
      <c r="G1490" s="4">
        <v>13976.099999999999</v>
      </c>
      <c r="H1490">
        <v>11879.684999999999</v>
      </c>
      <c r="I1490">
        <f>Orders[[#This Row],[Quantity]]*Orders[[#This Row],[Selling Price]]</f>
        <v>27952.199999999997</v>
      </c>
      <c r="J1490">
        <f>Orders[[#This Row],[Quantity]]*Orders[[#This Row],[Cost Price]]</f>
        <v>23759.37</v>
      </c>
      <c r="K1490">
        <f>Orders[[#This Row],[Revenue]]-Orders[[#This Row],[Expenses]]</f>
        <v>4192.8299999999981</v>
      </c>
      <c r="L1490" t="s">
        <v>2207</v>
      </c>
      <c r="M1490" t="str">
        <f>_xlfn.XLOOKUP(Orders[[#This Row],[CustomerID]],Customers[CustomerID],Customers[City])</f>
        <v>California</v>
      </c>
      <c r="N1490" t="str">
        <f>_xlfn.XLOOKUP(Orders[[#This Row],[CustomerID]],Customers[CustomerID],Customers[CustomerName])</f>
        <v>Ngozi Danladi</v>
      </c>
      <c r="O1490" t="str">
        <f>_xlfn.XLOOKUP(Orders[[#This Row],[CustomerID]],Customers[CustomerID],Customers[Gender])</f>
        <v>Female</v>
      </c>
      <c r="P1490">
        <f>_xlfn.XLOOKUP(Orders[[#This Row],[CustomerID]],Customers[CustomerID],Customers[CustomerAge])</f>
        <v>30</v>
      </c>
      <c r="Q1490" t="str">
        <f>IF(Orders[[#This Row],[Age]]&gt;=35,"older","young")</f>
        <v>young</v>
      </c>
      <c r="R1490" t="str">
        <f>_xlfn.XLOOKUP(Orders[[#This Row],[ProductID]],Products[ProductID],Products[ProductName])</f>
        <v>KIDS GAMES</v>
      </c>
      <c r="S1490" t="str">
        <f>_xlfn.XLOOKUP(Orders[[#This Row],[ProductID]],Products!A:A,Products!C:C)</f>
        <v>Games</v>
      </c>
    </row>
    <row r="1491" spans="1:19" x14ac:dyDescent="0.2">
      <c r="A1491" s="4" t="s">
        <v>1680</v>
      </c>
      <c r="B1491" s="5">
        <v>45982</v>
      </c>
      <c r="C1491" s="15">
        <f>WEEKNUM(Orders[[#This Row],[OrderDate]])</f>
        <v>47</v>
      </c>
      <c r="D1491" s="4" t="s">
        <v>416</v>
      </c>
      <c r="E1491" s="4" t="s">
        <v>25</v>
      </c>
      <c r="F1491" s="4">
        <v>6</v>
      </c>
      <c r="G1491" s="4">
        <v>1238.0999999999999</v>
      </c>
      <c r="H1491">
        <v>1052.385</v>
      </c>
      <c r="I1491">
        <f>Orders[[#This Row],[Quantity]]*Orders[[#This Row],[Selling Price]]</f>
        <v>7428.5999999999995</v>
      </c>
      <c r="J1491">
        <f>Orders[[#This Row],[Quantity]]*Orders[[#This Row],[Cost Price]]</f>
        <v>6314.3099999999995</v>
      </c>
      <c r="K1491">
        <f>Orders[[#This Row],[Revenue]]-Orders[[#This Row],[Expenses]]</f>
        <v>1114.29</v>
      </c>
      <c r="L1491" t="s">
        <v>2210</v>
      </c>
      <c r="M1491" t="str">
        <f>_xlfn.XLOOKUP(Orders[[#This Row],[CustomerID]],Customers[CustomerID],Customers[City])</f>
        <v>Texas</v>
      </c>
      <c r="N1491" t="str">
        <f>_xlfn.XLOOKUP(Orders[[#This Row],[CustomerID]],Customers[CustomerID],Customers[CustomerName])</f>
        <v>Chinedu Igwe</v>
      </c>
      <c r="O1491" t="str">
        <f>_xlfn.XLOOKUP(Orders[[#This Row],[CustomerID]],Customers[CustomerID],Customers[Gender])</f>
        <v>Male</v>
      </c>
      <c r="P1491">
        <f>_xlfn.XLOOKUP(Orders[[#This Row],[CustomerID]],Customers[CustomerID],Customers[CustomerAge])</f>
        <v>26</v>
      </c>
      <c r="Q1491" t="str">
        <f>IF(Orders[[#This Row],[Age]]&gt;=35,"older","young")</f>
        <v>young</v>
      </c>
      <c r="R1491" t="str">
        <f>_xlfn.XLOOKUP(Orders[[#This Row],[ProductID]],Products[ProductID],Products[ProductName])</f>
        <v>GOLD RINGS</v>
      </c>
      <c r="S1491" t="str">
        <f>_xlfn.XLOOKUP(Orders[[#This Row],[ProductID]],Products!A:A,Products!C:C)</f>
        <v>Accessories</v>
      </c>
    </row>
    <row r="1492" spans="1:19" x14ac:dyDescent="0.2">
      <c r="A1492" s="4" t="s">
        <v>1681</v>
      </c>
      <c r="B1492" s="5">
        <v>45978</v>
      </c>
      <c r="C1492" s="15">
        <f>WEEKNUM(Orders[[#This Row],[OrderDate]])</f>
        <v>47</v>
      </c>
      <c r="D1492" s="4" t="s">
        <v>39</v>
      </c>
      <c r="E1492" s="4" t="s">
        <v>34</v>
      </c>
      <c r="F1492" s="4">
        <v>8</v>
      </c>
      <c r="G1492" s="4">
        <v>19584.599999999999</v>
      </c>
      <c r="H1492">
        <v>16646.91</v>
      </c>
      <c r="I1492">
        <f>Orders[[#This Row],[Quantity]]*Orders[[#This Row],[Selling Price]]</f>
        <v>156676.79999999999</v>
      </c>
      <c r="J1492">
        <f>Orders[[#This Row],[Quantity]]*Orders[[#This Row],[Cost Price]]</f>
        <v>133175.28</v>
      </c>
      <c r="K1492">
        <f>Orders[[#This Row],[Revenue]]-Orders[[#This Row],[Expenses]]</f>
        <v>23501.51999999999</v>
      </c>
      <c r="L1492" t="s">
        <v>2200</v>
      </c>
      <c r="M1492" t="str">
        <f>_xlfn.XLOOKUP(Orders[[#This Row],[CustomerID]],Customers[CustomerID],Customers[City])</f>
        <v>Florida</v>
      </c>
      <c r="N1492" t="str">
        <f>_xlfn.XLOOKUP(Orders[[#This Row],[CustomerID]],Customers[CustomerID],Customers[CustomerName])</f>
        <v>Efe Adeyemi</v>
      </c>
      <c r="O1492" t="str">
        <f>_xlfn.XLOOKUP(Orders[[#This Row],[CustomerID]],Customers[CustomerID],Customers[Gender])</f>
        <v>Female</v>
      </c>
      <c r="P1492">
        <f>_xlfn.XLOOKUP(Orders[[#This Row],[CustomerID]],Customers[CustomerID],Customers[CustomerAge])</f>
        <v>20</v>
      </c>
      <c r="Q1492" t="str">
        <f>IF(Orders[[#This Row],[Age]]&gt;=35,"older","young")</f>
        <v>young</v>
      </c>
      <c r="R1492" t="str">
        <f>_xlfn.XLOOKUP(Orders[[#This Row],[ProductID]],Products[ProductID],Products[ProductName])</f>
        <v>GOLD BRACELETS</v>
      </c>
      <c r="S1492" t="str">
        <f>_xlfn.XLOOKUP(Orders[[#This Row],[ProductID]],Products!A:A,Products!C:C)</f>
        <v>Accessories</v>
      </c>
    </row>
    <row r="1493" spans="1:19" x14ac:dyDescent="0.2">
      <c r="A1493" s="4" t="s">
        <v>1682</v>
      </c>
      <c r="B1493" s="5">
        <v>45933</v>
      </c>
      <c r="C1493" s="15">
        <f>WEEKNUM(Orders[[#This Row],[OrderDate]])</f>
        <v>40</v>
      </c>
      <c r="D1493" s="4" t="s">
        <v>96</v>
      </c>
      <c r="E1493" s="4" t="s">
        <v>63</v>
      </c>
      <c r="F1493" s="4">
        <v>2</v>
      </c>
      <c r="G1493" s="4">
        <v>8976.4</v>
      </c>
      <c r="H1493">
        <v>7629.94</v>
      </c>
      <c r="I1493">
        <f>Orders[[#This Row],[Quantity]]*Orders[[#This Row],[Selling Price]]</f>
        <v>17952.8</v>
      </c>
      <c r="J1493">
        <f>Orders[[#This Row],[Quantity]]*Orders[[#This Row],[Cost Price]]</f>
        <v>15259.88</v>
      </c>
      <c r="K1493">
        <f>Orders[[#This Row],[Revenue]]-Orders[[#This Row],[Expenses]]</f>
        <v>2692.92</v>
      </c>
      <c r="L1493" t="s">
        <v>2220</v>
      </c>
      <c r="M1493" t="str">
        <f>_xlfn.XLOOKUP(Orders[[#This Row],[CustomerID]],Customers[CustomerID],Customers[City])</f>
        <v>Texas</v>
      </c>
      <c r="N1493" t="str">
        <f>_xlfn.XLOOKUP(Orders[[#This Row],[CustomerID]],Customers[CustomerID],Customers[CustomerName])</f>
        <v>Amina Abubakar</v>
      </c>
      <c r="O1493" t="str">
        <f>_xlfn.XLOOKUP(Orders[[#This Row],[CustomerID]],Customers[CustomerID],Customers[Gender])</f>
        <v>Female</v>
      </c>
      <c r="P1493">
        <f>_xlfn.XLOOKUP(Orders[[#This Row],[CustomerID]],Customers[CustomerID],Customers[CustomerAge])</f>
        <v>35</v>
      </c>
      <c r="Q1493" t="str">
        <f>IF(Orders[[#This Row],[Age]]&gt;=35,"older","young")</f>
        <v>older</v>
      </c>
      <c r="R1493" t="str">
        <f>_xlfn.XLOOKUP(Orders[[#This Row],[ProductID]],Products[ProductID],Products[ProductName])</f>
        <v>TENNIS BAT</v>
      </c>
      <c r="S1493" t="str">
        <f>_xlfn.XLOOKUP(Orders[[#This Row],[ProductID]],Products!A:A,Products!C:C)</f>
        <v>Sports</v>
      </c>
    </row>
    <row r="1494" spans="1:19" x14ac:dyDescent="0.2">
      <c r="A1494" s="4" t="s">
        <v>1683</v>
      </c>
      <c r="B1494" s="5">
        <v>45942</v>
      </c>
      <c r="C1494" s="15">
        <f>WEEKNUM(Orders[[#This Row],[OrderDate]])</f>
        <v>42</v>
      </c>
      <c r="D1494" s="4" t="s">
        <v>275</v>
      </c>
      <c r="E1494" s="4" t="s">
        <v>189</v>
      </c>
      <c r="F1494" s="4">
        <v>7</v>
      </c>
      <c r="G1494" s="4">
        <v>19809</v>
      </c>
      <c r="H1494">
        <v>16837.650000000001</v>
      </c>
      <c r="I1494">
        <f>Orders[[#This Row],[Quantity]]*Orders[[#This Row],[Selling Price]]</f>
        <v>138663</v>
      </c>
      <c r="J1494">
        <f>Orders[[#This Row],[Quantity]]*Orders[[#This Row],[Cost Price]]</f>
        <v>117863.55000000002</v>
      </c>
      <c r="K1494">
        <f>Orders[[#This Row],[Revenue]]-Orders[[#This Row],[Expenses]]</f>
        <v>20799.449999999983</v>
      </c>
      <c r="L1494" t="s">
        <v>2209</v>
      </c>
      <c r="M1494" t="str">
        <f>_xlfn.XLOOKUP(Orders[[#This Row],[CustomerID]],Customers[CustomerID],Customers[City])</f>
        <v>Texas</v>
      </c>
      <c r="N1494" t="str">
        <f>_xlfn.XLOOKUP(Orders[[#This Row],[CustomerID]],Customers[CustomerID],Customers[CustomerName])</f>
        <v>Ngozi Danladi</v>
      </c>
      <c r="O1494" t="str">
        <f>_xlfn.XLOOKUP(Orders[[#This Row],[CustomerID]],Customers[CustomerID],Customers[Gender])</f>
        <v>Female</v>
      </c>
      <c r="P1494">
        <f>_xlfn.XLOOKUP(Orders[[#This Row],[CustomerID]],Customers[CustomerID],Customers[CustomerAge])</f>
        <v>25</v>
      </c>
      <c r="Q1494" t="str">
        <f>IF(Orders[[#This Row],[Age]]&gt;=35,"older","young")</f>
        <v>young</v>
      </c>
      <c r="R1494" t="str">
        <f>_xlfn.XLOOKUP(Orders[[#This Row],[ProductID]],Products[ProductID],Products[ProductName])</f>
        <v>SCRABBLE</v>
      </c>
      <c r="S1494" t="str">
        <f>_xlfn.XLOOKUP(Orders[[#This Row],[ProductID]],Products!A:A,Products!C:C)</f>
        <v>Games</v>
      </c>
    </row>
    <row r="1495" spans="1:19" x14ac:dyDescent="0.2">
      <c r="A1495" s="4" t="s">
        <v>1684</v>
      </c>
      <c r="B1495" s="5">
        <v>45962</v>
      </c>
      <c r="C1495" s="15">
        <f>WEEKNUM(Orders[[#This Row],[OrderDate]])</f>
        <v>44</v>
      </c>
      <c r="D1495" s="4" t="s">
        <v>426</v>
      </c>
      <c r="E1495" s="4" t="s">
        <v>151</v>
      </c>
      <c r="F1495" s="4">
        <v>2</v>
      </c>
      <c r="G1495" s="4">
        <v>11506</v>
      </c>
      <c r="H1495">
        <v>9780.1</v>
      </c>
      <c r="I1495">
        <f>Orders[[#This Row],[Quantity]]*Orders[[#This Row],[Selling Price]]</f>
        <v>23012</v>
      </c>
      <c r="J1495">
        <f>Orders[[#This Row],[Quantity]]*Orders[[#This Row],[Cost Price]]</f>
        <v>19560.2</v>
      </c>
      <c r="K1495">
        <f>Orders[[#This Row],[Revenue]]-Orders[[#This Row],[Expenses]]</f>
        <v>3451.7999999999993</v>
      </c>
      <c r="L1495" t="s">
        <v>2198</v>
      </c>
      <c r="M1495" t="str">
        <f>_xlfn.XLOOKUP(Orders[[#This Row],[CustomerID]],Customers[CustomerID],Customers[City])</f>
        <v>Washington</v>
      </c>
      <c r="N1495" t="str">
        <f>_xlfn.XLOOKUP(Orders[[#This Row],[CustomerID]],Customers[CustomerID],Customers[CustomerName])</f>
        <v>Chinedu Ojo</v>
      </c>
      <c r="O1495" t="str">
        <f>_xlfn.XLOOKUP(Orders[[#This Row],[CustomerID]],Customers[CustomerID],Customers[Gender])</f>
        <v>Male</v>
      </c>
      <c r="P1495">
        <f>_xlfn.XLOOKUP(Orders[[#This Row],[CustomerID]],Customers[CustomerID],Customers[CustomerAge])</f>
        <v>18</v>
      </c>
      <c r="Q1495" t="str">
        <f>IF(Orders[[#This Row],[Age]]&gt;=35,"older","young")</f>
        <v>young</v>
      </c>
      <c r="R1495" t="str">
        <f>_xlfn.XLOOKUP(Orders[[#This Row],[ProductID]],Products[ProductID],Products[ProductName])</f>
        <v>CHECKERS</v>
      </c>
      <c r="S1495" t="str">
        <f>_xlfn.XLOOKUP(Orders[[#This Row],[ProductID]],Products!A:A,Products!C:C)</f>
        <v>Games</v>
      </c>
    </row>
    <row r="1496" spans="1:19" x14ac:dyDescent="0.2">
      <c r="A1496" s="4" t="s">
        <v>1685</v>
      </c>
      <c r="B1496" s="5">
        <v>45939</v>
      </c>
      <c r="C1496" s="15">
        <f>WEEKNUM(Orders[[#This Row],[OrderDate]])</f>
        <v>41</v>
      </c>
      <c r="D1496" s="4" t="s">
        <v>55</v>
      </c>
      <c r="E1496" s="4" t="s">
        <v>25</v>
      </c>
      <c r="F1496" s="4">
        <v>10</v>
      </c>
      <c r="G1496" s="4">
        <v>17236.7</v>
      </c>
      <c r="H1496">
        <v>14651.195</v>
      </c>
      <c r="I1496">
        <f>Orders[[#This Row],[Quantity]]*Orders[[#This Row],[Selling Price]]</f>
        <v>172367</v>
      </c>
      <c r="J1496">
        <f>Orders[[#This Row],[Quantity]]*Orders[[#This Row],[Cost Price]]</f>
        <v>146511.95000000001</v>
      </c>
      <c r="K1496">
        <f>Orders[[#This Row],[Revenue]]-Orders[[#This Row],[Expenses]]</f>
        <v>25855.049999999988</v>
      </c>
      <c r="L1496" t="s">
        <v>2218</v>
      </c>
      <c r="M1496" t="str">
        <f>_xlfn.XLOOKUP(Orders[[#This Row],[CustomerID]],Customers[CustomerID],Customers[City])</f>
        <v>California</v>
      </c>
      <c r="N1496" t="str">
        <f>_xlfn.XLOOKUP(Orders[[#This Row],[CustomerID]],Customers[CustomerID],Customers[CustomerName])</f>
        <v>Adanma Ojo</v>
      </c>
      <c r="O1496" t="str">
        <f>_xlfn.XLOOKUP(Orders[[#This Row],[CustomerID]],Customers[CustomerID],Customers[Gender])</f>
        <v>Female</v>
      </c>
      <c r="P1496">
        <f>_xlfn.XLOOKUP(Orders[[#This Row],[CustomerID]],Customers[CustomerID],Customers[CustomerAge])</f>
        <v>48</v>
      </c>
      <c r="Q1496" t="str">
        <f>IF(Orders[[#This Row],[Age]]&gt;=35,"older","young")</f>
        <v>older</v>
      </c>
      <c r="R1496" t="str">
        <f>_xlfn.XLOOKUP(Orders[[#This Row],[ProductID]],Products[ProductID],Products[ProductName])</f>
        <v>GOLD RINGS</v>
      </c>
      <c r="S1496" t="str">
        <f>_xlfn.XLOOKUP(Orders[[#This Row],[ProductID]],Products!A:A,Products!C:C)</f>
        <v>Accessories</v>
      </c>
    </row>
    <row r="1497" spans="1:19" x14ac:dyDescent="0.2">
      <c r="A1497" s="4" t="s">
        <v>1686</v>
      </c>
      <c r="B1497" s="5">
        <v>45971</v>
      </c>
      <c r="C1497" s="15">
        <f>WEEKNUM(Orders[[#This Row],[OrderDate]])</f>
        <v>46</v>
      </c>
      <c r="D1497" s="4" t="s">
        <v>30</v>
      </c>
      <c r="E1497" s="4" t="s">
        <v>46</v>
      </c>
      <c r="F1497" s="4">
        <v>5</v>
      </c>
      <c r="G1497" s="4">
        <v>17382.400000000001</v>
      </c>
      <c r="H1497">
        <v>14775.04</v>
      </c>
      <c r="I1497">
        <f>Orders[[#This Row],[Quantity]]*Orders[[#This Row],[Selling Price]]</f>
        <v>86912</v>
      </c>
      <c r="J1497">
        <f>Orders[[#This Row],[Quantity]]*Orders[[#This Row],[Cost Price]]</f>
        <v>73875.200000000012</v>
      </c>
      <c r="K1497">
        <f>Orders[[#This Row],[Revenue]]-Orders[[#This Row],[Expenses]]</f>
        <v>13036.799999999988</v>
      </c>
      <c r="L1497" t="s">
        <v>2194</v>
      </c>
      <c r="M1497" t="str">
        <f>_xlfn.XLOOKUP(Orders[[#This Row],[CustomerID]],Customers[CustomerID],Customers[City])</f>
        <v>Florida</v>
      </c>
      <c r="N1497" t="str">
        <f>_xlfn.XLOOKUP(Orders[[#This Row],[CustomerID]],Customers[CustomerID],Customers[CustomerName])</f>
        <v>Amina Danladi</v>
      </c>
      <c r="O1497" t="str">
        <f>_xlfn.XLOOKUP(Orders[[#This Row],[CustomerID]],Customers[CustomerID],Customers[Gender])</f>
        <v>Female</v>
      </c>
      <c r="P1497">
        <f>_xlfn.XLOOKUP(Orders[[#This Row],[CustomerID]],Customers[CustomerID],Customers[CustomerAge])</f>
        <v>42</v>
      </c>
      <c r="Q1497" t="str">
        <f>IF(Orders[[#This Row],[Age]]&gt;=35,"older","young")</f>
        <v>older</v>
      </c>
      <c r="R1497" t="str">
        <f>_xlfn.XLOOKUP(Orders[[#This Row],[ProductID]],Products[ProductID],Products[ProductName])</f>
        <v>TURTLE NECK</v>
      </c>
      <c r="S1497" t="str">
        <f>_xlfn.XLOOKUP(Orders[[#This Row],[ProductID]],Products!A:A,Products!C:C)</f>
        <v>Clothing</v>
      </c>
    </row>
    <row r="1498" spans="1:19" x14ac:dyDescent="0.2">
      <c r="A1498" s="4" t="s">
        <v>1687</v>
      </c>
      <c r="B1498" s="5">
        <v>45979</v>
      </c>
      <c r="C1498" s="15">
        <f>WEEKNUM(Orders[[#This Row],[OrderDate]])</f>
        <v>47</v>
      </c>
      <c r="D1498" s="4" t="s">
        <v>352</v>
      </c>
      <c r="E1498" s="4" t="s">
        <v>208</v>
      </c>
      <c r="F1498" s="4">
        <v>1</v>
      </c>
      <c r="G1498" s="4">
        <v>8394.7000000000007</v>
      </c>
      <c r="H1498">
        <v>7135.4950000000008</v>
      </c>
      <c r="I1498">
        <f>Orders[[#This Row],[Quantity]]*Orders[[#This Row],[Selling Price]]</f>
        <v>8394.7000000000007</v>
      </c>
      <c r="J1498">
        <f>Orders[[#This Row],[Quantity]]*Orders[[#This Row],[Cost Price]]</f>
        <v>7135.4950000000008</v>
      </c>
      <c r="K1498">
        <f>Orders[[#This Row],[Revenue]]-Orders[[#This Row],[Expenses]]</f>
        <v>1259.2049999999999</v>
      </c>
      <c r="L1498" t="s">
        <v>2209</v>
      </c>
      <c r="M1498" t="str">
        <f>_xlfn.XLOOKUP(Orders[[#This Row],[CustomerID]],Customers[CustomerID],Customers[City])</f>
        <v>Texas</v>
      </c>
      <c r="N1498" t="str">
        <f>_xlfn.XLOOKUP(Orders[[#This Row],[CustomerID]],Customers[CustomerID],Customers[CustomerName])</f>
        <v>Zainab Eze</v>
      </c>
      <c r="O1498" t="str">
        <f>_xlfn.XLOOKUP(Orders[[#This Row],[CustomerID]],Customers[CustomerID],Customers[Gender])</f>
        <v>Female</v>
      </c>
      <c r="P1498">
        <f>_xlfn.XLOOKUP(Orders[[#This Row],[CustomerID]],Customers[CustomerID],Customers[CustomerAge])</f>
        <v>40</v>
      </c>
      <c r="Q1498" t="str">
        <f>IF(Orders[[#This Row],[Age]]&gt;=35,"older","young")</f>
        <v>older</v>
      </c>
      <c r="R1498" t="str">
        <f>_xlfn.XLOOKUP(Orders[[#This Row],[ProductID]],Products[ProductID],Products[ProductName])</f>
        <v>SKIPPING ROPE</v>
      </c>
      <c r="S1498" t="str">
        <f>_xlfn.XLOOKUP(Orders[[#This Row],[ProductID]],Products!A:A,Products!C:C)</f>
        <v>Sports</v>
      </c>
    </row>
    <row r="1499" spans="1:19" x14ac:dyDescent="0.2">
      <c r="A1499" s="4" t="s">
        <v>1688</v>
      </c>
      <c r="B1499" s="5">
        <v>45987</v>
      </c>
      <c r="C1499" s="15">
        <f>WEEKNUM(Orders[[#This Row],[OrderDate]])</f>
        <v>48</v>
      </c>
      <c r="D1499" s="4" t="s">
        <v>59</v>
      </c>
      <c r="E1499" s="4" t="s">
        <v>66</v>
      </c>
      <c r="F1499" s="4">
        <v>2</v>
      </c>
      <c r="G1499" s="4">
        <v>10064.799999999999</v>
      </c>
      <c r="H1499">
        <v>8555.08</v>
      </c>
      <c r="I1499">
        <f>Orders[[#This Row],[Quantity]]*Orders[[#This Row],[Selling Price]]</f>
        <v>20129.599999999999</v>
      </c>
      <c r="J1499">
        <f>Orders[[#This Row],[Quantity]]*Orders[[#This Row],[Cost Price]]</f>
        <v>17110.16</v>
      </c>
      <c r="K1499">
        <f>Orders[[#This Row],[Revenue]]-Orders[[#This Row],[Expenses]]</f>
        <v>3019.4399999999987</v>
      </c>
      <c r="L1499" t="s">
        <v>2199</v>
      </c>
      <c r="M1499" t="str">
        <f>_xlfn.XLOOKUP(Orders[[#This Row],[CustomerID]],Customers[CustomerID],Customers[City])</f>
        <v>Texas</v>
      </c>
      <c r="N1499" t="str">
        <f>_xlfn.XLOOKUP(Orders[[#This Row],[CustomerID]],Customers[CustomerID],Customers[CustomerName])</f>
        <v>Adanma Danladi</v>
      </c>
      <c r="O1499" t="str">
        <f>_xlfn.XLOOKUP(Orders[[#This Row],[CustomerID]],Customers[CustomerID],Customers[Gender])</f>
        <v>Female</v>
      </c>
      <c r="P1499">
        <f>_xlfn.XLOOKUP(Orders[[#This Row],[CustomerID]],Customers[CustomerID],Customers[CustomerAge])</f>
        <v>24</v>
      </c>
      <c r="Q1499" t="str">
        <f>IF(Orders[[#This Row],[Age]]&gt;=35,"older","young")</f>
        <v>young</v>
      </c>
      <c r="R1499" t="str">
        <f>_xlfn.XLOOKUP(Orders[[#This Row],[ProductID]],Products[ProductID],Products[ProductName])</f>
        <v>MICROWAVE</v>
      </c>
      <c r="S1499" t="str">
        <f>_xlfn.XLOOKUP(Orders[[#This Row],[ProductID]],Products!A:A,Products!C:C)</f>
        <v>Electronics</v>
      </c>
    </row>
    <row r="1500" spans="1:19" x14ac:dyDescent="0.2">
      <c r="A1500" s="4" t="s">
        <v>1689</v>
      </c>
      <c r="B1500" s="5">
        <v>45952</v>
      </c>
      <c r="C1500" s="15">
        <f>WEEKNUM(Orders[[#This Row],[OrderDate]])</f>
        <v>43</v>
      </c>
      <c r="D1500" s="4" t="s">
        <v>150</v>
      </c>
      <c r="E1500" s="4" t="s">
        <v>9</v>
      </c>
      <c r="F1500" s="4">
        <v>1</v>
      </c>
      <c r="G1500" s="4">
        <v>14226.400000000001</v>
      </c>
      <c r="H1500">
        <v>12092.440000000002</v>
      </c>
      <c r="I1500">
        <f>Orders[[#This Row],[Quantity]]*Orders[[#This Row],[Selling Price]]</f>
        <v>14226.400000000001</v>
      </c>
      <c r="J1500">
        <f>Orders[[#This Row],[Quantity]]*Orders[[#This Row],[Cost Price]]</f>
        <v>12092.440000000002</v>
      </c>
      <c r="K1500">
        <f>Orders[[#This Row],[Revenue]]-Orders[[#This Row],[Expenses]]</f>
        <v>2133.9599999999991</v>
      </c>
      <c r="L1500" t="s">
        <v>2213</v>
      </c>
      <c r="M1500" t="str">
        <f>_xlfn.XLOOKUP(Orders[[#This Row],[CustomerID]],Customers[CustomerID],Customers[City])</f>
        <v>Georgia</v>
      </c>
      <c r="N1500" t="str">
        <f>_xlfn.XLOOKUP(Orders[[#This Row],[CustomerID]],Customers[CustomerID],Customers[CustomerName])</f>
        <v>Ronke Eze</v>
      </c>
      <c r="O1500" t="str">
        <f>_xlfn.XLOOKUP(Orders[[#This Row],[CustomerID]],Customers[CustomerID],Customers[Gender])</f>
        <v>Female</v>
      </c>
      <c r="P1500">
        <f>_xlfn.XLOOKUP(Orders[[#This Row],[CustomerID]],Customers[CustomerID],Customers[CustomerAge])</f>
        <v>23</v>
      </c>
      <c r="Q1500" t="str">
        <f>IF(Orders[[#This Row],[Age]]&gt;=35,"older","young")</f>
        <v>young</v>
      </c>
      <c r="R1500" t="str">
        <f>_xlfn.XLOOKUP(Orders[[#This Row],[ProductID]],Products[ProductID],Products[ProductName])</f>
        <v>BEADED EARRINGS AND NECKLACES</v>
      </c>
      <c r="S1500" t="str">
        <f>_xlfn.XLOOKUP(Orders[[#This Row],[ProductID]],Products!A:A,Products!C:C)</f>
        <v>Accessories</v>
      </c>
    </row>
    <row r="1501" spans="1:19" x14ac:dyDescent="0.2">
      <c r="A1501" s="4" t="s">
        <v>1690</v>
      </c>
      <c r="B1501" s="5">
        <v>45989</v>
      </c>
      <c r="C1501" s="15">
        <f>WEEKNUM(Orders[[#This Row],[OrderDate]])</f>
        <v>48</v>
      </c>
      <c r="D1501" s="4" t="s">
        <v>605</v>
      </c>
      <c r="E1501" s="4" t="s">
        <v>125</v>
      </c>
      <c r="F1501" s="4">
        <v>8</v>
      </c>
      <c r="G1501" s="4">
        <v>9251.7999999999993</v>
      </c>
      <c r="H1501">
        <v>7864.03</v>
      </c>
      <c r="I1501">
        <f>Orders[[#This Row],[Quantity]]*Orders[[#This Row],[Selling Price]]</f>
        <v>74014.399999999994</v>
      </c>
      <c r="J1501">
        <f>Orders[[#This Row],[Quantity]]*Orders[[#This Row],[Cost Price]]</f>
        <v>62912.24</v>
      </c>
      <c r="K1501">
        <f>Orders[[#This Row],[Revenue]]-Orders[[#This Row],[Expenses]]</f>
        <v>11102.159999999996</v>
      </c>
      <c r="L1501" t="s">
        <v>2194</v>
      </c>
      <c r="M1501" t="str">
        <f>_xlfn.XLOOKUP(Orders[[#This Row],[CustomerID]],Customers[CustomerID],Customers[City])</f>
        <v>Texas</v>
      </c>
      <c r="N1501" t="str">
        <f>_xlfn.XLOOKUP(Orders[[#This Row],[CustomerID]],Customers[CustomerID],Customers[CustomerName])</f>
        <v>Blessing Abubakar</v>
      </c>
      <c r="O1501" t="str">
        <f>_xlfn.XLOOKUP(Orders[[#This Row],[CustomerID]],Customers[CustomerID],Customers[Gender])</f>
        <v>Female</v>
      </c>
      <c r="P1501">
        <f>_xlfn.XLOOKUP(Orders[[#This Row],[CustomerID]],Customers[CustomerID],Customers[CustomerAge])</f>
        <v>44</v>
      </c>
      <c r="Q1501" t="str">
        <f>IF(Orders[[#This Row],[Age]]&gt;=35,"older","young")</f>
        <v>older</v>
      </c>
      <c r="R1501" t="str">
        <f>_xlfn.XLOOKUP(Orders[[#This Row],[ProductID]],Products[ProductID],Products[ProductName])</f>
        <v>EARRINGS</v>
      </c>
      <c r="S1501" t="str">
        <f>_xlfn.XLOOKUP(Orders[[#This Row],[ProductID]],Products!A:A,Products!C:C)</f>
        <v>Accessories</v>
      </c>
    </row>
    <row r="1502" spans="1:19" x14ac:dyDescent="0.2">
      <c r="A1502" s="4" t="s">
        <v>1691</v>
      </c>
      <c r="B1502" s="5">
        <v>45940</v>
      </c>
      <c r="C1502" s="15">
        <f>WEEKNUM(Orders[[#This Row],[OrderDate]])</f>
        <v>41</v>
      </c>
      <c r="D1502" s="4" t="s">
        <v>383</v>
      </c>
      <c r="E1502" s="4" t="s">
        <v>189</v>
      </c>
      <c r="F1502" s="4">
        <v>3</v>
      </c>
      <c r="G1502" s="4">
        <v>2243.8999999999996</v>
      </c>
      <c r="H1502">
        <v>1907.3149999999996</v>
      </c>
      <c r="I1502">
        <f>Orders[[#This Row],[Quantity]]*Orders[[#This Row],[Selling Price]]</f>
        <v>6731.6999999999989</v>
      </c>
      <c r="J1502">
        <f>Orders[[#This Row],[Quantity]]*Orders[[#This Row],[Cost Price]]</f>
        <v>5721.9449999999988</v>
      </c>
      <c r="K1502">
        <f>Orders[[#This Row],[Revenue]]-Orders[[#This Row],[Expenses]]</f>
        <v>1009.7550000000001</v>
      </c>
      <c r="L1502" t="s">
        <v>2199</v>
      </c>
      <c r="M1502" t="str">
        <f>_xlfn.XLOOKUP(Orders[[#This Row],[CustomerID]],Customers[CustomerID],Customers[City])</f>
        <v>Florida</v>
      </c>
      <c r="N1502" t="str">
        <f>_xlfn.XLOOKUP(Orders[[#This Row],[CustomerID]],Customers[CustomerID],Customers[CustomerName])</f>
        <v>Ibrahim Balogun</v>
      </c>
      <c r="O1502" t="str">
        <f>_xlfn.XLOOKUP(Orders[[#This Row],[CustomerID]],Customers[CustomerID],Customers[Gender])</f>
        <v>Male</v>
      </c>
      <c r="P1502">
        <f>_xlfn.XLOOKUP(Orders[[#This Row],[CustomerID]],Customers[CustomerID],Customers[CustomerAge])</f>
        <v>27</v>
      </c>
      <c r="Q1502" t="str">
        <f>IF(Orders[[#This Row],[Age]]&gt;=35,"older","young")</f>
        <v>young</v>
      </c>
      <c r="R1502" t="str">
        <f>_xlfn.XLOOKUP(Orders[[#This Row],[ProductID]],Products[ProductID],Products[ProductName])</f>
        <v>SCRABBLE</v>
      </c>
      <c r="S1502" t="str">
        <f>_xlfn.XLOOKUP(Orders[[#This Row],[ProductID]],Products!A:A,Products!C:C)</f>
        <v>Games</v>
      </c>
    </row>
    <row r="1503" spans="1:19" x14ac:dyDescent="0.2">
      <c r="A1503" s="4" t="s">
        <v>1692</v>
      </c>
      <c r="B1503" s="5">
        <v>45993</v>
      </c>
      <c r="C1503" s="15">
        <f>WEEKNUM(Orders[[#This Row],[OrderDate]])</f>
        <v>49</v>
      </c>
      <c r="D1503" s="4" t="s">
        <v>19</v>
      </c>
      <c r="E1503" s="4" t="s">
        <v>25</v>
      </c>
      <c r="F1503" s="4">
        <v>4</v>
      </c>
      <c r="G1503" s="4">
        <v>16427.400000000001</v>
      </c>
      <c r="H1503">
        <v>13963.29</v>
      </c>
      <c r="I1503">
        <f>Orders[[#This Row],[Quantity]]*Orders[[#This Row],[Selling Price]]</f>
        <v>65709.600000000006</v>
      </c>
      <c r="J1503">
        <f>Orders[[#This Row],[Quantity]]*Orders[[#This Row],[Cost Price]]</f>
        <v>55853.16</v>
      </c>
      <c r="K1503">
        <f>Orders[[#This Row],[Revenue]]-Orders[[#This Row],[Expenses]]</f>
        <v>9856.4400000000023</v>
      </c>
      <c r="L1503" t="s">
        <v>2193</v>
      </c>
      <c r="M1503" t="str">
        <f>_xlfn.XLOOKUP(Orders[[#This Row],[CustomerID]],Customers[CustomerID],Customers[City])</f>
        <v>California</v>
      </c>
      <c r="N1503" t="str">
        <f>_xlfn.XLOOKUP(Orders[[#This Row],[CustomerID]],Customers[CustomerID],Customers[CustomerName])</f>
        <v>Obi Adeyemi</v>
      </c>
      <c r="O1503" t="str">
        <f>_xlfn.XLOOKUP(Orders[[#This Row],[CustomerID]],Customers[CustomerID],Customers[Gender])</f>
        <v>Male</v>
      </c>
      <c r="P1503">
        <f>_xlfn.XLOOKUP(Orders[[#This Row],[CustomerID]],Customers[CustomerID],Customers[CustomerAge])</f>
        <v>24</v>
      </c>
      <c r="Q1503" t="str">
        <f>IF(Orders[[#This Row],[Age]]&gt;=35,"older","young")</f>
        <v>young</v>
      </c>
      <c r="R1503" t="str">
        <f>_xlfn.XLOOKUP(Orders[[#This Row],[ProductID]],Products[ProductID],Products[ProductName])</f>
        <v>GOLD RINGS</v>
      </c>
      <c r="S1503" t="str">
        <f>_xlfn.XLOOKUP(Orders[[#This Row],[ProductID]],Products!A:A,Products!C:C)</f>
        <v>Accessories</v>
      </c>
    </row>
    <row r="1504" spans="1:19" x14ac:dyDescent="0.2">
      <c r="A1504" s="4" t="s">
        <v>1693</v>
      </c>
      <c r="B1504" s="5">
        <v>45999</v>
      </c>
      <c r="C1504" s="15">
        <f>WEEKNUM(Orders[[#This Row],[OrderDate]])</f>
        <v>50</v>
      </c>
      <c r="D1504" s="4" t="s">
        <v>14</v>
      </c>
      <c r="E1504" s="4" t="s">
        <v>34</v>
      </c>
      <c r="F1504" s="4">
        <v>6</v>
      </c>
      <c r="G1504" s="4">
        <v>8714.2999999999993</v>
      </c>
      <c r="H1504">
        <v>7407.1549999999997</v>
      </c>
      <c r="I1504">
        <f>Orders[[#This Row],[Quantity]]*Orders[[#This Row],[Selling Price]]</f>
        <v>52285.799999999996</v>
      </c>
      <c r="J1504">
        <f>Orders[[#This Row],[Quantity]]*Orders[[#This Row],[Cost Price]]</f>
        <v>44442.93</v>
      </c>
      <c r="K1504">
        <f>Orders[[#This Row],[Revenue]]-Orders[[#This Row],[Expenses]]</f>
        <v>7842.8699999999953</v>
      </c>
      <c r="L1504" t="s">
        <v>2219</v>
      </c>
      <c r="M1504" t="str">
        <f>_xlfn.XLOOKUP(Orders[[#This Row],[CustomerID]],Customers[CustomerID],Customers[City])</f>
        <v>Texas</v>
      </c>
      <c r="N1504" t="str">
        <f>_xlfn.XLOOKUP(Orders[[#This Row],[CustomerID]],Customers[CustomerID],Customers[CustomerName])</f>
        <v>Abiola Igwe</v>
      </c>
      <c r="O1504" t="str">
        <f>_xlfn.XLOOKUP(Orders[[#This Row],[CustomerID]],Customers[CustomerID],Customers[Gender])</f>
        <v>Male</v>
      </c>
      <c r="P1504">
        <f>_xlfn.XLOOKUP(Orders[[#This Row],[CustomerID]],Customers[CustomerID],Customers[CustomerAge])</f>
        <v>39</v>
      </c>
      <c r="Q1504" t="str">
        <f>IF(Orders[[#This Row],[Age]]&gt;=35,"older","young")</f>
        <v>older</v>
      </c>
      <c r="R1504" t="str">
        <f>_xlfn.XLOOKUP(Orders[[#This Row],[ProductID]],Products[ProductID],Products[ProductName])</f>
        <v>GOLD BRACELETS</v>
      </c>
      <c r="S1504" t="str">
        <f>_xlfn.XLOOKUP(Orders[[#This Row],[ProductID]],Products!A:A,Products!C:C)</f>
        <v>Accessories</v>
      </c>
    </row>
    <row r="1505" spans="1:19" x14ac:dyDescent="0.2">
      <c r="A1505" s="4" t="s">
        <v>1694</v>
      </c>
      <c r="B1505" s="5">
        <v>45957</v>
      </c>
      <c r="C1505" s="15">
        <f>WEEKNUM(Orders[[#This Row],[OrderDate]])</f>
        <v>44</v>
      </c>
      <c r="D1505" s="4" t="s">
        <v>176</v>
      </c>
      <c r="E1505" s="4" t="s">
        <v>66</v>
      </c>
      <c r="F1505" s="4">
        <v>9</v>
      </c>
      <c r="G1505" s="4">
        <v>6035.5</v>
      </c>
      <c r="H1505">
        <v>5130.1750000000002</v>
      </c>
      <c r="I1505">
        <f>Orders[[#This Row],[Quantity]]*Orders[[#This Row],[Selling Price]]</f>
        <v>54319.5</v>
      </c>
      <c r="J1505">
        <f>Orders[[#This Row],[Quantity]]*Orders[[#This Row],[Cost Price]]</f>
        <v>46171.575000000004</v>
      </c>
      <c r="K1505">
        <f>Orders[[#This Row],[Revenue]]-Orders[[#This Row],[Expenses]]</f>
        <v>8147.9249999999956</v>
      </c>
      <c r="L1505" t="s">
        <v>2213</v>
      </c>
      <c r="M1505" t="str">
        <f>_xlfn.XLOOKUP(Orders[[#This Row],[CustomerID]],Customers[CustomerID],Customers[City])</f>
        <v>Florida</v>
      </c>
      <c r="N1505" t="str">
        <f>_xlfn.XLOOKUP(Orders[[#This Row],[CustomerID]],Customers[CustomerID],Customers[CustomerName])</f>
        <v>Okon Eze</v>
      </c>
      <c r="O1505" t="str">
        <f>_xlfn.XLOOKUP(Orders[[#This Row],[CustomerID]],Customers[CustomerID],Customers[Gender])</f>
        <v>Male</v>
      </c>
      <c r="P1505">
        <f>_xlfn.XLOOKUP(Orders[[#This Row],[CustomerID]],Customers[CustomerID],Customers[CustomerAge])</f>
        <v>26</v>
      </c>
      <c r="Q1505" t="str">
        <f>IF(Orders[[#This Row],[Age]]&gt;=35,"older","young")</f>
        <v>young</v>
      </c>
      <c r="R1505" t="str">
        <f>_xlfn.XLOOKUP(Orders[[#This Row],[ProductID]],Products[ProductID],Products[ProductName])</f>
        <v>MICROWAVE</v>
      </c>
      <c r="S1505" t="str">
        <f>_xlfn.XLOOKUP(Orders[[#This Row],[ProductID]],Products!A:A,Products!C:C)</f>
        <v>Electronics</v>
      </c>
    </row>
    <row r="1506" spans="1:19" x14ac:dyDescent="0.2">
      <c r="A1506" s="4" t="s">
        <v>1695</v>
      </c>
      <c r="B1506" s="5">
        <v>46018</v>
      </c>
      <c r="C1506" s="15">
        <f>WEEKNUM(Orders[[#This Row],[OrderDate]])</f>
        <v>52</v>
      </c>
      <c r="D1506" s="4" t="s">
        <v>113</v>
      </c>
      <c r="E1506" s="4" t="s">
        <v>63</v>
      </c>
      <c r="F1506" s="4">
        <v>7</v>
      </c>
      <c r="G1506" s="4">
        <v>15275.8</v>
      </c>
      <c r="H1506">
        <v>12984.43</v>
      </c>
      <c r="I1506">
        <f>Orders[[#This Row],[Quantity]]*Orders[[#This Row],[Selling Price]]</f>
        <v>106930.59999999999</v>
      </c>
      <c r="J1506">
        <f>Orders[[#This Row],[Quantity]]*Orders[[#This Row],[Cost Price]]</f>
        <v>90891.010000000009</v>
      </c>
      <c r="K1506">
        <f>Orders[[#This Row],[Revenue]]-Orders[[#This Row],[Expenses]]</f>
        <v>16039.589999999982</v>
      </c>
      <c r="L1506" t="s">
        <v>2208</v>
      </c>
      <c r="M1506" t="str">
        <f>_xlfn.XLOOKUP(Orders[[#This Row],[CustomerID]],Customers[CustomerID],Customers[City])</f>
        <v>Texas</v>
      </c>
      <c r="N1506" t="str">
        <f>_xlfn.XLOOKUP(Orders[[#This Row],[CustomerID]],Customers[CustomerID],Customers[CustomerName])</f>
        <v>Uche Igwe</v>
      </c>
      <c r="O1506" t="str">
        <f>_xlfn.XLOOKUP(Orders[[#This Row],[CustomerID]],Customers[CustomerID],Customers[Gender])</f>
        <v>Male</v>
      </c>
      <c r="P1506">
        <f>_xlfn.XLOOKUP(Orders[[#This Row],[CustomerID]],Customers[CustomerID],Customers[CustomerAge])</f>
        <v>35</v>
      </c>
      <c r="Q1506" t="str">
        <f>IF(Orders[[#This Row],[Age]]&gt;=35,"older","young")</f>
        <v>older</v>
      </c>
      <c r="R1506" t="str">
        <f>_xlfn.XLOOKUP(Orders[[#This Row],[ProductID]],Products[ProductID],Products[ProductName])</f>
        <v>TENNIS BAT</v>
      </c>
      <c r="S1506" t="str">
        <f>_xlfn.XLOOKUP(Orders[[#This Row],[ProductID]],Products!A:A,Products!C:C)</f>
        <v>Sports</v>
      </c>
    </row>
    <row r="1507" spans="1:19" x14ac:dyDescent="0.2">
      <c r="A1507" s="4" t="s">
        <v>1696</v>
      </c>
      <c r="B1507" s="5">
        <v>45940</v>
      </c>
      <c r="C1507" s="15">
        <f>WEEKNUM(Orders[[#This Row],[OrderDate]])</f>
        <v>41</v>
      </c>
      <c r="D1507" s="4" t="s">
        <v>207</v>
      </c>
      <c r="E1507" s="4" t="s">
        <v>63</v>
      </c>
      <c r="F1507" s="4">
        <v>10</v>
      </c>
      <c r="G1507" s="4">
        <v>5309.4000000000005</v>
      </c>
      <c r="H1507">
        <v>4512.9900000000007</v>
      </c>
      <c r="I1507">
        <f>Orders[[#This Row],[Quantity]]*Orders[[#This Row],[Selling Price]]</f>
        <v>53094.000000000007</v>
      </c>
      <c r="J1507">
        <f>Orders[[#This Row],[Quantity]]*Orders[[#This Row],[Cost Price]]</f>
        <v>45129.900000000009</v>
      </c>
      <c r="K1507">
        <f>Orders[[#This Row],[Revenue]]-Orders[[#This Row],[Expenses]]</f>
        <v>7964.0999999999985</v>
      </c>
      <c r="L1507" t="s">
        <v>2197</v>
      </c>
      <c r="M1507" t="str">
        <f>_xlfn.XLOOKUP(Orders[[#This Row],[CustomerID]],Customers[CustomerID],Customers[City])</f>
        <v>Florida</v>
      </c>
      <c r="N1507" t="str">
        <f>_xlfn.XLOOKUP(Orders[[#This Row],[CustomerID]],Customers[CustomerID],Customers[CustomerName])</f>
        <v>Bisi Eze</v>
      </c>
      <c r="O1507" t="str">
        <f>_xlfn.XLOOKUP(Orders[[#This Row],[CustomerID]],Customers[CustomerID],Customers[Gender])</f>
        <v>Female</v>
      </c>
      <c r="P1507">
        <f>_xlfn.XLOOKUP(Orders[[#This Row],[CustomerID]],Customers[CustomerID],Customers[CustomerAge])</f>
        <v>37</v>
      </c>
      <c r="Q1507" t="str">
        <f>IF(Orders[[#This Row],[Age]]&gt;=35,"older","young")</f>
        <v>older</v>
      </c>
      <c r="R1507" t="str">
        <f>_xlfn.XLOOKUP(Orders[[#This Row],[ProductID]],Products[ProductID],Products[ProductName])</f>
        <v>TENNIS BAT</v>
      </c>
      <c r="S1507" t="str">
        <f>_xlfn.XLOOKUP(Orders[[#This Row],[ProductID]],Products!A:A,Products!C:C)</f>
        <v>Sports</v>
      </c>
    </row>
    <row r="1508" spans="1:19" x14ac:dyDescent="0.2">
      <c r="A1508" s="4" t="s">
        <v>1697</v>
      </c>
      <c r="B1508" s="5">
        <v>46002</v>
      </c>
      <c r="C1508" s="15">
        <f>WEEKNUM(Orders[[#This Row],[OrderDate]])</f>
        <v>50</v>
      </c>
      <c r="D1508" s="4" t="s">
        <v>210</v>
      </c>
      <c r="E1508" s="4" t="s">
        <v>353</v>
      </c>
      <c r="F1508" s="4">
        <v>7</v>
      </c>
      <c r="G1508" s="4">
        <v>10418.099999999999</v>
      </c>
      <c r="H1508">
        <v>8855.3849999999984</v>
      </c>
      <c r="I1508">
        <f>Orders[[#This Row],[Quantity]]*Orders[[#This Row],[Selling Price]]</f>
        <v>72926.699999999983</v>
      </c>
      <c r="J1508">
        <f>Orders[[#This Row],[Quantity]]*Orders[[#This Row],[Cost Price]]</f>
        <v>61987.694999999992</v>
      </c>
      <c r="K1508">
        <f>Orders[[#This Row],[Revenue]]-Orders[[#This Row],[Expenses]]</f>
        <v>10939.00499999999</v>
      </c>
      <c r="L1508" t="s">
        <v>2218</v>
      </c>
      <c r="M1508" t="str">
        <f>_xlfn.XLOOKUP(Orders[[#This Row],[CustomerID]],Customers[CustomerID],Customers[City])</f>
        <v>Illinois</v>
      </c>
      <c r="N1508" t="str">
        <f>_xlfn.XLOOKUP(Orders[[#This Row],[CustomerID]],Customers[CustomerID],Customers[CustomerName])</f>
        <v>Zainab Bello</v>
      </c>
      <c r="O1508" t="str">
        <f>_xlfn.XLOOKUP(Orders[[#This Row],[CustomerID]],Customers[CustomerID],Customers[Gender])</f>
        <v>Female</v>
      </c>
      <c r="P1508">
        <f>_xlfn.XLOOKUP(Orders[[#This Row],[CustomerID]],Customers[CustomerID],Customers[CustomerAge])</f>
        <v>27</v>
      </c>
      <c r="Q1508" t="str">
        <f>IF(Orders[[#This Row],[Age]]&gt;=35,"older","young")</f>
        <v>young</v>
      </c>
      <c r="R1508" t="str">
        <f>_xlfn.XLOOKUP(Orders[[#This Row],[ProductID]],Products[ProductID],Products[ProductName])</f>
        <v>SILVER EARRINGS AND NECKLACES</v>
      </c>
      <c r="S1508" t="str">
        <f>_xlfn.XLOOKUP(Orders[[#This Row],[ProductID]],Products!A:A,Products!C:C)</f>
        <v>Accessories</v>
      </c>
    </row>
    <row r="1509" spans="1:19" x14ac:dyDescent="0.2">
      <c r="A1509" s="4" t="s">
        <v>1698</v>
      </c>
      <c r="B1509" s="5">
        <v>45955</v>
      </c>
      <c r="C1509" s="15">
        <f>WEEKNUM(Orders[[#This Row],[OrderDate]])</f>
        <v>43</v>
      </c>
      <c r="D1509" s="4" t="s">
        <v>174</v>
      </c>
      <c r="E1509" s="4" t="s">
        <v>23</v>
      </c>
      <c r="F1509" s="4">
        <v>7</v>
      </c>
      <c r="G1509" s="4">
        <v>5072</v>
      </c>
      <c r="H1509">
        <v>4311.2</v>
      </c>
      <c r="I1509">
        <f>Orders[[#This Row],[Quantity]]*Orders[[#This Row],[Selling Price]]</f>
        <v>35504</v>
      </c>
      <c r="J1509">
        <f>Orders[[#This Row],[Quantity]]*Orders[[#This Row],[Cost Price]]</f>
        <v>30178.399999999998</v>
      </c>
      <c r="K1509">
        <f>Orders[[#This Row],[Revenue]]-Orders[[#This Row],[Expenses]]</f>
        <v>5325.6000000000022</v>
      </c>
      <c r="L1509" t="s">
        <v>2199</v>
      </c>
      <c r="M1509" t="str">
        <f>_xlfn.XLOOKUP(Orders[[#This Row],[CustomerID]],Customers[CustomerID],Customers[City])</f>
        <v>California</v>
      </c>
      <c r="N1509" t="str">
        <f>_xlfn.XLOOKUP(Orders[[#This Row],[CustomerID]],Customers[CustomerID],Customers[CustomerName])</f>
        <v>Zainab Obi</v>
      </c>
      <c r="O1509" t="str">
        <f>_xlfn.XLOOKUP(Orders[[#This Row],[CustomerID]],Customers[CustomerID],Customers[Gender])</f>
        <v>Female</v>
      </c>
      <c r="P1509">
        <f>_xlfn.XLOOKUP(Orders[[#This Row],[CustomerID]],Customers[CustomerID],Customers[CustomerAge])</f>
        <v>18</v>
      </c>
      <c r="Q1509" t="str">
        <f>IF(Orders[[#This Row],[Age]]&gt;=35,"older","young")</f>
        <v>young</v>
      </c>
      <c r="R1509" t="str">
        <f>_xlfn.XLOOKUP(Orders[[#This Row],[ProductID]],Products[ProductID],Products[ProductName])</f>
        <v>GYM GLOVES</v>
      </c>
      <c r="S1509" t="str">
        <f>_xlfn.XLOOKUP(Orders[[#This Row],[ProductID]],Products!A:A,Products!C:C)</f>
        <v>Gym</v>
      </c>
    </row>
    <row r="1510" spans="1:19" x14ac:dyDescent="0.2">
      <c r="A1510" s="4" t="s">
        <v>1699</v>
      </c>
      <c r="B1510" s="5">
        <v>45950</v>
      </c>
      <c r="C1510" s="15">
        <f>WEEKNUM(Orders[[#This Row],[OrderDate]])</f>
        <v>43</v>
      </c>
      <c r="D1510" s="4" t="s">
        <v>110</v>
      </c>
      <c r="E1510" s="4" t="s">
        <v>125</v>
      </c>
      <c r="F1510" s="4">
        <v>7</v>
      </c>
      <c r="G1510" s="4">
        <v>4130.1000000000004</v>
      </c>
      <c r="H1510">
        <v>3510.5850000000005</v>
      </c>
      <c r="I1510">
        <f>Orders[[#This Row],[Quantity]]*Orders[[#This Row],[Selling Price]]</f>
        <v>28910.700000000004</v>
      </c>
      <c r="J1510">
        <f>Orders[[#This Row],[Quantity]]*Orders[[#This Row],[Cost Price]]</f>
        <v>24574.095000000005</v>
      </c>
      <c r="K1510">
        <f>Orders[[#This Row],[Revenue]]-Orders[[#This Row],[Expenses]]</f>
        <v>4336.6049999999996</v>
      </c>
      <c r="L1510" t="s">
        <v>2203</v>
      </c>
      <c r="M1510" t="str">
        <f>_xlfn.XLOOKUP(Orders[[#This Row],[CustomerID]],Customers[CustomerID],Customers[City])</f>
        <v>Washington</v>
      </c>
      <c r="N1510" t="str">
        <f>_xlfn.XLOOKUP(Orders[[#This Row],[CustomerID]],Customers[CustomerID],Customers[CustomerName])</f>
        <v>Ngozi Danladi</v>
      </c>
      <c r="O1510" t="str">
        <f>_xlfn.XLOOKUP(Orders[[#This Row],[CustomerID]],Customers[CustomerID],Customers[Gender])</f>
        <v>Female</v>
      </c>
      <c r="P1510">
        <f>_xlfn.XLOOKUP(Orders[[#This Row],[CustomerID]],Customers[CustomerID],Customers[CustomerAge])</f>
        <v>28</v>
      </c>
      <c r="Q1510" t="str">
        <f>IF(Orders[[#This Row],[Age]]&gt;=35,"older","young")</f>
        <v>young</v>
      </c>
      <c r="R1510" t="str">
        <f>_xlfn.XLOOKUP(Orders[[#This Row],[ProductID]],Products[ProductID],Products[ProductName])</f>
        <v>EARRINGS</v>
      </c>
      <c r="S1510" t="str">
        <f>_xlfn.XLOOKUP(Orders[[#This Row],[ProductID]],Products!A:A,Products!C:C)</f>
        <v>Accessories</v>
      </c>
    </row>
    <row r="1511" spans="1:19" x14ac:dyDescent="0.2">
      <c r="A1511" s="4" t="s">
        <v>1700</v>
      </c>
      <c r="B1511" s="5">
        <v>45936</v>
      </c>
      <c r="C1511" s="15">
        <f>WEEKNUM(Orders[[#This Row],[OrderDate]])</f>
        <v>41</v>
      </c>
      <c r="D1511" s="4" t="s">
        <v>19</v>
      </c>
      <c r="E1511" s="4" t="s">
        <v>28</v>
      </c>
      <c r="F1511" s="4">
        <v>9</v>
      </c>
      <c r="G1511" s="4">
        <v>2750.7999999999997</v>
      </c>
      <c r="H1511">
        <v>2338.1799999999998</v>
      </c>
      <c r="I1511">
        <f>Orders[[#This Row],[Quantity]]*Orders[[#This Row],[Selling Price]]</f>
        <v>24757.199999999997</v>
      </c>
      <c r="J1511">
        <f>Orders[[#This Row],[Quantity]]*Orders[[#This Row],[Cost Price]]</f>
        <v>21043.62</v>
      </c>
      <c r="K1511">
        <f>Orders[[#This Row],[Revenue]]-Orders[[#This Row],[Expenses]]</f>
        <v>3713.5799999999981</v>
      </c>
      <c r="L1511" t="s">
        <v>2199</v>
      </c>
      <c r="M1511" t="str">
        <f>_xlfn.XLOOKUP(Orders[[#This Row],[CustomerID]],Customers[CustomerID],Customers[City])</f>
        <v>California</v>
      </c>
      <c r="N1511" t="str">
        <f>_xlfn.XLOOKUP(Orders[[#This Row],[CustomerID]],Customers[CustomerID],Customers[CustomerName])</f>
        <v>Obi Adeyemi</v>
      </c>
      <c r="O1511" t="str">
        <f>_xlfn.XLOOKUP(Orders[[#This Row],[CustomerID]],Customers[CustomerID],Customers[Gender])</f>
        <v>Male</v>
      </c>
      <c r="P1511">
        <f>_xlfn.XLOOKUP(Orders[[#This Row],[CustomerID]],Customers[CustomerID],Customers[CustomerAge])</f>
        <v>24</v>
      </c>
      <c r="Q1511" t="str">
        <f>IF(Orders[[#This Row],[Age]]&gt;=35,"older","young")</f>
        <v>young</v>
      </c>
      <c r="R1511" t="str">
        <f>_xlfn.XLOOKUP(Orders[[#This Row],[ProductID]],Products[ProductID],Products[ProductName])</f>
        <v>SNEAKERS</v>
      </c>
      <c r="S1511" t="str">
        <f>_xlfn.XLOOKUP(Orders[[#This Row],[ProductID]],Products!A:A,Products!C:C)</f>
        <v>Sports</v>
      </c>
    </row>
    <row r="1512" spans="1:19" x14ac:dyDescent="0.2">
      <c r="A1512" s="4" t="s">
        <v>1701</v>
      </c>
      <c r="B1512" s="5">
        <v>45978</v>
      </c>
      <c r="C1512" s="15">
        <f>WEEKNUM(Orders[[#This Row],[OrderDate]])</f>
        <v>47</v>
      </c>
      <c r="D1512" s="4" t="s">
        <v>161</v>
      </c>
      <c r="E1512" s="4" t="s">
        <v>151</v>
      </c>
      <c r="F1512" s="4">
        <v>2</v>
      </c>
      <c r="G1512" s="4">
        <v>5895.5999999999995</v>
      </c>
      <c r="H1512">
        <v>5011.2599999999993</v>
      </c>
      <c r="I1512">
        <f>Orders[[#This Row],[Quantity]]*Orders[[#This Row],[Selling Price]]</f>
        <v>11791.199999999999</v>
      </c>
      <c r="J1512">
        <f>Orders[[#This Row],[Quantity]]*Orders[[#This Row],[Cost Price]]</f>
        <v>10022.519999999999</v>
      </c>
      <c r="K1512">
        <f>Orders[[#This Row],[Revenue]]-Orders[[#This Row],[Expenses]]</f>
        <v>1768.6800000000003</v>
      </c>
      <c r="L1512" t="s">
        <v>2199</v>
      </c>
      <c r="M1512" t="str">
        <f>_xlfn.XLOOKUP(Orders[[#This Row],[CustomerID]],Customers[CustomerID],Customers[City])</f>
        <v>Georgia</v>
      </c>
      <c r="N1512" t="str">
        <f>_xlfn.XLOOKUP(Orders[[#This Row],[CustomerID]],Customers[CustomerID],Customers[CustomerName])</f>
        <v>Okon Adeyemi</v>
      </c>
      <c r="O1512" t="str">
        <f>_xlfn.XLOOKUP(Orders[[#This Row],[CustomerID]],Customers[CustomerID],Customers[Gender])</f>
        <v>Male</v>
      </c>
      <c r="P1512">
        <f>_xlfn.XLOOKUP(Orders[[#This Row],[CustomerID]],Customers[CustomerID],Customers[CustomerAge])</f>
        <v>31</v>
      </c>
      <c r="Q1512" t="str">
        <f>IF(Orders[[#This Row],[Age]]&gt;=35,"older","young")</f>
        <v>young</v>
      </c>
      <c r="R1512" t="str">
        <f>_xlfn.XLOOKUP(Orders[[#This Row],[ProductID]],Products[ProductID],Products[ProductName])</f>
        <v>CHECKERS</v>
      </c>
      <c r="S1512" t="str">
        <f>_xlfn.XLOOKUP(Orders[[#This Row],[ProductID]],Products!A:A,Products!C:C)</f>
        <v>Games</v>
      </c>
    </row>
    <row r="1513" spans="1:19" x14ac:dyDescent="0.2">
      <c r="A1513" s="4" t="s">
        <v>1702</v>
      </c>
      <c r="B1513" s="5">
        <v>45991</v>
      </c>
      <c r="C1513" s="15">
        <f>WEEKNUM(Orders[[#This Row],[OrderDate]])</f>
        <v>49</v>
      </c>
      <c r="D1513" s="4" t="s">
        <v>105</v>
      </c>
      <c r="E1513" s="4" t="s">
        <v>46</v>
      </c>
      <c r="F1513" s="4">
        <v>9</v>
      </c>
      <c r="G1513" s="4">
        <v>18000.5</v>
      </c>
      <c r="H1513">
        <v>15300.424999999999</v>
      </c>
      <c r="I1513">
        <f>Orders[[#This Row],[Quantity]]*Orders[[#This Row],[Selling Price]]</f>
        <v>162004.5</v>
      </c>
      <c r="J1513">
        <f>Orders[[#This Row],[Quantity]]*Orders[[#This Row],[Cost Price]]</f>
        <v>137703.82499999998</v>
      </c>
      <c r="K1513">
        <f>Orders[[#This Row],[Revenue]]-Orders[[#This Row],[Expenses]]</f>
        <v>24300.675000000017</v>
      </c>
      <c r="L1513" t="s">
        <v>2194</v>
      </c>
      <c r="M1513" t="str">
        <f>_xlfn.XLOOKUP(Orders[[#This Row],[CustomerID]],Customers[CustomerID],Customers[City])</f>
        <v>Georgia</v>
      </c>
      <c r="N1513" t="str">
        <f>_xlfn.XLOOKUP(Orders[[#This Row],[CustomerID]],Customers[CustomerID],Customers[CustomerName])</f>
        <v>Folasade Adeyemi</v>
      </c>
      <c r="O1513" t="str">
        <f>_xlfn.XLOOKUP(Orders[[#This Row],[CustomerID]],Customers[CustomerID],Customers[Gender])</f>
        <v>Female</v>
      </c>
      <c r="P1513">
        <f>_xlfn.XLOOKUP(Orders[[#This Row],[CustomerID]],Customers[CustomerID],Customers[CustomerAge])</f>
        <v>42</v>
      </c>
      <c r="Q1513" t="str">
        <f>IF(Orders[[#This Row],[Age]]&gt;=35,"older","young")</f>
        <v>older</v>
      </c>
      <c r="R1513" t="str">
        <f>_xlfn.XLOOKUP(Orders[[#This Row],[ProductID]],Products[ProductID],Products[ProductName])</f>
        <v>TURTLE NECK</v>
      </c>
      <c r="S1513" t="str">
        <f>_xlfn.XLOOKUP(Orders[[#This Row],[ProductID]],Products!A:A,Products!C:C)</f>
        <v>Clothing</v>
      </c>
    </row>
    <row r="1514" spans="1:19" x14ac:dyDescent="0.2">
      <c r="A1514" s="4" t="s">
        <v>1703</v>
      </c>
      <c r="B1514" s="5">
        <v>46004</v>
      </c>
      <c r="C1514" s="15">
        <f>WEEKNUM(Orders[[#This Row],[OrderDate]])</f>
        <v>50</v>
      </c>
      <c r="D1514" s="4" t="s">
        <v>833</v>
      </c>
      <c r="E1514" s="4" t="s">
        <v>84</v>
      </c>
      <c r="F1514" s="4">
        <v>5</v>
      </c>
      <c r="G1514" s="4">
        <v>713.6</v>
      </c>
      <c r="H1514">
        <v>606.56000000000006</v>
      </c>
      <c r="I1514">
        <f>Orders[[#This Row],[Quantity]]*Orders[[#This Row],[Selling Price]]</f>
        <v>3568</v>
      </c>
      <c r="J1514">
        <f>Orders[[#This Row],[Quantity]]*Orders[[#This Row],[Cost Price]]</f>
        <v>3032.8</v>
      </c>
      <c r="K1514">
        <f>Orders[[#This Row],[Revenue]]-Orders[[#This Row],[Expenses]]</f>
        <v>535.19999999999982</v>
      </c>
      <c r="L1514" t="s">
        <v>2210</v>
      </c>
      <c r="M1514" t="str">
        <f>_xlfn.XLOOKUP(Orders[[#This Row],[CustomerID]],Customers[CustomerID],Customers[City])</f>
        <v>Washington</v>
      </c>
      <c r="N1514" t="str">
        <f>_xlfn.XLOOKUP(Orders[[#This Row],[CustomerID]],Customers[CustomerID],Customers[CustomerName])</f>
        <v>Abiola Adeyemi</v>
      </c>
      <c r="O1514" t="str">
        <f>_xlfn.XLOOKUP(Orders[[#This Row],[CustomerID]],Customers[CustomerID],Customers[Gender])</f>
        <v>Male</v>
      </c>
      <c r="P1514">
        <f>_xlfn.XLOOKUP(Orders[[#This Row],[CustomerID]],Customers[CustomerID],Customers[CustomerAge])</f>
        <v>53</v>
      </c>
      <c r="Q1514" t="str">
        <f>IF(Orders[[#This Row],[Age]]&gt;=35,"older","young")</f>
        <v>older</v>
      </c>
      <c r="R1514" t="str">
        <f>_xlfn.XLOOKUP(Orders[[#This Row],[ProductID]],Products[ProductID],Products[ProductName])</f>
        <v>GYM WEARS</v>
      </c>
      <c r="S1514" t="str">
        <f>_xlfn.XLOOKUP(Orders[[#This Row],[ProductID]],Products!A:A,Products!C:C)</f>
        <v>Clothing</v>
      </c>
    </row>
    <row r="1515" spans="1:19" x14ac:dyDescent="0.2">
      <c r="A1515" s="4" t="s">
        <v>1704</v>
      </c>
      <c r="B1515" s="5">
        <v>45961</v>
      </c>
      <c r="C1515" s="15">
        <f>WEEKNUM(Orders[[#This Row],[OrderDate]])</f>
        <v>44</v>
      </c>
      <c r="D1515" s="4" t="s">
        <v>146</v>
      </c>
      <c r="E1515" s="4" t="s">
        <v>168</v>
      </c>
      <c r="F1515" s="4">
        <v>4</v>
      </c>
      <c r="G1515" s="4">
        <v>15565.8</v>
      </c>
      <c r="H1515">
        <v>13230.93</v>
      </c>
      <c r="I1515">
        <f>Orders[[#This Row],[Quantity]]*Orders[[#This Row],[Selling Price]]</f>
        <v>62263.199999999997</v>
      </c>
      <c r="J1515">
        <f>Orders[[#This Row],[Quantity]]*Orders[[#This Row],[Cost Price]]</f>
        <v>52923.72</v>
      </c>
      <c r="K1515">
        <f>Orders[[#This Row],[Revenue]]-Orders[[#This Row],[Expenses]]</f>
        <v>9339.4799999999959</v>
      </c>
      <c r="L1515" t="s">
        <v>2210</v>
      </c>
      <c r="M1515" t="str">
        <f>_xlfn.XLOOKUP(Orders[[#This Row],[CustomerID]],Customers[CustomerID],Customers[City])</f>
        <v>Texas</v>
      </c>
      <c r="N1515" t="str">
        <f>_xlfn.XLOOKUP(Orders[[#This Row],[CustomerID]],Customers[CustomerID],Customers[CustomerName])</f>
        <v>Mustafa Igwe</v>
      </c>
      <c r="O1515" t="str">
        <f>_xlfn.XLOOKUP(Orders[[#This Row],[CustomerID]],Customers[CustomerID],Customers[Gender])</f>
        <v>Male</v>
      </c>
      <c r="P1515">
        <f>_xlfn.XLOOKUP(Orders[[#This Row],[CustomerID]],Customers[CustomerID],Customers[CustomerAge])</f>
        <v>27</v>
      </c>
      <c r="Q1515" t="str">
        <f>IF(Orders[[#This Row],[Age]]&gt;=35,"older","young")</f>
        <v>young</v>
      </c>
      <c r="R1515" t="str">
        <f>_xlfn.XLOOKUP(Orders[[#This Row],[ProductID]],Products[ProductID],Products[ProductName])</f>
        <v>DUMB BELLS</v>
      </c>
      <c r="S1515" t="str">
        <f>_xlfn.XLOOKUP(Orders[[#This Row],[ProductID]],Products!A:A,Products!C:C)</f>
        <v>Gym</v>
      </c>
    </row>
    <row r="1516" spans="1:19" x14ac:dyDescent="0.2">
      <c r="A1516" s="4" t="s">
        <v>1705</v>
      </c>
      <c r="B1516" s="5">
        <v>45962</v>
      </c>
      <c r="C1516" s="15">
        <f>WEEKNUM(Orders[[#This Row],[OrderDate]])</f>
        <v>44</v>
      </c>
      <c r="D1516" s="4" t="s">
        <v>514</v>
      </c>
      <c r="E1516" s="4" t="s">
        <v>66</v>
      </c>
      <c r="F1516" s="4">
        <v>8</v>
      </c>
      <c r="G1516" s="4">
        <v>7081.5999999999995</v>
      </c>
      <c r="H1516">
        <v>6019.36</v>
      </c>
      <c r="I1516">
        <f>Orders[[#This Row],[Quantity]]*Orders[[#This Row],[Selling Price]]</f>
        <v>56652.799999999996</v>
      </c>
      <c r="J1516">
        <f>Orders[[#This Row],[Quantity]]*Orders[[#This Row],[Cost Price]]</f>
        <v>48154.879999999997</v>
      </c>
      <c r="K1516">
        <f>Orders[[#This Row],[Revenue]]-Orders[[#This Row],[Expenses]]</f>
        <v>8497.9199999999983</v>
      </c>
      <c r="L1516" t="s">
        <v>2205</v>
      </c>
      <c r="M1516" t="str">
        <f>_xlfn.XLOOKUP(Orders[[#This Row],[CustomerID]],Customers[CustomerID],Customers[City])</f>
        <v>Florida</v>
      </c>
      <c r="N1516" t="str">
        <f>_xlfn.XLOOKUP(Orders[[#This Row],[CustomerID]],Customers[CustomerID],Customers[CustomerName])</f>
        <v>Ibrahim Okonkwo</v>
      </c>
      <c r="O1516" t="str">
        <f>_xlfn.XLOOKUP(Orders[[#This Row],[CustomerID]],Customers[CustomerID],Customers[Gender])</f>
        <v>Male</v>
      </c>
      <c r="P1516">
        <f>_xlfn.XLOOKUP(Orders[[#This Row],[CustomerID]],Customers[CustomerID],Customers[CustomerAge])</f>
        <v>28</v>
      </c>
      <c r="Q1516" t="str">
        <f>IF(Orders[[#This Row],[Age]]&gt;=35,"older","young")</f>
        <v>young</v>
      </c>
      <c r="R1516" t="str">
        <f>_xlfn.XLOOKUP(Orders[[#This Row],[ProductID]],Products[ProductID],Products[ProductName])</f>
        <v>MICROWAVE</v>
      </c>
      <c r="S1516" t="str">
        <f>_xlfn.XLOOKUP(Orders[[#This Row],[ProductID]],Products!A:A,Products!C:C)</f>
        <v>Electronics</v>
      </c>
    </row>
    <row r="1517" spans="1:19" x14ac:dyDescent="0.2">
      <c r="A1517" s="4" t="s">
        <v>1706</v>
      </c>
      <c r="B1517" s="5">
        <v>45936</v>
      </c>
      <c r="C1517" s="15">
        <f>WEEKNUM(Orders[[#This Row],[OrderDate]])</f>
        <v>41</v>
      </c>
      <c r="D1517" s="4" t="s">
        <v>285</v>
      </c>
      <c r="E1517" s="4" t="s">
        <v>63</v>
      </c>
      <c r="F1517" s="4">
        <v>10</v>
      </c>
      <c r="G1517" s="4">
        <v>3090.8999999999996</v>
      </c>
      <c r="H1517">
        <v>2627.2649999999999</v>
      </c>
      <c r="I1517">
        <f>Orders[[#This Row],[Quantity]]*Orders[[#This Row],[Selling Price]]</f>
        <v>30908.999999999996</v>
      </c>
      <c r="J1517">
        <f>Orders[[#This Row],[Quantity]]*Orders[[#This Row],[Cost Price]]</f>
        <v>26272.649999999998</v>
      </c>
      <c r="K1517">
        <f>Orders[[#This Row],[Revenue]]-Orders[[#This Row],[Expenses]]</f>
        <v>4636.3499999999985</v>
      </c>
      <c r="L1517" t="s">
        <v>2214</v>
      </c>
      <c r="M1517" t="str">
        <f>_xlfn.XLOOKUP(Orders[[#This Row],[CustomerID]],Customers[CustomerID],Customers[City])</f>
        <v>California</v>
      </c>
      <c r="N1517" t="str">
        <f>_xlfn.XLOOKUP(Orders[[#This Row],[CustomerID]],Customers[CustomerID],Customers[CustomerName])</f>
        <v>Sani Balogun</v>
      </c>
      <c r="O1517" t="str">
        <f>_xlfn.XLOOKUP(Orders[[#This Row],[CustomerID]],Customers[CustomerID],Customers[Gender])</f>
        <v>Male</v>
      </c>
      <c r="P1517">
        <f>_xlfn.XLOOKUP(Orders[[#This Row],[CustomerID]],Customers[CustomerID],Customers[CustomerAge])</f>
        <v>27</v>
      </c>
      <c r="Q1517" t="str">
        <f>IF(Orders[[#This Row],[Age]]&gt;=35,"older","young")</f>
        <v>young</v>
      </c>
      <c r="R1517" t="str">
        <f>_xlfn.XLOOKUP(Orders[[#This Row],[ProductID]],Products[ProductID],Products[ProductName])</f>
        <v>TENNIS BAT</v>
      </c>
      <c r="S1517" t="str">
        <f>_xlfn.XLOOKUP(Orders[[#This Row],[ProductID]],Products!A:A,Products!C:C)</f>
        <v>Sports</v>
      </c>
    </row>
    <row r="1518" spans="1:19" x14ac:dyDescent="0.2">
      <c r="A1518" s="4" t="s">
        <v>1707</v>
      </c>
      <c r="B1518" s="5">
        <v>45963</v>
      </c>
      <c r="C1518" s="15">
        <f>WEEKNUM(Orders[[#This Row],[OrderDate]])</f>
        <v>45</v>
      </c>
      <c r="D1518" s="4" t="s">
        <v>17</v>
      </c>
      <c r="E1518" s="4" t="s">
        <v>60</v>
      </c>
      <c r="F1518" s="4">
        <v>6</v>
      </c>
      <c r="G1518" s="4">
        <v>15070</v>
      </c>
      <c r="H1518">
        <v>12809.5</v>
      </c>
      <c r="I1518">
        <f>Orders[[#This Row],[Quantity]]*Orders[[#This Row],[Selling Price]]</f>
        <v>90420</v>
      </c>
      <c r="J1518">
        <f>Orders[[#This Row],[Quantity]]*Orders[[#This Row],[Cost Price]]</f>
        <v>76857</v>
      </c>
      <c r="K1518">
        <f>Orders[[#This Row],[Revenue]]-Orders[[#This Row],[Expenses]]</f>
        <v>13563</v>
      </c>
      <c r="L1518" t="s">
        <v>2193</v>
      </c>
      <c r="M1518" t="str">
        <f>_xlfn.XLOOKUP(Orders[[#This Row],[CustomerID]],Customers[CustomerID],Customers[City])</f>
        <v>Illinois</v>
      </c>
      <c r="N1518" t="str">
        <f>_xlfn.XLOOKUP(Orders[[#This Row],[CustomerID]],Customers[CustomerID],Customers[CustomerName])</f>
        <v>Bisi Adeyemi</v>
      </c>
      <c r="O1518" t="str">
        <f>_xlfn.XLOOKUP(Orders[[#This Row],[CustomerID]],Customers[CustomerID],Customers[Gender])</f>
        <v>Female</v>
      </c>
      <c r="P1518">
        <f>_xlfn.XLOOKUP(Orders[[#This Row],[CustomerID]],Customers[CustomerID],Customers[CustomerAge])</f>
        <v>48</v>
      </c>
      <c r="Q1518" t="str">
        <f>IF(Orders[[#This Row],[Age]]&gt;=35,"older","young")</f>
        <v>older</v>
      </c>
      <c r="R1518" t="str">
        <f>_xlfn.XLOOKUP(Orders[[#This Row],[ProductID]],Products[ProductID],Products[ProductName])</f>
        <v>SILVER RINGS</v>
      </c>
      <c r="S1518" t="str">
        <f>_xlfn.XLOOKUP(Orders[[#This Row],[ProductID]],Products!A:A,Products!C:C)</f>
        <v>Accessories</v>
      </c>
    </row>
    <row r="1519" spans="1:19" x14ac:dyDescent="0.2">
      <c r="A1519" s="4" t="s">
        <v>1708</v>
      </c>
      <c r="B1519" s="5">
        <v>45965</v>
      </c>
      <c r="C1519" s="15">
        <f>WEEKNUM(Orders[[#This Row],[OrderDate]])</f>
        <v>45</v>
      </c>
      <c r="D1519" s="4" t="s">
        <v>210</v>
      </c>
      <c r="E1519" s="4" t="s">
        <v>151</v>
      </c>
      <c r="F1519" s="4">
        <v>4</v>
      </c>
      <c r="G1519" s="4">
        <v>5096.2</v>
      </c>
      <c r="H1519">
        <v>4331.7699999999995</v>
      </c>
      <c r="I1519">
        <f>Orders[[#This Row],[Quantity]]*Orders[[#This Row],[Selling Price]]</f>
        <v>20384.8</v>
      </c>
      <c r="J1519">
        <f>Orders[[#This Row],[Quantity]]*Orders[[#This Row],[Cost Price]]</f>
        <v>17327.079999999998</v>
      </c>
      <c r="K1519">
        <f>Orders[[#This Row],[Revenue]]-Orders[[#This Row],[Expenses]]</f>
        <v>3057.7200000000012</v>
      </c>
      <c r="L1519" t="s">
        <v>2206</v>
      </c>
      <c r="M1519" t="str">
        <f>_xlfn.XLOOKUP(Orders[[#This Row],[CustomerID]],Customers[CustomerID],Customers[City])</f>
        <v>Illinois</v>
      </c>
      <c r="N1519" t="str">
        <f>_xlfn.XLOOKUP(Orders[[#This Row],[CustomerID]],Customers[CustomerID],Customers[CustomerName])</f>
        <v>Zainab Bello</v>
      </c>
      <c r="O1519" t="str">
        <f>_xlfn.XLOOKUP(Orders[[#This Row],[CustomerID]],Customers[CustomerID],Customers[Gender])</f>
        <v>Female</v>
      </c>
      <c r="P1519">
        <f>_xlfn.XLOOKUP(Orders[[#This Row],[CustomerID]],Customers[CustomerID],Customers[CustomerAge])</f>
        <v>27</v>
      </c>
      <c r="Q1519" t="str">
        <f>IF(Orders[[#This Row],[Age]]&gt;=35,"older","young")</f>
        <v>young</v>
      </c>
      <c r="R1519" t="str">
        <f>_xlfn.XLOOKUP(Orders[[#This Row],[ProductID]],Products[ProductID],Products[ProductName])</f>
        <v>CHECKERS</v>
      </c>
      <c r="S1519" t="str">
        <f>_xlfn.XLOOKUP(Orders[[#This Row],[ProductID]],Products!A:A,Products!C:C)</f>
        <v>Games</v>
      </c>
    </row>
    <row r="1520" spans="1:19" x14ac:dyDescent="0.2">
      <c r="A1520" s="4" t="s">
        <v>1709</v>
      </c>
      <c r="B1520" s="5">
        <v>45957</v>
      </c>
      <c r="C1520" s="15">
        <f>WEEKNUM(Orders[[#This Row],[OrderDate]])</f>
        <v>44</v>
      </c>
      <c r="D1520" s="4" t="s">
        <v>78</v>
      </c>
      <c r="E1520" s="4" t="s">
        <v>28</v>
      </c>
      <c r="F1520" s="4">
        <v>8</v>
      </c>
      <c r="G1520" s="4">
        <v>3925.2</v>
      </c>
      <c r="H1520">
        <v>3336.42</v>
      </c>
      <c r="I1520">
        <f>Orders[[#This Row],[Quantity]]*Orders[[#This Row],[Selling Price]]</f>
        <v>31401.599999999999</v>
      </c>
      <c r="J1520">
        <f>Orders[[#This Row],[Quantity]]*Orders[[#This Row],[Cost Price]]</f>
        <v>26691.360000000001</v>
      </c>
      <c r="K1520">
        <f>Orders[[#This Row],[Revenue]]-Orders[[#This Row],[Expenses]]</f>
        <v>4710.239999999998</v>
      </c>
      <c r="L1520" t="s">
        <v>2216</v>
      </c>
      <c r="M1520" t="str">
        <f>_xlfn.XLOOKUP(Orders[[#This Row],[CustomerID]],Customers[CustomerID],Customers[City])</f>
        <v>Washington</v>
      </c>
      <c r="N1520" t="str">
        <f>_xlfn.XLOOKUP(Orders[[#This Row],[CustomerID]],Customers[CustomerID],Customers[CustomerName])</f>
        <v>Chinedu Obi</v>
      </c>
      <c r="O1520" t="str">
        <f>_xlfn.XLOOKUP(Orders[[#This Row],[CustomerID]],Customers[CustomerID],Customers[Gender])</f>
        <v>Male</v>
      </c>
      <c r="P1520">
        <f>_xlfn.XLOOKUP(Orders[[#This Row],[CustomerID]],Customers[CustomerID],Customers[CustomerAge])</f>
        <v>38</v>
      </c>
      <c r="Q1520" t="str">
        <f>IF(Orders[[#This Row],[Age]]&gt;=35,"older","young")</f>
        <v>older</v>
      </c>
      <c r="R1520" t="str">
        <f>_xlfn.XLOOKUP(Orders[[#This Row],[ProductID]],Products[ProductID],Products[ProductName])</f>
        <v>SNEAKERS</v>
      </c>
      <c r="S1520" t="str">
        <f>_xlfn.XLOOKUP(Orders[[#This Row],[ProductID]],Products!A:A,Products!C:C)</f>
        <v>Sports</v>
      </c>
    </row>
    <row r="1521" spans="1:19" x14ac:dyDescent="0.2">
      <c r="A1521" s="4" t="s">
        <v>1710</v>
      </c>
      <c r="B1521" s="5">
        <v>45946</v>
      </c>
      <c r="C1521" s="15">
        <f>WEEKNUM(Orders[[#This Row],[OrderDate]])</f>
        <v>42</v>
      </c>
      <c r="D1521" s="4" t="s">
        <v>129</v>
      </c>
      <c r="E1521" s="4" t="s">
        <v>253</v>
      </c>
      <c r="F1521" s="4">
        <v>8</v>
      </c>
      <c r="G1521" s="4">
        <v>17750.099999999999</v>
      </c>
      <c r="H1521">
        <v>15087.584999999999</v>
      </c>
      <c r="I1521">
        <f>Orders[[#This Row],[Quantity]]*Orders[[#This Row],[Selling Price]]</f>
        <v>142000.79999999999</v>
      </c>
      <c r="J1521">
        <f>Orders[[#This Row],[Quantity]]*Orders[[#This Row],[Cost Price]]</f>
        <v>120700.68</v>
      </c>
      <c r="K1521">
        <f>Orders[[#This Row],[Revenue]]-Orders[[#This Row],[Expenses]]</f>
        <v>21300.119999999995</v>
      </c>
      <c r="L1521" t="s">
        <v>2209</v>
      </c>
      <c r="M1521" t="str">
        <f>_xlfn.XLOOKUP(Orders[[#This Row],[CustomerID]],Customers[CustomerID],Customers[City])</f>
        <v>Washington</v>
      </c>
      <c r="N1521" t="str">
        <f>_xlfn.XLOOKUP(Orders[[#This Row],[CustomerID]],Customers[CustomerID],Customers[CustomerName])</f>
        <v>Chioma Ojo</v>
      </c>
      <c r="O1521" t="str">
        <f>_xlfn.XLOOKUP(Orders[[#This Row],[CustomerID]],Customers[CustomerID],Customers[Gender])</f>
        <v>Female</v>
      </c>
      <c r="P1521">
        <f>_xlfn.XLOOKUP(Orders[[#This Row],[CustomerID]],Customers[CustomerID],Customers[CustomerAge])</f>
        <v>46</v>
      </c>
      <c r="Q1521" t="str">
        <f>IF(Orders[[#This Row],[Age]]&gt;=35,"older","young")</f>
        <v>older</v>
      </c>
      <c r="R1521" t="str">
        <f>_xlfn.XLOOKUP(Orders[[#This Row],[ProductID]],Products[ProductID],Products[ProductName])</f>
        <v>NOSE RINGS</v>
      </c>
      <c r="S1521" t="str">
        <f>_xlfn.XLOOKUP(Orders[[#This Row],[ProductID]],Products!A:A,Products!C:C)</f>
        <v>Accessories</v>
      </c>
    </row>
    <row r="1522" spans="1:19" x14ac:dyDescent="0.2">
      <c r="A1522" s="4" t="s">
        <v>1711</v>
      </c>
      <c r="B1522" s="5">
        <v>45998</v>
      </c>
      <c r="C1522" s="15">
        <f>WEEKNUM(Orders[[#This Row],[OrderDate]])</f>
        <v>50</v>
      </c>
      <c r="D1522" s="4" t="s">
        <v>132</v>
      </c>
      <c r="E1522" s="4" t="s">
        <v>25</v>
      </c>
      <c r="F1522" s="4">
        <v>9</v>
      </c>
      <c r="G1522" s="4">
        <v>6360.2999999999993</v>
      </c>
      <c r="H1522">
        <v>5406.2549999999992</v>
      </c>
      <c r="I1522">
        <f>Orders[[#This Row],[Quantity]]*Orders[[#This Row],[Selling Price]]</f>
        <v>57242.7</v>
      </c>
      <c r="J1522">
        <f>Orders[[#This Row],[Quantity]]*Orders[[#This Row],[Cost Price]]</f>
        <v>48656.294999999991</v>
      </c>
      <c r="K1522">
        <f>Orders[[#This Row],[Revenue]]-Orders[[#This Row],[Expenses]]</f>
        <v>8586.4050000000061</v>
      </c>
      <c r="L1522" t="s">
        <v>2199</v>
      </c>
      <c r="M1522" t="str">
        <f>_xlfn.XLOOKUP(Orders[[#This Row],[CustomerID]],Customers[CustomerID],Customers[City])</f>
        <v>Illinois</v>
      </c>
      <c r="N1522" t="str">
        <f>_xlfn.XLOOKUP(Orders[[#This Row],[CustomerID]],Customers[CustomerID],Customers[CustomerName])</f>
        <v>Emeka Balogun</v>
      </c>
      <c r="O1522" t="str">
        <f>_xlfn.XLOOKUP(Orders[[#This Row],[CustomerID]],Customers[CustomerID],Customers[Gender])</f>
        <v>Male</v>
      </c>
      <c r="P1522">
        <f>_xlfn.XLOOKUP(Orders[[#This Row],[CustomerID]],Customers[CustomerID],Customers[CustomerAge])</f>
        <v>36</v>
      </c>
      <c r="Q1522" t="str">
        <f>IF(Orders[[#This Row],[Age]]&gt;=35,"older","young")</f>
        <v>older</v>
      </c>
      <c r="R1522" t="str">
        <f>_xlfn.XLOOKUP(Orders[[#This Row],[ProductID]],Products[ProductID],Products[ProductName])</f>
        <v>GOLD RINGS</v>
      </c>
      <c r="S1522" t="str">
        <f>_xlfn.XLOOKUP(Orders[[#This Row],[ProductID]],Products!A:A,Products!C:C)</f>
        <v>Accessories</v>
      </c>
    </row>
    <row r="1523" spans="1:19" x14ac:dyDescent="0.2">
      <c r="A1523" s="4" t="s">
        <v>1712</v>
      </c>
      <c r="B1523" s="5">
        <v>45980</v>
      </c>
      <c r="C1523" s="15">
        <f>WEEKNUM(Orders[[#This Row],[OrderDate]])</f>
        <v>47</v>
      </c>
      <c r="D1523" s="4" t="s">
        <v>282</v>
      </c>
      <c r="E1523" s="4" t="s">
        <v>125</v>
      </c>
      <c r="F1523" s="4">
        <v>8</v>
      </c>
      <c r="G1523" s="4">
        <v>5618.9</v>
      </c>
      <c r="H1523">
        <v>4776.0649999999996</v>
      </c>
      <c r="I1523">
        <f>Orders[[#This Row],[Quantity]]*Orders[[#This Row],[Selling Price]]</f>
        <v>44951.199999999997</v>
      </c>
      <c r="J1523">
        <f>Orders[[#This Row],[Quantity]]*Orders[[#This Row],[Cost Price]]</f>
        <v>38208.519999999997</v>
      </c>
      <c r="K1523">
        <f>Orders[[#This Row],[Revenue]]-Orders[[#This Row],[Expenses]]</f>
        <v>6742.68</v>
      </c>
      <c r="L1523" t="s">
        <v>2206</v>
      </c>
      <c r="M1523" t="str">
        <f>_xlfn.XLOOKUP(Orders[[#This Row],[CustomerID]],Customers[CustomerID],Customers[City])</f>
        <v>Texas</v>
      </c>
      <c r="N1523" t="str">
        <f>_xlfn.XLOOKUP(Orders[[#This Row],[CustomerID]],Customers[CustomerID],Customers[CustomerName])</f>
        <v>Bisi Ojo</v>
      </c>
      <c r="O1523" t="str">
        <f>_xlfn.XLOOKUP(Orders[[#This Row],[CustomerID]],Customers[CustomerID],Customers[Gender])</f>
        <v>Female</v>
      </c>
      <c r="P1523">
        <f>_xlfn.XLOOKUP(Orders[[#This Row],[CustomerID]],Customers[CustomerID],Customers[CustomerAge])</f>
        <v>26</v>
      </c>
      <c r="Q1523" t="str">
        <f>IF(Orders[[#This Row],[Age]]&gt;=35,"older","young")</f>
        <v>young</v>
      </c>
      <c r="R1523" t="str">
        <f>_xlfn.XLOOKUP(Orders[[#This Row],[ProductID]],Products[ProductID],Products[ProductName])</f>
        <v>EARRINGS</v>
      </c>
      <c r="S1523" t="str">
        <f>_xlfn.XLOOKUP(Orders[[#This Row],[ProductID]],Products!A:A,Products!C:C)</f>
        <v>Accessories</v>
      </c>
    </row>
    <row r="1524" spans="1:19" x14ac:dyDescent="0.2">
      <c r="A1524" s="4" t="s">
        <v>1713</v>
      </c>
      <c r="B1524" s="5">
        <v>45953</v>
      </c>
      <c r="C1524" s="15">
        <f>WEEKNUM(Orders[[#This Row],[OrderDate]])</f>
        <v>43</v>
      </c>
      <c r="D1524" s="4" t="s">
        <v>210</v>
      </c>
      <c r="E1524" s="4" t="s">
        <v>12</v>
      </c>
      <c r="F1524" s="4">
        <v>2</v>
      </c>
      <c r="G1524" s="4">
        <v>17062.8</v>
      </c>
      <c r="H1524">
        <v>14503.38</v>
      </c>
      <c r="I1524">
        <f>Orders[[#This Row],[Quantity]]*Orders[[#This Row],[Selling Price]]</f>
        <v>34125.599999999999</v>
      </c>
      <c r="J1524">
        <f>Orders[[#This Row],[Quantity]]*Orders[[#This Row],[Cost Price]]</f>
        <v>29006.76</v>
      </c>
      <c r="K1524">
        <f>Orders[[#This Row],[Revenue]]-Orders[[#This Row],[Expenses]]</f>
        <v>5118.84</v>
      </c>
      <c r="L1524" t="s">
        <v>2204</v>
      </c>
      <c r="M1524" t="str">
        <f>_xlfn.XLOOKUP(Orders[[#This Row],[CustomerID]],Customers[CustomerID],Customers[City])</f>
        <v>Illinois</v>
      </c>
      <c r="N1524" t="str">
        <f>_xlfn.XLOOKUP(Orders[[#This Row],[CustomerID]],Customers[CustomerID],Customers[CustomerName])</f>
        <v>Zainab Bello</v>
      </c>
      <c r="O1524" t="str">
        <f>_xlfn.XLOOKUP(Orders[[#This Row],[CustomerID]],Customers[CustomerID],Customers[Gender])</f>
        <v>Female</v>
      </c>
      <c r="P1524">
        <f>_xlfn.XLOOKUP(Orders[[#This Row],[CustomerID]],Customers[CustomerID],Customers[CustomerAge])</f>
        <v>27</v>
      </c>
      <c r="Q1524" t="str">
        <f>IF(Orders[[#This Row],[Age]]&gt;=35,"older","young")</f>
        <v>young</v>
      </c>
      <c r="R1524" t="str">
        <f>_xlfn.XLOOKUP(Orders[[#This Row],[ProductID]],Products[ProductID],Products[ProductName])</f>
        <v>BOUBOU</v>
      </c>
      <c r="S1524" t="str">
        <f>_xlfn.XLOOKUP(Orders[[#This Row],[ProductID]],Products!A:A,Products!C:C)</f>
        <v>Clothing</v>
      </c>
    </row>
    <row r="1525" spans="1:19" x14ac:dyDescent="0.2">
      <c r="A1525" s="4" t="s">
        <v>1714</v>
      </c>
      <c r="B1525" s="5">
        <v>45979</v>
      </c>
      <c r="C1525" s="15">
        <f>WEEKNUM(Orders[[#This Row],[OrderDate]])</f>
        <v>47</v>
      </c>
      <c r="D1525" s="4" t="s">
        <v>101</v>
      </c>
      <c r="E1525" s="4" t="s">
        <v>111</v>
      </c>
      <c r="F1525" s="4">
        <v>7</v>
      </c>
      <c r="G1525" s="4">
        <v>11519.300000000001</v>
      </c>
      <c r="H1525">
        <v>9791.4050000000007</v>
      </c>
      <c r="I1525">
        <f>Orders[[#This Row],[Quantity]]*Orders[[#This Row],[Selling Price]]</f>
        <v>80635.100000000006</v>
      </c>
      <c r="J1525">
        <f>Orders[[#This Row],[Quantity]]*Orders[[#This Row],[Cost Price]]</f>
        <v>68539.835000000006</v>
      </c>
      <c r="K1525">
        <f>Orders[[#This Row],[Revenue]]-Orders[[#This Row],[Expenses]]</f>
        <v>12095.264999999999</v>
      </c>
      <c r="L1525" t="s">
        <v>2211</v>
      </c>
      <c r="M1525" t="str">
        <f>_xlfn.XLOOKUP(Orders[[#This Row],[CustomerID]],Customers[CustomerID],Customers[City])</f>
        <v>Texas</v>
      </c>
      <c r="N1525" t="str">
        <f>_xlfn.XLOOKUP(Orders[[#This Row],[CustomerID]],Customers[CustomerID],Customers[CustomerName])</f>
        <v>Blessing Eze</v>
      </c>
      <c r="O1525" t="str">
        <f>_xlfn.XLOOKUP(Orders[[#This Row],[CustomerID]],Customers[CustomerID],Customers[Gender])</f>
        <v>Female</v>
      </c>
      <c r="P1525">
        <f>_xlfn.XLOOKUP(Orders[[#This Row],[CustomerID]],Customers[CustomerID],Customers[CustomerAge])</f>
        <v>55</v>
      </c>
      <c r="Q1525" t="str">
        <f>IF(Orders[[#This Row],[Age]]&gt;=35,"older","young")</f>
        <v>older</v>
      </c>
      <c r="R1525" t="str">
        <f>_xlfn.XLOOKUP(Orders[[#This Row],[ProductID]],Products[ProductID],Products[ProductName])</f>
        <v>REFRIGERATOR</v>
      </c>
      <c r="S1525" t="str">
        <f>_xlfn.XLOOKUP(Orders[[#This Row],[ProductID]],Products!A:A,Products!C:C)</f>
        <v>Electronics</v>
      </c>
    </row>
    <row r="1526" spans="1:19" x14ac:dyDescent="0.2">
      <c r="A1526" s="4" t="s">
        <v>1715</v>
      </c>
      <c r="B1526" s="5">
        <v>45932</v>
      </c>
      <c r="C1526" s="15">
        <f>WEEKNUM(Orders[[#This Row],[OrderDate]])</f>
        <v>40</v>
      </c>
      <c r="D1526" s="4" t="s">
        <v>307</v>
      </c>
      <c r="E1526" s="4" t="s">
        <v>353</v>
      </c>
      <c r="F1526" s="4">
        <v>7</v>
      </c>
      <c r="G1526" s="4">
        <v>19271.400000000001</v>
      </c>
      <c r="H1526">
        <v>16380.690000000002</v>
      </c>
      <c r="I1526">
        <f>Orders[[#This Row],[Quantity]]*Orders[[#This Row],[Selling Price]]</f>
        <v>134899.80000000002</v>
      </c>
      <c r="J1526">
        <f>Orders[[#This Row],[Quantity]]*Orders[[#This Row],[Cost Price]]</f>
        <v>114664.83000000002</v>
      </c>
      <c r="K1526">
        <f>Orders[[#This Row],[Revenue]]-Orders[[#This Row],[Expenses]]</f>
        <v>20234.97</v>
      </c>
      <c r="L1526" t="s">
        <v>2214</v>
      </c>
      <c r="M1526" t="str">
        <f>_xlfn.XLOOKUP(Orders[[#This Row],[CustomerID]],Customers[CustomerID],Customers[City])</f>
        <v>Illinois</v>
      </c>
      <c r="N1526" t="str">
        <f>_xlfn.XLOOKUP(Orders[[#This Row],[CustomerID]],Customers[CustomerID],Customers[CustomerName])</f>
        <v>Adanma Bello</v>
      </c>
      <c r="O1526" t="str">
        <f>_xlfn.XLOOKUP(Orders[[#This Row],[CustomerID]],Customers[CustomerID],Customers[Gender])</f>
        <v>Female</v>
      </c>
      <c r="P1526">
        <f>_xlfn.XLOOKUP(Orders[[#This Row],[CustomerID]],Customers[CustomerID],Customers[CustomerAge])</f>
        <v>51</v>
      </c>
      <c r="Q1526" t="str">
        <f>IF(Orders[[#This Row],[Age]]&gt;=35,"older","young")</f>
        <v>older</v>
      </c>
      <c r="R1526" t="str">
        <f>_xlfn.XLOOKUP(Orders[[#This Row],[ProductID]],Products[ProductID],Products[ProductName])</f>
        <v>SILVER EARRINGS AND NECKLACES</v>
      </c>
      <c r="S1526" t="str">
        <f>_xlfn.XLOOKUP(Orders[[#This Row],[ProductID]],Products!A:A,Products!C:C)</f>
        <v>Accessories</v>
      </c>
    </row>
    <row r="1527" spans="1:19" x14ac:dyDescent="0.2">
      <c r="A1527" s="4" t="s">
        <v>1716</v>
      </c>
      <c r="B1527" s="5">
        <v>45993</v>
      </c>
      <c r="C1527" s="15">
        <f>WEEKNUM(Orders[[#This Row],[OrderDate]])</f>
        <v>49</v>
      </c>
      <c r="D1527" s="4" t="s">
        <v>43</v>
      </c>
      <c r="E1527" s="4" t="s">
        <v>157</v>
      </c>
      <c r="F1527" s="4">
        <v>9</v>
      </c>
      <c r="G1527" s="4">
        <v>3463.3999999999996</v>
      </c>
      <c r="H1527">
        <v>2943.89</v>
      </c>
      <c r="I1527">
        <f>Orders[[#This Row],[Quantity]]*Orders[[#This Row],[Selling Price]]</f>
        <v>31170.6</v>
      </c>
      <c r="J1527">
        <f>Orders[[#This Row],[Quantity]]*Orders[[#This Row],[Cost Price]]</f>
        <v>26495.01</v>
      </c>
      <c r="K1527">
        <f>Orders[[#This Row],[Revenue]]-Orders[[#This Row],[Expenses]]</f>
        <v>4675.59</v>
      </c>
      <c r="L1527" t="s">
        <v>2196</v>
      </c>
      <c r="M1527" t="str">
        <f>_xlfn.XLOOKUP(Orders[[#This Row],[CustomerID]],Customers[CustomerID],Customers[City])</f>
        <v>Georgia</v>
      </c>
      <c r="N1527" t="str">
        <f>_xlfn.XLOOKUP(Orders[[#This Row],[CustomerID]],Customers[CustomerID],Customers[CustomerName])</f>
        <v>Mustafa Danladi</v>
      </c>
      <c r="O1527" t="str">
        <f>_xlfn.XLOOKUP(Orders[[#This Row],[CustomerID]],Customers[CustomerID],Customers[Gender])</f>
        <v>Male</v>
      </c>
      <c r="P1527">
        <f>_xlfn.XLOOKUP(Orders[[#This Row],[CustomerID]],Customers[CustomerID],Customers[CustomerAge])</f>
        <v>49</v>
      </c>
      <c r="Q1527" t="str">
        <f>IF(Orders[[#This Row],[Age]]&gt;=35,"older","young")</f>
        <v>older</v>
      </c>
      <c r="R1527" t="str">
        <f>_xlfn.XLOOKUP(Orders[[#This Row],[ProductID]],Products[ProductID],Products[ProductName])</f>
        <v>FOOTBALL</v>
      </c>
      <c r="S1527" t="str">
        <f>_xlfn.XLOOKUP(Orders[[#This Row],[ProductID]],Products!A:A,Products!C:C)</f>
        <v>Sports</v>
      </c>
    </row>
    <row r="1528" spans="1:19" x14ac:dyDescent="0.2">
      <c r="A1528" s="4" t="s">
        <v>1717</v>
      </c>
      <c r="B1528" s="5">
        <v>45974</v>
      </c>
      <c r="C1528" s="15">
        <f>WEEKNUM(Orders[[#This Row],[OrderDate]])</f>
        <v>46</v>
      </c>
      <c r="D1528" s="4" t="s">
        <v>43</v>
      </c>
      <c r="E1528" s="4" t="s">
        <v>70</v>
      </c>
      <c r="F1528" s="4">
        <v>5</v>
      </c>
      <c r="G1528" s="4">
        <v>2928</v>
      </c>
      <c r="H1528">
        <v>2488.8000000000002</v>
      </c>
      <c r="I1528">
        <f>Orders[[#This Row],[Quantity]]*Orders[[#This Row],[Selling Price]]</f>
        <v>14640</v>
      </c>
      <c r="J1528">
        <f>Orders[[#This Row],[Quantity]]*Orders[[#This Row],[Cost Price]]</f>
        <v>12444</v>
      </c>
      <c r="K1528">
        <f>Orders[[#This Row],[Revenue]]-Orders[[#This Row],[Expenses]]</f>
        <v>2196</v>
      </c>
      <c r="L1528" t="s">
        <v>2193</v>
      </c>
      <c r="M1528" t="str">
        <f>_xlfn.XLOOKUP(Orders[[#This Row],[CustomerID]],Customers[CustomerID],Customers[City])</f>
        <v>Georgia</v>
      </c>
      <c r="N1528" t="str">
        <f>_xlfn.XLOOKUP(Orders[[#This Row],[CustomerID]],Customers[CustomerID],Customers[CustomerName])</f>
        <v>Mustafa Danladi</v>
      </c>
      <c r="O1528" t="str">
        <f>_xlfn.XLOOKUP(Orders[[#This Row],[CustomerID]],Customers[CustomerID],Customers[Gender])</f>
        <v>Male</v>
      </c>
      <c r="P1528">
        <f>_xlfn.XLOOKUP(Orders[[#This Row],[CustomerID]],Customers[CustomerID],Customers[CustomerAge])</f>
        <v>49</v>
      </c>
      <c r="Q1528" t="str">
        <f>IF(Orders[[#This Row],[Age]]&gt;=35,"older","young")</f>
        <v>older</v>
      </c>
      <c r="R1528" t="str">
        <f>_xlfn.XLOOKUP(Orders[[#This Row],[ProductID]],Products[ProductID],Products[ProductName])</f>
        <v>YOGA MAT</v>
      </c>
      <c r="S1528" t="str">
        <f>_xlfn.XLOOKUP(Orders[[#This Row],[ProductID]],Products!A:A,Products!C:C)</f>
        <v>Gym</v>
      </c>
    </row>
    <row r="1529" spans="1:19" x14ac:dyDescent="0.2">
      <c r="A1529" s="4" t="s">
        <v>1718</v>
      </c>
      <c r="B1529" s="5">
        <v>45966</v>
      </c>
      <c r="C1529" s="15">
        <f>WEEKNUM(Orders[[#This Row],[OrderDate]])</f>
        <v>45</v>
      </c>
      <c r="D1529" s="4" t="s">
        <v>275</v>
      </c>
      <c r="E1529" s="4" t="s">
        <v>125</v>
      </c>
      <c r="F1529" s="4">
        <v>7</v>
      </c>
      <c r="G1529" s="4">
        <v>3484.9</v>
      </c>
      <c r="H1529">
        <v>2962.165</v>
      </c>
      <c r="I1529">
        <f>Orders[[#This Row],[Quantity]]*Orders[[#This Row],[Selling Price]]</f>
        <v>24394.3</v>
      </c>
      <c r="J1529">
        <f>Orders[[#This Row],[Quantity]]*Orders[[#This Row],[Cost Price]]</f>
        <v>20735.154999999999</v>
      </c>
      <c r="K1529">
        <f>Orders[[#This Row],[Revenue]]-Orders[[#This Row],[Expenses]]</f>
        <v>3659.1450000000004</v>
      </c>
      <c r="L1529" t="s">
        <v>2199</v>
      </c>
      <c r="M1529" t="str">
        <f>_xlfn.XLOOKUP(Orders[[#This Row],[CustomerID]],Customers[CustomerID],Customers[City])</f>
        <v>Texas</v>
      </c>
      <c r="N1529" t="str">
        <f>_xlfn.XLOOKUP(Orders[[#This Row],[CustomerID]],Customers[CustomerID],Customers[CustomerName])</f>
        <v>Ngozi Danladi</v>
      </c>
      <c r="O1529" t="str">
        <f>_xlfn.XLOOKUP(Orders[[#This Row],[CustomerID]],Customers[CustomerID],Customers[Gender])</f>
        <v>Female</v>
      </c>
      <c r="P1529">
        <f>_xlfn.XLOOKUP(Orders[[#This Row],[CustomerID]],Customers[CustomerID],Customers[CustomerAge])</f>
        <v>25</v>
      </c>
      <c r="Q1529" t="str">
        <f>IF(Orders[[#This Row],[Age]]&gt;=35,"older","young")</f>
        <v>young</v>
      </c>
      <c r="R1529" t="str">
        <f>_xlfn.XLOOKUP(Orders[[#This Row],[ProductID]],Products[ProductID],Products[ProductName])</f>
        <v>EARRINGS</v>
      </c>
      <c r="S1529" t="str">
        <f>_xlfn.XLOOKUP(Orders[[#This Row],[ProductID]],Products!A:A,Products!C:C)</f>
        <v>Accessories</v>
      </c>
    </row>
    <row r="1530" spans="1:19" x14ac:dyDescent="0.2">
      <c r="A1530" s="4" t="s">
        <v>1719</v>
      </c>
      <c r="B1530" s="5">
        <v>46006</v>
      </c>
      <c r="C1530" s="15">
        <f>WEEKNUM(Orders[[#This Row],[OrderDate]])</f>
        <v>51</v>
      </c>
      <c r="D1530" s="4" t="s">
        <v>142</v>
      </c>
      <c r="E1530" s="4" t="s">
        <v>84</v>
      </c>
      <c r="F1530" s="4">
        <v>7</v>
      </c>
      <c r="G1530" s="4">
        <v>14923</v>
      </c>
      <c r="H1530">
        <v>12684.55</v>
      </c>
      <c r="I1530">
        <f>Orders[[#This Row],[Quantity]]*Orders[[#This Row],[Selling Price]]</f>
        <v>104461</v>
      </c>
      <c r="J1530">
        <f>Orders[[#This Row],[Quantity]]*Orders[[#This Row],[Cost Price]]</f>
        <v>88791.849999999991</v>
      </c>
      <c r="K1530">
        <f>Orders[[#This Row],[Revenue]]-Orders[[#This Row],[Expenses]]</f>
        <v>15669.150000000009</v>
      </c>
      <c r="L1530" t="s">
        <v>2193</v>
      </c>
      <c r="M1530" t="str">
        <f>_xlfn.XLOOKUP(Orders[[#This Row],[CustomerID]],Customers[CustomerID],Customers[City])</f>
        <v>Florida</v>
      </c>
      <c r="N1530" t="str">
        <f>_xlfn.XLOOKUP(Orders[[#This Row],[CustomerID]],Customers[CustomerID],Customers[CustomerName])</f>
        <v>Obi Adeyemi</v>
      </c>
      <c r="O1530" t="str">
        <f>_xlfn.XLOOKUP(Orders[[#This Row],[CustomerID]],Customers[CustomerID],Customers[Gender])</f>
        <v>Male</v>
      </c>
      <c r="P1530">
        <f>_xlfn.XLOOKUP(Orders[[#This Row],[CustomerID]],Customers[CustomerID],Customers[CustomerAge])</f>
        <v>31</v>
      </c>
      <c r="Q1530" t="str">
        <f>IF(Orders[[#This Row],[Age]]&gt;=35,"older","young")</f>
        <v>young</v>
      </c>
      <c r="R1530" t="str">
        <f>_xlfn.XLOOKUP(Orders[[#This Row],[ProductID]],Products[ProductID],Products[ProductName])</f>
        <v>GYM WEARS</v>
      </c>
      <c r="S1530" t="str">
        <f>_xlfn.XLOOKUP(Orders[[#This Row],[ProductID]],Products!A:A,Products!C:C)</f>
        <v>Clothing</v>
      </c>
    </row>
    <row r="1531" spans="1:19" x14ac:dyDescent="0.2">
      <c r="A1531" s="4" t="s">
        <v>1720</v>
      </c>
      <c r="B1531" s="5">
        <v>45953</v>
      </c>
      <c r="C1531" s="15">
        <f>WEEKNUM(Orders[[#This Row],[OrderDate]])</f>
        <v>43</v>
      </c>
      <c r="D1531" s="4" t="s">
        <v>272</v>
      </c>
      <c r="E1531" s="4" t="s">
        <v>189</v>
      </c>
      <c r="F1531" s="4">
        <v>6</v>
      </c>
      <c r="G1531" s="4">
        <v>8942.7999999999993</v>
      </c>
      <c r="H1531">
        <v>7601.3799999999992</v>
      </c>
      <c r="I1531">
        <f>Orders[[#This Row],[Quantity]]*Orders[[#This Row],[Selling Price]]</f>
        <v>53656.799999999996</v>
      </c>
      <c r="J1531">
        <f>Orders[[#This Row],[Quantity]]*Orders[[#This Row],[Cost Price]]</f>
        <v>45608.28</v>
      </c>
      <c r="K1531">
        <f>Orders[[#This Row],[Revenue]]-Orders[[#This Row],[Expenses]]</f>
        <v>8048.5199999999968</v>
      </c>
      <c r="L1531" t="s">
        <v>2216</v>
      </c>
      <c r="M1531" t="str">
        <f>_xlfn.XLOOKUP(Orders[[#This Row],[CustomerID]],Customers[CustomerID],Customers[City])</f>
        <v>Florida</v>
      </c>
      <c r="N1531" t="str">
        <f>_xlfn.XLOOKUP(Orders[[#This Row],[CustomerID]],Customers[CustomerID],Customers[CustomerName])</f>
        <v>Blessing Bello</v>
      </c>
      <c r="O1531" t="str">
        <f>_xlfn.XLOOKUP(Orders[[#This Row],[CustomerID]],Customers[CustomerID],Customers[Gender])</f>
        <v>Female</v>
      </c>
      <c r="P1531">
        <f>_xlfn.XLOOKUP(Orders[[#This Row],[CustomerID]],Customers[CustomerID],Customers[CustomerAge])</f>
        <v>38</v>
      </c>
      <c r="Q1531" t="str">
        <f>IF(Orders[[#This Row],[Age]]&gt;=35,"older","young")</f>
        <v>older</v>
      </c>
      <c r="R1531" t="str">
        <f>_xlfn.XLOOKUP(Orders[[#This Row],[ProductID]],Products[ProductID],Products[ProductName])</f>
        <v>SCRABBLE</v>
      </c>
      <c r="S1531" t="str">
        <f>_xlfn.XLOOKUP(Orders[[#This Row],[ProductID]],Products!A:A,Products!C:C)</f>
        <v>Games</v>
      </c>
    </row>
    <row r="1532" spans="1:19" x14ac:dyDescent="0.2">
      <c r="A1532" s="4" t="s">
        <v>1721</v>
      </c>
      <c r="B1532" s="5">
        <v>45952</v>
      </c>
      <c r="C1532" s="15">
        <f>WEEKNUM(Orders[[#This Row],[OrderDate]])</f>
        <v>43</v>
      </c>
      <c r="D1532" s="4" t="s">
        <v>107</v>
      </c>
      <c r="E1532" s="4" t="s">
        <v>189</v>
      </c>
      <c r="F1532" s="4">
        <v>8</v>
      </c>
      <c r="G1532" s="4">
        <v>17175.5</v>
      </c>
      <c r="H1532">
        <v>14599.174999999999</v>
      </c>
      <c r="I1532">
        <f>Orders[[#This Row],[Quantity]]*Orders[[#This Row],[Selling Price]]</f>
        <v>137404</v>
      </c>
      <c r="J1532">
        <f>Orders[[#This Row],[Quantity]]*Orders[[#This Row],[Cost Price]]</f>
        <v>116793.4</v>
      </c>
      <c r="K1532">
        <f>Orders[[#This Row],[Revenue]]-Orders[[#This Row],[Expenses]]</f>
        <v>20610.600000000006</v>
      </c>
      <c r="L1532" t="s">
        <v>2199</v>
      </c>
      <c r="M1532" t="str">
        <f>_xlfn.XLOOKUP(Orders[[#This Row],[CustomerID]],Customers[CustomerID],Customers[City])</f>
        <v>Texas</v>
      </c>
      <c r="N1532" t="str">
        <f>_xlfn.XLOOKUP(Orders[[#This Row],[CustomerID]],Customers[CustomerID],Customers[CustomerName])</f>
        <v>Blessing Eze</v>
      </c>
      <c r="O1532" t="str">
        <f>_xlfn.XLOOKUP(Orders[[#This Row],[CustomerID]],Customers[CustomerID],Customers[Gender])</f>
        <v>Female</v>
      </c>
      <c r="P1532">
        <f>_xlfn.XLOOKUP(Orders[[#This Row],[CustomerID]],Customers[CustomerID],Customers[CustomerAge])</f>
        <v>44</v>
      </c>
      <c r="Q1532" t="str">
        <f>IF(Orders[[#This Row],[Age]]&gt;=35,"older","young")</f>
        <v>older</v>
      </c>
      <c r="R1532" t="str">
        <f>_xlfn.XLOOKUP(Orders[[#This Row],[ProductID]],Products[ProductID],Products[ProductName])</f>
        <v>SCRABBLE</v>
      </c>
      <c r="S1532" t="str">
        <f>_xlfn.XLOOKUP(Orders[[#This Row],[ProductID]],Products!A:A,Products!C:C)</f>
        <v>Games</v>
      </c>
    </row>
    <row r="1533" spans="1:19" x14ac:dyDescent="0.2">
      <c r="A1533" s="4" t="s">
        <v>1722</v>
      </c>
      <c r="B1533" s="5">
        <v>45948</v>
      </c>
      <c r="C1533" s="15">
        <f>WEEKNUM(Orders[[#This Row],[OrderDate]])</f>
        <v>42</v>
      </c>
      <c r="D1533" s="4" t="s">
        <v>110</v>
      </c>
      <c r="E1533" s="4" t="s">
        <v>189</v>
      </c>
      <c r="F1533" s="4">
        <v>6</v>
      </c>
      <c r="G1533" s="4">
        <v>14871.7</v>
      </c>
      <c r="H1533">
        <v>12640.945</v>
      </c>
      <c r="I1533">
        <f>Orders[[#This Row],[Quantity]]*Orders[[#This Row],[Selling Price]]</f>
        <v>89230.200000000012</v>
      </c>
      <c r="J1533">
        <f>Orders[[#This Row],[Quantity]]*Orders[[#This Row],[Cost Price]]</f>
        <v>75845.67</v>
      </c>
      <c r="K1533">
        <f>Orders[[#This Row],[Revenue]]-Orders[[#This Row],[Expenses]]</f>
        <v>13384.530000000013</v>
      </c>
      <c r="L1533" t="s">
        <v>2212</v>
      </c>
      <c r="M1533" t="str">
        <f>_xlfn.XLOOKUP(Orders[[#This Row],[CustomerID]],Customers[CustomerID],Customers[City])</f>
        <v>Washington</v>
      </c>
      <c r="N1533" t="str">
        <f>_xlfn.XLOOKUP(Orders[[#This Row],[CustomerID]],Customers[CustomerID],Customers[CustomerName])</f>
        <v>Ngozi Danladi</v>
      </c>
      <c r="O1533" t="str">
        <f>_xlfn.XLOOKUP(Orders[[#This Row],[CustomerID]],Customers[CustomerID],Customers[Gender])</f>
        <v>Female</v>
      </c>
      <c r="P1533">
        <f>_xlfn.XLOOKUP(Orders[[#This Row],[CustomerID]],Customers[CustomerID],Customers[CustomerAge])</f>
        <v>28</v>
      </c>
      <c r="Q1533" t="str">
        <f>IF(Orders[[#This Row],[Age]]&gt;=35,"older","young")</f>
        <v>young</v>
      </c>
      <c r="R1533" t="str">
        <f>_xlfn.XLOOKUP(Orders[[#This Row],[ProductID]],Products[ProductID],Products[ProductName])</f>
        <v>SCRABBLE</v>
      </c>
      <c r="S1533" t="str">
        <f>_xlfn.XLOOKUP(Orders[[#This Row],[ProductID]],Products!A:A,Products!C:C)</f>
        <v>Games</v>
      </c>
    </row>
    <row r="1534" spans="1:19" x14ac:dyDescent="0.2">
      <c r="A1534" s="4" t="s">
        <v>1723</v>
      </c>
      <c r="B1534" s="5">
        <v>45976</v>
      </c>
      <c r="C1534" s="15">
        <f>WEEKNUM(Orders[[#This Row],[OrderDate]])</f>
        <v>46</v>
      </c>
      <c r="D1534" s="4" t="s">
        <v>400</v>
      </c>
      <c r="E1534" s="4" t="s">
        <v>34</v>
      </c>
      <c r="F1534" s="4">
        <v>10</v>
      </c>
      <c r="G1534" s="4">
        <v>11013.599999999999</v>
      </c>
      <c r="H1534">
        <v>9361.56</v>
      </c>
      <c r="I1534">
        <f>Orders[[#This Row],[Quantity]]*Orders[[#This Row],[Selling Price]]</f>
        <v>110135.99999999999</v>
      </c>
      <c r="J1534">
        <f>Orders[[#This Row],[Quantity]]*Orders[[#This Row],[Cost Price]]</f>
        <v>93615.599999999991</v>
      </c>
      <c r="K1534">
        <f>Orders[[#This Row],[Revenue]]-Orders[[#This Row],[Expenses]]</f>
        <v>16520.399999999994</v>
      </c>
      <c r="L1534" t="s">
        <v>2206</v>
      </c>
      <c r="M1534" t="str">
        <f>_xlfn.XLOOKUP(Orders[[#This Row],[CustomerID]],Customers[CustomerID],Customers[City])</f>
        <v>Florida</v>
      </c>
      <c r="N1534" t="str">
        <f>_xlfn.XLOOKUP(Orders[[#This Row],[CustomerID]],Customers[CustomerID],Customers[CustomerName])</f>
        <v>Obi Igwe</v>
      </c>
      <c r="O1534" t="str">
        <f>_xlfn.XLOOKUP(Orders[[#This Row],[CustomerID]],Customers[CustomerID],Customers[Gender])</f>
        <v>Male</v>
      </c>
      <c r="P1534">
        <f>_xlfn.XLOOKUP(Orders[[#This Row],[CustomerID]],Customers[CustomerID],Customers[CustomerAge])</f>
        <v>35</v>
      </c>
      <c r="Q1534" t="str">
        <f>IF(Orders[[#This Row],[Age]]&gt;=35,"older","young")</f>
        <v>older</v>
      </c>
      <c r="R1534" t="str">
        <f>_xlfn.XLOOKUP(Orders[[#This Row],[ProductID]],Products[ProductID],Products[ProductName])</f>
        <v>GOLD BRACELETS</v>
      </c>
      <c r="S1534" t="str">
        <f>_xlfn.XLOOKUP(Orders[[#This Row],[ProductID]],Products!A:A,Products!C:C)</f>
        <v>Accessories</v>
      </c>
    </row>
    <row r="1535" spans="1:19" x14ac:dyDescent="0.2">
      <c r="A1535" s="4" t="s">
        <v>1724</v>
      </c>
      <c r="B1535" s="5">
        <v>46001</v>
      </c>
      <c r="C1535" s="15">
        <f>WEEKNUM(Orders[[#This Row],[OrderDate]])</f>
        <v>50</v>
      </c>
      <c r="D1535" s="4" t="s">
        <v>237</v>
      </c>
      <c r="E1535" s="4" t="s">
        <v>60</v>
      </c>
      <c r="F1535" s="4">
        <v>1</v>
      </c>
      <c r="G1535" s="4">
        <v>18582.3</v>
      </c>
      <c r="H1535">
        <v>15794.955</v>
      </c>
      <c r="I1535">
        <f>Orders[[#This Row],[Quantity]]*Orders[[#This Row],[Selling Price]]</f>
        <v>18582.3</v>
      </c>
      <c r="J1535">
        <f>Orders[[#This Row],[Quantity]]*Orders[[#This Row],[Cost Price]]</f>
        <v>15794.955</v>
      </c>
      <c r="K1535">
        <f>Orders[[#This Row],[Revenue]]-Orders[[#This Row],[Expenses]]</f>
        <v>2787.3449999999993</v>
      </c>
      <c r="L1535" t="s">
        <v>2220</v>
      </c>
      <c r="M1535" t="str">
        <f>_xlfn.XLOOKUP(Orders[[#This Row],[CustomerID]],Customers[CustomerID],Customers[City])</f>
        <v>Florida</v>
      </c>
      <c r="N1535" t="str">
        <f>_xlfn.XLOOKUP(Orders[[#This Row],[CustomerID]],Customers[CustomerID],Customers[CustomerName])</f>
        <v>Ronke Danladi</v>
      </c>
      <c r="O1535" t="str">
        <f>_xlfn.XLOOKUP(Orders[[#This Row],[CustomerID]],Customers[CustomerID],Customers[Gender])</f>
        <v>Female</v>
      </c>
      <c r="P1535">
        <f>_xlfn.XLOOKUP(Orders[[#This Row],[CustomerID]],Customers[CustomerID],Customers[CustomerAge])</f>
        <v>25</v>
      </c>
      <c r="Q1535" t="str">
        <f>IF(Orders[[#This Row],[Age]]&gt;=35,"older","young")</f>
        <v>young</v>
      </c>
      <c r="R1535" t="str">
        <f>_xlfn.XLOOKUP(Orders[[#This Row],[ProductID]],Products[ProductID],Products[ProductName])</f>
        <v>SILVER RINGS</v>
      </c>
      <c r="S1535" t="str">
        <f>_xlfn.XLOOKUP(Orders[[#This Row],[ProductID]],Products!A:A,Products!C:C)</f>
        <v>Accessories</v>
      </c>
    </row>
    <row r="1536" spans="1:19" x14ac:dyDescent="0.2">
      <c r="A1536" s="4" t="s">
        <v>1725</v>
      </c>
      <c r="B1536" s="5">
        <v>46009</v>
      </c>
      <c r="C1536" s="15">
        <f>WEEKNUM(Orders[[#This Row],[OrderDate]])</f>
        <v>51</v>
      </c>
      <c r="D1536" s="4" t="s">
        <v>73</v>
      </c>
      <c r="E1536" s="4" t="s">
        <v>130</v>
      </c>
      <c r="F1536" s="4">
        <v>1</v>
      </c>
      <c r="G1536" s="4">
        <v>3680.5</v>
      </c>
      <c r="H1536">
        <v>3128.4250000000002</v>
      </c>
      <c r="I1536">
        <f>Orders[[#This Row],[Quantity]]*Orders[[#This Row],[Selling Price]]</f>
        <v>3680.5</v>
      </c>
      <c r="J1536">
        <f>Orders[[#This Row],[Quantity]]*Orders[[#This Row],[Cost Price]]</f>
        <v>3128.4250000000002</v>
      </c>
      <c r="K1536">
        <f>Orders[[#This Row],[Revenue]]-Orders[[#This Row],[Expenses]]</f>
        <v>552.07499999999982</v>
      </c>
      <c r="L1536" t="s">
        <v>2215</v>
      </c>
      <c r="M1536" t="str">
        <f>_xlfn.XLOOKUP(Orders[[#This Row],[CustomerID]],Customers[CustomerID],Customers[City])</f>
        <v>California</v>
      </c>
      <c r="N1536" t="str">
        <f>_xlfn.XLOOKUP(Orders[[#This Row],[CustomerID]],Customers[CustomerID],Customers[CustomerName])</f>
        <v>Ronke Okonkwo</v>
      </c>
      <c r="O1536" t="str">
        <f>_xlfn.XLOOKUP(Orders[[#This Row],[CustomerID]],Customers[CustomerID],Customers[Gender])</f>
        <v>Female</v>
      </c>
      <c r="P1536">
        <f>_xlfn.XLOOKUP(Orders[[#This Row],[CustomerID]],Customers[CustomerID],Customers[CustomerAge])</f>
        <v>20</v>
      </c>
      <c r="Q1536" t="str">
        <f>IF(Orders[[#This Row],[Age]]&gt;=35,"older","young")</f>
        <v>young</v>
      </c>
      <c r="R1536" t="str">
        <f>_xlfn.XLOOKUP(Orders[[#This Row],[ProductID]],Products[ProductID],Products[ProductName])</f>
        <v>GOLD EARRINGS AND NECKLACES</v>
      </c>
      <c r="S1536" t="str">
        <f>_xlfn.XLOOKUP(Orders[[#This Row],[ProductID]],Products!A:A,Products!C:C)</f>
        <v>Accessories</v>
      </c>
    </row>
    <row r="1537" spans="1:19" x14ac:dyDescent="0.2">
      <c r="A1537" s="4" t="s">
        <v>1726</v>
      </c>
      <c r="B1537" s="5">
        <v>45976</v>
      </c>
      <c r="C1537" s="15">
        <f>WEEKNUM(Orders[[#This Row],[OrderDate]])</f>
        <v>46</v>
      </c>
      <c r="D1537" s="4" t="s">
        <v>307</v>
      </c>
      <c r="E1537" s="4" t="s">
        <v>9</v>
      </c>
      <c r="F1537" s="4">
        <v>9</v>
      </c>
      <c r="G1537" s="4">
        <v>8589.5</v>
      </c>
      <c r="H1537">
        <v>7301.0749999999998</v>
      </c>
      <c r="I1537">
        <f>Orders[[#This Row],[Quantity]]*Orders[[#This Row],[Selling Price]]</f>
        <v>77305.5</v>
      </c>
      <c r="J1537">
        <f>Orders[[#This Row],[Quantity]]*Orders[[#This Row],[Cost Price]]</f>
        <v>65709.675000000003</v>
      </c>
      <c r="K1537">
        <f>Orders[[#This Row],[Revenue]]-Orders[[#This Row],[Expenses]]</f>
        <v>11595.824999999997</v>
      </c>
      <c r="L1537" t="s">
        <v>2211</v>
      </c>
      <c r="M1537" t="str">
        <f>_xlfn.XLOOKUP(Orders[[#This Row],[CustomerID]],Customers[CustomerID],Customers[City])</f>
        <v>Illinois</v>
      </c>
      <c r="N1537" t="str">
        <f>_xlfn.XLOOKUP(Orders[[#This Row],[CustomerID]],Customers[CustomerID],Customers[CustomerName])</f>
        <v>Adanma Bello</v>
      </c>
      <c r="O1537" t="str">
        <f>_xlfn.XLOOKUP(Orders[[#This Row],[CustomerID]],Customers[CustomerID],Customers[Gender])</f>
        <v>Female</v>
      </c>
      <c r="P1537">
        <f>_xlfn.XLOOKUP(Orders[[#This Row],[CustomerID]],Customers[CustomerID],Customers[CustomerAge])</f>
        <v>51</v>
      </c>
      <c r="Q1537" t="str">
        <f>IF(Orders[[#This Row],[Age]]&gt;=35,"older","young")</f>
        <v>older</v>
      </c>
      <c r="R1537" t="str">
        <f>_xlfn.XLOOKUP(Orders[[#This Row],[ProductID]],Products[ProductID],Products[ProductName])</f>
        <v>BEADED EARRINGS AND NECKLACES</v>
      </c>
      <c r="S1537" t="str">
        <f>_xlfn.XLOOKUP(Orders[[#This Row],[ProductID]],Products!A:A,Products!C:C)</f>
        <v>Accessories</v>
      </c>
    </row>
    <row r="1538" spans="1:19" x14ac:dyDescent="0.2">
      <c r="A1538" s="4" t="s">
        <v>1727</v>
      </c>
      <c r="B1538" s="5">
        <v>46004</v>
      </c>
      <c r="C1538" s="15">
        <f>WEEKNUM(Orders[[#This Row],[OrderDate]])</f>
        <v>50</v>
      </c>
      <c r="D1538" s="4" t="s">
        <v>282</v>
      </c>
      <c r="E1538" s="4" t="s">
        <v>28</v>
      </c>
      <c r="F1538" s="4">
        <v>4</v>
      </c>
      <c r="G1538" s="4">
        <v>3544.5</v>
      </c>
      <c r="H1538">
        <v>3012.8249999999998</v>
      </c>
      <c r="I1538">
        <f>Orders[[#This Row],[Quantity]]*Orders[[#This Row],[Selling Price]]</f>
        <v>14178</v>
      </c>
      <c r="J1538">
        <f>Orders[[#This Row],[Quantity]]*Orders[[#This Row],[Cost Price]]</f>
        <v>12051.3</v>
      </c>
      <c r="K1538">
        <f>Orders[[#This Row],[Revenue]]-Orders[[#This Row],[Expenses]]</f>
        <v>2126.7000000000007</v>
      </c>
      <c r="L1538" t="s">
        <v>2199</v>
      </c>
      <c r="M1538" t="str">
        <f>_xlfn.XLOOKUP(Orders[[#This Row],[CustomerID]],Customers[CustomerID],Customers[City])</f>
        <v>Texas</v>
      </c>
      <c r="N1538" t="str">
        <f>_xlfn.XLOOKUP(Orders[[#This Row],[CustomerID]],Customers[CustomerID],Customers[CustomerName])</f>
        <v>Bisi Ojo</v>
      </c>
      <c r="O1538" t="str">
        <f>_xlfn.XLOOKUP(Orders[[#This Row],[CustomerID]],Customers[CustomerID],Customers[Gender])</f>
        <v>Female</v>
      </c>
      <c r="P1538">
        <f>_xlfn.XLOOKUP(Orders[[#This Row],[CustomerID]],Customers[CustomerID],Customers[CustomerAge])</f>
        <v>26</v>
      </c>
      <c r="Q1538" t="str">
        <f>IF(Orders[[#This Row],[Age]]&gt;=35,"older","young")</f>
        <v>young</v>
      </c>
      <c r="R1538" t="str">
        <f>_xlfn.XLOOKUP(Orders[[#This Row],[ProductID]],Products[ProductID],Products[ProductName])</f>
        <v>SNEAKERS</v>
      </c>
      <c r="S1538" t="str">
        <f>_xlfn.XLOOKUP(Orders[[#This Row],[ProductID]],Products!A:A,Products!C:C)</f>
        <v>Sports</v>
      </c>
    </row>
    <row r="1539" spans="1:19" x14ac:dyDescent="0.2">
      <c r="A1539" s="4" t="s">
        <v>1728</v>
      </c>
      <c r="B1539" s="5">
        <v>45943</v>
      </c>
      <c r="C1539" s="15">
        <f>WEEKNUM(Orders[[#This Row],[OrderDate]])</f>
        <v>42</v>
      </c>
      <c r="D1539" s="4" t="s">
        <v>418</v>
      </c>
      <c r="E1539" s="4" t="s">
        <v>12</v>
      </c>
      <c r="F1539" s="4">
        <v>2</v>
      </c>
      <c r="G1539" s="4">
        <v>19742.5</v>
      </c>
      <c r="H1539">
        <v>16781.125</v>
      </c>
      <c r="I1539">
        <f>Orders[[#This Row],[Quantity]]*Orders[[#This Row],[Selling Price]]</f>
        <v>39485</v>
      </c>
      <c r="J1539">
        <f>Orders[[#This Row],[Quantity]]*Orders[[#This Row],[Cost Price]]</f>
        <v>33562.25</v>
      </c>
      <c r="K1539">
        <f>Orders[[#This Row],[Revenue]]-Orders[[#This Row],[Expenses]]</f>
        <v>5922.75</v>
      </c>
      <c r="L1539" t="s">
        <v>2217</v>
      </c>
      <c r="M1539" t="str">
        <f>_xlfn.XLOOKUP(Orders[[#This Row],[CustomerID]],Customers[CustomerID],Customers[City])</f>
        <v>Illinois</v>
      </c>
      <c r="N1539" t="str">
        <f>_xlfn.XLOOKUP(Orders[[#This Row],[CustomerID]],Customers[CustomerID],Customers[CustomerName])</f>
        <v>Amina Danladi</v>
      </c>
      <c r="O1539" t="str">
        <f>_xlfn.XLOOKUP(Orders[[#This Row],[CustomerID]],Customers[CustomerID],Customers[Gender])</f>
        <v>Female</v>
      </c>
      <c r="P1539">
        <f>_xlfn.XLOOKUP(Orders[[#This Row],[CustomerID]],Customers[CustomerID],Customers[CustomerAge])</f>
        <v>20</v>
      </c>
      <c r="Q1539" t="str">
        <f>IF(Orders[[#This Row],[Age]]&gt;=35,"older","young")</f>
        <v>young</v>
      </c>
      <c r="R1539" t="str">
        <f>_xlfn.XLOOKUP(Orders[[#This Row],[ProductID]],Products[ProductID],Products[ProductName])</f>
        <v>BOUBOU</v>
      </c>
      <c r="S1539" t="str">
        <f>_xlfn.XLOOKUP(Orders[[#This Row],[ProductID]],Products!A:A,Products!C:C)</f>
        <v>Clothing</v>
      </c>
    </row>
    <row r="1540" spans="1:19" x14ac:dyDescent="0.2">
      <c r="A1540" s="4" t="s">
        <v>1729</v>
      </c>
      <c r="B1540" s="5">
        <v>46001</v>
      </c>
      <c r="C1540" s="15">
        <f>WEEKNUM(Orders[[#This Row],[OrderDate]])</f>
        <v>50</v>
      </c>
      <c r="D1540" s="4" t="s">
        <v>410</v>
      </c>
      <c r="E1540" s="4" t="s">
        <v>23</v>
      </c>
      <c r="F1540" s="4">
        <v>3</v>
      </c>
      <c r="G1540" s="4">
        <v>3758.7</v>
      </c>
      <c r="H1540">
        <v>3194.895</v>
      </c>
      <c r="I1540">
        <f>Orders[[#This Row],[Quantity]]*Orders[[#This Row],[Selling Price]]</f>
        <v>11276.099999999999</v>
      </c>
      <c r="J1540">
        <f>Orders[[#This Row],[Quantity]]*Orders[[#This Row],[Cost Price]]</f>
        <v>9584.6849999999995</v>
      </c>
      <c r="K1540">
        <f>Orders[[#This Row],[Revenue]]-Orders[[#This Row],[Expenses]]</f>
        <v>1691.4149999999991</v>
      </c>
      <c r="L1540" t="s">
        <v>2195</v>
      </c>
      <c r="M1540" t="str">
        <f>_xlfn.XLOOKUP(Orders[[#This Row],[CustomerID]],Customers[CustomerID],Customers[City])</f>
        <v>Texas</v>
      </c>
      <c r="N1540" t="str">
        <f>_xlfn.XLOOKUP(Orders[[#This Row],[CustomerID]],Customers[CustomerID],Customers[CustomerName])</f>
        <v>Jane Thomas</v>
      </c>
      <c r="O1540" t="str">
        <f>_xlfn.XLOOKUP(Orders[[#This Row],[CustomerID]],Customers[CustomerID],Customers[Gender])</f>
        <v>Male</v>
      </c>
      <c r="P1540">
        <f>_xlfn.XLOOKUP(Orders[[#This Row],[CustomerID]],Customers[CustomerID],Customers[CustomerAge])</f>
        <v>21</v>
      </c>
      <c r="Q1540" t="str">
        <f>IF(Orders[[#This Row],[Age]]&gt;=35,"older","young")</f>
        <v>young</v>
      </c>
      <c r="R1540" t="str">
        <f>_xlfn.XLOOKUP(Orders[[#This Row],[ProductID]],Products[ProductID],Products[ProductName])</f>
        <v>GYM GLOVES</v>
      </c>
      <c r="S1540" t="str">
        <f>_xlfn.XLOOKUP(Orders[[#This Row],[ProductID]],Products!A:A,Products!C:C)</f>
        <v>Gym</v>
      </c>
    </row>
    <row r="1541" spans="1:19" x14ac:dyDescent="0.2">
      <c r="A1541" s="4" t="s">
        <v>1730</v>
      </c>
      <c r="B1541" s="5">
        <v>46009</v>
      </c>
      <c r="C1541" s="15">
        <f>WEEKNUM(Orders[[#This Row],[OrderDate]])</f>
        <v>51</v>
      </c>
      <c r="D1541" s="4" t="s">
        <v>178</v>
      </c>
      <c r="E1541" s="4" t="s">
        <v>34</v>
      </c>
      <c r="F1541" s="4">
        <v>10</v>
      </c>
      <c r="G1541" s="4">
        <v>17372.400000000001</v>
      </c>
      <c r="H1541">
        <v>14766.54</v>
      </c>
      <c r="I1541">
        <f>Orders[[#This Row],[Quantity]]*Orders[[#This Row],[Selling Price]]</f>
        <v>173724</v>
      </c>
      <c r="J1541">
        <f>Orders[[#This Row],[Quantity]]*Orders[[#This Row],[Cost Price]]</f>
        <v>147665.40000000002</v>
      </c>
      <c r="K1541">
        <f>Orders[[#This Row],[Revenue]]-Orders[[#This Row],[Expenses]]</f>
        <v>26058.599999999977</v>
      </c>
      <c r="L1541" t="s">
        <v>2192</v>
      </c>
      <c r="M1541" t="str">
        <f>_xlfn.XLOOKUP(Orders[[#This Row],[CustomerID]],Customers[CustomerID],Customers[City])</f>
        <v>Florida</v>
      </c>
      <c r="N1541" t="str">
        <f>_xlfn.XLOOKUP(Orders[[#This Row],[CustomerID]],Customers[CustomerID],Customers[CustomerName])</f>
        <v>Ibrahim Igwe</v>
      </c>
      <c r="O1541" t="str">
        <f>_xlfn.XLOOKUP(Orders[[#This Row],[CustomerID]],Customers[CustomerID],Customers[Gender])</f>
        <v>Male</v>
      </c>
      <c r="P1541">
        <f>_xlfn.XLOOKUP(Orders[[#This Row],[CustomerID]],Customers[CustomerID],Customers[CustomerAge])</f>
        <v>19</v>
      </c>
      <c r="Q1541" t="str">
        <f>IF(Orders[[#This Row],[Age]]&gt;=35,"older","young")</f>
        <v>young</v>
      </c>
      <c r="R1541" t="str">
        <f>_xlfn.XLOOKUP(Orders[[#This Row],[ProductID]],Products[ProductID],Products[ProductName])</f>
        <v>GOLD BRACELETS</v>
      </c>
      <c r="S1541" t="str">
        <f>_xlfn.XLOOKUP(Orders[[#This Row],[ProductID]],Products!A:A,Products!C:C)</f>
        <v>Accessories</v>
      </c>
    </row>
    <row r="1542" spans="1:19" x14ac:dyDescent="0.2">
      <c r="A1542" s="4" t="s">
        <v>1731</v>
      </c>
      <c r="B1542" s="5">
        <v>45971</v>
      </c>
      <c r="C1542" s="15">
        <f>WEEKNUM(Orders[[#This Row],[OrderDate]])</f>
        <v>46</v>
      </c>
      <c r="D1542" s="4" t="s">
        <v>161</v>
      </c>
      <c r="E1542" s="4" t="s">
        <v>81</v>
      </c>
      <c r="F1542" s="4">
        <v>8</v>
      </c>
      <c r="G1542" s="4">
        <v>6531</v>
      </c>
      <c r="H1542">
        <v>5551.35</v>
      </c>
      <c r="I1542">
        <f>Orders[[#This Row],[Quantity]]*Orders[[#This Row],[Selling Price]]</f>
        <v>52248</v>
      </c>
      <c r="J1542">
        <f>Orders[[#This Row],[Quantity]]*Orders[[#This Row],[Cost Price]]</f>
        <v>44410.8</v>
      </c>
      <c r="K1542">
        <f>Orders[[#This Row],[Revenue]]-Orders[[#This Row],[Expenses]]</f>
        <v>7837.1999999999971</v>
      </c>
      <c r="L1542" t="s">
        <v>2220</v>
      </c>
      <c r="M1542" t="str">
        <f>_xlfn.XLOOKUP(Orders[[#This Row],[CustomerID]],Customers[CustomerID],Customers[City])</f>
        <v>Georgia</v>
      </c>
      <c r="N1542" t="str">
        <f>_xlfn.XLOOKUP(Orders[[#This Row],[CustomerID]],Customers[CustomerID],Customers[CustomerName])</f>
        <v>Okon Adeyemi</v>
      </c>
      <c r="O1542" t="str">
        <f>_xlfn.XLOOKUP(Orders[[#This Row],[CustomerID]],Customers[CustomerID],Customers[Gender])</f>
        <v>Male</v>
      </c>
      <c r="P1542">
        <f>_xlfn.XLOOKUP(Orders[[#This Row],[CustomerID]],Customers[CustomerID],Customers[CustomerAge])</f>
        <v>31</v>
      </c>
      <c r="Q1542" t="str">
        <f>IF(Orders[[#This Row],[Age]]&gt;=35,"older","young")</f>
        <v>young</v>
      </c>
      <c r="R1542" t="str">
        <f>_xlfn.XLOOKUP(Orders[[#This Row],[ProductID]],Products[ProductID],Products[ProductName])</f>
        <v>TROUSERS</v>
      </c>
      <c r="S1542" t="str">
        <f>_xlfn.XLOOKUP(Orders[[#This Row],[ProductID]],Products!A:A,Products!C:C)</f>
        <v>Clothing</v>
      </c>
    </row>
    <row r="1543" spans="1:19" x14ac:dyDescent="0.2">
      <c r="A1543" s="4" t="s">
        <v>1732</v>
      </c>
      <c r="B1543" s="5">
        <v>45984</v>
      </c>
      <c r="C1543" s="15">
        <f>WEEKNUM(Orders[[#This Row],[OrderDate]])</f>
        <v>48</v>
      </c>
      <c r="D1543" s="4" t="s">
        <v>237</v>
      </c>
      <c r="E1543" s="4" t="s">
        <v>130</v>
      </c>
      <c r="F1543" s="4">
        <v>3</v>
      </c>
      <c r="G1543" s="4">
        <v>2546.3000000000002</v>
      </c>
      <c r="H1543">
        <v>2164.355</v>
      </c>
      <c r="I1543">
        <f>Orders[[#This Row],[Quantity]]*Orders[[#This Row],[Selling Price]]</f>
        <v>7638.9000000000005</v>
      </c>
      <c r="J1543">
        <f>Orders[[#This Row],[Quantity]]*Orders[[#This Row],[Cost Price]]</f>
        <v>6493.0650000000005</v>
      </c>
      <c r="K1543">
        <f>Orders[[#This Row],[Revenue]]-Orders[[#This Row],[Expenses]]</f>
        <v>1145.835</v>
      </c>
      <c r="L1543" t="s">
        <v>2211</v>
      </c>
      <c r="M1543" t="str">
        <f>_xlfn.XLOOKUP(Orders[[#This Row],[CustomerID]],Customers[CustomerID],Customers[City])</f>
        <v>Florida</v>
      </c>
      <c r="N1543" t="str">
        <f>_xlfn.XLOOKUP(Orders[[#This Row],[CustomerID]],Customers[CustomerID],Customers[CustomerName])</f>
        <v>Ronke Danladi</v>
      </c>
      <c r="O1543" t="str">
        <f>_xlfn.XLOOKUP(Orders[[#This Row],[CustomerID]],Customers[CustomerID],Customers[Gender])</f>
        <v>Female</v>
      </c>
      <c r="P1543">
        <f>_xlfn.XLOOKUP(Orders[[#This Row],[CustomerID]],Customers[CustomerID],Customers[CustomerAge])</f>
        <v>25</v>
      </c>
      <c r="Q1543" t="str">
        <f>IF(Orders[[#This Row],[Age]]&gt;=35,"older","young")</f>
        <v>young</v>
      </c>
      <c r="R1543" t="str">
        <f>_xlfn.XLOOKUP(Orders[[#This Row],[ProductID]],Products[ProductID],Products[ProductName])</f>
        <v>GOLD EARRINGS AND NECKLACES</v>
      </c>
      <c r="S1543" t="str">
        <f>_xlfn.XLOOKUP(Orders[[#This Row],[ProductID]],Products!A:A,Products!C:C)</f>
        <v>Accessories</v>
      </c>
    </row>
    <row r="1544" spans="1:19" x14ac:dyDescent="0.2">
      <c r="A1544" s="4" t="s">
        <v>1733</v>
      </c>
      <c r="B1544" s="5">
        <v>46019</v>
      </c>
      <c r="C1544" s="15">
        <f>WEEKNUM(Orders[[#This Row],[OrderDate]])</f>
        <v>53</v>
      </c>
      <c r="D1544" s="4" t="s">
        <v>138</v>
      </c>
      <c r="E1544" s="4" t="s">
        <v>34</v>
      </c>
      <c r="F1544" s="4">
        <v>7</v>
      </c>
      <c r="G1544" s="4">
        <v>15050.2</v>
      </c>
      <c r="H1544">
        <v>12792.67</v>
      </c>
      <c r="I1544">
        <f>Orders[[#This Row],[Quantity]]*Orders[[#This Row],[Selling Price]]</f>
        <v>105351.40000000001</v>
      </c>
      <c r="J1544">
        <f>Orders[[#This Row],[Quantity]]*Orders[[#This Row],[Cost Price]]</f>
        <v>89548.69</v>
      </c>
      <c r="K1544">
        <f>Orders[[#This Row],[Revenue]]-Orders[[#This Row],[Expenses]]</f>
        <v>15802.710000000006</v>
      </c>
      <c r="L1544" t="s">
        <v>2206</v>
      </c>
      <c r="M1544" t="str">
        <f>_xlfn.XLOOKUP(Orders[[#This Row],[CustomerID]],Customers[CustomerID],Customers[City])</f>
        <v>Washington</v>
      </c>
      <c r="N1544" t="str">
        <f>_xlfn.XLOOKUP(Orders[[#This Row],[CustomerID]],Customers[CustomerID],Customers[CustomerName])</f>
        <v>Efe Adeyemi</v>
      </c>
      <c r="O1544" t="str">
        <f>_xlfn.XLOOKUP(Orders[[#This Row],[CustomerID]],Customers[CustomerID],Customers[Gender])</f>
        <v>Female</v>
      </c>
      <c r="P1544">
        <f>_xlfn.XLOOKUP(Orders[[#This Row],[CustomerID]],Customers[CustomerID],Customers[CustomerAge])</f>
        <v>22</v>
      </c>
      <c r="Q1544" t="str">
        <f>IF(Orders[[#This Row],[Age]]&gt;=35,"older","young")</f>
        <v>young</v>
      </c>
      <c r="R1544" t="str">
        <f>_xlfn.XLOOKUP(Orders[[#This Row],[ProductID]],Products[ProductID],Products[ProductName])</f>
        <v>GOLD BRACELETS</v>
      </c>
      <c r="S1544" t="str">
        <f>_xlfn.XLOOKUP(Orders[[#This Row],[ProductID]],Products!A:A,Products!C:C)</f>
        <v>Accessories</v>
      </c>
    </row>
    <row r="1545" spans="1:19" x14ac:dyDescent="0.2">
      <c r="A1545" s="4" t="s">
        <v>1734</v>
      </c>
      <c r="B1545" s="5">
        <v>45965</v>
      </c>
      <c r="C1545" s="15">
        <f>WEEKNUM(Orders[[#This Row],[OrderDate]])</f>
        <v>45</v>
      </c>
      <c r="D1545" s="4" t="s">
        <v>305</v>
      </c>
      <c r="E1545" s="4" t="s">
        <v>20</v>
      </c>
      <c r="F1545" s="4">
        <v>2</v>
      </c>
      <c r="G1545" s="4">
        <v>13629.400000000001</v>
      </c>
      <c r="H1545">
        <v>11584.990000000002</v>
      </c>
      <c r="I1545">
        <f>Orders[[#This Row],[Quantity]]*Orders[[#This Row],[Selling Price]]</f>
        <v>27258.800000000003</v>
      </c>
      <c r="J1545">
        <f>Orders[[#This Row],[Quantity]]*Orders[[#This Row],[Cost Price]]</f>
        <v>23169.980000000003</v>
      </c>
      <c r="K1545">
        <f>Orders[[#This Row],[Revenue]]-Orders[[#This Row],[Expenses]]</f>
        <v>4088.8199999999997</v>
      </c>
      <c r="L1545" t="s">
        <v>2193</v>
      </c>
      <c r="M1545" t="str">
        <f>_xlfn.XLOOKUP(Orders[[#This Row],[CustomerID]],Customers[CustomerID],Customers[City])</f>
        <v>California</v>
      </c>
      <c r="N1545" t="str">
        <f>_xlfn.XLOOKUP(Orders[[#This Row],[CustomerID]],Customers[CustomerID],Customers[CustomerName])</f>
        <v>Tunde Danladi</v>
      </c>
      <c r="O1545" t="str">
        <f>_xlfn.XLOOKUP(Orders[[#This Row],[CustomerID]],Customers[CustomerID],Customers[Gender])</f>
        <v>Male</v>
      </c>
      <c r="P1545">
        <f>_xlfn.XLOOKUP(Orders[[#This Row],[CustomerID]],Customers[CustomerID],Customers[CustomerAge])</f>
        <v>40</v>
      </c>
      <c r="Q1545" t="str">
        <f>IF(Orders[[#This Row],[Age]]&gt;=35,"older","young")</f>
        <v>older</v>
      </c>
      <c r="R1545" t="str">
        <f>_xlfn.XLOOKUP(Orders[[#This Row],[ProductID]],Products[ProductID],Products[ProductName])</f>
        <v>GYM BAG</v>
      </c>
      <c r="S1545" t="str">
        <f>_xlfn.XLOOKUP(Orders[[#This Row],[ProductID]],Products!A:A,Products!C:C)</f>
        <v>Gym</v>
      </c>
    </row>
    <row r="1546" spans="1:19" x14ac:dyDescent="0.2">
      <c r="A1546" s="4" t="s">
        <v>1735</v>
      </c>
      <c r="B1546" s="5">
        <v>45997</v>
      </c>
      <c r="C1546" s="15">
        <f>WEEKNUM(Orders[[#This Row],[OrderDate]])</f>
        <v>49</v>
      </c>
      <c r="D1546" s="4" t="s">
        <v>280</v>
      </c>
      <c r="E1546" s="4" t="s">
        <v>12</v>
      </c>
      <c r="F1546" s="4">
        <v>7</v>
      </c>
      <c r="G1546" s="4">
        <v>5429.2</v>
      </c>
      <c r="H1546">
        <v>4614.82</v>
      </c>
      <c r="I1546">
        <f>Orders[[#This Row],[Quantity]]*Orders[[#This Row],[Selling Price]]</f>
        <v>38004.400000000001</v>
      </c>
      <c r="J1546">
        <f>Orders[[#This Row],[Quantity]]*Orders[[#This Row],[Cost Price]]</f>
        <v>32303.739999999998</v>
      </c>
      <c r="K1546">
        <f>Orders[[#This Row],[Revenue]]-Orders[[#This Row],[Expenses]]</f>
        <v>5700.6600000000035</v>
      </c>
      <c r="L1546" t="s">
        <v>2210</v>
      </c>
      <c r="M1546" t="str">
        <f>_xlfn.XLOOKUP(Orders[[#This Row],[CustomerID]],Customers[CustomerID],Customers[City])</f>
        <v>Texas</v>
      </c>
      <c r="N1546" t="str">
        <f>_xlfn.XLOOKUP(Orders[[#This Row],[CustomerID]],Customers[CustomerID],Customers[CustomerName])</f>
        <v>Folasade Okonkwo</v>
      </c>
      <c r="O1546" t="str">
        <f>_xlfn.XLOOKUP(Orders[[#This Row],[CustomerID]],Customers[CustomerID],Customers[Gender])</f>
        <v>Female</v>
      </c>
      <c r="P1546">
        <f>_xlfn.XLOOKUP(Orders[[#This Row],[CustomerID]],Customers[CustomerID],Customers[CustomerAge])</f>
        <v>21</v>
      </c>
      <c r="Q1546" t="str">
        <f>IF(Orders[[#This Row],[Age]]&gt;=35,"older","young")</f>
        <v>young</v>
      </c>
      <c r="R1546" t="str">
        <f>_xlfn.XLOOKUP(Orders[[#This Row],[ProductID]],Products[ProductID],Products[ProductName])</f>
        <v>BOUBOU</v>
      </c>
      <c r="S1546" t="str">
        <f>_xlfn.XLOOKUP(Orders[[#This Row],[ProductID]],Products!A:A,Products!C:C)</f>
        <v>Clothing</v>
      </c>
    </row>
    <row r="1547" spans="1:19" x14ac:dyDescent="0.2">
      <c r="A1547" s="4" t="s">
        <v>1736</v>
      </c>
      <c r="B1547" s="5">
        <v>45977</v>
      </c>
      <c r="C1547" s="15">
        <f>WEEKNUM(Orders[[#This Row],[OrderDate]])</f>
        <v>47</v>
      </c>
      <c r="D1547" s="4" t="s">
        <v>132</v>
      </c>
      <c r="E1547" s="4" t="s">
        <v>168</v>
      </c>
      <c r="F1547" s="4">
        <v>4</v>
      </c>
      <c r="G1547" s="4">
        <v>3337.7</v>
      </c>
      <c r="H1547">
        <v>2837.0450000000001</v>
      </c>
      <c r="I1547">
        <f>Orders[[#This Row],[Quantity]]*Orders[[#This Row],[Selling Price]]</f>
        <v>13350.8</v>
      </c>
      <c r="J1547">
        <f>Orders[[#This Row],[Quantity]]*Orders[[#This Row],[Cost Price]]</f>
        <v>11348.18</v>
      </c>
      <c r="K1547">
        <f>Orders[[#This Row],[Revenue]]-Orders[[#This Row],[Expenses]]</f>
        <v>2002.619999999999</v>
      </c>
      <c r="L1547" t="s">
        <v>2216</v>
      </c>
      <c r="M1547" t="str">
        <f>_xlfn.XLOOKUP(Orders[[#This Row],[CustomerID]],Customers[CustomerID],Customers[City])</f>
        <v>Illinois</v>
      </c>
      <c r="N1547" t="str">
        <f>_xlfn.XLOOKUP(Orders[[#This Row],[CustomerID]],Customers[CustomerID],Customers[CustomerName])</f>
        <v>Emeka Balogun</v>
      </c>
      <c r="O1547" t="str">
        <f>_xlfn.XLOOKUP(Orders[[#This Row],[CustomerID]],Customers[CustomerID],Customers[Gender])</f>
        <v>Male</v>
      </c>
      <c r="P1547">
        <f>_xlfn.XLOOKUP(Orders[[#This Row],[CustomerID]],Customers[CustomerID],Customers[CustomerAge])</f>
        <v>36</v>
      </c>
      <c r="Q1547" t="str">
        <f>IF(Orders[[#This Row],[Age]]&gt;=35,"older","young")</f>
        <v>older</v>
      </c>
      <c r="R1547" t="str">
        <f>_xlfn.XLOOKUP(Orders[[#This Row],[ProductID]],Products[ProductID],Products[ProductName])</f>
        <v>DUMB BELLS</v>
      </c>
      <c r="S1547" t="str">
        <f>_xlfn.XLOOKUP(Orders[[#This Row],[ProductID]],Products!A:A,Products!C:C)</f>
        <v>Gym</v>
      </c>
    </row>
    <row r="1548" spans="1:19" x14ac:dyDescent="0.2">
      <c r="A1548" s="4" t="s">
        <v>1737</v>
      </c>
      <c r="B1548" s="5">
        <v>46012</v>
      </c>
      <c r="C1548" s="15">
        <f>WEEKNUM(Orders[[#This Row],[OrderDate]])</f>
        <v>52</v>
      </c>
      <c r="D1548" s="4" t="s">
        <v>517</v>
      </c>
      <c r="E1548" s="4" t="s">
        <v>127</v>
      </c>
      <c r="F1548" s="4">
        <v>2</v>
      </c>
      <c r="G1548" s="4">
        <v>17396.300000000003</v>
      </c>
      <c r="H1548">
        <v>14786.855000000003</v>
      </c>
      <c r="I1548">
        <f>Orders[[#This Row],[Quantity]]*Orders[[#This Row],[Selling Price]]</f>
        <v>34792.600000000006</v>
      </c>
      <c r="J1548">
        <f>Orders[[#This Row],[Quantity]]*Orders[[#This Row],[Cost Price]]</f>
        <v>29573.710000000006</v>
      </c>
      <c r="K1548">
        <f>Orders[[#This Row],[Revenue]]-Orders[[#This Row],[Expenses]]</f>
        <v>5218.8899999999994</v>
      </c>
      <c r="L1548" t="s">
        <v>2216</v>
      </c>
      <c r="M1548" t="str">
        <f>_xlfn.XLOOKUP(Orders[[#This Row],[CustomerID]],Customers[CustomerID],Customers[City])</f>
        <v>Florida</v>
      </c>
      <c r="N1548" t="str">
        <f>_xlfn.XLOOKUP(Orders[[#This Row],[CustomerID]],Customers[CustomerID],Customers[CustomerName])</f>
        <v>Efe Adeyemi</v>
      </c>
      <c r="O1548" t="str">
        <f>_xlfn.XLOOKUP(Orders[[#This Row],[CustomerID]],Customers[CustomerID],Customers[Gender])</f>
        <v>Female</v>
      </c>
      <c r="P1548">
        <f>_xlfn.XLOOKUP(Orders[[#This Row],[CustomerID]],Customers[CustomerID],Customers[CustomerAge])</f>
        <v>25</v>
      </c>
      <c r="Q1548" t="str">
        <f>IF(Orders[[#This Row],[Age]]&gt;=35,"older","young")</f>
        <v>young</v>
      </c>
      <c r="R1548" t="str">
        <f>_xlfn.XLOOKUP(Orders[[#This Row],[ProductID]],Products[ProductID],Products[ProductName])</f>
        <v>TOPS</v>
      </c>
      <c r="S1548" t="str">
        <f>_xlfn.XLOOKUP(Orders[[#This Row],[ProductID]],Products!A:A,Products!C:C)</f>
        <v>Clothing</v>
      </c>
    </row>
    <row r="1549" spans="1:19" x14ac:dyDescent="0.2">
      <c r="A1549" s="4" t="s">
        <v>1738</v>
      </c>
      <c r="B1549" s="5">
        <v>45935</v>
      </c>
      <c r="C1549" s="15">
        <f>WEEKNUM(Orders[[#This Row],[OrderDate]])</f>
        <v>41</v>
      </c>
      <c r="D1549" s="4" t="s">
        <v>418</v>
      </c>
      <c r="E1549" s="4" t="s">
        <v>60</v>
      </c>
      <c r="F1549" s="4">
        <v>6</v>
      </c>
      <c r="G1549" s="4">
        <v>6137.1</v>
      </c>
      <c r="H1549">
        <v>5216.5349999999999</v>
      </c>
      <c r="I1549">
        <f>Orders[[#This Row],[Quantity]]*Orders[[#This Row],[Selling Price]]</f>
        <v>36822.600000000006</v>
      </c>
      <c r="J1549">
        <f>Orders[[#This Row],[Quantity]]*Orders[[#This Row],[Cost Price]]</f>
        <v>31299.21</v>
      </c>
      <c r="K1549">
        <f>Orders[[#This Row],[Revenue]]-Orders[[#This Row],[Expenses]]</f>
        <v>5523.3900000000067</v>
      </c>
      <c r="L1549" t="s">
        <v>2194</v>
      </c>
      <c r="M1549" t="str">
        <f>_xlfn.XLOOKUP(Orders[[#This Row],[CustomerID]],Customers[CustomerID],Customers[City])</f>
        <v>Illinois</v>
      </c>
      <c r="N1549" t="str">
        <f>_xlfn.XLOOKUP(Orders[[#This Row],[CustomerID]],Customers[CustomerID],Customers[CustomerName])</f>
        <v>Amina Danladi</v>
      </c>
      <c r="O1549" t="str">
        <f>_xlfn.XLOOKUP(Orders[[#This Row],[CustomerID]],Customers[CustomerID],Customers[Gender])</f>
        <v>Female</v>
      </c>
      <c r="P1549">
        <f>_xlfn.XLOOKUP(Orders[[#This Row],[CustomerID]],Customers[CustomerID],Customers[CustomerAge])</f>
        <v>20</v>
      </c>
      <c r="Q1549" t="str">
        <f>IF(Orders[[#This Row],[Age]]&gt;=35,"older","young")</f>
        <v>young</v>
      </c>
      <c r="R1549" t="str">
        <f>_xlfn.XLOOKUP(Orders[[#This Row],[ProductID]],Products[ProductID],Products[ProductName])</f>
        <v>SILVER RINGS</v>
      </c>
      <c r="S1549" t="str">
        <f>_xlfn.XLOOKUP(Orders[[#This Row],[ProductID]],Products!A:A,Products!C:C)</f>
        <v>Accessories</v>
      </c>
    </row>
    <row r="1550" spans="1:19" x14ac:dyDescent="0.2">
      <c r="A1550" s="4" t="s">
        <v>1739</v>
      </c>
      <c r="B1550" s="5">
        <v>45997</v>
      </c>
      <c r="C1550" s="15">
        <f>WEEKNUM(Orders[[#This Row],[OrderDate]])</f>
        <v>49</v>
      </c>
      <c r="D1550" s="4" t="s">
        <v>212</v>
      </c>
      <c r="E1550" s="4" t="s">
        <v>125</v>
      </c>
      <c r="F1550" s="4">
        <v>5</v>
      </c>
      <c r="G1550" s="4">
        <v>14149.5</v>
      </c>
      <c r="H1550">
        <v>12027.075000000001</v>
      </c>
      <c r="I1550">
        <f>Orders[[#This Row],[Quantity]]*Orders[[#This Row],[Selling Price]]</f>
        <v>70747.5</v>
      </c>
      <c r="J1550">
        <f>Orders[[#This Row],[Quantity]]*Orders[[#This Row],[Cost Price]]</f>
        <v>60135.375</v>
      </c>
      <c r="K1550">
        <f>Orders[[#This Row],[Revenue]]-Orders[[#This Row],[Expenses]]</f>
        <v>10612.125</v>
      </c>
      <c r="L1550" t="s">
        <v>2195</v>
      </c>
      <c r="M1550" t="str">
        <f>_xlfn.XLOOKUP(Orders[[#This Row],[CustomerID]],Customers[CustomerID],Customers[City])</f>
        <v>Illinois</v>
      </c>
      <c r="N1550" t="str">
        <f>_xlfn.XLOOKUP(Orders[[#This Row],[CustomerID]],Customers[CustomerID],Customers[CustomerName])</f>
        <v>Ngozi Ojo</v>
      </c>
      <c r="O1550" t="str">
        <f>_xlfn.XLOOKUP(Orders[[#This Row],[CustomerID]],Customers[CustomerID],Customers[Gender])</f>
        <v>Female</v>
      </c>
      <c r="P1550">
        <f>_xlfn.XLOOKUP(Orders[[#This Row],[CustomerID]],Customers[CustomerID],Customers[CustomerAge])</f>
        <v>53</v>
      </c>
      <c r="Q1550" t="str">
        <f>IF(Orders[[#This Row],[Age]]&gt;=35,"older","young")</f>
        <v>older</v>
      </c>
      <c r="R1550" t="str">
        <f>_xlfn.XLOOKUP(Orders[[#This Row],[ProductID]],Products[ProductID],Products[ProductName])</f>
        <v>EARRINGS</v>
      </c>
      <c r="S1550" t="str">
        <f>_xlfn.XLOOKUP(Orders[[#This Row],[ProductID]],Products!A:A,Products!C:C)</f>
        <v>Accessories</v>
      </c>
    </row>
    <row r="1551" spans="1:19" x14ac:dyDescent="0.2">
      <c r="A1551" s="4" t="s">
        <v>1740</v>
      </c>
      <c r="B1551" s="5">
        <v>45978</v>
      </c>
      <c r="C1551" s="15">
        <f>WEEKNUM(Orders[[#This Row],[OrderDate]])</f>
        <v>47</v>
      </c>
      <c r="D1551" s="4" t="s">
        <v>246</v>
      </c>
      <c r="E1551" s="4" t="s">
        <v>63</v>
      </c>
      <c r="F1551" s="4">
        <v>7</v>
      </c>
      <c r="G1551" s="4">
        <v>14510.8</v>
      </c>
      <c r="H1551">
        <v>12334.18</v>
      </c>
      <c r="I1551">
        <f>Orders[[#This Row],[Quantity]]*Orders[[#This Row],[Selling Price]]</f>
        <v>101575.59999999999</v>
      </c>
      <c r="J1551">
        <f>Orders[[#This Row],[Quantity]]*Orders[[#This Row],[Cost Price]]</f>
        <v>86339.260000000009</v>
      </c>
      <c r="K1551">
        <f>Orders[[#This Row],[Revenue]]-Orders[[#This Row],[Expenses]]</f>
        <v>15236.339999999982</v>
      </c>
      <c r="L1551" t="s">
        <v>2196</v>
      </c>
      <c r="M1551" t="str">
        <f>_xlfn.XLOOKUP(Orders[[#This Row],[CustomerID]],Customers[CustomerID],Customers[City])</f>
        <v>Florida</v>
      </c>
      <c r="N1551" t="str">
        <f>_xlfn.XLOOKUP(Orders[[#This Row],[CustomerID]],Customers[CustomerID],Customers[CustomerName])</f>
        <v>Emeka Abubakar</v>
      </c>
      <c r="O1551" t="str">
        <f>_xlfn.XLOOKUP(Orders[[#This Row],[CustomerID]],Customers[CustomerID],Customers[Gender])</f>
        <v>Male</v>
      </c>
      <c r="P1551">
        <f>_xlfn.XLOOKUP(Orders[[#This Row],[CustomerID]],Customers[CustomerID],Customers[CustomerAge])</f>
        <v>28</v>
      </c>
      <c r="Q1551" t="str">
        <f>IF(Orders[[#This Row],[Age]]&gt;=35,"older","young")</f>
        <v>young</v>
      </c>
      <c r="R1551" t="str">
        <f>_xlfn.XLOOKUP(Orders[[#This Row],[ProductID]],Products[ProductID],Products[ProductName])</f>
        <v>TENNIS BAT</v>
      </c>
      <c r="S1551" t="str">
        <f>_xlfn.XLOOKUP(Orders[[#This Row],[ProductID]],Products!A:A,Products!C:C)</f>
        <v>Sports</v>
      </c>
    </row>
    <row r="1552" spans="1:19" x14ac:dyDescent="0.2">
      <c r="A1552" s="4" t="s">
        <v>1741</v>
      </c>
      <c r="B1552" s="5">
        <v>45995</v>
      </c>
      <c r="C1552" s="15">
        <f>WEEKNUM(Orders[[#This Row],[OrderDate]])</f>
        <v>49</v>
      </c>
      <c r="D1552" s="4" t="s">
        <v>83</v>
      </c>
      <c r="E1552" s="4" t="s">
        <v>111</v>
      </c>
      <c r="F1552" s="4">
        <v>6</v>
      </c>
      <c r="G1552" s="4">
        <v>18509.8</v>
      </c>
      <c r="H1552">
        <v>15733.33</v>
      </c>
      <c r="I1552">
        <f>Orders[[#This Row],[Quantity]]*Orders[[#This Row],[Selling Price]]</f>
        <v>111058.79999999999</v>
      </c>
      <c r="J1552">
        <f>Orders[[#This Row],[Quantity]]*Orders[[#This Row],[Cost Price]]</f>
        <v>94399.98</v>
      </c>
      <c r="K1552">
        <f>Orders[[#This Row],[Revenue]]-Orders[[#This Row],[Expenses]]</f>
        <v>16658.819999999992</v>
      </c>
      <c r="L1552" t="s">
        <v>2216</v>
      </c>
      <c r="M1552" t="str">
        <f>_xlfn.XLOOKUP(Orders[[#This Row],[CustomerID]],Customers[CustomerID],Customers[City])</f>
        <v>Florida</v>
      </c>
      <c r="N1552" t="str">
        <f>_xlfn.XLOOKUP(Orders[[#This Row],[CustomerID]],Customers[CustomerID],Customers[CustomerName])</f>
        <v>Funke Danladi</v>
      </c>
      <c r="O1552" t="str">
        <f>_xlfn.XLOOKUP(Orders[[#This Row],[CustomerID]],Customers[CustomerID],Customers[Gender])</f>
        <v>Female</v>
      </c>
      <c r="P1552">
        <f>_xlfn.XLOOKUP(Orders[[#This Row],[CustomerID]],Customers[CustomerID],Customers[CustomerAge])</f>
        <v>26</v>
      </c>
      <c r="Q1552" t="str">
        <f>IF(Orders[[#This Row],[Age]]&gt;=35,"older","young")</f>
        <v>young</v>
      </c>
      <c r="R1552" t="str">
        <f>_xlfn.XLOOKUP(Orders[[#This Row],[ProductID]],Products[ProductID],Products[ProductName])</f>
        <v>REFRIGERATOR</v>
      </c>
      <c r="S1552" t="str">
        <f>_xlfn.XLOOKUP(Orders[[#This Row],[ProductID]],Products!A:A,Products!C:C)</f>
        <v>Electronics</v>
      </c>
    </row>
    <row r="1553" spans="1:19" x14ac:dyDescent="0.2">
      <c r="A1553" s="4" t="s">
        <v>1742</v>
      </c>
      <c r="B1553" s="5">
        <v>45944</v>
      </c>
      <c r="C1553" s="15">
        <f>WEEKNUM(Orders[[#This Row],[OrderDate]])</f>
        <v>42</v>
      </c>
      <c r="D1553" s="4" t="s">
        <v>322</v>
      </c>
      <c r="E1553" s="4" t="s">
        <v>34</v>
      </c>
      <c r="F1553" s="4">
        <v>1</v>
      </c>
      <c r="G1553" s="4">
        <v>14136.400000000001</v>
      </c>
      <c r="H1553">
        <v>12015.940000000002</v>
      </c>
      <c r="I1553">
        <f>Orders[[#This Row],[Quantity]]*Orders[[#This Row],[Selling Price]]</f>
        <v>14136.400000000001</v>
      </c>
      <c r="J1553">
        <f>Orders[[#This Row],[Quantity]]*Orders[[#This Row],[Cost Price]]</f>
        <v>12015.940000000002</v>
      </c>
      <c r="K1553">
        <f>Orders[[#This Row],[Revenue]]-Orders[[#This Row],[Expenses]]</f>
        <v>2120.4599999999991</v>
      </c>
      <c r="L1553" t="s">
        <v>2209</v>
      </c>
      <c r="M1553" t="str">
        <f>_xlfn.XLOOKUP(Orders[[#This Row],[CustomerID]],Customers[CustomerID],Customers[City])</f>
        <v>Washington</v>
      </c>
      <c r="N1553" t="str">
        <f>_xlfn.XLOOKUP(Orders[[#This Row],[CustomerID]],Customers[CustomerID],Customers[CustomerName])</f>
        <v>Ngozi Bello</v>
      </c>
      <c r="O1553" t="str">
        <f>_xlfn.XLOOKUP(Orders[[#This Row],[CustomerID]],Customers[CustomerID],Customers[Gender])</f>
        <v>Female</v>
      </c>
      <c r="P1553">
        <f>_xlfn.XLOOKUP(Orders[[#This Row],[CustomerID]],Customers[CustomerID],Customers[CustomerAge])</f>
        <v>32</v>
      </c>
      <c r="Q1553" t="str">
        <f>IF(Orders[[#This Row],[Age]]&gt;=35,"older","young")</f>
        <v>young</v>
      </c>
      <c r="R1553" t="str">
        <f>_xlfn.XLOOKUP(Orders[[#This Row],[ProductID]],Products[ProductID],Products[ProductName])</f>
        <v>GOLD BRACELETS</v>
      </c>
      <c r="S1553" t="str">
        <f>_xlfn.XLOOKUP(Orders[[#This Row],[ProductID]],Products!A:A,Products!C:C)</f>
        <v>Accessories</v>
      </c>
    </row>
    <row r="1554" spans="1:19" x14ac:dyDescent="0.2">
      <c r="A1554" s="4" t="s">
        <v>1743</v>
      </c>
      <c r="B1554" s="5">
        <v>46009</v>
      </c>
      <c r="C1554" s="15">
        <f>WEEKNUM(Orders[[#This Row],[OrderDate]])</f>
        <v>51</v>
      </c>
      <c r="D1554" s="4" t="s">
        <v>22</v>
      </c>
      <c r="E1554" s="4" t="s">
        <v>37</v>
      </c>
      <c r="F1554" s="4">
        <v>7</v>
      </c>
      <c r="G1554" s="4">
        <v>18692.7</v>
      </c>
      <c r="H1554">
        <v>15888.795</v>
      </c>
      <c r="I1554">
        <f>Orders[[#This Row],[Quantity]]*Orders[[#This Row],[Selling Price]]</f>
        <v>130848.90000000001</v>
      </c>
      <c r="J1554">
        <f>Orders[[#This Row],[Quantity]]*Orders[[#This Row],[Cost Price]]</f>
        <v>111221.565</v>
      </c>
      <c r="K1554">
        <f>Orders[[#This Row],[Revenue]]-Orders[[#This Row],[Expenses]]</f>
        <v>19627.335000000006</v>
      </c>
      <c r="L1554" t="s">
        <v>2210</v>
      </c>
      <c r="M1554" t="str">
        <f>_xlfn.XLOOKUP(Orders[[#This Row],[CustomerID]],Customers[CustomerID],Customers[City])</f>
        <v>Texas</v>
      </c>
      <c r="N1554" t="str">
        <f>_xlfn.XLOOKUP(Orders[[#This Row],[CustomerID]],Customers[CustomerID],Customers[CustomerName])</f>
        <v>Temi Bello</v>
      </c>
      <c r="O1554" t="str">
        <f>_xlfn.XLOOKUP(Orders[[#This Row],[CustomerID]],Customers[CustomerID],Customers[Gender])</f>
        <v>Female</v>
      </c>
      <c r="P1554">
        <f>_xlfn.XLOOKUP(Orders[[#This Row],[CustomerID]],Customers[CustomerID],Customers[CustomerAge])</f>
        <v>52</v>
      </c>
      <c r="Q1554" t="str">
        <f>IF(Orders[[#This Row],[Age]]&gt;=35,"older","young")</f>
        <v>older</v>
      </c>
      <c r="R1554" t="str">
        <f>_xlfn.XLOOKUP(Orders[[#This Row],[ProductID]],Products[ProductID],Products[ProductName])</f>
        <v>IRON</v>
      </c>
      <c r="S1554" t="str">
        <f>_xlfn.XLOOKUP(Orders[[#This Row],[ProductID]],Products!A:A,Products!C:C)</f>
        <v>Electronics</v>
      </c>
    </row>
    <row r="1555" spans="1:19" x14ac:dyDescent="0.2">
      <c r="A1555" s="4" t="s">
        <v>1744</v>
      </c>
      <c r="B1555" s="5">
        <v>46003</v>
      </c>
      <c r="C1555" s="15">
        <f>WEEKNUM(Orders[[#This Row],[OrderDate]])</f>
        <v>50</v>
      </c>
      <c r="D1555" s="4" t="s">
        <v>101</v>
      </c>
      <c r="E1555" s="4" t="s">
        <v>15</v>
      </c>
      <c r="F1555" s="4">
        <v>8</v>
      </c>
      <c r="G1555" s="4">
        <v>4412.3</v>
      </c>
      <c r="H1555">
        <v>3750.4549999999999</v>
      </c>
      <c r="I1555">
        <f>Orders[[#This Row],[Quantity]]*Orders[[#This Row],[Selling Price]]</f>
        <v>35298.400000000001</v>
      </c>
      <c r="J1555">
        <f>Orders[[#This Row],[Quantity]]*Orders[[#This Row],[Cost Price]]</f>
        <v>30003.64</v>
      </c>
      <c r="K1555">
        <f>Orders[[#This Row],[Revenue]]-Orders[[#This Row],[Expenses]]</f>
        <v>5294.760000000002</v>
      </c>
      <c r="L1555" t="s">
        <v>2199</v>
      </c>
      <c r="M1555" t="str">
        <f>_xlfn.XLOOKUP(Orders[[#This Row],[CustomerID]],Customers[CustomerID],Customers[City])</f>
        <v>Texas</v>
      </c>
      <c r="N1555" t="str">
        <f>_xlfn.XLOOKUP(Orders[[#This Row],[CustomerID]],Customers[CustomerID],Customers[CustomerName])</f>
        <v>Blessing Eze</v>
      </c>
      <c r="O1555" t="str">
        <f>_xlfn.XLOOKUP(Orders[[#This Row],[CustomerID]],Customers[CustomerID],Customers[Gender])</f>
        <v>Female</v>
      </c>
      <c r="P1555">
        <f>_xlfn.XLOOKUP(Orders[[#This Row],[CustomerID]],Customers[CustomerID],Customers[CustomerAge])</f>
        <v>55</v>
      </c>
      <c r="Q1555" t="str">
        <f>IF(Orders[[#This Row],[Age]]&gt;=35,"older","young")</f>
        <v>older</v>
      </c>
      <c r="R1555" t="str">
        <f>_xlfn.XLOOKUP(Orders[[#This Row],[ProductID]],Products[ProductID],Products[ProductName])</f>
        <v>MONOPOLY</v>
      </c>
      <c r="S1555" t="str">
        <f>_xlfn.XLOOKUP(Orders[[#This Row],[ProductID]],Products!A:A,Products!C:C)</f>
        <v>Games</v>
      </c>
    </row>
    <row r="1556" spans="1:19" x14ac:dyDescent="0.2">
      <c r="A1556" s="4" t="s">
        <v>1745</v>
      </c>
      <c r="B1556" s="5">
        <v>45954</v>
      </c>
      <c r="C1556" s="15">
        <f>WEEKNUM(Orders[[#This Row],[OrderDate]])</f>
        <v>43</v>
      </c>
      <c r="D1556" s="4" t="s">
        <v>524</v>
      </c>
      <c r="E1556" s="4" t="s">
        <v>20</v>
      </c>
      <c r="F1556" s="4">
        <v>4</v>
      </c>
      <c r="G1556" s="4">
        <v>7292.1</v>
      </c>
      <c r="H1556">
        <v>6198.2849999999999</v>
      </c>
      <c r="I1556">
        <f>Orders[[#This Row],[Quantity]]*Orders[[#This Row],[Selling Price]]</f>
        <v>29168.400000000001</v>
      </c>
      <c r="J1556">
        <f>Orders[[#This Row],[Quantity]]*Orders[[#This Row],[Cost Price]]</f>
        <v>24793.14</v>
      </c>
      <c r="K1556">
        <f>Orders[[#This Row],[Revenue]]-Orders[[#This Row],[Expenses]]</f>
        <v>4375.260000000002</v>
      </c>
      <c r="L1556" t="s">
        <v>2217</v>
      </c>
      <c r="M1556" t="str">
        <f>_xlfn.XLOOKUP(Orders[[#This Row],[CustomerID]],Customers[CustomerID],Customers[City])</f>
        <v>Florida</v>
      </c>
      <c r="N1556" t="str">
        <f>_xlfn.XLOOKUP(Orders[[#This Row],[CustomerID]],Customers[CustomerID],Customers[CustomerName])</f>
        <v>Chinedu Igwe</v>
      </c>
      <c r="O1556" t="str">
        <f>_xlfn.XLOOKUP(Orders[[#This Row],[CustomerID]],Customers[CustomerID],Customers[Gender])</f>
        <v>Male</v>
      </c>
      <c r="P1556">
        <f>_xlfn.XLOOKUP(Orders[[#This Row],[CustomerID]],Customers[CustomerID],Customers[CustomerAge])</f>
        <v>21</v>
      </c>
      <c r="Q1556" t="str">
        <f>IF(Orders[[#This Row],[Age]]&gt;=35,"older","young")</f>
        <v>young</v>
      </c>
      <c r="R1556" t="str">
        <f>_xlfn.XLOOKUP(Orders[[#This Row],[ProductID]],Products[ProductID],Products[ProductName])</f>
        <v>GYM BAG</v>
      </c>
      <c r="S1556" t="str">
        <f>_xlfn.XLOOKUP(Orders[[#This Row],[ProductID]],Products!A:A,Products!C:C)</f>
        <v>Gym</v>
      </c>
    </row>
    <row r="1557" spans="1:19" x14ac:dyDescent="0.2">
      <c r="A1557" s="4" t="s">
        <v>1746</v>
      </c>
      <c r="B1557" s="5">
        <v>45967</v>
      </c>
      <c r="C1557" s="15">
        <f>WEEKNUM(Orders[[#This Row],[OrderDate]])</f>
        <v>45</v>
      </c>
      <c r="D1557" s="4" t="s">
        <v>184</v>
      </c>
      <c r="E1557" s="4" t="s">
        <v>111</v>
      </c>
      <c r="F1557" s="4">
        <v>9</v>
      </c>
      <c r="G1557" s="4">
        <v>9786.6999999999989</v>
      </c>
      <c r="H1557">
        <v>8318.6949999999997</v>
      </c>
      <c r="I1557">
        <f>Orders[[#This Row],[Quantity]]*Orders[[#This Row],[Selling Price]]</f>
        <v>88080.299999999988</v>
      </c>
      <c r="J1557">
        <f>Orders[[#This Row],[Quantity]]*Orders[[#This Row],[Cost Price]]</f>
        <v>74868.255000000005</v>
      </c>
      <c r="K1557">
        <f>Orders[[#This Row],[Revenue]]-Orders[[#This Row],[Expenses]]</f>
        <v>13212.044999999984</v>
      </c>
      <c r="L1557" t="s">
        <v>2211</v>
      </c>
      <c r="M1557" t="str">
        <f>_xlfn.XLOOKUP(Orders[[#This Row],[CustomerID]],Customers[CustomerID],Customers[City])</f>
        <v>Washington</v>
      </c>
      <c r="N1557" t="str">
        <f>_xlfn.XLOOKUP(Orders[[#This Row],[CustomerID]],Customers[CustomerID],Customers[CustomerName])</f>
        <v>Ngozi Obi</v>
      </c>
      <c r="O1557" t="str">
        <f>_xlfn.XLOOKUP(Orders[[#This Row],[CustomerID]],Customers[CustomerID],Customers[Gender])</f>
        <v>Female</v>
      </c>
      <c r="P1557">
        <f>_xlfn.XLOOKUP(Orders[[#This Row],[CustomerID]],Customers[CustomerID],Customers[CustomerAge])</f>
        <v>32</v>
      </c>
      <c r="Q1557" t="str">
        <f>IF(Orders[[#This Row],[Age]]&gt;=35,"older","young")</f>
        <v>young</v>
      </c>
      <c r="R1557" t="str">
        <f>_xlfn.XLOOKUP(Orders[[#This Row],[ProductID]],Products[ProductID],Products[ProductName])</f>
        <v>REFRIGERATOR</v>
      </c>
      <c r="S1557" t="str">
        <f>_xlfn.XLOOKUP(Orders[[#This Row],[ProductID]],Products!A:A,Products!C:C)</f>
        <v>Electronics</v>
      </c>
    </row>
    <row r="1558" spans="1:19" x14ac:dyDescent="0.2">
      <c r="A1558" s="4" t="s">
        <v>1747</v>
      </c>
      <c r="B1558" s="5">
        <v>46010</v>
      </c>
      <c r="C1558" s="15">
        <f>WEEKNUM(Orders[[#This Row],[OrderDate]])</f>
        <v>51</v>
      </c>
      <c r="D1558" s="4" t="s">
        <v>8</v>
      </c>
      <c r="E1558" s="4" t="s">
        <v>57</v>
      </c>
      <c r="F1558" s="4">
        <v>5</v>
      </c>
      <c r="G1558" s="4">
        <v>6753.5</v>
      </c>
      <c r="H1558">
        <v>5740.4750000000004</v>
      </c>
      <c r="I1558">
        <f>Orders[[#This Row],[Quantity]]*Orders[[#This Row],[Selling Price]]</f>
        <v>33767.5</v>
      </c>
      <c r="J1558">
        <f>Orders[[#This Row],[Quantity]]*Orders[[#This Row],[Cost Price]]</f>
        <v>28702.375</v>
      </c>
      <c r="K1558">
        <f>Orders[[#This Row],[Revenue]]-Orders[[#This Row],[Expenses]]</f>
        <v>5065.125</v>
      </c>
      <c r="L1558" t="s">
        <v>2216</v>
      </c>
      <c r="M1558" t="str">
        <f>_xlfn.XLOOKUP(Orders[[#This Row],[CustomerID]],Customers[CustomerID],Customers[City])</f>
        <v>Washington</v>
      </c>
      <c r="N1558" t="str">
        <f>_xlfn.XLOOKUP(Orders[[#This Row],[CustomerID]],Customers[CustomerID],Customers[CustomerName])</f>
        <v>Bi si Bello</v>
      </c>
      <c r="O1558" t="str">
        <f>_xlfn.XLOOKUP(Orders[[#This Row],[CustomerID]],Customers[CustomerID],Customers[Gender])</f>
        <v>Female</v>
      </c>
      <c r="P1558">
        <f>_xlfn.XLOOKUP(Orders[[#This Row],[CustomerID]],Customers[CustomerID],Customers[CustomerAge])</f>
        <v>38</v>
      </c>
      <c r="Q1558" t="str">
        <f>IF(Orders[[#This Row],[Age]]&gt;=35,"older","young")</f>
        <v>older</v>
      </c>
      <c r="R1558" t="str">
        <f>_xlfn.XLOOKUP(Orders[[#This Row],[ProductID]],Products[ProductID],Products[ProductName])</f>
        <v>BADMINTON RACKET</v>
      </c>
      <c r="S1558" t="str">
        <f>_xlfn.XLOOKUP(Orders[[#This Row],[ProductID]],Products!A:A,Products!C:C)</f>
        <v>Sports</v>
      </c>
    </row>
    <row r="1559" spans="1:19" x14ac:dyDescent="0.2">
      <c r="A1559" s="4" t="s">
        <v>1748</v>
      </c>
      <c r="B1559" s="5">
        <v>45944</v>
      </c>
      <c r="C1559" s="15">
        <f>WEEKNUM(Orders[[#This Row],[OrderDate]])</f>
        <v>42</v>
      </c>
      <c r="D1559" s="4" t="s">
        <v>546</v>
      </c>
      <c r="E1559" s="4" t="s">
        <v>37</v>
      </c>
      <c r="F1559" s="4">
        <v>4</v>
      </c>
      <c r="G1559" s="4">
        <v>14178.5</v>
      </c>
      <c r="H1559">
        <v>12051.725</v>
      </c>
      <c r="I1559">
        <f>Orders[[#This Row],[Quantity]]*Orders[[#This Row],[Selling Price]]</f>
        <v>56714</v>
      </c>
      <c r="J1559">
        <f>Orders[[#This Row],[Quantity]]*Orders[[#This Row],[Cost Price]]</f>
        <v>48206.9</v>
      </c>
      <c r="K1559">
        <f>Orders[[#This Row],[Revenue]]-Orders[[#This Row],[Expenses]]</f>
        <v>8507.0999999999985</v>
      </c>
      <c r="L1559" t="s">
        <v>2195</v>
      </c>
      <c r="M1559" t="str">
        <f>_xlfn.XLOOKUP(Orders[[#This Row],[CustomerID]],Customers[CustomerID],Customers[City])</f>
        <v>Texas</v>
      </c>
      <c r="N1559" t="str">
        <f>_xlfn.XLOOKUP(Orders[[#This Row],[CustomerID]],Customers[CustomerID],Customers[CustomerName])</f>
        <v>Bisi Eze</v>
      </c>
      <c r="O1559" t="str">
        <f>_xlfn.XLOOKUP(Orders[[#This Row],[CustomerID]],Customers[CustomerID],Customers[Gender])</f>
        <v>Female</v>
      </c>
      <c r="P1559">
        <f>_xlfn.XLOOKUP(Orders[[#This Row],[CustomerID]],Customers[CustomerID],Customers[CustomerAge])</f>
        <v>32</v>
      </c>
      <c r="Q1559" t="str">
        <f>IF(Orders[[#This Row],[Age]]&gt;=35,"older","young")</f>
        <v>young</v>
      </c>
      <c r="R1559" t="str">
        <f>_xlfn.XLOOKUP(Orders[[#This Row],[ProductID]],Products[ProductID],Products[ProductName])</f>
        <v>IRON</v>
      </c>
      <c r="S1559" t="str">
        <f>_xlfn.XLOOKUP(Orders[[#This Row],[ProductID]],Products!A:A,Products!C:C)</f>
        <v>Electronics</v>
      </c>
    </row>
    <row r="1560" spans="1:19" x14ac:dyDescent="0.2">
      <c r="A1560" s="4" t="s">
        <v>1749</v>
      </c>
      <c r="B1560" s="5">
        <v>45964</v>
      </c>
      <c r="C1560" s="15">
        <f>WEEKNUM(Orders[[#This Row],[OrderDate]])</f>
        <v>45</v>
      </c>
      <c r="D1560" s="4" t="s">
        <v>161</v>
      </c>
      <c r="E1560" s="4" t="s">
        <v>15</v>
      </c>
      <c r="F1560" s="4">
        <v>9</v>
      </c>
      <c r="G1560" s="4">
        <v>9200.8000000000011</v>
      </c>
      <c r="H1560">
        <v>7820.6800000000012</v>
      </c>
      <c r="I1560">
        <f>Orders[[#This Row],[Quantity]]*Orders[[#This Row],[Selling Price]]</f>
        <v>82807.200000000012</v>
      </c>
      <c r="J1560">
        <f>Orders[[#This Row],[Quantity]]*Orders[[#This Row],[Cost Price]]</f>
        <v>70386.12000000001</v>
      </c>
      <c r="K1560">
        <f>Orders[[#This Row],[Revenue]]-Orders[[#This Row],[Expenses]]</f>
        <v>12421.080000000002</v>
      </c>
      <c r="L1560" t="s">
        <v>2204</v>
      </c>
      <c r="M1560" t="str">
        <f>_xlfn.XLOOKUP(Orders[[#This Row],[CustomerID]],Customers[CustomerID],Customers[City])</f>
        <v>Georgia</v>
      </c>
      <c r="N1560" t="str">
        <f>_xlfn.XLOOKUP(Orders[[#This Row],[CustomerID]],Customers[CustomerID],Customers[CustomerName])</f>
        <v>Okon Adeyemi</v>
      </c>
      <c r="O1560" t="str">
        <f>_xlfn.XLOOKUP(Orders[[#This Row],[CustomerID]],Customers[CustomerID],Customers[Gender])</f>
        <v>Male</v>
      </c>
      <c r="P1560">
        <f>_xlfn.XLOOKUP(Orders[[#This Row],[CustomerID]],Customers[CustomerID],Customers[CustomerAge])</f>
        <v>31</v>
      </c>
      <c r="Q1560" t="str">
        <f>IF(Orders[[#This Row],[Age]]&gt;=35,"older","young")</f>
        <v>young</v>
      </c>
      <c r="R1560" t="str">
        <f>_xlfn.XLOOKUP(Orders[[#This Row],[ProductID]],Products[ProductID],Products[ProductName])</f>
        <v>MONOPOLY</v>
      </c>
      <c r="S1560" t="str">
        <f>_xlfn.XLOOKUP(Orders[[#This Row],[ProductID]],Products!A:A,Products!C:C)</f>
        <v>Games</v>
      </c>
    </row>
    <row r="1561" spans="1:19" x14ac:dyDescent="0.2">
      <c r="A1561" s="4" t="s">
        <v>1750</v>
      </c>
      <c r="B1561" s="5">
        <v>45978</v>
      </c>
      <c r="C1561" s="15">
        <f>WEEKNUM(Orders[[#This Row],[OrderDate]])</f>
        <v>47</v>
      </c>
      <c r="D1561" s="4" t="s">
        <v>369</v>
      </c>
      <c r="E1561" s="4" t="s">
        <v>25</v>
      </c>
      <c r="F1561" s="4">
        <v>6</v>
      </c>
      <c r="G1561" s="4">
        <v>3321.9</v>
      </c>
      <c r="H1561">
        <v>2823.6150000000002</v>
      </c>
      <c r="I1561">
        <f>Orders[[#This Row],[Quantity]]*Orders[[#This Row],[Selling Price]]</f>
        <v>19931.400000000001</v>
      </c>
      <c r="J1561">
        <f>Orders[[#This Row],[Quantity]]*Orders[[#This Row],[Cost Price]]</f>
        <v>16941.690000000002</v>
      </c>
      <c r="K1561">
        <f>Orders[[#This Row],[Revenue]]-Orders[[#This Row],[Expenses]]</f>
        <v>2989.7099999999991</v>
      </c>
      <c r="L1561" t="s">
        <v>2208</v>
      </c>
      <c r="M1561" t="str">
        <f>_xlfn.XLOOKUP(Orders[[#This Row],[CustomerID]],Customers[CustomerID],Customers[City])</f>
        <v>Washington</v>
      </c>
      <c r="N1561" t="str">
        <f>_xlfn.XLOOKUP(Orders[[#This Row],[CustomerID]],Customers[CustomerID],Customers[CustomerName])</f>
        <v>Ibrahim Bello</v>
      </c>
      <c r="O1561" t="str">
        <f>_xlfn.XLOOKUP(Orders[[#This Row],[CustomerID]],Customers[CustomerID],Customers[Gender])</f>
        <v>Male</v>
      </c>
      <c r="P1561">
        <f>_xlfn.XLOOKUP(Orders[[#This Row],[CustomerID]],Customers[CustomerID],Customers[CustomerAge])</f>
        <v>40</v>
      </c>
      <c r="Q1561" t="str">
        <f>IF(Orders[[#This Row],[Age]]&gt;=35,"older","young")</f>
        <v>older</v>
      </c>
      <c r="R1561" t="str">
        <f>_xlfn.XLOOKUP(Orders[[#This Row],[ProductID]],Products[ProductID],Products[ProductName])</f>
        <v>GOLD RINGS</v>
      </c>
      <c r="S1561" t="str">
        <f>_xlfn.XLOOKUP(Orders[[#This Row],[ProductID]],Products!A:A,Products!C:C)</f>
        <v>Accessories</v>
      </c>
    </row>
    <row r="1562" spans="1:19" x14ac:dyDescent="0.2">
      <c r="A1562" s="4" t="s">
        <v>1751</v>
      </c>
      <c r="B1562" s="5">
        <v>46010</v>
      </c>
      <c r="C1562" s="15">
        <f>WEEKNUM(Orders[[#This Row],[OrderDate]])</f>
        <v>51</v>
      </c>
      <c r="D1562" s="4" t="s">
        <v>223</v>
      </c>
      <c r="E1562" s="4" t="s">
        <v>28</v>
      </c>
      <c r="F1562" s="4">
        <v>8</v>
      </c>
      <c r="G1562" s="4">
        <v>2147.6</v>
      </c>
      <c r="H1562">
        <v>1825.46</v>
      </c>
      <c r="I1562">
        <f>Orders[[#This Row],[Quantity]]*Orders[[#This Row],[Selling Price]]</f>
        <v>17180.8</v>
      </c>
      <c r="J1562">
        <f>Orders[[#This Row],[Quantity]]*Orders[[#This Row],[Cost Price]]</f>
        <v>14603.68</v>
      </c>
      <c r="K1562">
        <f>Orders[[#This Row],[Revenue]]-Orders[[#This Row],[Expenses]]</f>
        <v>2577.119999999999</v>
      </c>
      <c r="L1562" t="s">
        <v>2205</v>
      </c>
      <c r="M1562" t="str">
        <f>_xlfn.XLOOKUP(Orders[[#This Row],[CustomerID]],Customers[CustomerID],Customers[City])</f>
        <v>Washington</v>
      </c>
      <c r="N1562" t="str">
        <f>_xlfn.XLOOKUP(Orders[[#This Row],[CustomerID]],Customers[CustomerID],Customers[CustomerName])</f>
        <v>Blessing Danladi</v>
      </c>
      <c r="O1562" t="str">
        <f>_xlfn.XLOOKUP(Orders[[#This Row],[CustomerID]],Customers[CustomerID],Customers[Gender])</f>
        <v>Female</v>
      </c>
      <c r="P1562">
        <f>_xlfn.XLOOKUP(Orders[[#This Row],[CustomerID]],Customers[CustomerID],Customers[CustomerAge])</f>
        <v>20</v>
      </c>
      <c r="Q1562" t="str">
        <f>IF(Orders[[#This Row],[Age]]&gt;=35,"older","young")</f>
        <v>young</v>
      </c>
      <c r="R1562" t="str">
        <f>_xlfn.XLOOKUP(Orders[[#This Row],[ProductID]],Products[ProductID],Products[ProductName])</f>
        <v>SNEAKERS</v>
      </c>
      <c r="S1562" t="str">
        <f>_xlfn.XLOOKUP(Orders[[#This Row],[ProductID]],Products!A:A,Products!C:C)</f>
        <v>Sports</v>
      </c>
    </row>
    <row r="1563" spans="1:19" x14ac:dyDescent="0.2">
      <c r="A1563" s="4" t="s">
        <v>1752</v>
      </c>
      <c r="B1563" s="5">
        <v>45996</v>
      </c>
      <c r="C1563" s="15">
        <f>WEEKNUM(Orders[[#This Row],[OrderDate]])</f>
        <v>49</v>
      </c>
      <c r="D1563" s="4" t="s">
        <v>182</v>
      </c>
      <c r="E1563" s="4" t="s">
        <v>20</v>
      </c>
      <c r="F1563" s="4">
        <v>8</v>
      </c>
      <c r="G1563" s="4">
        <v>9266.6999999999989</v>
      </c>
      <c r="H1563">
        <v>7876.6949999999988</v>
      </c>
      <c r="I1563">
        <f>Orders[[#This Row],[Quantity]]*Orders[[#This Row],[Selling Price]]</f>
        <v>74133.599999999991</v>
      </c>
      <c r="J1563">
        <f>Orders[[#This Row],[Quantity]]*Orders[[#This Row],[Cost Price]]</f>
        <v>63013.55999999999</v>
      </c>
      <c r="K1563">
        <f>Orders[[#This Row],[Revenue]]-Orders[[#This Row],[Expenses]]</f>
        <v>11120.04</v>
      </c>
      <c r="L1563" t="s">
        <v>2194</v>
      </c>
      <c r="M1563" t="str">
        <f>_xlfn.XLOOKUP(Orders[[#This Row],[CustomerID]],Customers[CustomerID],Customers[City])</f>
        <v>Georgia</v>
      </c>
      <c r="N1563" t="str">
        <f>_xlfn.XLOOKUP(Orders[[#This Row],[CustomerID]],Customers[CustomerID],Customers[CustomerName])</f>
        <v>Abiola Okonkwo</v>
      </c>
      <c r="O1563" t="str">
        <f>_xlfn.XLOOKUP(Orders[[#This Row],[CustomerID]],Customers[CustomerID],Customers[Gender])</f>
        <v>Male</v>
      </c>
      <c r="P1563">
        <f>_xlfn.XLOOKUP(Orders[[#This Row],[CustomerID]],Customers[CustomerID],Customers[CustomerAge])</f>
        <v>39</v>
      </c>
      <c r="Q1563" t="str">
        <f>IF(Orders[[#This Row],[Age]]&gt;=35,"older","young")</f>
        <v>older</v>
      </c>
      <c r="R1563" t="str">
        <f>_xlfn.XLOOKUP(Orders[[#This Row],[ProductID]],Products[ProductID],Products[ProductName])</f>
        <v>GYM BAG</v>
      </c>
      <c r="S1563" t="str">
        <f>_xlfn.XLOOKUP(Orders[[#This Row],[ProductID]],Products!A:A,Products!C:C)</f>
        <v>Gym</v>
      </c>
    </row>
    <row r="1564" spans="1:19" x14ac:dyDescent="0.2">
      <c r="A1564" s="4" t="s">
        <v>1753</v>
      </c>
      <c r="B1564" s="5">
        <v>45961</v>
      </c>
      <c r="C1564" s="15">
        <f>WEEKNUM(Orders[[#This Row],[OrderDate]])</f>
        <v>44</v>
      </c>
      <c r="D1564" s="4" t="s">
        <v>73</v>
      </c>
      <c r="E1564" s="4" t="s">
        <v>127</v>
      </c>
      <c r="F1564" s="4">
        <v>1</v>
      </c>
      <c r="G1564" s="4">
        <v>9993</v>
      </c>
      <c r="H1564">
        <v>8494.0499999999993</v>
      </c>
      <c r="I1564">
        <f>Orders[[#This Row],[Quantity]]*Orders[[#This Row],[Selling Price]]</f>
        <v>9993</v>
      </c>
      <c r="J1564">
        <f>Orders[[#This Row],[Quantity]]*Orders[[#This Row],[Cost Price]]</f>
        <v>8494.0499999999993</v>
      </c>
      <c r="K1564">
        <f>Orders[[#This Row],[Revenue]]-Orders[[#This Row],[Expenses]]</f>
        <v>1498.9500000000007</v>
      </c>
      <c r="L1564" t="s">
        <v>2202</v>
      </c>
      <c r="M1564" t="str">
        <f>_xlfn.XLOOKUP(Orders[[#This Row],[CustomerID]],Customers[CustomerID],Customers[City])</f>
        <v>California</v>
      </c>
      <c r="N1564" t="str">
        <f>_xlfn.XLOOKUP(Orders[[#This Row],[CustomerID]],Customers[CustomerID],Customers[CustomerName])</f>
        <v>Ronke Okonkwo</v>
      </c>
      <c r="O1564" t="str">
        <f>_xlfn.XLOOKUP(Orders[[#This Row],[CustomerID]],Customers[CustomerID],Customers[Gender])</f>
        <v>Female</v>
      </c>
      <c r="P1564">
        <f>_xlfn.XLOOKUP(Orders[[#This Row],[CustomerID]],Customers[CustomerID],Customers[CustomerAge])</f>
        <v>20</v>
      </c>
      <c r="Q1564" t="str">
        <f>IF(Orders[[#This Row],[Age]]&gt;=35,"older","young")</f>
        <v>young</v>
      </c>
      <c r="R1564" t="str">
        <f>_xlfn.XLOOKUP(Orders[[#This Row],[ProductID]],Products[ProductID],Products[ProductName])</f>
        <v>TOPS</v>
      </c>
      <c r="S1564" t="str">
        <f>_xlfn.XLOOKUP(Orders[[#This Row],[ProductID]],Products!A:A,Products!C:C)</f>
        <v>Clothing</v>
      </c>
    </row>
    <row r="1565" spans="1:19" x14ac:dyDescent="0.2">
      <c r="A1565" s="4" t="s">
        <v>1754</v>
      </c>
      <c r="B1565" s="5">
        <v>45982</v>
      </c>
      <c r="C1565" s="15">
        <f>WEEKNUM(Orders[[#This Row],[OrderDate]])</f>
        <v>47</v>
      </c>
      <c r="D1565" s="4" t="s">
        <v>517</v>
      </c>
      <c r="E1565" s="4" t="s">
        <v>12</v>
      </c>
      <c r="F1565" s="4">
        <v>6</v>
      </c>
      <c r="G1565" s="4">
        <v>7331</v>
      </c>
      <c r="H1565">
        <v>6231.35</v>
      </c>
      <c r="I1565">
        <f>Orders[[#This Row],[Quantity]]*Orders[[#This Row],[Selling Price]]</f>
        <v>43986</v>
      </c>
      <c r="J1565">
        <f>Orders[[#This Row],[Quantity]]*Orders[[#This Row],[Cost Price]]</f>
        <v>37388.100000000006</v>
      </c>
      <c r="K1565">
        <f>Orders[[#This Row],[Revenue]]-Orders[[#This Row],[Expenses]]</f>
        <v>6597.8999999999942</v>
      </c>
      <c r="L1565" t="s">
        <v>2195</v>
      </c>
      <c r="M1565" t="str">
        <f>_xlfn.XLOOKUP(Orders[[#This Row],[CustomerID]],Customers[CustomerID],Customers[City])</f>
        <v>Florida</v>
      </c>
      <c r="N1565" t="str">
        <f>_xlfn.XLOOKUP(Orders[[#This Row],[CustomerID]],Customers[CustomerID],Customers[CustomerName])</f>
        <v>Efe Adeyemi</v>
      </c>
      <c r="O1565" t="str">
        <f>_xlfn.XLOOKUP(Orders[[#This Row],[CustomerID]],Customers[CustomerID],Customers[Gender])</f>
        <v>Female</v>
      </c>
      <c r="P1565">
        <f>_xlfn.XLOOKUP(Orders[[#This Row],[CustomerID]],Customers[CustomerID],Customers[CustomerAge])</f>
        <v>25</v>
      </c>
      <c r="Q1565" t="str">
        <f>IF(Orders[[#This Row],[Age]]&gt;=35,"older","young")</f>
        <v>young</v>
      </c>
      <c r="R1565" t="str">
        <f>_xlfn.XLOOKUP(Orders[[#This Row],[ProductID]],Products[ProductID],Products[ProductName])</f>
        <v>BOUBOU</v>
      </c>
      <c r="S1565" t="str">
        <f>_xlfn.XLOOKUP(Orders[[#This Row],[ProductID]],Products!A:A,Products!C:C)</f>
        <v>Clothing</v>
      </c>
    </row>
    <row r="1566" spans="1:19" x14ac:dyDescent="0.2">
      <c r="A1566" s="4" t="s">
        <v>1755</v>
      </c>
      <c r="B1566" s="5">
        <v>45939</v>
      </c>
      <c r="C1566" s="15">
        <f>WEEKNUM(Orders[[#This Row],[OrderDate]])</f>
        <v>41</v>
      </c>
      <c r="D1566" s="4" t="s">
        <v>324</v>
      </c>
      <c r="E1566" s="4" t="s">
        <v>157</v>
      </c>
      <c r="F1566" s="4">
        <v>3</v>
      </c>
      <c r="G1566" s="4">
        <v>18032.8</v>
      </c>
      <c r="H1566">
        <v>15327.88</v>
      </c>
      <c r="I1566">
        <f>Orders[[#This Row],[Quantity]]*Orders[[#This Row],[Selling Price]]</f>
        <v>54098.399999999994</v>
      </c>
      <c r="J1566">
        <f>Orders[[#This Row],[Quantity]]*Orders[[#This Row],[Cost Price]]</f>
        <v>45983.64</v>
      </c>
      <c r="K1566">
        <f>Orders[[#This Row],[Revenue]]-Orders[[#This Row],[Expenses]]</f>
        <v>8114.7599999999948</v>
      </c>
      <c r="L1566" t="s">
        <v>2198</v>
      </c>
      <c r="M1566" t="str">
        <f>_xlfn.XLOOKUP(Orders[[#This Row],[CustomerID]],Customers[CustomerID],Customers[City])</f>
        <v>Texas</v>
      </c>
      <c r="N1566" t="str">
        <f>_xlfn.XLOOKUP(Orders[[#This Row],[CustomerID]],Customers[CustomerID],Customers[CustomerName])</f>
        <v>Tunde Okonkwo</v>
      </c>
      <c r="O1566" t="str">
        <f>_xlfn.XLOOKUP(Orders[[#This Row],[CustomerID]],Customers[CustomerID],Customers[Gender])</f>
        <v>Male</v>
      </c>
      <c r="P1566">
        <f>_xlfn.XLOOKUP(Orders[[#This Row],[CustomerID]],Customers[CustomerID],Customers[CustomerAge])</f>
        <v>25</v>
      </c>
      <c r="Q1566" t="str">
        <f>IF(Orders[[#This Row],[Age]]&gt;=35,"older","young")</f>
        <v>young</v>
      </c>
      <c r="R1566" t="str">
        <f>_xlfn.XLOOKUP(Orders[[#This Row],[ProductID]],Products[ProductID],Products[ProductName])</f>
        <v>FOOTBALL</v>
      </c>
      <c r="S1566" t="str">
        <f>_xlfn.XLOOKUP(Orders[[#This Row],[ProductID]],Products!A:A,Products!C:C)</f>
        <v>Sports</v>
      </c>
    </row>
    <row r="1567" spans="1:19" x14ac:dyDescent="0.2">
      <c r="A1567" s="4" t="s">
        <v>1756</v>
      </c>
      <c r="B1567" s="5">
        <v>45973</v>
      </c>
      <c r="C1567" s="15">
        <f>WEEKNUM(Orders[[#This Row],[OrderDate]])</f>
        <v>46</v>
      </c>
      <c r="D1567" s="4" t="s">
        <v>140</v>
      </c>
      <c r="E1567" s="4" t="s">
        <v>15</v>
      </c>
      <c r="F1567" s="4">
        <v>6</v>
      </c>
      <c r="G1567" s="4">
        <v>11642.4</v>
      </c>
      <c r="H1567">
        <v>9896.0399999999991</v>
      </c>
      <c r="I1567">
        <f>Orders[[#This Row],[Quantity]]*Orders[[#This Row],[Selling Price]]</f>
        <v>69854.399999999994</v>
      </c>
      <c r="J1567">
        <f>Orders[[#This Row],[Quantity]]*Orders[[#This Row],[Cost Price]]</f>
        <v>59376.239999999991</v>
      </c>
      <c r="K1567">
        <f>Orders[[#This Row],[Revenue]]-Orders[[#This Row],[Expenses]]</f>
        <v>10478.160000000003</v>
      </c>
      <c r="L1567" t="s">
        <v>2216</v>
      </c>
      <c r="M1567" t="str">
        <f>_xlfn.XLOOKUP(Orders[[#This Row],[CustomerID]],Customers[CustomerID],Customers[City])</f>
        <v>Washington</v>
      </c>
      <c r="N1567" t="str">
        <f>_xlfn.XLOOKUP(Orders[[#This Row],[CustomerID]],Customers[CustomerID],Customers[CustomerName])</f>
        <v>Tunde Igwe</v>
      </c>
      <c r="O1567" t="str">
        <f>_xlfn.XLOOKUP(Orders[[#This Row],[CustomerID]],Customers[CustomerID],Customers[Gender])</f>
        <v>Male</v>
      </c>
      <c r="P1567">
        <f>_xlfn.XLOOKUP(Orders[[#This Row],[CustomerID]],Customers[CustomerID],Customers[CustomerAge])</f>
        <v>20</v>
      </c>
      <c r="Q1567" t="str">
        <f>IF(Orders[[#This Row],[Age]]&gt;=35,"older","young")</f>
        <v>young</v>
      </c>
      <c r="R1567" t="str">
        <f>_xlfn.XLOOKUP(Orders[[#This Row],[ProductID]],Products[ProductID],Products[ProductName])</f>
        <v>MONOPOLY</v>
      </c>
      <c r="S1567" t="str">
        <f>_xlfn.XLOOKUP(Orders[[#This Row],[ProductID]],Products!A:A,Products!C:C)</f>
        <v>Games</v>
      </c>
    </row>
    <row r="1568" spans="1:19" x14ac:dyDescent="0.2">
      <c r="A1568" s="4" t="s">
        <v>1757</v>
      </c>
      <c r="B1568" s="5">
        <v>45979</v>
      </c>
      <c r="C1568" s="15">
        <f>WEEKNUM(Orders[[#This Row],[OrderDate]])</f>
        <v>47</v>
      </c>
      <c r="D1568" s="4" t="s">
        <v>50</v>
      </c>
      <c r="E1568" s="4" t="s">
        <v>208</v>
      </c>
      <c r="F1568" s="4">
        <v>8</v>
      </c>
      <c r="G1568" s="4">
        <v>14781.900000000001</v>
      </c>
      <c r="H1568">
        <v>12564.615000000002</v>
      </c>
      <c r="I1568">
        <f>Orders[[#This Row],[Quantity]]*Orders[[#This Row],[Selling Price]]</f>
        <v>118255.20000000001</v>
      </c>
      <c r="J1568">
        <f>Orders[[#This Row],[Quantity]]*Orders[[#This Row],[Cost Price]]</f>
        <v>100516.92000000001</v>
      </c>
      <c r="K1568">
        <f>Orders[[#This Row],[Revenue]]-Orders[[#This Row],[Expenses]]</f>
        <v>17738.28</v>
      </c>
      <c r="L1568" t="s">
        <v>2212</v>
      </c>
      <c r="M1568" t="str">
        <f>_xlfn.XLOOKUP(Orders[[#This Row],[CustomerID]],Customers[CustomerID],Customers[City])</f>
        <v>California</v>
      </c>
      <c r="N1568" t="str">
        <f>_xlfn.XLOOKUP(Orders[[#This Row],[CustomerID]],Customers[CustomerID],Customers[CustomerName])</f>
        <v>Funke Danladi</v>
      </c>
      <c r="O1568" t="str">
        <f>_xlfn.XLOOKUP(Orders[[#This Row],[CustomerID]],Customers[CustomerID],Customers[Gender])</f>
        <v>Female</v>
      </c>
      <c r="P1568">
        <f>_xlfn.XLOOKUP(Orders[[#This Row],[CustomerID]],Customers[CustomerID],Customers[CustomerAge])</f>
        <v>31</v>
      </c>
      <c r="Q1568" t="str">
        <f>IF(Orders[[#This Row],[Age]]&gt;=35,"older","young")</f>
        <v>young</v>
      </c>
      <c r="R1568" t="str">
        <f>_xlfn.XLOOKUP(Orders[[#This Row],[ProductID]],Products[ProductID],Products[ProductName])</f>
        <v>SKIPPING ROPE</v>
      </c>
      <c r="S1568" t="str">
        <f>_xlfn.XLOOKUP(Orders[[#This Row],[ProductID]],Products!A:A,Products!C:C)</f>
        <v>Sports</v>
      </c>
    </row>
    <row r="1569" spans="1:19" x14ac:dyDescent="0.2">
      <c r="A1569" s="4" t="s">
        <v>1758</v>
      </c>
      <c r="B1569" s="5">
        <v>45968</v>
      </c>
      <c r="C1569" s="15">
        <f>WEEKNUM(Orders[[#This Row],[OrderDate]])</f>
        <v>45</v>
      </c>
      <c r="D1569" s="4" t="s">
        <v>94</v>
      </c>
      <c r="E1569" s="4" t="s">
        <v>151</v>
      </c>
      <c r="F1569" s="4">
        <v>6</v>
      </c>
      <c r="G1569" s="4">
        <v>9316.5</v>
      </c>
      <c r="H1569">
        <v>7919.0249999999996</v>
      </c>
      <c r="I1569">
        <f>Orders[[#This Row],[Quantity]]*Orders[[#This Row],[Selling Price]]</f>
        <v>55899</v>
      </c>
      <c r="J1569">
        <f>Orders[[#This Row],[Quantity]]*Orders[[#This Row],[Cost Price]]</f>
        <v>47514.149999999994</v>
      </c>
      <c r="K1569">
        <f>Orders[[#This Row],[Revenue]]-Orders[[#This Row],[Expenses]]</f>
        <v>8384.8500000000058</v>
      </c>
      <c r="L1569" t="s">
        <v>2199</v>
      </c>
      <c r="M1569" t="str">
        <f>_xlfn.XLOOKUP(Orders[[#This Row],[CustomerID]],Customers[CustomerID],Customers[City])</f>
        <v>Texas</v>
      </c>
      <c r="N1569" t="str">
        <f>_xlfn.XLOOKUP(Orders[[#This Row],[CustomerID]],Customers[CustomerID],Customers[CustomerName])</f>
        <v>Uche Abubakar</v>
      </c>
      <c r="O1569" t="str">
        <f>_xlfn.XLOOKUP(Orders[[#This Row],[CustomerID]],Customers[CustomerID],Customers[Gender])</f>
        <v>Male</v>
      </c>
      <c r="P1569">
        <f>_xlfn.XLOOKUP(Orders[[#This Row],[CustomerID]],Customers[CustomerID],Customers[CustomerAge])</f>
        <v>26</v>
      </c>
      <c r="Q1569" t="str">
        <f>IF(Orders[[#This Row],[Age]]&gt;=35,"older","young")</f>
        <v>young</v>
      </c>
      <c r="R1569" t="str">
        <f>_xlfn.XLOOKUP(Orders[[#This Row],[ProductID]],Products[ProductID],Products[ProductName])</f>
        <v>CHECKERS</v>
      </c>
      <c r="S1569" t="str">
        <f>_xlfn.XLOOKUP(Orders[[#This Row],[ProductID]],Products!A:A,Products!C:C)</f>
        <v>Games</v>
      </c>
    </row>
    <row r="1570" spans="1:19" x14ac:dyDescent="0.2">
      <c r="A1570" s="4" t="s">
        <v>1759</v>
      </c>
      <c r="B1570" s="5">
        <v>45946</v>
      </c>
      <c r="C1570" s="15">
        <f>WEEKNUM(Orders[[#This Row],[OrderDate]])</f>
        <v>42</v>
      </c>
      <c r="D1570" s="4" t="s">
        <v>517</v>
      </c>
      <c r="E1570" s="4" t="s">
        <v>66</v>
      </c>
      <c r="F1570" s="4">
        <v>5</v>
      </c>
      <c r="G1570" s="4">
        <v>15792.2</v>
      </c>
      <c r="H1570">
        <v>13423.37</v>
      </c>
      <c r="I1570">
        <f>Orders[[#This Row],[Quantity]]*Orders[[#This Row],[Selling Price]]</f>
        <v>78961</v>
      </c>
      <c r="J1570">
        <f>Orders[[#This Row],[Quantity]]*Orders[[#This Row],[Cost Price]]</f>
        <v>67116.850000000006</v>
      </c>
      <c r="K1570">
        <f>Orders[[#This Row],[Revenue]]-Orders[[#This Row],[Expenses]]</f>
        <v>11844.149999999994</v>
      </c>
      <c r="L1570" t="s">
        <v>2219</v>
      </c>
      <c r="M1570" t="str">
        <f>_xlfn.XLOOKUP(Orders[[#This Row],[CustomerID]],Customers[CustomerID],Customers[City])</f>
        <v>Florida</v>
      </c>
      <c r="N1570" t="str">
        <f>_xlfn.XLOOKUP(Orders[[#This Row],[CustomerID]],Customers[CustomerID],Customers[CustomerName])</f>
        <v>Efe Adeyemi</v>
      </c>
      <c r="O1570" t="str">
        <f>_xlfn.XLOOKUP(Orders[[#This Row],[CustomerID]],Customers[CustomerID],Customers[Gender])</f>
        <v>Female</v>
      </c>
      <c r="P1570">
        <f>_xlfn.XLOOKUP(Orders[[#This Row],[CustomerID]],Customers[CustomerID],Customers[CustomerAge])</f>
        <v>25</v>
      </c>
      <c r="Q1570" t="str">
        <f>IF(Orders[[#This Row],[Age]]&gt;=35,"older","young")</f>
        <v>young</v>
      </c>
      <c r="R1570" t="str">
        <f>_xlfn.XLOOKUP(Orders[[#This Row],[ProductID]],Products[ProductID],Products[ProductName])</f>
        <v>MICROWAVE</v>
      </c>
      <c r="S1570" t="str">
        <f>_xlfn.XLOOKUP(Orders[[#This Row],[ProductID]],Products!A:A,Products!C:C)</f>
        <v>Electronics</v>
      </c>
    </row>
    <row r="1571" spans="1:19" x14ac:dyDescent="0.2">
      <c r="A1571" s="4" t="s">
        <v>1760</v>
      </c>
      <c r="B1571" s="5">
        <v>45939</v>
      </c>
      <c r="C1571" s="15">
        <f>WEEKNUM(Orders[[#This Row],[OrderDate]])</f>
        <v>41</v>
      </c>
      <c r="D1571" s="4" t="s">
        <v>280</v>
      </c>
      <c r="E1571" s="4" t="s">
        <v>25</v>
      </c>
      <c r="F1571" s="4">
        <v>2</v>
      </c>
      <c r="G1571" s="4">
        <v>12018</v>
      </c>
      <c r="H1571">
        <v>10215.299999999999</v>
      </c>
      <c r="I1571">
        <f>Orders[[#This Row],[Quantity]]*Orders[[#This Row],[Selling Price]]</f>
        <v>24036</v>
      </c>
      <c r="J1571">
        <f>Orders[[#This Row],[Quantity]]*Orders[[#This Row],[Cost Price]]</f>
        <v>20430.599999999999</v>
      </c>
      <c r="K1571">
        <f>Orders[[#This Row],[Revenue]]-Orders[[#This Row],[Expenses]]</f>
        <v>3605.4000000000015</v>
      </c>
      <c r="L1571" t="s">
        <v>2194</v>
      </c>
      <c r="M1571" t="str">
        <f>_xlfn.XLOOKUP(Orders[[#This Row],[CustomerID]],Customers[CustomerID],Customers[City])</f>
        <v>Texas</v>
      </c>
      <c r="N1571" t="str">
        <f>_xlfn.XLOOKUP(Orders[[#This Row],[CustomerID]],Customers[CustomerID],Customers[CustomerName])</f>
        <v>Folasade Okonkwo</v>
      </c>
      <c r="O1571" t="str">
        <f>_xlfn.XLOOKUP(Orders[[#This Row],[CustomerID]],Customers[CustomerID],Customers[Gender])</f>
        <v>Female</v>
      </c>
      <c r="P1571">
        <f>_xlfn.XLOOKUP(Orders[[#This Row],[CustomerID]],Customers[CustomerID],Customers[CustomerAge])</f>
        <v>21</v>
      </c>
      <c r="Q1571" t="str">
        <f>IF(Orders[[#This Row],[Age]]&gt;=35,"older","young")</f>
        <v>young</v>
      </c>
      <c r="R1571" t="str">
        <f>_xlfn.XLOOKUP(Orders[[#This Row],[ProductID]],Products[ProductID],Products[ProductName])</f>
        <v>GOLD RINGS</v>
      </c>
      <c r="S1571" t="str">
        <f>_xlfn.XLOOKUP(Orders[[#This Row],[ProductID]],Products!A:A,Products!C:C)</f>
        <v>Accessories</v>
      </c>
    </row>
    <row r="1572" spans="1:19" x14ac:dyDescent="0.2">
      <c r="A1572" s="4" t="s">
        <v>1761</v>
      </c>
      <c r="B1572" s="5">
        <v>45951</v>
      </c>
      <c r="C1572" s="15">
        <f>WEEKNUM(Orders[[#This Row],[OrderDate]])</f>
        <v>43</v>
      </c>
      <c r="D1572" s="4" t="s">
        <v>154</v>
      </c>
      <c r="E1572" s="4" t="s">
        <v>57</v>
      </c>
      <c r="F1572" s="4">
        <v>6</v>
      </c>
      <c r="G1572" s="4">
        <v>4762.7999999999993</v>
      </c>
      <c r="H1572">
        <v>4048.3799999999992</v>
      </c>
      <c r="I1572">
        <f>Orders[[#This Row],[Quantity]]*Orders[[#This Row],[Selling Price]]</f>
        <v>28576.799999999996</v>
      </c>
      <c r="J1572">
        <f>Orders[[#This Row],[Quantity]]*Orders[[#This Row],[Cost Price]]</f>
        <v>24290.279999999995</v>
      </c>
      <c r="K1572">
        <f>Orders[[#This Row],[Revenue]]-Orders[[#This Row],[Expenses]]</f>
        <v>4286.5200000000004</v>
      </c>
      <c r="L1572" t="s">
        <v>2193</v>
      </c>
      <c r="M1572" t="str">
        <f>_xlfn.XLOOKUP(Orders[[#This Row],[CustomerID]],Customers[CustomerID],Customers[City])</f>
        <v>Illinois</v>
      </c>
      <c r="N1572" t="str">
        <f>_xlfn.XLOOKUP(Orders[[#This Row],[CustomerID]],Customers[CustomerID],Customers[CustomerName])</f>
        <v>Ronke Danladi</v>
      </c>
      <c r="O1572" t="str">
        <f>_xlfn.XLOOKUP(Orders[[#This Row],[CustomerID]],Customers[CustomerID],Customers[Gender])</f>
        <v>Female</v>
      </c>
      <c r="P1572">
        <f>_xlfn.XLOOKUP(Orders[[#This Row],[CustomerID]],Customers[CustomerID],Customers[CustomerAge])</f>
        <v>46</v>
      </c>
      <c r="Q1572" t="str">
        <f>IF(Orders[[#This Row],[Age]]&gt;=35,"older","young")</f>
        <v>older</v>
      </c>
      <c r="R1572" t="str">
        <f>_xlfn.XLOOKUP(Orders[[#This Row],[ProductID]],Products[ProductID],Products[ProductName])</f>
        <v>BADMINTON RACKET</v>
      </c>
      <c r="S1572" t="str">
        <f>_xlfn.XLOOKUP(Orders[[#This Row],[ProductID]],Products!A:A,Products!C:C)</f>
        <v>Sports</v>
      </c>
    </row>
    <row r="1573" spans="1:19" x14ac:dyDescent="0.2">
      <c r="A1573" s="4" t="s">
        <v>1762</v>
      </c>
      <c r="B1573" s="5">
        <v>45978</v>
      </c>
      <c r="C1573" s="15">
        <f>WEEKNUM(Orders[[#This Row],[OrderDate]])</f>
        <v>47</v>
      </c>
      <c r="D1573" s="4" t="s">
        <v>107</v>
      </c>
      <c r="E1573" s="4" t="s">
        <v>53</v>
      </c>
      <c r="F1573" s="4">
        <v>9</v>
      </c>
      <c r="G1573" s="4">
        <v>5066.5</v>
      </c>
      <c r="H1573">
        <v>4306.5249999999996</v>
      </c>
      <c r="I1573">
        <f>Orders[[#This Row],[Quantity]]*Orders[[#This Row],[Selling Price]]</f>
        <v>45598.5</v>
      </c>
      <c r="J1573">
        <f>Orders[[#This Row],[Quantity]]*Orders[[#This Row],[Cost Price]]</f>
        <v>38758.724999999999</v>
      </c>
      <c r="K1573">
        <f>Orders[[#This Row],[Revenue]]-Orders[[#This Row],[Expenses]]</f>
        <v>6839.7750000000015</v>
      </c>
      <c r="L1573" t="s">
        <v>2215</v>
      </c>
      <c r="M1573" t="str">
        <f>_xlfn.XLOOKUP(Orders[[#This Row],[CustomerID]],Customers[CustomerID],Customers[City])</f>
        <v>Texas</v>
      </c>
      <c r="N1573" t="str">
        <f>_xlfn.XLOOKUP(Orders[[#This Row],[CustomerID]],Customers[CustomerID],Customers[CustomerName])</f>
        <v>Blessing Eze</v>
      </c>
      <c r="O1573" t="str">
        <f>_xlfn.XLOOKUP(Orders[[#This Row],[CustomerID]],Customers[CustomerID],Customers[Gender])</f>
        <v>Female</v>
      </c>
      <c r="P1573">
        <f>_xlfn.XLOOKUP(Orders[[#This Row],[CustomerID]],Customers[CustomerID],Customers[CustomerAge])</f>
        <v>44</v>
      </c>
      <c r="Q1573" t="str">
        <f>IF(Orders[[#This Row],[Age]]&gt;=35,"older","young")</f>
        <v>older</v>
      </c>
      <c r="R1573" t="str">
        <f>_xlfn.XLOOKUP(Orders[[#This Row],[ProductID]],Products[ProductID],Products[ProductName])</f>
        <v>SILVER BANGLES</v>
      </c>
      <c r="S1573" t="str">
        <f>_xlfn.XLOOKUP(Orders[[#This Row],[ProductID]],Products!A:A,Products!C:C)</f>
        <v>Accessories</v>
      </c>
    </row>
    <row r="1574" spans="1:19" x14ac:dyDescent="0.2">
      <c r="A1574" s="4" t="s">
        <v>1763</v>
      </c>
      <c r="B1574" s="5">
        <v>46018</v>
      </c>
      <c r="C1574" s="15">
        <f>WEEKNUM(Orders[[#This Row],[OrderDate]])</f>
        <v>52</v>
      </c>
      <c r="D1574" s="4" t="s">
        <v>649</v>
      </c>
      <c r="E1574" s="4" t="s">
        <v>53</v>
      </c>
      <c r="F1574" s="4">
        <v>10</v>
      </c>
      <c r="G1574" s="4">
        <v>14947.5</v>
      </c>
      <c r="H1574">
        <v>12705.375</v>
      </c>
      <c r="I1574">
        <f>Orders[[#This Row],[Quantity]]*Orders[[#This Row],[Selling Price]]</f>
        <v>149475</v>
      </c>
      <c r="J1574">
        <f>Orders[[#This Row],[Quantity]]*Orders[[#This Row],[Cost Price]]</f>
        <v>127053.75</v>
      </c>
      <c r="K1574">
        <f>Orders[[#This Row],[Revenue]]-Orders[[#This Row],[Expenses]]</f>
        <v>22421.25</v>
      </c>
      <c r="L1574" t="s">
        <v>2211</v>
      </c>
      <c r="M1574" t="str">
        <f>_xlfn.XLOOKUP(Orders[[#This Row],[CustomerID]],Customers[CustomerID],Customers[City])</f>
        <v>Washington</v>
      </c>
      <c r="N1574" t="str">
        <f>_xlfn.XLOOKUP(Orders[[#This Row],[CustomerID]],Customers[CustomerID],Customers[CustomerName])</f>
        <v>Bisi Abubakar</v>
      </c>
      <c r="O1574" t="str">
        <f>_xlfn.XLOOKUP(Orders[[#This Row],[CustomerID]],Customers[CustomerID],Customers[Gender])</f>
        <v>Female</v>
      </c>
      <c r="P1574">
        <f>_xlfn.XLOOKUP(Orders[[#This Row],[CustomerID]],Customers[CustomerID],Customers[CustomerAge])</f>
        <v>35</v>
      </c>
      <c r="Q1574" t="str">
        <f>IF(Orders[[#This Row],[Age]]&gt;=35,"older","young")</f>
        <v>older</v>
      </c>
      <c r="R1574" t="str">
        <f>_xlfn.XLOOKUP(Orders[[#This Row],[ProductID]],Products[ProductID],Products[ProductName])</f>
        <v>SILVER BANGLES</v>
      </c>
      <c r="S1574" t="str">
        <f>_xlfn.XLOOKUP(Orders[[#This Row],[ProductID]],Products!A:A,Products!C:C)</f>
        <v>Accessories</v>
      </c>
    </row>
    <row r="1575" spans="1:19" x14ac:dyDescent="0.2">
      <c r="A1575" s="4" t="s">
        <v>1764</v>
      </c>
      <c r="B1575" s="5">
        <v>45958</v>
      </c>
      <c r="C1575" s="15">
        <f>WEEKNUM(Orders[[#This Row],[OrderDate]])</f>
        <v>44</v>
      </c>
      <c r="D1575" s="4" t="s">
        <v>369</v>
      </c>
      <c r="E1575" s="4" t="s">
        <v>168</v>
      </c>
      <c r="F1575" s="4">
        <v>8</v>
      </c>
      <c r="G1575" s="4">
        <v>1352.2</v>
      </c>
      <c r="H1575">
        <v>1149.3700000000001</v>
      </c>
      <c r="I1575">
        <f>Orders[[#This Row],[Quantity]]*Orders[[#This Row],[Selling Price]]</f>
        <v>10817.6</v>
      </c>
      <c r="J1575">
        <f>Orders[[#This Row],[Quantity]]*Orders[[#This Row],[Cost Price]]</f>
        <v>9194.9600000000009</v>
      </c>
      <c r="K1575">
        <f>Orders[[#This Row],[Revenue]]-Orders[[#This Row],[Expenses]]</f>
        <v>1622.6399999999994</v>
      </c>
      <c r="L1575" t="s">
        <v>2192</v>
      </c>
      <c r="M1575" t="str">
        <f>_xlfn.XLOOKUP(Orders[[#This Row],[CustomerID]],Customers[CustomerID],Customers[City])</f>
        <v>Washington</v>
      </c>
      <c r="N1575" t="str">
        <f>_xlfn.XLOOKUP(Orders[[#This Row],[CustomerID]],Customers[CustomerID],Customers[CustomerName])</f>
        <v>Ibrahim Bello</v>
      </c>
      <c r="O1575" t="str">
        <f>_xlfn.XLOOKUP(Orders[[#This Row],[CustomerID]],Customers[CustomerID],Customers[Gender])</f>
        <v>Male</v>
      </c>
      <c r="P1575">
        <f>_xlfn.XLOOKUP(Orders[[#This Row],[CustomerID]],Customers[CustomerID],Customers[CustomerAge])</f>
        <v>40</v>
      </c>
      <c r="Q1575" t="str">
        <f>IF(Orders[[#This Row],[Age]]&gt;=35,"older","young")</f>
        <v>older</v>
      </c>
      <c r="R1575" t="str">
        <f>_xlfn.XLOOKUP(Orders[[#This Row],[ProductID]],Products[ProductID],Products[ProductName])</f>
        <v>DUMB BELLS</v>
      </c>
      <c r="S1575" t="str">
        <f>_xlfn.XLOOKUP(Orders[[#This Row],[ProductID]],Products!A:A,Products!C:C)</f>
        <v>Gym</v>
      </c>
    </row>
    <row r="1576" spans="1:19" x14ac:dyDescent="0.2">
      <c r="A1576" s="4" t="s">
        <v>1765</v>
      </c>
      <c r="B1576" s="5">
        <v>46016</v>
      </c>
      <c r="C1576" s="15">
        <f>WEEKNUM(Orders[[#This Row],[OrderDate]])</f>
        <v>52</v>
      </c>
      <c r="D1576" s="4" t="s">
        <v>524</v>
      </c>
      <c r="E1576" s="4" t="s">
        <v>46</v>
      </c>
      <c r="F1576" s="4">
        <v>3</v>
      </c>
      <c r="G1576" s="4">
        <v>5808.8</v>
      </c>
      <c r="H1576">
        <v>4937.4800000000005</v>
      </c>
      <c r="I1576">
        <f>Orders[[#This Row],[Quantity]]*Orders[[#This Row],[Selling Price]]</f>
        <v>17426.400000000001</v>
      </c>
      <c r="J1576">
        <f>Orders[[#This Row],[Quantity]]*Orders[[#This Row],[Cost Price]]</f>
        <v>14812.440000000002</v>
      </c>
      <c r="K1576">
        <f>Orders[[#This Row],[Revenue]]-Orders[[#This Row],[Expenses]]</f>
        <v>2613.9599999999991</v>
      </c>
      <c r="L1576" t="s">
        <v>2199</v>
      </c>
      <c r="M1576" t="str">
        <f>_xlfn.XLOOKUP(Orders[[#This Row],[CustomerID]],Customers[CustomerID],Customers[City])</f>
        <v>Florida</v>
      </c>
      <c r="N1576" t="str">
        <f>_xlfn.XLOOKUP(Orders[[#This Row],[CustomerID]],Customers[CustomerID],Customers[CustomerName])</f>
        <v>Chinedu Igwe</v>
      </c>
      <c r="O1576" t="str">
        <f>_xlfn.XLOOKUP(Orders[[#This Row],[CustomerID]],Customers[CustomerID],Customers[Gender])</f>
        <v>Male</v>
      </c>
      <c r="P1576">
        <f>_xlfn.XLOOKUP(Orders[[#This Row],[CustomerID]],Customers[CustomerID],Customers[CustomerAge])</f>
        <v>21</v>
      </c>
      <c r="Q1576" t="str">
        <f>IF(Orders[[#This Row],[Age]]&gt;=35,"older","young")</f>
        <v>young</v>
      </c>
      <c r="R1576" t="str">
        <f>_xlfn.XLOOKUP(Orders[[#This Row],[ProductID]],Products[ProductID],Products[ProductName])</f>
        <v>TURTLE NECK</v>
      </c>
      <c r="S1576" t="str">
        <f>_xlfn.XLOOKUP(Orders[[#This Row],[ProductID]],Products!A:A,Products!C:C)</f>
        <v>Clothing</v>
      </c>
    </row>
    <row r="1577" spans="1:19" x14ac:dyDescent="0.2">
      <c r="A1577" s="4" t="s">
        <v>1766</v>
      </c>
      <c r="B1577" s="5">
        <v>45993</v>
      </c>
      <c r="C1577" s="15">
        <f>WEEKNUM(Orders[[#This Row],[OrderDate]])</f>
        <v>49</v>
      </c>
      <c r="D1577" s="4" t="s">
        <v>110</v>
      </c>
      <c r="E1577" s="4" t="s">
        <v>46</v>
      </c>
      <c r="F1577" s="4">
        <v>10</v>
      </c>
      <c r="G1577" s="4">
        <v>16440.3</v>
      </c>
      <c r="H1577">
        <v>13974.254999999999</v>
      </c>
      <c r="I1577">
        <f>Orders[[#This Row],[Quantity]]*Orders[[#This Row],[Selling Price]]</f>
        <v>164403</v>
      </c>
      <c r="J1577">
        <f>Orders[[#This Row],[Quantity]]*Orders[[#This Row],[Cost Price]]</f>
        <v>139742.54999999999</v>
      </c>
      <c r="K1577">
        <f>Orders[[#This Row],[Revenue]]-Orders[[#This Row],[Expenses]]</f>
        <v>24660.450000000012</v>
      </c>
      <c r="L1577" t="s">
        <v>2210</v>
      </c>
      <c r="M1577" t="str">
        <f>_xlfn.XLOOKUP(Orders[[#This Row],[CustomerID]],Customers[CustomerID],Customers[City])</f>
        <v>Washington</v>
      </c>
      <c r="N1577" t="str">
        <f>_xlfn.XLOOKUP(Orders[[#This Row],[CustomerID]],Customers[CustomerID],Customers[CustomerName])</f>
        <v>Ngozi Danladi</v>
      </c>
      <c r="O1577" t="str">
        <f>_xlfn.XLOOKUP(Orders[[#This Row],[CustomerID]],Customers[CustomerID],Customers[Gender])</f>
        <v>Female</v>
      </c>
      <c r="P1577">
        <f>_xlfn.XLOOKUP(Orders[[#This Row],[CustomerID]],Customers[CustomerID],Customers[CustomerAge])</f>
        <v>28</v>
      </c>
      <c r="Q1577" t="str">
        <f>IF(Orders[[#This Row],[Age]]&gt;=35,"older","young")</f>
        <v>young</v>
      </c>
      <c r="R1577" t="str">
        <f>_xlfn.XLOOKUP(Orders[[#This Row],[ProductID]],Products[ProductID],Products[ProductName])</f>
        <v>TURTLE NECK</v>
      </c>
      <c r="S1577" t="str">
        <f>_xlfn.XLOOKUP(Orders[[#This Row],[ProductID]],Products!A:A,Products!C:C)</f>
        <v>Clothing</v>
      </c>
    </row>
    <row r="1578" spans="1:19" x14ac:dyDescent="0.2">
      <c r="A1578" s="4" t="s">
        <v>1767</v>
      </c>
      <c r="B1578" s="5">
        <v>45948</v>
      </c>
      <c r="C1578" s="15">
        <f>WEEKNUM(Orders[[#This Row],[OrderDate]])</f>
        <v>42</v>
      </c>
      <c r="D1578" s="4" t="s">
        <v>14</v>
      </c>
      <c r="E1578" s="4" t="s">
        <v>63</v>
      </c>
      <c r="F1578" s="4">
        <v>1</v>
      </c>
      <c r="G1578" s="4">
        <v>10036.799999999999</v>
      </c>
      <c r="H1578">
        <v>8531.2799999999988</v>
      </c>
      <c r="I1578">
        <f>Orders[[#This Row],[Quantity]]*Orders[[#This Row],[Selling Price]]</f>
        <v>10036.799999999999</v>
      </c>
      <c r="J1578">
        <f>Orders[[#This Row],[Quantity]]*Orders[[#This Row],[Cost Price]]</f>
        <v>8531.2799999999988</v>
      </c>
      <c r="K1578">
        <f>Orders[[#This Row],[Revenue]]-Orders[[#This Row],[Expenses]]</f>
        <v>1505.5200000000004</v>
      </c>
      <c r="L1578" t="s">
        <v>2194</v>
      </c>
      <c r="M1578" t="str">
        <f>_xlfn.XLOOKUP(Orders[[#This Row],[CustomerID]],Customers[CustomerID],Customers[City])</f>
        <v>Texas</v>
      </c>
      <c r="N1578" t="str">
        <f>_xlfn.XLOOKUP(Orders[[#This Row],[CustomerID]],Customers[CustomerID],Customers[CustomerName])</f>
        <v>Abiola Igwe</v>
      </c>
      <c r="O1578" t="str">
        <f>_xlfn.XLOOKUP(Orders[[#This Row],[CustomerID]],Customers[CustomerID],Customers[Gender])</f>
        <v>Male</v>
      </c>
      <c r="P1578">
        <f>_xlfn.XLOOKUP(Orders[[#This Row],[CustomerID]],Customers[CustomerID],Customers[CustomerAge])</f>
        <v>39</v>
      </c>
      <c r="Q1578" t="str">
        <f>IF(Orders[[#This Row],[Age]]&gt;=35,"older","young")</f>
        <v>older</v>
      </c>
      <c r="R1578" t="str">
        <f>_xlfn.XLOOKUP(Orders[[#This Row],[ProductID]],Products[ProductID],Products[ProductName])</f>
        <v>TENNIS BAT</v>
      </c>
      <c r="S1578" t="str">
        <f>_xlfn.XLOOKUP(Orders[[#This Row],[ProductID]],Products!A:A,Products!C:C)</f>
        <v>Sports</v>
      </c>
    </row>
    <row r="1579" spans="1:19" x14ac:dyDescent="0.2">
      <c r="A1579" s="4" t="s">
        <v>1768</v>
      </c>
      <c r="B1579" s="5">
        <v>45955</v>
      </c>
      <c r="C1579" s="15">
        <f>WEEKNUM(Orders[[#This Row],[OrderDate]])</f>
        <v>43</v>
      </c>
      <c r="D1579" s="4" t="s">
        <v>258</v>
      </c>
      <c r="E1579" s="4" t="s">
        <v>15</v>
      </c>
      <c r="F1579" s="4">
        <v>3</v>
      </c>
      <c r="G1579" s="4">
        <v>12742.9</v>
      </c>
      <c r="H1579">
        <v>10831.465</v>
      </c>
      <c r="I1579">
        <f>Orders[[#This Row],[Quantity]]*Orders[[#This Row],[Selling Price]]</f>
        <v>38228.699999999997</v>
      </c>
      <c r="J1579">
        <f>Orders[[#This Row],[Quantity]]*Orders[[#This Row],[Cost Price]]</f>
        <v>32494.395</v>
      </c>
      <c r="K1579">
        <f>Orders[[#This Row],[Revenue]]-Orders[[#This Row],[Expenses]]</f>
        <v>5734.3049999999967</v>
      </c>
      <c r="L1579" t="s">
        <v>2195</v>
      </c>
      <c r="M1579" t="str">
        <f>_xlfn.XLOOKUP(Orders[[#This Row],[CustomerID]],Customers[CustomerID],Customers[City])</f>
        <v>Washington</v>
      </c>
      <c r="N1579" t="str">
        <f>_xlfn.XLOOKUP(Orders[[#This Row],[CustomerID]],Customers[CustomerID],Customers[CustomerName])</f>
        <v>Sani Abubakar</v>
      </c>
      <c r="O1579" t="str">
        <f>_xlfn.XLOOKUP(Orders[[#This Row],[CustomerID]],Customers[CustomerID],Customers[Gender])</f>
        <v>Male</v>
      </c>
      <c r="P1579">
        <f>_xlfn.XLOOKUP(Orders[[#This Row],[CustomerID]],Customers[CustomerID],Customers[CustomerAge])</f>
        <v>37</v>
      </c>
      <c r="Q1579" t="str">
        <f>IF(Orders[[#This Row],[Age]]&gt;=35,"older","young")</f>
        <v>older</v>
      </c>
      <c r="R1579" t="str">
        <f>_xlfn.XLOOKUP(Orders[[#This Row],[ProductID]],Products[ProductID],Products[ProductName])</f>
        <v>MONOPOLY</v>
      </c>
      <c r="S1579" t="str">
        <f>_xlfn.XLOOKUP(Orders[[#This Row],[ProductID]],Products!A:A,Products!C:C)</f>
        <v>Games</v>
      </c>
    </row>
    <row r="1580" spans="1:19" x14ac:dyDescent="0.2">
      <c r="A1580" s="4" t="s">
        <v>1769</v>
      </c>
      <c r="B1580" s="5">
        <v>45967</v>
      </c>
      <c r="C1580" s="15">
        <f>WEEKNUM(Orders[[#This Row],[OrderDate]])</f>
        <v>45</v>
      </c>
      <c r="D1580" s="4" t="s">
        <v>27</v>
      </c>
      <c r="E1580" s="4" t="s">
        <v>76</v>
      </c>
      <c r="F1580" s="4">
        <v>6</v>
      </c>
      <c r="G1580" s="4">
        <v>5172.2000000000007</v>
      </c>
      <c r="H1580">
        <v>4396.3700000000008</v>
      </c>
      <c r="I1580">
        <f>Orders[[#This Row],[Quantity]]*Orders[[#This Row],[Selling Price]]</f>
        <v>31033.200000000004</v>
      </c>
      <c r="J1580">
        <f>Orders[[#This Row],[Quantity]]*Orders[[#This Row],[Cost Price]]</f>
        <v>26378.220000000005</v>
      </c>
      <c r="K1580">
        <f>Orders[[#This Row],[Revenue]]-Orders[[#This Row],[Expenses]]</f>
        <v>4654.9799999999996</v>
      </c>
      <c r="L1580" t="s">
        <v>2202</v>
      </c>
      <c r="M1580" t="str">
        <f>_xlfn.XLOOKUP(Orders[[#This Row],[CustomerID]],Customers[CustomerID],Customers[City])</f>
        <v>Illinois</v>
      </c>
      <c r="N1580" t="str">
        <f>_xlfn.XLOOKUP(Orders[[#This Row],[CustomerID]],Customers[CustomerID],Customers[CustomerName])</f>
        <v>Okon Ojo</v>
      </c>
      <c r="O1580" t="str">
        <f>_xlfn.XLOOKUP(Orders[[#This Row],[CustomerID]],Customers[CustomerID],Customers[Gender])</f>
        <v>Male</v>
      </c>
      <c r="P1580">
        <f>_xlfn.XLOOKUP(Orders[[#This Row],[CustomerID]],Customers[CustomerID],Customers[CustomerAge])</f>
        <v>32</v>
      </c>
      <c r="Q1580" t="str">
        <f>IF(Orders[[#This Row],[Age]]&gt;=35,"older","young")</f>
        <v>young</v>
      </c>
      <c r="R1580" t="str">
        <f>_xlfn.XLOOKUP(Orders[[#This Row],[ProductID]],Products[ProductID],Products[ProductName])</f>
        <v>BLENDER</v>
      </c>
      <c r="S1580" t="str">
        <f>_xlfn.XLOOKUP(Orders[[#This Row],[ProductID]],Products!A:A,Products!C:C)</f>
        <v>Electronics</v>
      </c>
    </row>
    <row r="1581" spans="1:19" x14ac:dyDescent="0.2">
      <c r="A1581" s="4" t="s">
        <v>1770</v>
      </c>
      <c r="B1581" s="5">
        <v>45953</v>
      </c>
      <c r="C1581" s="15">
        <f>WEEKNUM(Orders[[#This Row],[OrderDate]])</f>
        <v>43</v>
      </c>
      <c r="D1581" s="4" t="s">
        <v>118</v>
      </c>
      <c r="E1581" s="4" t="s">
        <v>168</v>
      </c>
      <c r="F1581" s="4">
        <v>2</v>
      </c>
      <c r="G1581" s="4">
        <v>6154.7000000000007</v>
      </c>
      <c r="H1581">
        <v>5231.4950000000008</v>
      </c>
      <c r="I1581">
        <f>Orders[[#This Row],[Quantity]]*Orders[[#This Row],[Selling Price]]</f>
        <v>12309.400000000001</v>
      </c>
      <c r="J1581">
        <f>Orders[[#This Row],[Quantity]]*Orders[[#This Row],[Cost Price]]</f>
        <v>10462.990000000002</v>
      </c>
      <c r="K1581">
        <f>Orders[[#This Row],[Revenue]]-Orders[[#This Row],[Expenses]]</f>
        <v>1846.4099999999999</v>
      </c>
      <c r="L1581" t="s">
        <v>2200</v>
      </c>
      <c r="M1581" t="str">
        <f>_xlfn.XLOOKUP(Orders[[#This Row],[CustomerID]],Customers[CustomerID],Customers[City])</f>
        <v>Georgia</v>
      </c>
      <c r="N1581" t="str">
        <f>_xlfn.XLOOKUP(Orders[[#This Row],[CustomerID]],Customers[CustomerID],Customers[CustomerName])</f>
        <v>Ibrahim Balogun</v>
      </c>
      <c r="O1581" t="str">
        <f>_xlfn.XLOOKUP(Orders[[#This Row],[CustomerID]],Customers[CustomerID],Customers[Gender])</f>
        <v>Male</v>
      </c>
      <c r="P1581">
        <f>_xlfn.XLOOKUP(Orders[[#This Row],[CustomerID]],Customers[CustomerID],Customers[CustomerAge])</f>
        <v>55</v>
      </c>
      <c r="Q1581" t="str">
        <f>IF(Orders[[#This Row],[Age]]&gt;=35,"older","young")</f>
        <v>older</v>
      </c>
      <c r="R1581" t="str">
        <f>_xlfn.XLOOKUP(Orders[[#This Row],[ProductID]],Products[ProductID],Products[ProductName])</f>
        <v>DUMB BELLS</v>
      </c>
      <c r="S1581" t="str">
        <f>_xlfn.XLOOKUP(Orders[[#This Row],[ProductID]],Products!A:A,Products!C:C)</f>
        <v>Gym</v>
      </c>
    </row>
    <row r="1582" spans="1:19" x14ac:dyDescent="0.2">
      <c r="A1582" s="4" t="s">
        <v>1771</v>
      </c>
      <c r="B1582" s="5">
        <v>45992</v>
      </c>
      <c r="C1582" s="15">
        <f>WEEKNUM(Orders[[#This Row],[OrderDate]])</f>
        <v>49</v>
      </c>
      <c r="D1582" s="4" t="s">
        <v>307</v>
      </c>
      <c r="E1582" s="4" t="s">
        <v>37</v>
      </c>
      <c r="F1582" s="4">
        <v>9</v>
      </c>
      <c r="G1582" s="4">
        <v>8995.9</v>
      </c>
      <c r="H1582">
        <v>7646.5149999999994</v>
      </c>
      <c r="I1582">
        <f>Orders[[#This Row],[Quantity]]*Orders[[#This Row],[Selling Price]]</f>
        <v>80963.099999999991</v>
      </c>
      <c r="J1582">
        <f>Orders[[#This Row],[Quantity]]*Orders[[#This Row],[Cost Price]]</f>
        <v>68818.634999999995</v>
      </c>
      <c r="K1582">
        <f>Orders[[#This Row],[Revenue]]-Orders[[#This Row],[Expenses]]</f>
        <v>12144.464999999997</v>
      </c>
      <c r="L1582" t="s">
        <v>2194</v>
      </c>
      <c r="M1582" t="str">
        <f>_xlfn.XLOOKUP(Orders[[#This Row],[CustomerID]],Customers[CustomerID],Customers[City])</f>
        <v>Illinois</v>
      </c>
      <c r="N1582" t="str">
        <f>_xlfn.XLOOKUP(Orders[[#This Row],[CustomerID]],Customers[CustomerID],Customers[CustomerName])</f>
        <v>Adanma Bello</v>
      </c>
      <c r="O1582" t="str">
        <f>_xlfn.XLOOKUP(Orders[[#This Row],[CustomerID]],Customers[CustomerID],Customers[Gender])</f>
        <v>Female</v>
      </c>
      <c r="P1582">
        <f>_xlfn.XLOOKUP(Orders[[#This Row],[CustomerID]],Customers[CustomerID],Customers[CustomerAge])</f>
        <v>51</v>
      </c>
      <c r="Q1582" t="str">
        <f>IF(Orders[[#This Row],[Age]]&gt;=35,"older","young")</f>
        <v>older</v>
      </c>
      <c r="R1582" t="str">
        <f>_xlfn.XLOOKUP(Orders[[#This Row],[ProductID]],Products[ProductID],Products[ProductName])</f>
        <v>IRON</v>
      </c>
      <c r="S1582" t="str">
        <f>_xlfn.XLOOKUP(Orders[[#This Row],[ProductID]],Products!A:A,Products!C:C)</f>
        <v>Electronics</v>
      </c>
    </row>
    <row r="1583" spans="1:19" x14ac:dyDescent="0.2">
      <c r="A1583" s="4" t="s">
        <v>1772</v>
      </c>
      <c r="B1583" s="5">
        <v>46010</v>
      </c>
      <c r="C1583" s="15">
        <f>WEEKNUM(Orders[[#This Row],[OrderDate]])</f>
        <v>51</v>
      </c>
      <c r="D1583" s="4" t="s">
        <v>124</v>
      </c>
      <c r="E1583" s="4" t="s">
        <v>353</v>
      </c>
      <c r="F1583" s="4">
        <v>7</v>
      </c>
      <c r="G1583" s="4">
        <v>17205.5</v>
      </c>
      <c r="H1583">
        <v>14624.674999999999</v>
      </c>
      <c r="I1583">
        <f>Orders[[#This Row],[Quantity]]*Orders[[#This Row],[Selling Price]]</f>
        <v>120438.5</v>
      </c>
      <c r="J1583">
        <f>Orders[[#This Row],[Quantity]]*Orders[[#This Row],[Cost Price]]</f>
        <v>102372.72499999999</v>
      </c>
      <c r="K1583">
        <f>Orders[[#This Row],[Revenue]]-Orders[[#This Row],[Expenses]]</f>
        <v>18065.775000000009</v>
      </c>
      <c r="L1583" t="s">
        <v>2211</v>
      </c>
      <c r="M1583" t="str">
        <f>_xlfn.XLOOKUP(Orders[[#This Row],[CustomerID]],Customers[CustomerID],Customers[City])</f>
        <v>Texas</v>
      </c>
      <c r="N1583" t="str">
        <f>_xlfn.XLOOKUP(Orders[[#This Row],[CustomerID]],Customers[CustomerID],Customers[CustomerName])</f>
        <v>Ngozi Ojo</v>
      </c>
      <c r="O1583" t="str">
        <f>_xlfn.XLOOKUP(Orders[[#This Row],[CustomerID]],Customers[CustomerID],Customers[Gender])</f>
        <v>Female</v>
      </c>
      <c r="P1583">
        <f>_xlfn.XLOOKUP(Orders[[#This Row],[CustomerID]],Customers[CustomerID],Customers[CustomerAge])</f>
        <v>22</v>
      </c>
      <c r="Q1583" t="str">
        <f>IF(Orders[[#This Row],[Age]]&gt;=35,"older","young")</f>
        <v>young</v>
      </c>
      <c r="R1583" t="str">
        <f>_xlfn.XLOOKUP(Orders[[#This Row],[ProductID]],Products[ProductID],Products[ProductName])</f>
        <v>SILVER EARRINGS AND NECKLACES</v>
      </c>
      <c r="S1583" t="str">
        <f>_xlfn.XLOOKUP(Orders[[#This Row],[ProductID]],Products!A:A,Products!C:C)</f>
        <v>Accessories</v>
      </c>
    </row>
    <row r="1584" spans="1:19" x14ac:dyDescent="0.2">
      <c r="A1584" s="4" t="s">
        <v>1773</v>
      </c>
      <c r="B1584" s="5">
        <v>45976</v>
      </c>
      <c r="C1584" s="15">
        <f>WEEKNUM(Orders[[#This Row],[OrderDate]])</f>
        <v>46</v>
      </c>
      <c r="D1584" s="4" t="s">
        <v>374</v>
      </c>
      <c r="E1584" s="4" t="s">
        <v>63</v>
      </c>
      <c r="F1584" s="4">
        <v>6</v>
      </c>
      <c r="G1584" s="4">
        <v>13966.199999999999</v>
      </c>
      <c r="H1584">
        <v>11871.269999999999</v>
      </c>
      <c r="I1584">
        <f>Orders[[#This Row],[Quantity]]*Orders[[#This Row],[Selling Price]]</f>
        <v>83797.2</v>
      </c>
      <c r="J1584">
        <f>Orders[[#This Row],[Quantity]]*Orders[[#This Row],[Cost Price]]</f>
        <v>71227.62</v>
      </c>
      <c r="K1584">
        <f>Orders[[#This Row],[Revenue]]-Orders[[#This Row],[Expenses]]</f>
        <v>12569.580000000002</v>
      </c>
      <c r="L1584" t="s">
        <v>2192</v>
      </c>
      <c r="M1584" t="str">
        <f>_xlfn.XLOOKUP(Orders[[#This Row],[CustomerID]],Customers[CustomerID],Customers[City])</f>
        <v>Texas</v>
      </c>
      <c r="N1584" t="str">
        <f>_xlfn.XLOOKUP(Orders[[#This Row],[CustomerID]],Customers[CustomerID],Customers[CustomerName])</f>
        <v>Uche Okonkwo</v>
      </c>
      <c r="O1584" t="str">
        <f>_xlfn.XLOOKUP(Orders[[#This Row],[CustomerID]],Customers[CustomerID],Customers[Gender])</f>
        <v>Male</v>
      </c>
      <c r="P1584">
        <f>_xlfn.XLOOKUP(Orders[[#This Row],[CustomerID]],Customers[CustomerID],Customers[CustomerAge])</f>
        <v>27</v>
      </c>
      <c r="Q1584" t="str">
        <f>IF(Orders[[#This Row],[Age]]&gt;=35,"older","young")</f>
        <v>young</v>
      </c>
      <c r="R1584" t="str">
        <f>_xlfn.XLOOKUP(Orders[[#This Row],[ProductID]],Products[ProductID],Products[ProductName])</f>
        <v>TENNIS BAT</v>
      </c>
      <c r="S1584" t="str">
        <f>_xlfn.XLOOKUP(Orders[[#This Row],[ProductID]],Products!A:A,Products!C:C)</f>
        <v>Sports</v>
      </c>
    </row>
    <row r="1585" spans="1:19" x14ac:dyDescent="0.2">
      <c r="A1585" s="4" t="s">
        <v>1774</v>
      </c>
      <c r="B1585" s="5">
        <v>45981</v>
      </c>
      <c r="C1585" s="15">
        <f>WEEKNUM(Orders[[#This Row],[OrderDate]])</f>
        <v>47</v>
      </c>
      <c r="D1585" s="4" t="s">
        <v>132</v>
      </c>
      <c r="E1585" s="4" t="s">
        <v>20</v>
      </c>
      <c r="F1585" s="4">
        <v>8</v>
      </c>
      <c r="G1585" s="4">
        <v>4897.7999999999993</v>
      </c>
      <c r="H1585">
        <v>4163.1299999999992</v>
      </c>
      <c r="I1585">
        <f>Orders[[#This Row],[Quantity]]*Orders[[#This Row],[Selling Price]]</f>
        <v>39182.399999999994</v>
      </c>
      <c r="J1585">
        <f>Orders[[#This Row],[Quantity]]*Orders[[#This Row],[Cost Price]]</f>
        <v>33305.039999999994</v>
      </c>
      <c r="K1585">
        <f>Orders[[#This Row],[Revenue]]-Orders[[#This Row],[Expenses]]</f>
        <v>5877.3600000000006</v>
      </c>
      <c r="L1585" t="s">
        <v>2216</v>
      </c>
      <c r="M1585" t="str">
        <f>_xlfn.XLOOKUP(Orders[[#This Row],[CustomerID]],Customers[CustomerID],Customers[City])</f>
        <v>Illinois</v>
      </c>
      <c r="N1585" t="str">
        <f>_xlfn.XLOOKUP(Orders[[#This Row],[CustomerID]],Customers[CustomerID],Customers[CustomerName])</f>
        <v>Emeka Balogun</v>
      </c>
      <c r="O1585" t="str">
        <f>_xlfn.XLOOKUP(Orders[[#This Row],[CustomerID]],Customers[CustomerID],Customers[Gender])</f>
        <v>Male</v>
      </c>
      <c r="P1585">
        <f>_xlfn.XLOOKUP(Orders[[#This Row],[CustomerID]],Customers[CustomerID],Customers[CustomerAge])</f>
        <v>36</v>
      </c>
      <c r="Q1585" t="str">
        <f>IF(Orders[[#This Row],[Age]]&gt;=35,"older","young")</f>
        <v>older</v>
      </c>
      <c r="R1585" t="str">
        <f>_xlfn.XLOOKUP(Orders[[#This Row],[ProductID]],Products[ProductID],Products[ProductName])</f>
        <v>GYM BAG</v>
      </c>
      <c r="S1585" t="str">
        <f>_xlfn.XLOOKUP(Orders[[#This Row],[ProductID]],Products!A:A,Products!C:C)</f>
        <v>Gym</v>
      </c>
    </row>
    <row r="1586" spans="1:19" x14ac:dyDescent="0.2">
      <c r="A1586" s="4" t="s">
        <v>1775</v>
      </c>
      <c r="B1586" s="5">
        <v>45966</v>
      </c>
      <c r="C1586" s="15">
        <f>WEEKNUM(Orders[[#This Row],[OrderDate]])</f>
        <v>45</v>
      </c>
      <c r="D1586" s="4" t="s">
        <v>275</v>
      </c>
      <c r="E1586" s="4" t="s">
        <v>66</v>
      </c>
      <c r="F1586" s="4">
        <v>7</v>
      </c>
      <c r="G1586" s="4">
        <v>16316.400000000001</v>
      </c>
      <c r="H1586">
        <v>13868.940000000002</v>
      </c>
      <c r="I1586">
        <f>Orders[[#This Row],[Quantity]]*Orders[[#This Row],[Selling Price]]</f>
        <v>114214.80000000002</v>
      </c>
      <c r="J1586">
        <f>Orders[[#This Row],[Quantity]]*Orders[[#This Row],[Cost Price]]</f>
        <v>97082.580000000016</v>
      </c>
      <c r="K1586">
        <f>Orders[[#This Row],[Revenue]]-Orders[[#This Row],[Expenses]]</f>
        <v>17132.22</v>
      </c>
      <c r="L1586" t="s">
        <v>2193</v>
      </c>
      <c r="M1586" t="str">
        <f>_xlfn.XLOOKUP(Orders[[#This Row],[CustomerID]],Customers[CustomerID],Customers[City])</f>
        <v>Texas</v>
      </c>
      <c r="N1586" t="str">
        <f>_xlfn.XLOOKUP(Orders[[#This Row],[CustomerID]],Customers[CustomerID],Customers[CustomerName])</f>
        <v>Ngozi Danladi</v>
      </c>
      <c r="O1586" t="str">
        <f>_xlfn.XLOOKUP(Orders[[#This Row],[CustomerID]],Customers[CustomerID],Customers[Gender])</f>
        <v>Female</v>
      </c>
      <c r="P1586">
        <f>_xlfn.XLOOKUP(Orders[[#This Row],[CustomerID]],Customers[CustomerID],Customers[CustomerAge])</f>
        <v>25</v>
      </c>
      <c r="Q1586" t="str">
        <f>IF(Orders[[#This Row],[Age]]&gt;=35,"older","young")</f>
        <v>young</v>
      </c>
      <c r="R1586" t="str">
        <f>_xlfn.XLOOKUP(Orders[[#This Row],[ProductID]],Products[ProductID],Products[ProductName])</f>
        <v>MICROWAVE</v>
      </c>
      <c r="S1586" t="str">
        <f>_xlfn.XLOOKUP(Orders[[#This Row],[ProductID]],Products!A:A,Products!C:C)</f>
        <v>Electronics</v>
      </c>
    </row>
    <row r="1587" spans="1:19" x14ac:dyDescent="0.2">
      <c r="A1587" s="4" t="s">
        <v>1776</v>
      </c>
      <c r="B1587" s="5">
        <v>46014</v>
      </c>
      <c r="C1587" s="15">
        <f>WEEKNUM(Orders[[#This Row],[OrderDate]])</f>
        <v>52</v>
      </c>
      <c r="D1587" s="4" t="s">
        <v>285</v>
      </c>
      <c r="E1587" s="4" t="s">
        <v>151</v>
      </c>
      <c r="F1587" s="4">
        <v>3</v>
      </c>
      <c r="G1587" s="4">
        <v>10472.1</v>
      </c>
      <c r="H1587">
        <v>8901.2849999999999</v>
      </c>
      <c r="I1587">
        <f>Orders[[#This Row],[Quantity]]*Orders[[#This Row],[Selling Price]]</f>
        <v>31416.300000000003</v>
      </c>
      <c r="J1587">
        <f>Orders[[#This Row],[Quantity]]*Orders[[#This Row],[Cost Price]]</f>
        <v>26703.855</v>
      </c>
      <c r="K1587">
        <f>Orders[[#This Row],[Revenue]]-Orders[[#This Row],[Expenses]]</f>
        <v>4712.4450000000033</v>
      </c>
      <c r="L1587" t="s">
        <v>2220</v>
      </c>
      <c r="M1587" t="str">
        <f>_xlfn.XLOOKUP(Orders[[#This Row],[CustomerID]],Customers[CustomerID],Customers[City])</f>
        <v>California</v>
      </c>
      <c r="N1587" t="str">
        <f>_xlfn.XLOOKUP(Orders[[#This Row],[CustomerID]],Customers[CustomerID],Customers[CustomerName])</f>
        <v>Sani Balogun</v>
      </c>
      <c r="O1587" t="str">
        <f>_xlfn.XLOOKUP(Orders[[#This Row],[CustomerID]],Customers[CustomerID],Customers[Gender])</f>
        <v>Male</v>
      </c>
      <c r="P1587">
        <f>_xlfn.XLOOKUP(Orders[[#This Row],[CustomerID]],Customers[CustomerID],Customers[CustomerAge])</f>
        <v>27</v>
      </c>
      <c r="Q1587" t="str">
        <f>IF(Orders[[#This Row],[Age]]&gt;=35,"older","young")</f>
        <v>young</v>
      </c>
      <c r="R1587" t="str">
        <f>_xlfn.XLOOKUP(Orders[[#This Row],[ProductID]],Products[ProductID],Products[ProductName])</f>
        <v>CHECKERS</v>
      </c>
      <c r="S1587" t="str">
        <f>_xlfn.XLOOKUP(Orders[[#This Row],[ProductID]],Products!A:A,Products!C:C)</f>
        <v>Games</v>
      </c>
    </row>
    <row r="1588" spans="1:19" x14ac:dyDescent="0.2">
      <c r="A1588" s="4" t="s">
        <v>1777</v>
      </c>
      <c r="B1588" s="5">
        <v>45999</v>
      </c>
      <c r="C1588" s="15">
        <f>WEEKNUM(Orders[[#This Row],[OrderDate]])</f>
        <v>50</v>
      </c>
      <c r="D1588" s="4" t="s">
        <v>940</v>
      </c>
      <c r="E1588" s="4" t="s">
        <v>70</v>
      </c>
      <c r="F1588" s="4">
        <v>10</v>
      </c>
      <c r="G1588" s="4">
        <v>13563.699999999999</v>
      </c>
      <c r="H1588">
        <v>11529.144999999999</v>
      </c>
      <c r="I1588">
        <f>Orders[[#This Row],[Quantity]]*Orders[[#This Row],[Selling Price]]</f>
        <v>135637</v>
      </c>
      <c r="J1588">
        <f>Orders[[#This Row],[Quantity]]*Orders[[#This Row],[Cost Price]]</f>
        <v>115291.44999999998</v>
      </c>
      <c r="K1588">
        <f>Orders[[#This Row],[Revenue]]-Orders[[#This Row],[Expenses]]</f>
        <v>20345.550000000017</v>
      </c>
      <c r="L1588" t="s">
        <v>2217</v>
      </c>
      <c r="M1588" t="str">
        <f>_xlfn.XLOOKUP(Orders[[#This Row],[CustomerID]],Customers[CustomerID],Customers[City])</f>
        <v>Texas</v>
      </c>
      <c r="N1588" t="str">
        <f>_xlfn.XLOOKUP(Orders[[#This Row],[CustomerID]],Customers[CustomerID],Customers[CustomerName])</f>
        <v>Okon Ojo</v>
      </c>
      <c r="O1588" t="str">
        <f>_xlfn.XLOOKUP(Orders[[#This Row],[CustomerID]],Customers[CustomerID],Customers[Gender])</f>
        <v>Male</v>
      </c>
      <c r="P1588">
        <f>_xlfn.XLOOKUP(Orders[[#This Row],[CustomerID]],Customers[CustomerID],Customers[CustomerAge])</f>
        <v>25</v>
      </c>
      <c r="Q1588" t="str">
        <f>IF(Orders[[#This Row],[Age]]&gt;=35,"older","young")</f>
        <v>young</v>
      </c>
      <c r="R1588" t="str">
        <f>_xlfn.XLOOKUP(Orders[[#This Row],[ProductID]],Products[ProductID],Products[ProductName])</f>
        <v>YOGA MAT</v>
      </c>
      <c r="S1588" t="str">
        <f>_xlfn.XLOOKUP(Orders[[#This Row],[ProductID]],Products!A:A,Products!C:C)</f>
        <v>Gym</v>
      </c>
    </row>
    <row r="1589" spans="1:19" x14ac:dyDescent="0.2">
      <c r="A1589" s="4" t="s">
        <v>1778</v>
      </c>
      <c r="B1589" s="5">
        <v>45980</v>
      </c>
      <c r="C1589" s="15">
        <f>WEEKNUM(Orders[[#This Row],[OrderDate]])</f>
        <v>47</v>
      </c>
      <c r="D1589" s="4" t="s">
        <v>298</v>
      </c>
      <c r="E1589" s="4" t="s">
        <v>127</v>
      </c>
      <c r="F1589" s="4">
        <v>9</v>
      </c>
      <c r="G1589" s="4">
        <v>7705.2999999999993</v>
      </c>
      <c r="H1589">
        <v>6549.5049999999992</v>
      </c>
      <c r="I1589">
        <f>Orders[[#This Row],[Quantity]]*Orders[[#This Row],[Selling Price]]</f>
        <v>69347.7</v>
      </c>
      <c r="J1589">
        <f>Orders[[#This Row],[Quantity]]*Orders[[#This Row],[Cost Price]]</f>
        <v>58945.544999999991</v>
      </c>
      <c r="K1589">
        <f>Orders[[#This Row],[Revenue]]-Orders[[#This Row],[Expenses]]</f>
        <v>10402.155000000006</v>
      </c>
      <c r="L1589" t="s">
        <v>2219</v>
      </c>
      <c r="M1589" t="str">
        <f>_xlfn.XLOOKUP(Orders[[#This Row],[CustomerID]],Customers[CustomerID],Customers[City])</f>
        <v>Florida</v>
      </c>
      <c r="N1589" t="str">
        <f>_xlfn.XLOOKUP(Orders[[#This Row],[CustomerID]],Customers[CustomerID],Customers[CustomerName])</f>
        <v>Amina Obi</v>
      </c>
      <c r="O1589" t="str">
        <f>_xlfn.XLOOKUP(Orders[[#This Row],[CustomerID]],Customers[CustomerID],Customers[Gender])</f>
        <v>Female</v>
      </c>
      <c r="P1589">
        <f>_xlfn.XLOOKUP(Orders[[#This Row],[CustomerID]],Customers[CustomerID],Customers[CustomerAge])</f>
        <v>19</v>
      </c>
      <c r="Q1589" t="str">
        <f>IF(Orders[[#This Row],[Age]]&gt;=35,"older","young")</f>
        <v>young</v>
      </c>
      <c r="R1589" t="str">
        <f>_xlfn.XLOOKUP(Orders[[#This Row],[ProductID]],Products[ProductID],Products[ProductName])</f>
        <v>TOPS</v>
      </c>
      <c r="S1589" t="str">
        <f>_xlfn.XLOOKUP(Orders[[#This Row],[ProductID]],Products!A:A,Products!C:C)</f>
        <v>Clothing</v>
      </c>
    </row>
    <row r="1590" spans="1:19" x14ac:dyDescent="0.2">
      <c r="A1590" s="4" t="s">
        <v>1779</v>
      </c>
      <c r="B1590" s="5">
        <v>45939</v>
      </c>
      <c r="C1590" s="15">
        <f>WEEKNUM(Orders[[#This Row],[OrderDate]])</f>
        <v>41</v>
      </c>
      <c r="D1590" s="4" t="s">
        <v>322</v>
      </c>
      <c r="E1590" s="4" t="s">
        <v>20</v>
      </c>
      <c r="F1590" s="4">
        <v>2</v>
      </c>
      <c r="G1590" s="4">
        <v>6483.0999999999995</v>
      </c>
      <c r="H1590">
        <v>5510.6349999999993</v>
      </c>
      <c r="I1590">
        <f>Orders[[#This Row],[Quantity]]*Orders[[#This Row],[Selling Price]]</f>
        <v>12966.199999999999</v>
      </c>
      <c r="J1590">
        <f>Orders[[#This Row],[Quantity]]*Orders[[#This Row],[Cost Price]]</f>
        <v>11021.269999999999</v>
      </c>
      <c r="K1590">
        <f>Orders[[#This Row],[Revenue]]-Orders[[#This Row],[Expenses]]</f>
        <v>1944.9300000000003</v>
      </c>
      <c r="L1590" t="s">
        <v>2195</v>
      </c>
      <c r="M1590" t="str">
        <f>_xlfn.XLOOKUP(Orders[[#This Row],[CustomerID]],Customers[CustomerID],Customers[City])</f>
        <v>Washington</v>
      </c>
      <c r="N1590" t="str">
        <f>_xlfn.XLOOKUP(Orders[[#This Row],[CustomerID]],Customers[CustomerID],Customers[CustomerName])</f>
        <v>Ngozi Bello</v>
      </c>
      <c r="O1590" t="str">
        <f>_xlfn.XLOOKUP(Orders[[#This Row],[CustomerID]],Customers[CustomerID],Customers[Gender])</f>
        <v>Female</v>
      </c>
      <c r="P1590">
        <f>_xlfn.XLOOKUP(Orders[[#This Row],[CustomerID]],Customers[CustomerID],Customers[CustomerAge])</f>
        <v>32</v>
      </c>
      <c r="Q1590" t="str">
        <f>IF(Orders[[#This Row],[Age]]&gt;=35,"older","young")</f>
        <v>young</v>
      </c>
      <c r="R1590" t="str">
        <f>_xlfn.XLOOKUP(Orders[[#This Row],[ProductID]],Products[ProductID],Products[ProductName])</f>
        <v>GYM BAG</v>
      </c>
      <c r="S1590" t="str">
        <f>_xlfn.XLOOKUP(Orders[[#This Row],[ProductID]],Products!A:A,Products!C:C)</f>
        <v>Gym</v>
      </c>
    </row>
    <row r="1591" spans="1:19" x14ac:dyDescent="0.2">
      <c r="A1591" s="4" t="s">
        <v>1780</v>
      </c>
      <c r="B1591" s="5">
        <v>45932</v>
      </c>
      <c r="C1591" s="15">
        <f>WEEKNUM(Orders[[#This Row],[OrderDate]])</f>
        <v>40</v>
      </c>
      <c r="D1591" s="4" t="s">
        <v>124</v>
      </c>
      <c r="E1591" s="4" t="s">
        <v>151</v>
      </c>
      <c r="F1591" s="4">
        <v>10</v>
      </c>
      <c r="G1591" s="4">
        <v>3540.2</v>
      </c>
      <c r="H1591">
        <v>3009.17</v>
      </c>
      <c r="I1591">
        <f>Orders[[#This Row],[Quantity]]*Orders[[#This Row],[Selling Price]]</f>
        <v>35402</v>
      </c>
      <c r="J1591">
        <f>Orders[[#This Row],[Quantity]]*Orders[[#This Row],[Cost Price]]</f>
        <v>30091.7</v>
      </c>
      <c r="K1591">
        <f>Orders[[#This Row],[Revenue]]-Orders[[#This Row],[Expenses]]</f>
        <v>5310.2999999999993</v>
      </c>
      <c r="L1591" t="s">
        <v>2219</v>
      </c>
      <c r="M1591" t="str">
        <f>_xlfn.XLOOKUP(Orders[[#This Row],[CustomerID]],Customers[CustomerID],Customers[City])</f>
        <v>Texas</v>
      </c>
      <c r="N1591" t="str">
        <f>_xlfn.XLOOKUP(Orders[[#This Row],[CustomerID]],Customers[CustomerID],Customers[CustomerName])</f>
        <v>Ngozi Ojo</v>
      </c>
      <c r="O1591" t="str">
        <f>_xlfn.XLOOKUP(Orders[[#This Row],[CustomerID]],Customers[CustomerID],Customers[Gender])</f>
        <v>Female</v>
      </c>
      <c r="P1591">
        <f>_xlfn.XLOOKUP(Orders[[#This Row],[CustomerID]],Customers[CustomerID],Customers[CustomerAge])</f>
        <v>22</v>
      </c>
      <c r="Q1591" t="str">
        <f>IF(Orders[[#This Row],[Age]]&gt;=35,"older","young")</f>
        <v>young</v>
      </c>
      <c r="R1591" t="str">
        <f>_xlfn.XLOOKUP(Orders[[#This Row],[ProductID]],Products[ProductID],Products[ProductName])</f>
        <v>CHECKERS</v>
      </c>
      <c r="S1591" t="str">
        <f>_xlfn.XLOOKUP(Orders[[#This Row],[ProductID]],Products!A:A,Products!C:C)</f>
        <v>Games</v>
      </c>
    </row>
    <row r="1592" spans="1:19" x14ac:dyDescent="0.2">
      <c r="A1592" s="4" t="s">
        <v>1781</v>
      </c>
      <c r="B1592" s="5">
        <v>45954</v>
      </c>
      <c r="C1592" s="15">
        <f>WEEKNUM(Orders[[#This Row],[OrderDate]])</f>
        <v>43</v>
      </c>
      <c r="D1592" s="4" t="s">
        <v>311</v>
      </c>
      <c r="E1592" s="4" t="s">
        <v>20</v>
      </c>
      <c r="F1592" s="4">
        <v>6</v>
      </c>
      <c r="G1592" s="4">
        <v>4954.3</v>
      </c>
      <c r="H1592">
        <v>4211.1550000000007</v>
      </c>
      <c r="I1592">
        <f>Orders[[#This Row],[Quantity]]*Orders[[#This Row],[Selling Price]]</f>
        <v>29725.800000000003</v>
      </c>
      <c r="J1592">
        <f>Orders[[#This Row],[Quantity]]*Orders[[#This Row],[Cost Price]]</f>
        <v>25266.930000000004</v>
      </c>
      <c r="K1592">
        <f>Orders[[#This Row],[Revenue]]-Orders[[#This Row],[Expenses]]</f>
        <v>4458.869999999999</v>
      </c>
      <c r="L1592" t="s">
        <v>2195</v>
      </c>
      <c r="M1592" t="str">
        <f>_xlfn.XLOOKUP(Orders[[#This Row],[CustomerID]],Customers[CustomerID],Customers[City])</f>
        <v>Georgia</v>
      </c>
      <c r="N1592" t="str">
        <f>_xlfn.XLOOKUP(Orders[[#This Row],[CustomerID]],Customers[CustomerID],Customers[CustomerName])</f>
        <v>Bisi Bello</v>
      </c>
      <c r="O1592" t="str">
        <f>_xlfn.XLOOKUP(Orders[[#This Row],[CustomerID]],Customers[CustomerID],Customers[Gender])</f>
        <v>Female</v>
      </c>
      <c r="P1592">
        <f>_xlfn.XLOOKUP(Orders[[#This Row],[CustomerID]],Customers[CustomerID],Customers[CustomerAge])</f>
        <v>31</v>
      </c>
      <c r="Q1592" t="str">
        <f>IF(Orders[[#This Row],[Age]]&gt;=35,"older","young")</f>
        <v>young</v>
      </c>
      <c r="R1592" t="str">
        <f>_xlfn.XLOOKUP(Orders[[#This Row],[ProductID]],Products[ProductID],Products[ProductName])</f>
        <v>GYM BAG</v>
      </c>
      <c r="S1592" t="str">
        <f>_xlfn.XLOOKUP(Orders[[#This Row],[ProductID]],Products!A:A,Products!C:C)</f>
        <v>Gym</v>
      </c>
    </row>
    <row r="1593" spans="1:19" x14ac:dyDescent="0.2">
      <c r="A1593" s="4" t="s">
        <v>1782</v>
      </c>
      <c r="B1593" s="5">
        <v>46017</v>
      </c>
      <c r="C1593" s="15">
        <f>WEEKNUM(Orders[[#This Row],[OrderDate]])</f>
        <v>52</v>
      </c>
      <c r="D1593" s="4" t="s">
        <v>194</v>
      </c>
      <c r="E1593" s="4" t="s">
        <v>25</v>
      </c>
      <c r="F1593" s="4">
        <v>6</v>
      </c>
      <c r="G1593" s="4">
        <v>8515.2000000000007</v>
      </c>
      <c r="H1593">
        <v>7237.920000000001</v>
      </c>
      <c r="I1593">
        <f>Orders[[#This Row],[Quantity]]*Orders[[#This Row],[Selling Price]]</f>
        <v>51091.200000000004</v>
      </c>
      <c r="J1593">
        <f>Orders[[#This Row],[Quantity]]*Orders[[#This Row],[Cost Price]]</f>
        <v>43427.520000000004</v>
      </c>
      <c r="K1593">
        <f>Orders[[#This Row],[Revenue]]-Orders[[#This Row],[Expenses]]</f>
        <v>7663.68</v>
      </c>
      <c r="L1593" t="s">
        <v>2210</v>
      </c>
      <c r="M1593" t="str">
        <f>_xlfn.XLOOKUP(Orders[[#This Row],[CustomerID]],Customers[CustomerID],Customers[City])</f>
        <v>Washington</v>
      </c>
      <c r="N1593" t="str">
        <f>_xlfn.XLOOKUP(Orders[[#This Row],[CustomerID]],Customers[CustomerID],Customers[CustomerName])</f>
        <v>Adanma Adeyemi</v>
      </c>
      <c r="O1593" t="str">
        <f>_xlfn.XLOOKUP(Orders[[#This Row],[CustomerID]],Customers[CustomerID],Customers[Gender])</f>
        <v>Female</v>
      </c>
      <c r="P1593">
        <f>_xlfn.XLOOKUP(Orders[[#This Row],[CustomerID]],Customers[CustomerID],Customers[CustomerAge])</f>
        <v>45</v>
      </c>
      <c r="Q1593" t="str">
        <f>IF(Orders[[#This Row],[Age]]&gt;=35,"older","young")</f>
        <v>older</v>
      </c>
      <c r="R1593" t="str">
        <f>_xlfn.XLOOKUP(Orders[[#This Row],[ProductID]],Products[ProductID],Products[ProductName])</f>
        <v>GOLD RINGS</v>
      </c>
      <c r="S1593" t="str">
        <f>_xlfn.XLOOKUP(Orders[[#This Row],[ProductID]],Products!A:A,Products!C:C)</f>
        <v>Accessories</v>
      </c>
    </row>
    <row r="1594" spans="1:19" x14ac:dyDescent="0.2">
      <c r="A1594" s="4" t="s">
        <v>1783</v>
      </c>
      <c r="B1594" s="5">
        <v>45978</v>
      </c>
      <c r="C1594" s="15">
        <f>WEEKNUM(Orders[[#This Row],[OrderDate]])</f>
        <v>47</v>
      </c>
      <c r="D1594" s="4" t="s">
        <v>340</v>
      </c>
      <c r="E1594" s="4" t="s">
        <v>151</v>
      </c>
      <c r="F1594" s="4">
        <v>10</v>
      </c>
      <c r="G1594" s="4">
        <v>14967.2</v>
      </c>
      <c r="H1594">
        <v>12722.12</v>
      </c>
      <c r="I1594">
        <f>Orders[[#This Row],[Quantity]]*Orders[[#This Row],[Selling Price]]</f>
        <v>149672</v>
      </c>
      <c r="J1594">
        <f>Orders[[#This Row],[Quantity]]*Orders[[#This Row],[Cost Price]]</f>
        <v>127221.20000000001</v>
      </c>
      <c r="K1594">
        <f>Orders[[#This Row],[Revenue]]-Orders[[#This Row],[Expenses]]</f>
        <v>22450.799999999988</v>
      </c>
      <c r="L1594" t="s">
        <v>2214</v>
      </c>
      <c r="M1594" t="str">
        <f>_xlfn.XLOOKUP(Orders[[#This Row],[CustomerID]],Customers[CustomerID],Customers[City])</f>
        <v>Illinois</v>
      </c>
      <c r="N1594" t="str">
        <f>_xlfn.XLOOKUP(Orders[[#This Row],[CustomerID]],Customers[CustomerID],Customers[CustomerName])</f>
        <v>Uche Abubakar</v>
      </c>
      <c r="O1594" t="str">
        <f>_xlfn.XLOOKUP(Orders[[#This Row],[CustomerID]],Customers[CustomerID],Customers[Gender])</f>
        <v>Male</v>
      </c>
      <c r="P1594">
        <f>_xlfn.XLOOKUP(Orders[[#This Row],[CustomerID]],Customers[CustomerID],Customers[CustomerAge])</f>
        <v>18</v>
      </c>
      <c r="Q1594" t="str">
        <f>IF(Orders[[#This Row],[Age]]&gt;=35,"older","young")</f>
        <v>young</v>
      </c>
      <c r="R1594" t="str">
        <f>_xlfn.XLOOKUP(Orders[[#This Row],[ProductID]],Products[ProductID],Products[ProductName])</f>
        <v>CHECKERS</v>
      </c>
      <c r="S1594" t="str">
        <f>_xlfn.XLOOKUP(Orders[[#This Row],[ProductID]],Products!A:A,Products!C:C)</f>
        <v>Games</v>
      </c>
    </row>
    <row r="1595" spans="1:19" x14ac:dyDescent="0.2">
      <c r="A1595" s="4" t="s">
        <v>1784</v>
      </c>
      <c r="B1595" s="5">
        <v>45971</v>
      </c>
      <c r="C1595" s="15">
        <f>WEEKNUM(Orders[[#This Row],[OrderDate]])</f>
        <v>46</v>
      </c>
      <c r="D1595" s="4" t="s">
        <v>27</v>
      </c>
      <c r="E1595" s="4" t="s">
        <v>20</v>
      </c>
      <c r="F1595" s="4">
        <v>9</v>
      </c>
      <c r="G1595" s="4">
        <v>11160.4</v>
      </c>
      <c r="H1595">
        <v>9486.34</v>
      </c>
      <c r="I1595">
        <f>Orders[[#This Row],[Quantity]]*Orders[[#This Row],[Selling Price]]</f>
        <v>100443.59999999999</v>
      </c>
      <c r="J1595">
        <f>Orders[[#This Row],[Quantity]]*Orders[[#This Row],[Cost Price]]</f>
        <v>85377.06</v>
      </c>
      <c r="K1595">
        <f>Orders[[#This Row],[Revenue]]-Orders[[#This Row],[Expenses]]</f>
        <v>15066.539999999994</v>
      </c>
      <c r="L1595" t="s">
        <v>2199</v>
      </c>
      <c r="M1595" t="str">
        <f>_xlfn.XLOOKUP(Orders[[#This Row],[CustomerID]],Customers[CustomerID],Customers[City])</f>
        <v>Illinois</v>
      </c>
      <c r="N1595" t="str">
        <f>_xlfn.XLOOKUP(Orders[[#This Row],[CustomerID]],Customers[CustomerID],Customers[CustomerName])</f>
        <v>Okon Ojo</v>
      </c>
      <c r="O1595" t="str">
        <f>_xlfn.XLOOKUP(Orders[[#This Row],[CustomerID]],Customers[CustomerID],Customers[Gender])</f>
        <v>Male</v>
      </c>
      <c r="P1595">
        <f>_xlfn.XLOOKUP(Orders[[#This Row],[CustomerID]],Customers[CustomerID],Customers[CustomerAge])</f>
        <v>32</v>
      </c>
      <c r="Q1595" t="str">
        <f>IF(Orders[[#This Row],[Age]]&gt;=35,"older","young")</f>
        <v>young</v>
      </c>
      <c r="R1595" t="str">
        <f>_xlfn.XLOOKUP(Orders[[#This Row],[ProductID]],Products[ProductID],Products[ProductName])</f>
        <v>GYM BAG</v>
      </c>
      <c r="S1595" t="str">
        <f>_xlfn.XLOOKUP(Orders[[#This Row],[ProductID]],Products!A:A,Products!C:C)</f>
        <v>Gym</v>
      </c>
    </row>
    <row r="1596" spans="1:19" x14ac:dyDescent="0.2">
      <c r="A1596" s="4" t="s">
        <v>1785</v>
      </c>
      <c r="B1596" s="5">
        <v>45959</v>
      </c>
      <c r="C1596" s="15">
        <f>WEEKNUM(Orders[[#This Row],[OrderDate]])</f>
        <v>44</v>
      </c>
      <c r="D1596" s="4" t="s">
        <v>293</v>
      </c>
      <c r="E1596" s="4" t="s">
        <v>66</v>
      </c>
      <c r="F1596" s="4">
        <v>6</v>
      </c>
      <c r="G1596" s="4">
        <v>12113.599999999999</v>
      </c>
      <c r="H1596">
        <v>10296.56</v>
      </c>
      <c r="I1596">
        <f>Orders[[#This Row],[Quantity]]*Orders[[#This Row],[Selling Price]]</f>
        <v>72681.599999999991</v>
      </c>
      <c r="J1596">
        <f>Orders[[#This Row],[Quantity]]*Orders[[#This Row],[Cost Price]]</f>
        <v>61779.360000000001</v>
      </c>
      <c r="K1596">
        <f>Orders[[#This Row],[Revenue]]-Orders[[#This Row],[Expenses]]</f>
        <v>10902.239999999991</v>
      </c>
      <c r="L1596" t="s">
        <v>2213</v>
      </c>
      <c r="M1596" t="str">
        <f>_xlfn.XLOOKUP(Orders[[#This Row],[CustomerID]],Customers[CustomerID],Customers[City])</f>
        <v>Florida</v>
      </c>
      <c r="N1596" t="str">
        <f>_xlfn.XLOOKUP(Orders[[#This Row],[CustomerID]],Customers[CustomerID],Customers[CustomerName])</f>
        <v>Tunde Eze</v>
      </c>
      <c r="O1596" t="str">
        <f>_xlfn.XLOOKUP(Orders[[#This Row],[CustomerID]],Customers[CustomerID],Customers[Gender])</f>
        <v>Male</v>
      </c>
      <c r="P1596">
        <f>_xlfn.XLOOKUP(Orders[[#This Row],[CustomerID]],Customers[CustomerID],Customers[CustomerAge])</f>
        <v>46</v>
      </c>
      <c r="Q1596" t="str">
        <f>IF(Orders[[#This Row],[Age]]&gt;=35,"older","young")</f>
        <v>older</v>
      </c>
      <c r="R1596" t="str">
        <f>_xlfn.XLOOKUP(Orders[[#This Row],[ProductID]],Products[ProductID],Products[ProductName])</f>
        <v>MICROWAVE</v>
      </c>
      <c r="S1596" t="str">
        <f>_xlfn.XLOOKUP(Orders[[#This Row],[ProductID]],Products!A:A,Products!C:C)</f>
        <v>Electronics</v>
      </c>
    </row>
    <row r="1597" spans="1:19" x14ac:dyDescent="0.2">
      <c r="A1597" s="4" t="s">
        <v>1786</v>
      </c>
      <c r="B1597" s="5">
        <v>45945</v>
      </c>
      <c r="C1597" s="15">
        <f>WEEKNUM(Orders[[#This Row],[OrderDate]])</f>
        <v>42</v>
      </c>
      <c r="D1597" s="4" t="s">
        <v>340</v>
      </c>
      <c r="E1597" s="4" t="s">
        <v>70</v>
      </c>
      <c r="F1597" s="4">
        <v>1</v>
      </c>
      <c r="G1597" s="4">
        <v>13545.599999999999</v>
      </c>
      <c r="H1597">
        <v>11513.759999999998</v>
      </c>
      <c r="I1597">
        <f>Orders[[#This Row],[Quantity]]*Orders[[#This Row],[Selling Price]]</f>
        <v>13545.599999999999</v>
      </c>
      <c r="J1597">
        <f>Orders[[#This Row],[Quantity]]*Orders[[#This Row],[Cost Price]]</f>
        <v>11513.759999999998</v>
      </c>
      <c r="K1597">
        <f>Orders[[#This Row],[Revenue]]-Orders[[#This Row],[Expenses]]</f>
        <v>2031.8400000000001</v>
      </c>
      <c r="L1597" t="s">
        <v>2215</v>
      </c>
      <c r="M1597" t="str">
        <f>_xlfn.XLOOKUP(Orders[[#This Row],[CustomerID]],Customers[CustomerID],Customers[City])</f>
        <v>Illinois</v>
      </c>
      <c r="N1597" t="str">
        <f>_xlfn.XLOOKUP(Orders[[#This Row],[CustomerID]],Customers[CustomerID],Customers[CustomerName])</f>
        <v>Uche Abubakar</v>
      </c>
      <c r="O1597" t="str">
        <f>_xlfn.XLOOKUP(Orders[[#This Row],[CustomerID]],Customers[CustomerID],Customers[Gender])</f>
        <v>Male</v>
      </c>
      <c r="P1597">
        <f>_xlfn.XLOOKUP(Orders[[#This Row],[CustomerID]],Customers[CustomerID],Customers[CustomerAge])</f>
        <v>18</v>
      </c>
      <c r="Q1597" t="str">
        <f>IF(Orders[[#This Row],[Age]]&gt;=35,"older","young")</f>
        <v>young</v>
      </c>
      <c r="R1597" t="str">
        <f>_xlfn.XLOOKUP(Orders[[#This Row],[ProductID]],Products[ProductID],Products[ProductName])</f>
        <v>YOGA MAT</v>
      </c>
      <c r="S1597" t="str">
        <f>_xlfn.XLOOKUP(Orders[[#This Row],[ProductID]],Products!A:A,Products!C:C)</f>
        <v>Gym</v>
      </c>
    </row>
    <row r="1598" spans="1:19" x14ac:dyDescent="0.2">
      <c r="A1598" s="4" t="s">
        <v>1787</v>
      </c>
      <c r="B1598" s="5">
        <v>46008</v>
      </c>
      <c r="C1598" s="15">
        <f>WEEKNUM(Orders[[#This Row],[OrderDate]])</f>
        <v>51</v>
      </c>
      <c r="D1598" s="4" t="s">
        <v>129</v>
      </c>
      <c r="E1598" s="4" t="s">
        <v>189</v>
      </c>
      <c r="F1598" s="4">
        <v>6</v>
      </c>
      <c r="G1598" s="4">
        <v>4986.6000000000004</v>
      </c>
      <c r="H1598">
        <v>4238.6100000000006</v>
      </c>
      <c r="I1598">
        <f>Orders[[#This Row],[Quantity]]*Orders[[#This Row],[Selling Price]]</f>
        <v>29919.600000000002</v>
      </c>
      <c r="J1598">
        <f>Orders[[#This Row],[Quantity]]*Orders[[#This Row],[Cost Price]]</f>
        <v>25431.660000000003</v>
      </c>
      <c r="K1598">
        <f>Orders[[#This Row],[Revenue]]-Orders[[#This Row],[Expenses]]</f>
        <v>4487.9399999999987</v>
      </c>
      <c r="L1598" t="s">
        <v>2198</v>
      </c>
      <c r="M1598" t="str">
        <f>_xlfn.XLOOKUP(Orders[[#This Row],[CustomerID]],Customers[CustomerID],Customers[City])</f>
        <v>Washington</v>
      </c>
      <c r="N1598" t="str">
        <f>_xlfn.XLOOKUP(Orders[[#This Row],[CustomerID]],Customers[CustomerID],Customers[CustomerName])</f>
        <v>Chioma Ojo</v>
      </c>
      <c r="O1598" t="str">
        <f>_xlfn.XLOOKUP(Orders[[#This Row],[CustomerID]],Customers[CustomerID],Customers[Gender])</f>
        <v>Female</v>
      </c>
      <c r="P1598">
        <f>_xlfn.XLOOKUP(Orders[[#This Row],[CustomerID]],Customers[CustomerID],Customers[CustomerAge])</f>
        <v>46</v>
      </c>
      <c r="Q1598" t="str">
        <f>IF(Orders[[#This Row],[Age]]&gt;=35,"older","young")</f>
        <v>older</v>
      </c>
      <c r="R1598" t="str">
        <f>_xlfn.XLOOKUP(Orders[[#This Row],[ProductID]],Products[ProductID],Products[ProductName])</f>
        <v>SCRABBLE</v>
      </c>
      <c r="S1598" t="str">
        <f>_xlfn.XLOOKUP(Orders[[#This Row],[ProductID]],Products!A:A,Products!C:C)</f>
        <v>Games</v>
      </c>
    </row>
    <row r="1599" spans="1:19" x14ac:dyDescent="0.2">
      <c r="A1599" s="4" t="s">
        <v>1788</v>
      </c>
      <c r="B1599" s="5">
        <v>45993</v>
      </c>
      <c r="C1599" s="15">
        <f>WEEKNUM(Orders[[#This Row],[OrderDate]])</f>
        <v>49</v>
      </c>
      <c r="D1599" s="4" t="s">
        <v>546</v>
      </c>
      <c r="E1599" s="4" t="s">
        <v>57</v>
      </c>
      <c r="F1599" s="4">
        <v>2</v>
      </c>
      <c r="G1599" s="4">
        <v>9149.6</v>
      </c>
      <c r="H1599">
        <v>7777.16</v>
      </c>
      <c r="I1599">
        <f>Orders[[#This Row],[Quantity]]*Orders[[#This Row],[Selling Price]]</f>
        <v>18299.2</v>
      </c>
      <c r="J1599">
        <f>Orders[[#This Row],[Quantity]]*Orders[[#This Row],[Cost Price]]</f>
        <v>15554.32</v>
      </c>
      <c r="K1599">
        <f>Orders[[#This Row],[Revenue]]-Orders[[#This Row],[Expenses]]</f>
        <v>2744.880000000001</v>
      </c>
      <c r="L1599" t="s">
        <v>2192</v>
      </c>
      <c r="M1599" t="str">
        <f>_xlfn.XLOOKUP(Orders[[#This Row],[CustomerID]],Customers[CustomerID],Customers[City])</f>
        <v>Texas</v>
      </c>
      <c r="N1599" t="str">
        <f>_xlfn.XLOOKUP(Orders[[#This Row],[CustomerID]],Customers[CustomerID],Customers[CustomerName])</f>
        <v>Bisi Eze</v>
      </c>
      <c r="O1599" t="str">
        <f>_xlfn.XLOOKUP(Orders[[#This Row],[CustomerID]],Customers[CustomerID],Customers[Gender])</f>
        <v>Female</v>
      </c>
      <c r="P1599">
        <f>_xlfn.XLOOKUP(Orders[[#This Row],[CustomerID]],Customers[CustomerID],Customers[CustomerAge])</f>
        <v>32</v>
      </c>
      <c r="Q1599" t="str">
        <f>IF(Orders[[#This Row],[Age]]&gt;=35,"older","young")</f>
        <v>young</v>
      </c>
      <c r="R1599" t="str">
        <f>_xlfn.XLOOKUP(Orders[[#This Row],[ProductID]],Products[ProductID],Products[ProductName])</f>
        <v>BADMINTON RACKET</v>
      </c>
      <c r="S1599" t="str">
        <f>_xlfn.XLOOKUP(Orders[[#This Row],[ProductID]],Products!A:A,Products!C:C)</f>
        <v>Sports</v>
      </c>
    </row>
    <row r="1600" spans="1:19" x14ac:dyDescent="0.2">
      <c r="A1600" s="4" t="s">
        <v>1789</v>
      </c>
      <c r="B1600" s="5">
        <v>45965</v>
      </c>
      <c r="C1600" s="15">
        <f>WEEKNUM(Orders[[#This Row],[OrderDate]])</f>
        <v>45</v>
      </c>
      <c r="D1600" s="4" t="s">
        <v>101</v>
      </c>
      <c r="E1600" s="4" t="s">
        <v>84</v>
      </c>
      <c r="F1600" s="4">
        <v>8</v>
      </c>
      <c r="G1600" s="4">
        <v>1795.2</v>
      </c>
      <c r="H1600">
        <v>1525.92</v>
      </c>
      <c r="I1600">
        <f>Orders[[#This Row],[Quantity]]*Orders[[#This Row],[Selling Price]]</f>
        <v>14361.6</v>
      </c>
      <c r="J1600">
        <f>Orders[[#This Row],[Quantity]]*Orders[[#This Row],[Cost Price]]</f>
        <v>12207.36</v>
      </c>
      <c r="K1600">
        <f>Orders[[#This Row],[Revenue]]-Orders[[#This Row],[Expenses]]</f>
        <v>2154.2399999999998</v>
      </c>
      <c r="L1600" t="s">
        <v>2204</v>
      </c>
      <c r="M1600" t="str">
        <f>_xlfn.XLOOKUP(Orders[[#This Row],[CustomerID]],Customers[CustomerID],Customers[City])</f>
        <v>Texas</v>
      </c>
      <c r="N1600" t="str">
        <f>_xlfn.XLOOKUP(Orders[[#This Row],[CustomerID]],Customers[CustomerID],Customers[CustomerName])</f>
        <v>Blessing Eze</v>
      </c>
      <c r="O1600" t="str">
        <f>_xlfn.XLOOKUP(Orders[[#This Row],[CustomerID]],Customers[CustomerID],Customers[Gender])</f>
        <v>Female</v>
      </c>
      <c r="P1600">
        <f>_xlfn.XLOOKUP(Orders[[#This Row],[CustomerID]],Customers[CustomerID],Customers[CustomerAge])</f>
        <v>55</v>
      </c>
      <c r="Q1600" t="str">
        <f>IF(Orders[[#This Row],[Age]]&gt;=35,"older","young")</f>
        <v>older</v>
      </c>
      <c r="R1600" t="str">
        <f>_xlfn.XLOOKUP(Orders[[#This Row],[ProductID]],Products[ProductID],Products[ProductName])</f>
        <v>GYM WEARS</v>
      </c>
      <c r="S1600" t="str">
        <f>_xlfn.XLOOKUP(Orders[[#This Row],[ProductID]],Products!A:A,Products!C:C)</f>
        <v>Clothing</v>
      </c>
    </row>
    <row r="1601" spans="1:19" x14ac:dyDescent="0.2">
      <c r="A1601" s="4" t="s">
        <v>1790</v>
      </c>
      <c r="B1601" s="5">
        <v>45937</v>
      </c>
      <c r="C1601" s="15">
        <f>WEEKNUM(Orders[[#This Row],[OrderDate]])</f>
        <v>41</v>
      </c>
      <c r="D1601" s="4" t="s">
        <v>833</v>
      </c>
      <c r="E1601" s="4" t="s">
        <v>28</v>
      </c>
      <c r="F1601" s="4">
        <v>3</v>
      </c>
      <c r="G1601" s="4">
        <v>16096.300000000001</v>
      </c>
      <c r="H1601">
        <v>13681.855000000001</v>
      </c>
      <c r="I1601">
        <f>Orders[[#This Row],[Quantity]]*Orders[[#This Row],[Selling Price]]</f>
        <v>48288.9</v>
      </c>
      <c r="J1601">
        <f>Orders[[#This Row],[Quantity]]*Orders[[#This Row],[Cost Price]]</f>
        <v>41045.565000000002</v>
      </c>
      <c r="K1601">
        <f>Orders[[#This Row],[Revenue]]-Orders[[#This Row],[Expenses]]</f>
        <v>7243.3349999999991</v>
      </c>
      <c r="L1601" t="s">
        <v>2212</v>
      </c>
      <c r="M1601" t="str">
        <f>_xlfn.XLOOKUP(Orders[[#This Row],[CustomerID]],Customers[CustomerID],Customers[City])</f>
        <v>Washington</v>
      </c>
      <c r="N1601" t="str">
        <f>_xlfn.XLOOKUP(Orders[[#This Row],[CustomerID]],Customers[CustomerID],Customers[CustomerName])</f>
        <v>Abiola Adeyemi</v>
      </c>
      <c r="O1601" t="str">
        <f>_xlfn.XLOOKUP(Orders[[#This Row],[CustomerID]],Customers[CustomerID],Customers[Gender])</f>
        <v>Male</v>
      </c>
      <c r="P1601">
        <f>_xlfn.XLOOKUP(Orders[[#This Row],[CustomerID]],Customers[CustomerID],Customers[CustomerAge])</f>
        <v>53</v>
      </c>
      <c r="Q1601" t="str">
        <f>IF(Orders[[#This Row],[Age]]&gt;=35,"older","young")</f>
        <v>older</v>
      </c>
      <c r="R1601" t="str">
        <f>_xlfn.XLOOKUP(Orders[[#This Row],[ProductID]],Products[ProductID],Products[ProductName])</f>
        <v>SNEAKERS</v>
      </c>
      <c r="S1601" t="str">
        <f>_xlfn.XLOOKUP(Orders[[#This Row],[ProductID]],Products!A:A,Products!C:C)</f>
        <v>Sports</v>
      </c>
    </row>
    <row r="1602" spans="1:19" x14ac:dyDescent="0.2">
      <c r="A1602" s="4" t="s">
        <v>1791</v>
      </c>
      <c r="B1602" s="5">
        <v>45953</v>
      </c>
      <c r="C1602" s="15">
        <f>WEEKNUM(Orders[[#This Row],[OrderDate]])</f>
        <v>43</v>
      </c>
      <c r="D1602" s="4" t="s">
        <v>154</v>
      </c>
      <c r="E1602" s="4" t="s">
        <v>111</v>
      </c>
      <c r="F1602" s="4">
        <v>6</v>
      </c>
      <c r="G1602" s="4">
        <v>5024.3</v>
      </c>
      <c r="H1602">
        <v>4270.6550000000007</v>
      </c>
      <c r="I1602">
        <f>Orders[[#This Row],[Quantity]]*Orders[[#This Row],[Selling Price]]</f>
        <v>30145.800000000003</v>
      </c>
      <c r="J1602">
        <f>Orders[[#This Row],[Quantity]]*Orders[[#This Row],[Cost Price]]</f>
        <v>25623.930000000004</v>
      </c>
      <c r="K1602">
        <f>Orders[[#This Row],[Revenue]]-Orders[[#This Row],[Expenses]]</f>
        <v>4521.869999999999</v>
      </c>
      <c r="L1602" t="s">
        <v>2195</v>
      </c>
      <c r="M1602" t="str">
        <f>_xlfn.XLOOKUP(Orders[[#This Row],[CustomerID]],Customers[CustomerID],Customers[City])</f>
        <v>Illinois</v>
      </c>
      <c r="N1602" t="str">
        <f>_xlfn.XLOOKUP(Orders[[#This Row],[CustomerID]],Customers[CustomerID],Customers[CustomerName])</f>
        <v>Ronke Danladi</v>
      </c>
      <c r="O1602" t="str">
        <f>_xlfn.XLOOKUP(Orders[[#This Row],[CustomerID]],Customers[CustomerID],Customers[Gender])</f>
        <v>Female</v>
      </c>
      <c r="P1602">
        <f>_xlfn.XLOOKUP(Orders[[#This Row],[CustomerID]],Customers[CustomerID],Customers[CustomerAge])</f>
        <v>46</v>
      </c>
      <c r="Q1602" t="str">
        <f>IF(Orders[[#This Row],[Age]]&gt;=35,"older","young")</f>
        <v>older</v>
      </c>
      <c r="R1602" t="str">
        <f>_xlfn.XLOOKUP(Orders[[#This Row],[ProductID]],Products[ProductID],Products[ProductName])</f>
        <v>REFRIGERATOR</v>
      </c>
      <c r="S1602" t="str">
        <f>_xlfn.XLOOKUP(Orders[[#This Row],[ProductID]],Products!A:A,Products!C:C)</f>
        <v>Electronics</v>
      </c>
    </row>
    <row r="1603" spans="1:19" x14ac:dyDescent="0.2">
      <c r="A1603" s="4" t="s">
        <v>1792</v>
      </c>
      <c r="B1603" s="5">
        <v>45986</v>
      </c>
      <c r="C1603" s="15">
        <f>WEEKNUM(Orders[[#This Row],[OrderDate]])</f>
        <v>48</v>
      </c>
      <c r="D1603" s="4" t="s">
        <v>186</v>
      </c>
      <c r="E1603" s="4" t="s">
        <v>208</v>
      </c>
      <c r="F1603" s="4">
        <v>1</v>
      </c>
      <c r="G1603" s="4">
        <v>18589.5</v>
      </c>
      <c r="H1603">
        <v>15801.075000000001</v>
      </c>
      <c r="I1603">
        <f>Orders[[#This Row],[Quantity]]*Orders[[#This Row],[Selling Price]]</f>
        <v>18589.5</v>
      </c>
      <c r="J1603">
        <f>Orders[[#This Row],[Quantity]]*Orders[[#This Row],[Cost Price]]</f>
        <v>15801.075000000001</v>
      </c>
      <c r="K1603">
        <f>Orders[[#This Row],[Revenue]]-Orders[[#This Row],[Expenses]]</f>
        <v>2788.4249999999993</v>
      </c>
      <c r="L1603" t="s">
        <v>2211</v>
      </c>
      <c r="M1603" t="str">
        <f>_xlfn.XLOOKUP(Orders[[#This Row],[CustomerID]],Customers[CustomerID],Customers[City])</f>
        <v>Texas</v>
      </c>
      <c r="N1603" t="str">
        <f>_xlfn.XLOOKUP(Orders[[#This Row],[CustomerID]],Customers[CustomerID],Customers[CustomerName])</f>
        <v>Ronke Eze</v>
      </c>
      <c r="O1603" t="str">
        <f>_xlfn.XLOOKUP(Orders[[#This Row],[CustomerID]],Customers[CustomerID],Customers[Gender])</f>
        <v>Female</v>
      </c>
      <c r="P1603">
        <f>_xlfn.XLOOKUP(Orders[[#This Row],[CustomerID]],Customers[CustomerID],Customers[CustomerAge])</f>
        <v>37</v>
      </c>
      <c r="Q1603" t="str">
        <f>IF(Orders[[#This Row],[Age]]&gt;=35,"older","young")</f>
        <v>older</v>
      </c>
      <c r="R1603" t="str">
        <f>_xlfn.XLOOKUP(Orders[[#This Row],[ProductID]],Products[ProductID],Products[ProductName])</f>
        <v>SKIPPING ROPE</v>
      </c>
      <c r="S1603" t="str">
        <f>_xlfn.XLOOKUP(Orders[[#This Row],[ProductID]],Products!A:A,Products!C:C)</f>
        <v>Sports</v>
      </c>
    </row>
    <row r="1604" spans="1:19" x14ac:dyDescent="0.2">
      <c r="A1604" s="4" t="s">
        <v>1793</v>
      </c>
      <c r="B1604" s="5">
        <v>45994</v>
      </c>
      <c r="C1604" s="15">
        <f>WEEKNUM(Orders[[#This Row],[OrderDate]])</f>
        <v>49</v>
      </c>
      <c r="D1604" s="4" t="s">
        <v>311</v>
      </c>
      <c r="E1604" s="4" t="s">
        <v>125</v>
      </c>
      <c r="F1604" s="4">
        <v>8</v>
      </c>
      <c r="G1604" s="4">
        <v>4104.3</v>
      </c>
      <c r="H1604">
        <v>3488.6550000000002</v>
      </c>
      <c r="I1604">
        <f>Orders[[#This Row],[Quantity]]*Orders[[#This Row],[Selling Price]]</f>
        <v>32834.400000000001</v>
      </c>
      <c r="J1604">
        <f>Orders[[#This Row],[Quantity]]*Orders[[#This Row],[Cost Price]]</f>
        <v>27909.24</v>
      </c>
      <c r="K1604">
        <f>Orders[[#This Row],[Revenue]]-Orders[[#This Row],[Expenses]]</f>
        <v>4925.16</v>
      </c>
      <c r="L1604" t="s">
        <v>2199</v>
      </c>
      <c r="M1604" t="str">
        <f>_xlfn.XLOOKUP(Orders[[#This Row],[CustomerID]],Customers[CustomerID],Customers[City])</f>
        <v>Georgia</v>
      </c>
      <c r="N1604" t="str">
        <f>_xlfn.XLOOKUP(Orders[[#This Row],[CustomerID]],Customers[CustomerID],Customers[CustomerName])</f>
        <v>Bisi Bello</v>
      </c>
      <c r="O1604" t="str">
        <f>_xlfn.XLOOKUP(Orders[[#This Row],[CustomerID]],Customers[CustomerID],Customers[Gender])</f>
        <v>Female</v>
      </c>
      <c r="P1604">
        <f>_xlfn.XLOOKUP(Orders[[#This Row],[CustomerID]],Customers[CustomerID],Customers[CustomerAge])</f>
        <v>31</v>
      </c>
      <c r="Q1604" t="str">
        <f>IF(Orders[[#This Row],[Age]]&gt;=35,"older","young")</f>
        <v>young</v>
      </c>
      <c r="R1604" t="str">
        <f>_xlfn.XLOOKUP(Orders[[#This Row],[ProductID]],Products[ProductID],Products[ProductName])</f>
        <v>EARRINGS</v>
      </c>
      <c r="S1604" t="str">
        <f>_xlfn.XLOOKUP(Orders[[#This Row],[ProductID]],Products!A:A,Products!C:C)</f>
        <v>Accessories</v>
      </c>
    </row>
    <row r="1605" spans="1:19" x14ac:dyDescent="0.2">
      <c r="A1605" s="4" t="s">
        <v>1794</v>
      </c>
      <c r="B1605" s="5">
        <v>46007</v>
      </c>
      <c r="C1605" s="15">
        <f>WEEKNUM(Orders[[#This Row],[OrderDate]])</f>
        <v>51</v>
      </c>
      <c r="D1605" s="4" t="s">
        <v>94</v>
      </c>
      <c r="E1605" s="4" t="s">
        <v>84</v>
      </c>
      <c r="F1605" s="4">
        <v>2</v>
      </c>
      <c r="G1605" s="4">
        <v>5003.3999999999996</v>
      </c>
      <c r="H1605">
        <v>4252.8899999999994</v>
      </c>
      <c r="I1605">
        <f>Orders[[#This Row],[Quantity]]*Orders[[#This Row],[Selling Price]]</f>
        <v>10006.799999999999</v>
      </c>
      <c r="J1605">
        <f>Orders[[#This Row],[Quantity]]*Orders[[#This Row],[Cost Price]]</f>
        <v>8505.7799999999988</v>
      </c>
      <c r="K1605">
        <f>Orders[[#This Row],[Revenue]]-Orders[[#This Row],[Expenses]]</f>
        <v>1501.0200000000004</v>
      </c>
      <c r="L1605" t="s">
        <v>2193</v>
      </c>
      <c r="M1605" t="str">
        <f>_xlfn.XLOOKUP(Orders[[#This Row],[CustomerID]],Customers[CustomerID],Customers[City])</f>
        <v>Texas</v>
      </c>
      <c r="N1605" t="str">
        <f>_xlfn.XLOOKUP(Orders[[#This Row],[CustomerID]],Customers[CustomerID],Customers[CustomerName])</f>
        <v>Uche Abubakar</v>
      </c>
      <c r="O1605" t="str">
        <f>_xlfn.XLOOKUP(Orders[[#This Row],[CustomerID]],Customers[CustomerID],Customers[Gender])</f>
        <v>Male</v>
      </c>
      <c r="P1605">
        <f>_xlfn.XLOOKUP(Orders[[#This Row],[CustomerID]],Customers[CustomerID],Customers[CustomerAge])</f>
        <v>26</v>
      </c>
      <c r="Q1605" t="str">
        <f>IF(Orders[[#This Row],[Age]]&gt;=35,"older","young")</f>
        <v>young</v>
      </c>
      <c r="R1605" t="str">
        <f>_xlfn.XLOOKUP(Orders[[#This Row],[ProductID]],Products[ProductID],Products[ProductName])</f>
        <v>GYM WEARS</v>
      </c>
      <c r="S1605" t="str">
        <f>_xlfn.XLOOKUP(Orders[[#This Row],[ProductID]],Products!A:A,Products!C:C)</f>
        <v>Clothing</v>
      </c>
    </row>
    <row r="1606" spans="1:19" x14ac:dyDescent="0.2">
      <c r="A1606" s="4" t="s">
        <v>1795</v>
      </c>
      <c r="B1606" s="5">
        <v>46010</v>
      </c>
      <c r="C1606" s="15">
        <f>WEEKNUM(Orders[[#This Row],[OrderDate]])</f>
        <v>51</v>
      </c>
      <c r="D1606" s="4" t="s">
        <v>59</v>
      </c>
      <c r="E1606" s="4" t="s">
        <v>127</v>
      </c>
      <c r="F1606" s="4">
        <v>8</v>
      </c>
      <c r="G1606" s="4">
        <v>18249</v>
      </c>
      <c r="H1606">
        <v>15511.65</v>
      </c>
      <c r="I1606">
        <f>Orders[[#This Row],[Quantity]]*Orders[[#This Row],[Selling Price]]</f>
        <v>145992</v>
      </c>
      <c r="J1606">
        <f>Orders[[#This Row],[Quantity]]*Orders[[#This Row],[Cost Price]]</f>
        <v>124093.2</v>
      </c>
      <c r="K1606">
        <f>Orders[[#This Row],[Revenue]]-Orders[[#This Row],[Expenses]]</f>
        <v>21898.800000000003</v>
      </c>
      <c r="L1606" t="s">
        <v>2209</v>
      </c>
      <c r="M1606" t="str">
        <f>_xlfn.XLOOKUP(Orders[[#This Row],[CustomerID]],Customers[CustomerID],Customers[City])</f>
        <v>Texas</v>
      </c>
      <c r="N1606" t="str">
        <f>_xlfn.XLOOKUP(Orders[[#This Row],[CustomerID]],Customers[CustomerID],Customers[CustomerName])</f>
        <v>Adanma Danladi</v>
      </c>
      <c r="O1606" t="str">
        <f>_xlfn.XLOOKUP(Orders[[#This Row],[CustomerID]],Customers[CustomerID],Customers[Gender])</f>
        <v>Female</v>
      </c>
      <c r="P1606">
        <f>_xlfn.XLOOKUP(Orders[[#This Row],[CustomerID]],Customers[CustomerID],Customers[CustomerAge])</f>
        <v>24</v>
      </c>
      <c r="Q1606" t="str">
        <f>IF(Orders[[#This Row],[Age]]&gt;=35,"older","young")</f>
        <v>young</v>
      </c>
      <c r="R1606" t="str">
        <f>_xlfn.XLOOKUP(Orders[[#This Row],[ProductID]],Products[ProductID],Products[ProductName])</f>
        <v>TOPS</v>
      </c>
      <c r="S1606" t="str">
        <f>_xlfn.XLOOKUP(Orders[[#This Row],[ProductID]],Products!A:A,Products!C:C)</f>
        <v>Clothing</v>
      </c>
    </row>
    <row r="1607" spans="1:19" x14ac:dyDescent="0.2">
      <c r="A1607" s="4" t="s">
        <v>1796</v>
      </c>
      <c r="B1607" s="5">
        <v>46002</v>
      </c>
      <c r="C1607" s="15">
        <f>WEEKNUM(Orders[[#This Row],[OrderDate]])</f>
        <v>50</v>
      </c>
      <c r="D1607" s="4" t="s">
        <v>68</v>
      </c>
      <c r="E1607" s="4" t="s">
        <v>66</v>
      </c>
      <c r="F1607" s="4">
        <v>9</v>
      </c>
      <c r="G1607" s="4">
        <v>7236.9000000000005</v>
      </c>
      <c r="H1607">
        <v>6151.3650000000007</v>
      </c>
      <c r="I1607">
        <f>Orders[[#This Row],[Quantity]]*Orders[[#This Row],[Selling Price]]</f>
        <v>65132.100000000006</v>
      </c>
      <c r="J1607">
        <f>Orders[[#This Row],[Quantity]]*Orders[[#This Row],[Cost Price]]</f>
        <v>55362.285000000003</v>
      </c>
      <c r="K1607">
        <f>Orders[[#This Row],[Revenue]]-Orders[[#This Row],[Expenses]]</f>
        <v>9769.8150000000023</v>
      </c>
      <c r="L1607" t="s">
        <v>2199</v>
      </c>
      <c r="M1607" t="str">
        <f>_xlfn.XLOOKUP(Orders[[#This Row],[CustomerID]],Customers[CustomerID],Customers[City])</f>
        <v>Texas</v>
      </c>
      <c r="N1607" t="str">
        <f>_xlfn.XLOOKUP(Orders[[#This Row],[CustomerID]],Customers[CustomerID],Customers[CustomerName])</f>
        <v>Abiola Balogun</v>
      </c>
      <c r="O1607" t="str">
        <f>_xlfn.XLOOKUP(Orders[[#This Row],[CustomerID]],Customers[CustomerID],Customers[Gender])</f>
        <v>Male</v>
      </c>
      <c r="P1607">
        <f>_xlfn.XLOOKUP(Orders[[#This Row],[CustomerID]],Customers[CustomerID],Customers[CustomerAge])</f>
        <v>29</v>
      </c>
      <c r="Q1607" t="str">
        <f>IF(Orders[[#This Row],[Age]]&gt;=35,"older","young")</f>
        <v>young</v>
      </c>
      <c r="R1607" t="str">
        <f>_xlfn.XLOOKUP(Orders[[#This Row],[ProductID]],Products[ProductID],Products[ProductName])</f>
        <v>MICROWAVE</v>
      </c>
      <c r="S1607" t="str">
        <f>_xlfn.XLOOKUP(Orders[[#This Row],[ProductID]],Products!A:A,Products!C:C)</f>
        <v>Electronics</v>
      </c>
    </row>
    <row r="1608" spans="1:19" x14ac:dyDescent="0.2">
      <c r="A1608" s="4" t="s">
        <v>1797</v>
      </c>
      <c r="B1608" s="5">
        <v>45943</v>
      </c>
      <c r="C1608" s="15">
        <f>WEEKNUM(Orders[[#This Row],[OrderDate]])</f>
        <v>42</v>
      </c>
      <c r="D1608" s="4" t="s">
        <v>940</v>
      </c>
      <c r="E1608" s="4" t="s">
        <v>189</v>
      </c>
      <c r="F1608" s="4">
        <v>6</v>
      </c>
      <c r="G1608" s="4">
        <v>11455.599999999999</v>
      </c>
      <c r="H1608">
        <v>9737.2599999999984</v>
      </c>
      <c r="I1608">
        <f>Orders[[#This Row],[Quantity]]*Orders[[#This Row],[Selling Price]]</f>
        <v>68733.599999999991</v>
      </c>
      <c r="J1608">
        <f>Orders[[#This Row],[Quantity]]*Orders[[#This Row],[Cost Price]]</f>
        <v>58423.55999999999</v>
      </c>
      <c r="K1608">
        <f>Orders[[#This Row],[Revenue]]-Orders[[#This Row],[Expenses]]</f>
        <v>10310.040000000001</v>
      </c>
      <c r="L1608" t="s">
        <v>2204</v>
      </c>
      <c r="M1608" t="str">
        <f>_xlfn.XLOOKUP(Orders[[#This Row],[CustomerID]],Customers[CustomerID],Customers[City])</f>
        <v>Texas</v>
      </c>
      <c r="N1608" t="str">
        <f>_xlfn.XLOOKUP(Orders[[#This Row],[CustomerID]],Customers[CustomerID],Customers[CustomerName])</f>
        <v>Okon Ojo</v>
      </c>
      <c r="O1608" t="str">
        <f>_xlfn.XLOOKUP(Orders[[#This Row],[CustomerID]],Customers[CustomerID],Customers[Gender])</f>
        <v>Male</v>
      </c>
      <c r="P1608">
        <f>_xlfn.XLOOKUP(Orders[[#This Row],[CustomerID]],Customers[CustomerID],Customers[CustomerAge])</f>
        <v>25</v>
      </c>
      <c r="Q1608" t="str">
        <f>IF(Orders[[#This Row],[Age]]&gt;=35,"older","young")</f>
        <v>young</v>
      </c>
      <c r="R1608" t="str">
        <f>_xlfn.XLOOKUP(Orders[[#This Row],[ProductID]],Products[ProductID],Products[ProductName])</f>
        <v>SCRABBLE</v>
      </c>
      <c r="S1608" t="str">
        <f>_xlfn.XLOOKUP(Orders[[#This Row],[ProductID]],Products!A:A,Products!C:C)</f>
        <v>Games</v>
      </c>
    </row>
    <row r="1609" spans="1:19" x14ac:dyDescent="0.2">
      <c r="A1609" s="4" t="s">
        <v>1798</v>
      </c>
      <c r="B1609" s="5">
        <v>46002</v>
      </c>
      <c r="C1609" s="15">
        <f>WEEKNUM(Orders[[#This Row],[OrderDate]])</f>
        <v>50</v>
      </c>
      <c r="D1609" s="4" t="s">
        <v>514</v>
      </c>
      <c r="E1609" s="4" t="s">
        <v>34</v>
      </c>
      <c r="F1609" s="4">
        <v>10</v>
      </c>
      <c r="G1609" s="4">
        <v>16297</v>
      </c>
      <c r="H1609">
        <v>13852.45</v>
      </c>
      <c r="I1609">
        <f>Orders[[#This Row],[Quantity]]*Orders[[#This Row],[Selling Price]]</f>
        <v>162970</v>
      </c>
      <c r="J1609">
        <f>Orders[[#This Row],[Quantity]]*Orders[[#This Row],[Cost Price]]</f>
        <v>138524.5</v>
      </c>
      <c r="K1609">
        <f>Orders[[#This Row],[Revenue]]-Orders[[#This Row],[Expenses]]</f>
        <v>24445.5</v>
      </c>
      <c r="L1609" t="s">
        <v>2195</v>
      </c>
      <c r="M1609" t="str">
        <f>_xlfn.XLOOKUP(Orders[[#This Row],[CustomerID]],Customers[CustomerID],Customers[City])</f>
        <v>Florida</v>
      </c>
      <c r="N1609" t="str">
        <f>_xlfn.XLOOKUP(Orders[[#This Row],[CustomerID]],Customers[CustomerID],Customers[CustomerName])</f>
        <v>Ibrahim Okonkwo</v>
      </c>
      <c r="O1609" t="str">
        <f>_xlfn.XLOOKUP(Orders[[#This Row],[CustomerID]],Customers[CustomerID],Customers[Gender])</f>
        <v>Male</v>
      </c>
      <c r="P1609">
        <f>_xlfn.XLOOKUP(Orders[[#This Row],[CustomerID]],Customers[CustomerID],Customers[CustomerAge])</f>
        <v>28</v>
      </c>
      <c r="Q1609" t="str">
        <f>IF(Orders[[#This Row],[Age]]&gt;=35,"older","young")</f>
        <v>young</v>
      </c>
      <c r="R1609" t="str">
        <f>_xlfn.XLOOKUP(Orders[[#This Row],[ProductID]],Products[ProductID],Products[ProductName])</f>
        <v>GOLD BRACELETS</v>
      </c>
      <c r="S1609" t="str">
        <f>_xlfn.XLOOKUP(Orders[[#This Row],[ProductID]],Products!A:A,Products!C:C)</f>
        <v>Accessories</v>
      </c>
    </row>
    <row r="1610" spans="1:19" x14ac:dyDescent="0.2">
      <c r="A1610" s="4" t="s">
        <v>1799</v>
      </c>
      <c r="B1610" s="5">
        <v>45933</v>
      </c>
      <c r="C1610" s="15">
        <f>WEEKNUM(Orders[[#This Row],[OrderDate]])</f>
        <v>40</v>
      </c>
      <c r="D1610" s="4" t="s">
        <v>163</v>
      </c>
      <c r="E1610" s="4" t="s">
        <v>189</v>
      </c>
      <c r="F1610" s="4">
        <v>4</v>
      </c>
      <c r="G1610" s="4">
        <v>6366.7999999999993</v>
      </c>
      <c r="H1610">
        <v>5411.78</v>
      </c>
      <c r="I1610">
        <f>Orders[[#This Row],[Quantity]]*Orders[[#This Row],[Selling Price]]</f>
        <v>25467.199999999997</v>
      </c>
      <c r="J1610">
        <f>Orders[[#This Row],[Quantity]]*Orders[[#This Row],[Cost Price]]</f>
        <v>21647.119999999999</v>
      </c>
      <c r="K1610">
        <f>Orders[[#This Row],[Revenue]]-Orders[[#This Row],[Expenses]]</f>
        <v>3820.0799999999981</v>
      </c>
      <c r="L1610" t="s">
        <v>2218</v>
      </c>
      <c r="M1610" t="str">
        <f>_xlfn.XLOOKUP(Orders[[#This Row],[CustomerID]],Customers[CustomerID],Customers[City])</f>
        <v>Texas</v>
      </c>
      <c r="N1610" t="str">
        <f>_xlfn.XLOOKUP(Orders[[#This Row],[CustomerID]],Customers[CustomerID],Customers[CustomerName])</f>
        <v>Folasade Danladi</v>
      </c>
      <c r="O1610" t="str">
        <f>_xlfn.XLOOKUP(Orders[[#This Row],[CustomerID]],Customers[CustomerID],Customers[Gender])</f>
        <v>Female</v>
      </c>
      <c r="P1610">
        <f>_xlfn.XLOOKUP(Orders[[#This Row],[CustomerID]],Customers[CustomerID],Customers[CustomerAge])</f>
        <v>32</v>
      </c>
      <c r="Q1610" t="str">
        <f>IF(Orders[[#This Row],[Age]]&gt;=35,"older","young")</f>
        <v>young</v>
      </c>
      <c r="R1610" t="str">
        <f>_xlfn.XLOOKUP(Orders[[#This Row],[ProductID]],Products[ProductID],Products[ProductName])</f>
        <v>SCRABBLE</v>
      </c>
      <c r="S1610" t="str">
        <f>_xlfn.XLOOKUP(Orders[[#This Row],[ProductID]],Products!A:A,Products!C:C)</f>
        <v>Games</v>
      </c>
    </row>
    <row r="1611" spans="1:19" x14ac:dyDescent="0.2">
      <c r="A1611" s="4" t="s">
        <v>1800</v>
      </c>
      <c r="B1611" s="5">
        <v>46001</v>
      </c>
      <c r="C1611" s="15">
        <f>WEEKNUM(Orders[[#This Row],[OrderDate]])</f>
        <v>50</v>
      </c>
      <c r="D1611" s="4" t="s">
        <v>184</v>
      </c>
      <c r="E1611" s="4" t="s">
        <v>353</v>
      </c>
      <c r="F1611" s="4">
        <v>1</v>
      </c>
      <c r="G1611" s="4">
        <v>10508.199999999999</v>
      </c>
      <c r="H1611">
        <v>8931.9699999999993</v>
      </c>
      <c r="I1611">
        <f>Orders[[#This Row],[Quantity]]*Orders[[#This Row],[Selling Price]]</f>
        <v>10508.199999999999</v>
      </c>
      <c r="J1611">
        <f>Orders[[#This Row],[Quantity]]*Orders[[#This Row],[Cost Price]]</f>
        <v>8931.9699999999993</v>
      </c>
      <c r="K1611">
        <f>Orders[[#This Row],[Revenue]]-Orders[[#This Row],[Expenses]]</f>
        <v>1576.2299999999996</v>
      </c>
      <c r="L1611" t="s">
        <v>2205</v>
      </c>
      <c r="M1611" t="str">
        <f>_xlfn.XLOOKUP(Orders[[#This Row],[CustomerID]],Customers[CustomerID],Customers[City])</f>
        <v>Washington</v>
      </c>
      <c r="N1611" t="str">
        <f>_xlfn.XLOOKUP(Orders[[#This Row],[CustomerID]],Customers[CustomerID],Customers[CustomerName])</f>
        <v>Ngozi Obi</v>
      </c>
      <c r="O1611" t="str">
        <f>_xlfn.XLOOKUP(Orders[[#This Row],[CustomerID]],Customers[CustomerID],Customers[Gender])</f>
        <v>Female</v>
      </c>
      <c r="P1611">
        <f>_xlfn.XLOOKUP(Orders[[#This Row],[CustomerID]],Customers[CustomerID],Customers[CustomerAge])</f>
        <v>32</v>
      </c>
      <c r="Q1611" t="str">
        <f>IF(Orders[[#This Row],[Age]]&gt;=35,"older","young")</f>
        <v>young</v>
      </c>
      <c r="R1611" t="str">
        <f>_xlfn.XLOOKUP(Orders[[#This Row],[ProductID]],Products[ProductID],Products[ProductName])</f>
        <v>SILVER EARRINGS AND NECKLACES</v>
      </c>
      <c r="S1611" t="str">
        <f>_xlfn.XLOOKUP(Orders[[#This Row],[ProductID]],Products!A:A,Products!C:C)</f>
        <v>Accessories</v>
      </c>
    </row>
    <row r="1612" spans="1:19" x14ac:dyDescent="0.2">
      <c r="A1612" s="4" t="s">
        <v>1801</v>
      </c>
      <c r="B1612" s="5">
        <v>45953</v>
      </c>
      <c r="C1612" s="15">
        <f>WEEKNUM(Orders[[#This Row],[OrderDate]])</f>
        <v>43</v>
      </c>
      <c r="D1612" s="4" t="s">
        <v>223</v>
      </c>
      <c r="E1612" s="4" t="s">
        <v>28</v>
      </c>
      <c r="F1612" s="4">
        <v>4</v>
      </c>
      <c r="G1612" s="4">
        <v>2102.1</v>
      </c>
      <c r="H1612">
        <v>1786.7849999999999</v>
      </c>
      <c r="I1612">
        <f>Orders[[#This Row],[Quantity]]*Orders[[#This Row],[Selling Price]]</f>
        <v>8408.4</v>
      </c>
      <c r="J1612">
        <f>Orders[[#This Row],[Quantity]]*Orders[[#This Row],[Cost Price]]</f>
        <v>7147.1399999999994</v>
      </c>
      <c r="K1612">
        <f>Orders[[#This Row],[Revenue]]-Orders[[#This Row],[Expenses]]</f>
        <v>1261.2600000000002</v>
      </c>
      <c r="L1612" t="s">
        <v>2197</v>
      </c>
      <c r="M1612" t="str">
        <f>_xlfn.XLOOKUP(Orders[[#This Row],[CustomerID]],Customers[CustomerID],Customers[City])</f>
        <v>Washington</v>
      </c>
      <c r="N1612" t="str">
        <f>_xlfn.XLOOKUP(Orders[[#This Row],[CustomerID]],Customers[CustomerID],Customers[CustomerName])</f>
        <v>Blessing Danladi</v>
      </c>
      <c r="O1612" t="str">
        <f>_xlfn.XLOOKUP(Orders[[#This Row],[CustomerID]],Customers[CustomerID],Customers[Gender])</f>
        <v>Female</v>
      </c>
      <c r="P1612">
        <f>_xlfn.XLOOKUP(Orders[[#This Row],[CustomerID]],Customers[CustomerID],Customers[CustomerAge])</f>
        <v>20</v>
      </c>
      <c r="Q1612" t="str">
        <f>IF(Orders[[#This Row],[Age]]&gt;=35,"older","young")</f>
        <v>young</v>
      </c>
      <c r="R1612" t="str">
        <f>_xlfn.XLOOKUP(Orders[[#This Row],[ProductID]],Products[ProductID],Products[ProductName])</f>
        <v>SNEAKERS</v>
      </c>
      <c r="S1612" t="str">
        <f>_xlfn.XLOOKUP(Orders[[#This Row],[ProductID]],Products!A:A,Products!C:C)</f>
        <v>Sports</v>
      </c>
    </row>
    <row r="1613" spans="1:19" x14ac:dyDescent="0.2">
      <c r="A1613" s="4" t="s">
        <v>1802</v>
      </c>
      <c r="B1613" s="5">
        <v>45962</v>
      </c>
      <c r="C1613" s="15">
        <f>WEEKNUM(Orders[[#This Row],[OrderDate]])</f>
        <v>44</v>
      </c>
      <c r="D1613" s="4" t="s">
        <v>19</v>
      </c>
      <c r="E1613" s="4" t="s">
        <v>168</v>
      </c>
      <c r="F1613" s="4">
        <v>7</v>
      </c>
      <c r="G1613" s="4">
        <v>9157.4</v>
      </c>
      <c r="H1613">
        <v>7783.79</v>
      </c>
      <c r="I1613">
        <f>Orders[[#This Row],[Quantity]]*Orders[[#This Row],[Selling Price]]</f>
        <v>64101.799999999996</v>
      </c>
      <c r="J1613">
        <f>Orders[[#This Row],[Quantity]]*Orders[[#This Row],[Cost Price]]</f>
        <v>54486.53</v>
      </c>
      <c r="K1613">
        <f>Orders[[#This Row],[Revenue]]-Orders[[#This Row],[Expenses]]</f>
        <v>9615.2699999999968</v>
      </c>
      <c r="L1613" t="s">
        <v>2210</v>
      </c>
      <c r="M1613" t="str">
        <f>_xlfn.XLOOKUP(Orders[[#This Row],[CustomerID]],Customers[CustomerID],Customers[City])</f>
        <v>California</v>
      </c>
      <c r="N1613" t="str">
        <f>_xlfn.XLOOKUP(Orders[[#This Row],[CustomerID]],Customers[CustomerID],Customers[CustomerName])</f>
        <v>Obi Adeyemi</v>
      </c>
      <c r="O1613" t="str">
        <f>_xlfn.XLOOKUP(Orders[[#This Row],[CustomerID]],Customers[CustomerID],Customers[Gender])</f>
        <v>Male</v>
      </c>
      <c r="P1613">
        <f>_xlfn.XLOOKUP(Orders[[#This Row],[CustomerID]],Customers[CustomerID],Customers[CustomerAge])</f>
        <v>24</v>
      </c>
      <c r="Q1613" t="str">
        <f>IF(Orders[[#This Row],[Age]]&gt;=35,"older","young")</f>
        <v>young</v>
      </c>
      <c r="R1613" t="str">
        <f>_xlfn.XLOOKUP(Orders[[#This Row],[ProductID]],Products[ProductID],Products[ProductName])</f>
        <v>DUMB BELLS</v>
      </c>
      <c r="S1613" t="str">
        <f>_xlfn.XLOOKUP(Orders[[#This Row],[ProductID]],Products!A:A,Products!C:C)</f>
        <v>Gym</v>
      </c>
    </row>
    <row r="1614" spans="1:19" x14ac:dyDescent="0.2">
      <c r="A1614" s="4" t="s">
        <v>1803</v>
      </c>
      <c r="B1614" s="5">
        <v>45987</v>
      </c>
      <c r="C1614" s="15">
        <f>WEEKNUM(Orders[[#This Row],[OrderDate]])</f>
        <v>48</v>
      </c>
      <c r="D1614" s="4" t="s">
        <v>36</v>
      </c>
      <c r="E1614" s="4" t="s">
        <v>31</v>
      </c>
      <c r="F1614" s="4">
        <v>7</v>
      </c>
      <c r="G1614" s="4">
        <v>14922.4</v>
      </c>
      <c r="H1614">
        <v>12684.04</v>
      </c>
      <c r="I1614">
        <f>Orders[[#This Row],[Quantity]]*Orders[[#This Row],[Selling Price]]</f>
        <v>104456.8</v>
      </c>
      <c r="J1614">
        <f>Orders[[#This Row],[Quantity]]*Orders[[#This Row],[Cost Price]]</f>
        <v>88788.28</v>
      </c>
      <c r="K1614">
        <f>Orders[[#This Row],[Revenue]]-Orders[[#This Row],[Expenses]]</f>
        <v>15668.520000000004</v>
      </c>
      <c r="L1614" t="s">
        <v>2219</v>
      </c>
      <c r="M1614" t="str">
        <f>_xlfn.XLOOKUP(Orders[[#This Row],[CustomerID]],Customers[CustomerID],Customers[City])</f>
        <v>California</v>
      </c>
      <c r="N1614" t="str">
        <f>_xlfn.XLOOKUP(Orders[[#This Row],[CustomerID]],Customers[CustomerID],Customers[CustomerName])</f>
        <v>Jide Eze</v>
      </c>
      <c r="O1614" t="str">
        <f>_xlfn.XLOOKUP(Orders[[#This Row],[CustomerID]],Customers[CustomerID],Customers[Gender])</f>
        <v>Male</v>
      </c>
      <c r="P1614">
        <f>_xlfn.XLOOKUP(Orders[[#This Row],[CustomerID]],Customers[CustomerID],Customers[CustomerAge])</f>
        <v>21</v>
      </c>
      <c r="Q1614" t="str">
        <f>IF(Orders[[#This Row],[Age]]&gt;=35,"older","young")</f>
        <v>young</v>
      </c>
      <c r="R1614" t="str">
        <f>_xlfn.XLOOKUP(Orders[[#This Row],[ProductID]],Products[ProductID],Products[ProductName])</f>
        <v>KIDS GAMES</v>
      </c>
      <c r="S1614" t="str">
        <f>_xlfn.XLOOKUP(Orders[[#This Row],[ProductID]],Products!A:A,Products!C:C)</f>
        <v>Games</v>
      </c>
    </row>
    <row r="1615" spans="1:19" x14ac:dyDescent="0.2">
      <c r="A1615" s="4" t="s">
        <v>1804</v>
      </c>
      <c r="B1615" s="5">
        <v>45952</v>
      </c>
      <c r="C1615" s="15">
        <f>WEEKNUM(Orders[[#This Row],[OrderDate]])</f>
        <v>43</v>
      </c>
      <c r="D1615" s="4" t="s">
        <v>311</v>
      </c>
      <c r="E1615" s="4" t="s">
        <v>31</v>
      </c>
      <c r="F1615" s="4">
        <v>4</v>
      </c>
      <c r="G1615" s="4">
        <v>4492.6000000000004</v>
      </c>
      <c r="H1615">
        <v>3818.7100000000005</v>
      </c>
      <c r="I1615">
        <f>Orders[[#This Row],[Quantity]]*Orders[[#This Row],[Selling Price]]</f>
        <v>17970.400000000001</v>
      </c>
      <c r="J1615">
        <f>Orders[[#This Row],[Quantity]]*Orders[[#This Row],[Cost Price]]</f>
        <v>15274.840000000002</v>
      </c>
      <c r="K1615">
        <f>Orders[[#This Row],[Revenue]]-Orders[[#This Row],[Expenses]]</f>
        <v>2695.5599999999995</v>
      </c>
      <c r="L1615" t="s">
        <v>2200</v>
      </c>
      <c r="M1615" t="str">
        <f>_xlfn.XLOOKUP(Orders[[#This Row],[CustomerID]],Customers[CustomerID],Customers[City])</f>
        <v>Georgia</v>
      </c>
      <c r="N1615" t="str">
        <f>_xlfn.XLOOKUP(Orders[[#This Row],[CustomerID]],Customers[CustomerID],Customers[CustomerName])</f>
        <v>Bisi Bello</v>
      </c>
      <c r="O1615" t="str">
        <f>_xlfn.XLOOKUP(Orders[[#This Row],[CustomerID]],Customers[CustomerID],Customers[Gender])</f>
        <v>Female</v>
      </c>
      <c r="P1615">
        <f>_xlfn.XLOOKUP(Orders[[#This Row],[CustomerID]],Customers[CustomerID],Customers[CustomerAge])</f>
        <v>31</v>
      </c>
      <c r="Q1615" t="str">
        <f>IF(Orders[[#This Row],[Age]]&gt;=35,"older","young")</f>
        <v>young</v>
      </c>
      <c r="R1615" t="str">
        <f>_xlfn.XLOOKUP(Orders[[#This Row],[ProductID]],Products[ProductID],Products[ProductName])</f>
        <v>KIDS GAMES</v>
      </c>
      <c r="S1615" t="str">
        <f>_xlfn.XLOOKUP(Orders[[#This Row],[ProductID]],Products!A:A,Products!C:C)</f>
        <v>Games</v>
      </c>
    </row>
    <row r="1616" spans="1:19" x14ac:dyDescent="0.2">
      <c r="A1616" s="4" t="s">
        <v>1805</v>
      </c>
      <c r="B1616" s="5">
        <v>45940</v>
      </c>
      <c r="C1616" s="15">
        <f>WEEKNUM(Orders[[#This Row],[OrderDate]])</f>
        <v>41</v>
      </c>
      <c r="D1616" s="4" t="s">
        <v>198</v>
      </c>
      <c r="E1616" s="4" t="s">
        <v>46</v>
      </c>
      <c r="F1616" s="4">
        <v>7</v>
      </c>
      <c r="G1616" s="4">
        <v>16557.599999999999</v>
      </c>
      <c r="H1616">
        <v>14073.96</v>
      </c>
      <c r="I1616">
        <f>Orders[[#This Row],[Quantity]]*Orders[[#This Row],[Selling Price]]</f>
        <v>115903.19999999998</v>
      </c>
      <c r="J1616">
        <f>Orders[[#This Row],[Quantity]]*Orders[[#This Row],[Cost Price]]</f>
        <v>98517.72</v>
      </c>
      <c r="K1616">
        <f>Orders[[#This Row],[Revenue]]-Orders[[#This Row],[Expenses]]</f>
        <v>17385.479999999981</v>
      </c>
      <c r="L1616" t="s">
        <v>2192</v>
      </c>
      <c r="M1616" t="str">
        <f>_xlfn.XLOOKUP(Orders[[#This Row],[CustomerID]],Customers[CustomerID],Customers[City])</f>
        <v>Texas</v>
      </c>
      <c r="N1616" t="str">
        <f>_xlfn.XLOOKUP(Orders[[#This Row],[CustomerID]],Customers[CustomerID],Customers[CustomerName])</f>
        <v>Blessing Danladi</v>
      </c>
      <c r="O1616" t="str">
        <f>_xlfn.XLOOKUP(Orders[[#This Row],[CustomerID]],Customers[CustomerID],Customers[Gender])</f>
        <v>Female</v>
      </c>
      <c r="P1616">
        <f>_xlfn.XLOOKUP(Orders[[#This Row],[CustomerID]],Customers[CustomerID],Customers[CustomerAge])</f>
        <v>19</v>
      </c>
      <c r="Q1616" t="str">
        <f>IF(Orders[[#This Row],[Age]]&gt;=35,"older","young")</f>
        <v>young</v>
      </c>
      <c r="R1616" t="str">
        <f>_xlfn.XLOOKUP(Orders[[#This Row],[ProductID]],Products[ProductID],Products[ProductName])</f>
        <v>TURTLE NECK</v>
      </c>
      <c r="S1616" t="str">
        <f>_xlfn.XLOOKUP(Orders[[#This Row],[ProductID]],Products!A:A,Products!C:C)</f>
        <v>Clothing</v>
      </c>
    </row>
    <row r="1617" spans="1:19" x14ac:dyDescent="0.2">
      <c r="A1617" s="4" t="s">
        <v>1806</v>
      </c>
      <c r="B1617" s="5">
        <v>46022</v>
      </c>
      <c r="C1617" s="15">
        <f>WEEKNUM(Orders[[#This Row],[OrderDate]])</f>
        <v>53</v>
      </c>
      <c r="D1617" s="4" t="s">
        <v>514</v>
      </c>
      <c r="E1617" s="4" t="s">
        <v>37</v>
      </c>
      <c r="F1617" s="4">
        <v>4</v>
      </c>
      <c r="G1617" s="4">
        <v>12520.4</v>
      </c>
      <c r="H1617">
        <v>10642.34</v>
      </c>
      <c r="I1617">
        <f>Orders[[#This Row],[Quantity]]*Orders[[#This Row],[Selling Price]]</f>
        <v>50081.599999999999</v>
      </c>
      <c r="J1617">
        <f>Orders[[#This Row],[Quantity]]*Orders[[#This Row],[Cost Price]]</f>
        <v>42569.36</v>
      </c>
      <c r="K1617">
        <f>Orders[[#This Row],[Revenue]]-Orders[[#This Row],[Expenses]]</f>
        <v>7512.239999999998</v>
      </c>
      <c r="L1617" t="s">
        <v>2194</v>
      </c>
      <c r="M1617" t="str">
        <f>_xlfn.XLOOKUP(Orders[[#This Row],[CustomerID]],Customers[CustomerID],Customers[City])</f>
        <v>Florida</v>
      </c>
      <c r="N1617" t="str">
        <f>_xlfn.XLOOKUP(Orders[[#This Row],[CustomerID]],Customers[CustomerID],Customers[CustomerName])</f>
        <v>Ibrahim Okonkwo</v>
      </c>
      <c r="O1617" t="str">
        <f>_xlfn.XLOOKUP(Orders[[#This Row],[CustomerID]],Customers[CustomerID],Customers[Gender])</f>
        <v>Male</v>
      </c>
      <c r="P1617">
        <f>_xlfn.XLOOKUP(Orders[[#This Row],[CustomerID]],Customers[CustomerID],Customers[CustomerAge])</f>
        <v>28</v>
      </c>
      <c r="Q1617" t="str">
        <f>IF(Orders[[#This Row],[Age]]&gt;=35,"older","young")</f>
        <v>young</v>
      </c>
      <c r="R1617" t="str">
        <f>_xlfn.XLOOKUP(Orders[[#This Row],[ProductID]],Products[ProductID],Products[ProductName])</f>
        <v>IRON</v>
      </c>
      <c r="S1617" t="str">
        <f>_xlfn.XLOOKUP(Orders[[#This Row],[ProductID]],Products!A:A,Products!C:C)</f>
        <v>Electronics</v>
      </c>
    </row>
    <row r="1618" spans="1:19" x14ac:dyDescent="0.2">
      <c r="A1618" s="4" t="s">
        <v>1807</v>
      </c>
      <c r="B1618" s="5">
        <v>45968</v>
      </c>
      <c r="C1618" s="15">
        <f>WEEKNUM(Orders[[#This Row],[OrderDate]])</f>
        <v>45</v>
      </c>
      <c r="D1618" s="4" t="s">
        <v>96</v>
      </c>
      <c r="E1618" s="4" t="s">
        <v>15</v>
      </c>
      <c r="F1618" s="4">
        <v>10</v>
      </c>
      <c r="G1618" s="4">
        <v>13887.5</v>
      </c>
      <c r="H1618">
        <v>11804.375</v>
      </c>
      <c r="I1618">
        <f>Orders[[#This Row],[Quantity]]*Orders[[#This Row],[Selling Price]]</f>
        <v>138875</v>
      </c>
      <c r="J1618">
        <f>Orders[[#This Row],[Quantity]]*Orders[[#This Row],[Cost Price]]</f>
        <v>118043.75</v>
      </c>
      <c r="K1618">
        <f>Orders[[#This Row],[Revenue]]-Orders[[#This Row],[Expenses]]</f>
        <v>20831.25</v>
      </c>
      <c r="L1618" t="s">
        <v>2201</v>
      </c>
      <c r="M1618" t="str">
        <f>_xlfn.XLOOKUP(Orders[[#This Row],[CustomerID]],Customers[CustomerID],Customers[City])</f>
        <v>Texas</v>
      </c>
      <c r="N1618" t="str">
        <f>_xlfn.XLOOKUP(Orders[[#This Row],[CustomerID]],Customers[CustomerID],Customers[CustomerName])</f>
        <v>Amina Abubakar</v>
      </c>
      <c r="O1618" t="str">
        <f>_xlfn.XLOOKUP(Orders[[#This Row],[CustomerID]],Customers[CustomerID],Customers[Gender])</f>
        <v>Female</v>
      </c>
      <c r="P1618">
        <f>_xlfn.XLOOKUP(Orders[[#This Row],[CustomerID]],Customers[CustomerID],Customers[CustomerAge])</f>
        <v>35</v>
      </c>
      <c r="Q1618" t="str">
        <f>IF(Orders[[#This Row],[Age]]&gt;=35,"older","young")</f>
        <v>older</v>
      </c>
      <c r="R1618" t="str">
        <f>_xlfn.XLOOKUP(Orders[[#This Row],[ProductID]],Products[ProductID],Products[ProductName])</f>
        <v>MONOPOLY</v>
      </c>
      <c r="S1618" t="str">
        <f>_xlfn.XLOOKUP(Orders[[#This Row],[ProductID]],Products!A:A,Products!C:C)</f>
        <v>Games</v>
      </c>
    </row>
    <row r="1619" spans="1:19" x14ac:dyDescent="0.2">
      <c r="A1619" s="4" t="s">
        <v>1808</v>
      </c>
      <c r="B1619" s="5">
        <v>46014</v>
      </c>
      <c r="C1619" s="15">
        <f>WEEKNUM(Orders[[#This Row],[OrderDate]])</f>
        <v>52</v>
      </c>
      <c r="D1619" s="4" t="s">
        <v>444</v>
      </c>
      <c r="E1619" s="4" t="s">
        <v>25</v>
      </c>
      <c r="F1619" s="4">
        <v>2</v>
      </c>
      <c r="G1619" s="4">
        <v>15737.3</v>
      </c>
      <c r="H1619">
        <v>13376.705</v>
      </c>
      <c r="I1619">
        <f>Orders[[#This Row],[Quantity]]*Orders[[#This Row],[Selling Price]]</f>
        <v>31474.6</v>
      </c>
      <c r="J1619">
        <f>Orders[[#This Row],[Quantity]]*Orders[[#This Row],[Cost Price]]</f>
        <v>26753.41</v>
      </c>
      <c r="K1619">
        <f>Orders[[#This Row],[Revenue]]-Orders[[#This Row],[Expenses]]</f>
        <v>4721.1899999999987</v>
      </c>
      <c r="L1619" t="s">
        <v>2209</v>
      </c>
      <c r="M1619" t="str">
        <f>_xlfn.XLOOKUP(Orders[[#This Row],[CustomerID]],Customers[CustomerID],Customers[City])</f>
        <v>Texas</v>
      </c>
      <c r="N1619" t="str">
        <f>_xlfn.XLOOKUP(Orders[[#This Row],[CustomerID]],Customers[CustomerID],Customers[CustomerName])</f>
        <v>Blessing Eze</v>
      </c>
      <c r="O1619" t="str">
        <f>_xlfn.XLOOKUP(Orders[[#This Row],[CustomerID]],Customers[CustomerID],Customers[Gender])</f>
        <v>Female</v>
      </c>
      <c r="P1619">
        <f>_xlfn.XLOOKUP(Orders[[#This Row],[CustomerID]],Customers[CustomerID],Customers[CustomerAge])</f>
        <v>24</v>
      </c>
      <c r="Q1619" t="str">
        <f>IF(Orders[[#This Row],[Age]]&gt;=35,"older","young")</f>
        <v>young</v>
      </c>
      <c r="R1619" t="str">
        <f>_xlfn.XLOOKUP(Orders[[#This Row],[ProductID]],Products[ProductID],Products[ProductName])</f>
        <v>GOLD RINGS</v>
      </c>
      <c r="S1619" t="str">
        <f>_xlfn.XLOOKUP(Orders[[#This Row],[ProductID]],Products!A:A,Products!C:C)</f>
        <v>Accessories</v>
      </c>
    </row>
    <row r="1620" spans="1:19" x14ac:dyDescent="0.2">
      <c r="A1620" s="4" t="s">
        <v>1809</v>
      </c>
      <c r="B1620" s="5">
        <v>45954</v>
      </c>
      <c r="C1620" s="15">
        <f>WEEKNUM(Orders[[#This Row],[OrderDate]])</f>
        <v>43</v>
      </c>
      <c r="D1620" s="4" t="s">
        <v>43</v>
      </c>
      <c r="E1620" s="4" t="s">
        <v>168</v>
      </c>
      <c r="F1620" s="4">
        <v>4</v>
      </c>
      <c r="G1620" s="4">
        <v>17682.8</v>
      </c>
      <c r="H1620">
        <v>15030.38</v>
      </c>
      <c r="I1620">
        <f>Orders[[#This Row],[Quantity]]*Orders[[#This Row],[Selling Price]]</f>
        <v>70731.199999999997</v>
      </c>
      <c r="J1620">
        <f>Orders[[#This Row],[Quantity]]*Orders[[#This Row],[Cost Price]]</f>
        <v>60121.52</v>
      </c>
      <c r="K1620">
        <f>Orders[[#This Row],[Revenue]]-Orders[[#This Row],[Expenses]]</f>
        <v>10609.68</v>
      </c>
      <c r="L1620" t="s">
        <v>2203</v>
      </c>
      <c r="M1620" t="str">
        <f>_xlfn.XLOOKUP(Orders[[#This Row],[CustomerID]],Customers[CustomerID],Customers[City])</f>
        <v>Georgia</v>
      </c>
      <c r="N1620" t="str">
        <f>_xlfn.XLOOKUP(Orders[[#This Row],[CustomerID]],Customers[CustomerID],Customers[CustomerName])</f>
        <v>Mustafa Danladi</v>
      </c>
      <c r="O1620" t="str">
        <f>_xlfn.XLOOKUP(Orders[[#This Row],[CustomerID]],Customers[CustomerID],Customers[Gender])</f>
        <v>Male</v>
      </c>
      <c r="P1620">
        <f>_xlfn.XLOOKUP(Orders[[#This Row],[CustomerID]],Customers[CustomerID],Customers[CustomerAge])</f>
        <v>49</v>
      </c>
      <c r="Q1620" t="str">
        <f>IF(Orders[[#This Row],[Age]]&gt;=35,"older","young")</f>
        <v>older</v>
      </c>
      <c r="R1620" t="str">
        <f>_xlfn.XLOOKUP(Orders[[#This Row],[ProductID]],Products[ProductID],Products[ProductName])</f>
        <v>DUMB BELLS</v>
      </c>
      <c r="S1620" t="str">
        <f>_xlfn.XLOOKUP(Orders[[#This Row],[ProductID]],Products!A:A,Products!C:C)</f>
        <v>Gym</v>
      </c>
    </row>
    <row r="1621" spans="1:19" x14ac:dyDescent="0.2">
      <c r="A1621" s="4" t="s">
        <v>1810</v>
      </c>
      <c r="B1621" s="5">
        <v>46014</v>
      </c>
      <c r="C1621" s="15">
        <f>WEEKNUM(Orders[[#This Row],[OrderDate]])</f>
        <v>52</v>
      </c>
      <c r="D1621" s="4" t="s">
        <v>14</v>
      </c>
      <c r="E1621" s="4" t="s">
        <v>23</v>
      </c>
      <c r="F1621" s="4">
        <v>7</v>
      </c>
      <c r="G1621" s="4">
        <v>17460.599999999999</v>
      </c>
      <c r="H1621">
        <v>14841.509999999998</v>
      </c>
      <c r="I1621">
        <f>Orders[[#This Row],[Quantity]]*Orders[[#This Row],[Selling Price]]</f>
        <v>122224.19999999998</v>
      </c>
      <c r="J1621">
        <f>Orders[[#This Row],[Quantity]]*Orders[[#This Row],[Cost Price]]</f>
        <v>103890.56999999999</v>
      </c>
      <c r="K1621">
        <f>Orders[[#This Row],[Revenue]]-Orders[[#This Row],[Expenses]]</f>
        <v>18333.62999999999</v>
      </c>
      <c r="L1621" t="s">
        <v>2207</v>
      </c>
      <c r="M1621" t="str">
        <f>_xlfn.XLOOKUP(Orders[[#This Row],[CustomerID]],Customers[CustomerID],Customers[City])</f>
        <v>Texas</v>
      </c>
      <c r="N1621" t="str">
        <f>_xlfn.XLOOKUP(Orders[[#This Row],[CustomerID]],Customers[CustomerID],Customers[CustomerName])</f>
        <v>Abiola Igwe</v>
      </c>
      <c r="O1621" t="str">
        <f>_xlfn.XLOOKUP(Orders[[#This Row],[CustomerID]],Customers[CustomerID],Customers[Gender])</f>
        <v>Male</v>
      </c>
      <c r="P1621">
        <f>_xlfn.XLOOKUP(Orders[[#This Row],[CustomerID]],Customers[CustomerID],Customers[CustomerAge])</f>
        <v>39</v>
      </c>
      <c r="Q1621" t="str">
        <f>IF(Orders[[#This Row],[Age]]&gt;=35,"older","young")</f>
        <v>older</v>
      </c>
      <c r="R1621" t="str">
        <f>_xlfn.XLOOKUP(Orders[[#This Row],[ProductID]],Products[ProductID],Products[ProductName])</f>
        <v>GYM GLOVES</v>
      </c>
      <c r="S1621" t="str">
        <f>_xlfn.XLOOKUP(Orders[[#This Row],[ProductID]],Products!A:A,Products!C:C)</f>
        <v>Gym</v>
      </c>
    </row>
    <row r="1622" spans="1:19" x14ac:dyDescent="0.2">
      <c r="A1622" s="4" t="s">
        <v>1811</v>
      </c>
      <c r="B1622" s="5">
        <v>45931</v>
      </c>
      <c r="C1622" s="15">
        <f>WEEKNUM(Orders[[#This Row],[OrderDate]])</f>
        <v>40</v>
      </c>
      <c r="D1622" s="4" t="s">
        <v>225</v>
      </c>
      <c r="E1622" s="4" t="s">
        <v>60</v>
      </c>
      <c r="F1622" s="4">
        <v>7</v>
      </c>
      <c r="G1622" s="4">
        <v>8163.5</v>
      </c>
      <c r="H1622">
        <v>6938.9750000000004</v>
      </c>
      <c r="I1622">
        <f>Orders[[#This Row],[Quantity]]*Orders[[#This Row],[Selling Price]]</f>
        <v>57144.5</v>
      </c>
      <c r="J1622">
        <f>Orders[[#This Row],[Quantity]]*Orders[[#This Row],[Cost Price]]</f>
        <v>48572.825000000004</v>
      </c>
      <c r="K1622">
        <f>Orders[[#This Row],[Revenue]]-Orders[[#This Row],[Expenses]]</f>
        <v>8571.6749999999956</v>
      </c>
      <c r="L1622" t="s">
        <v>2194</v>
      </c>
      <c r="M1622" t="str">
        <f>_xlfn.XLOOKUP(Orders[[#This Row],[CustomerID]],Customers[CustomerID],Customers[City])</f>
        <v>Texas</v>
      </c>
      <c r="N1622" t="str">
        <f>_xlfn.XLOOKUP(Orders[[#This Row],[CustomerID]],Customers[CustomerID],Customers[CustomerName])</f>
        <v>Uche Danladi</v>
      </c>
      <c r="O1622" t="str">
        <f>_xlfn.XLOOKUP(Orders[[#This Row],[CustomerID]],Customers[CustomerID],Customers[Gender])</f>
        <v>Male</v>
      </c>
      <c r="P1622">
        <f>_xlfn.XLOOKUP(Orders[[#This Row],[CustomerID]],Customers[CustomerID],Customers[CustomerAge])</f>
        <v>45</v>
      </c>
      <c r="Q1622" t="str">
        <f>IF(Orders[[#This Row],[Age]]&gt;=35,"older","young")</f>
        <v>older</v>
      </c>
      <c r="R1622" t="str">
        <f>_xlfn.XLOOKUP(Orders[[#This Row],[ProductID]],Products[ProductID],Products[ProductName])</f>
        <v>SILVER RINGS</v>
      </c>
      <c r="S1622" t="str">
        <f>_xlfn.XLOOKUP(Orders[[#This Row],[ProductID]],Products!A:A,Products!C:C)</f>
        <v>Accessories</v>
      </c>
    </row>
    <row r="1623" spans="1:19" x14ac:dyDescent="0.2">
      <c r="A1623" s="4" t="s">
        <v>1812</v>
      </c>
      <c r="B1623" s="5">
        <v>46000</v>
      </c>
      <c r="C1623" s="15">
        <f>WEEKNUM(Orders[[#This Row],[OrderDate]])</f>
        <v>50</v>
      </c>
      <c r="D1623" s="4" t="s">
        <v>201</v>
      </c>
      <c r="E1623" s="4" t="s">
        <v>120</v>
      </c>
      <c r="F1623" s="4">
        <v>3</v>
      </c>
      <c r="G1623" s="4">
        <v>16476.400000000001</v>
      </c>
      <c r="H1623">
        <v>14004.940000000002</v>
      </c>
      <c r="I1623">
        <f>Orders[[#This Row],[Quantity]]*Orders[[#This Row],[Selling Price]]</f>
        <v>49429.200000000004</v>
      </c>
      <c r="J1623">
        <f>Orders[[#This Row],[Quantity]]*Orders[[#This Row],[Cost Price]]</f>
        <v>42014.820000000007</v>
      </c>
      <c r="K1623">
        <f>Orders[[#This Row],[Revenue]]-Orders[[#This Row],[Expenses]]</f>
        <v>7414.3799999999974</v>
      </c>
      <c r="L1623" t="s">
        <v>2212</v>
      </c>
      <c r="M1623" t="str">
        <f>_xlfn.XLOOKUP(Orders[[#This Row],[CustomerID]],Customers[CustomerID],Customers[City])</f>
        <v>Georgia</v>
      </c>
      <c r="N1623" t="str">
        <f>_xlfn.XLOOKUP(Orders[[#This Row],[CustomerID]],Customers[CustomerID],Customers[CustomerName])</f>
        <v>Sani Igwe</v>
      </c>
      <c r="O1623" t="str">
        <f>_xlfn.XLOOKUP(Orders[[#This Row],[CustomerID]],Customers[CustomerID],Customers[Gender])</f>
        <v>Male</v>
      </c>
      <c r="P1623">
        <f>_xlfn.XLOOKUP(Orders[[#This Row],[CustomerID]],Customers[CustomerID],Customers[CustomerAge])</f>
        <v>20</v>
      </c>
      <c r="Q1623" t="str">
        <f>IF(Orders[[#This Row],[Age]]&gt;=35,"older","young")</f>
        <v>young</v>
      </c>
      <c r="R1623" t="str">
        <f>_xlfn.XLOOKUP(Orders[[#This Row],[ProductID]],Products[ProductID],Products[ProductName])</f>
        <v>CHESS</v>
      </c>
      <c r="S1623" t="str">
        <f>_xlfn.XLOOKUP(Orders[[#This Row],[ProductID]],Products!A:A,Products!C:C)</f>
        <v>Games</v>
      </c>
    </row>
    <row r="1624" spans="1:19" x14ac:dyDescent="0.2">
      <c r="A1624" s="4" t="s">
        <v>1813</v>
      </c>
      <c r="B1624" s="5">
        <v>45991</v>
      </c>
      <c r="C1624" s="15">
        <f>WEEKNUM(Orders[[#This Row],[OrderDate]])</f>
        <v>49</v>
      </c>
      <c r="D1624" s="4" t="s">
        <v>418</v>
      </c>
      <c r="E1624" s="4" t="s">
        <v>232</v>
      </c>
      <c r="F1624" s="4">
        <v>4</v>
      </c>
      <c r="G1624" s="4">
        <v>8378.4</v>
      </c>
      <c r="H1624">
        <v>7121.6399999999994</v>
      </c>
      <c r="I1624">
        <f>Orders[[#This Row],[Quantity]]*Orders[[#This Row],[Selling Price]]</f>
        <v>33513.599999999999</v>
      </c>
      <c r="J1624">
        <f>Orders[[#This Row],[Quantity]]*Orders[[#This Row],[Cost Price]]</f>
        <v>28486.559999999998</v>
      </c>
      <c r="K1624">
        <f>Orders[[#This Row],[Revenue]]-Orders[[#This Row],[Expenses]]</f>
        <v>5027.0400000000009</v>
      </c>
      <c r="L1624" t="s">
        <v>2220</v>
      </c>
      <c r="M1624" t="str">
        <f>_xlfn.XLOOKUP(Orders[[#This Row],[CustomerID]],Customers[CustomerID],Customers[City])</f>
        <v>Illinois</v>
      </c>
      <c r="N1624" t="str">
        <f>_xlfn.XLOOKUP(Orders[[#This Row],[CustomerID]],Customers[CustomerID],Customers[CustomerName])</f>
        <v>Amina Danladi</v>
      </c>
      <c r="O1624" t="str">
        <f>_xlfn.XLOOKUP(Orders[[#This Row],[CustomerID]],Customers[CustomerID],Customers[Gender])</f>
        <v>Female</v>
      </c>
      <c r="P1624">
        <f>_xlfn.XLOOKUP(Orders[[#This Row],[CustomerID]],Customers[CustomerID],Customers[CustomerAge])</f>
        <v>20</v>
      </c>
      <c r="Q1624" t="str">
        <f>IF(Orders[[#This Row],[Age]]&gt;=35,"older","young")</f>
        <v>young</v>
      </c>
      <c r="R1624" t="str">
        <f>_xlfn.XLOOKUP(Orders[[#This Row],[ProductID]],Products[ProductID],Products[ProductName])</f>
        <v>ANKARA</v>
      </c>
      <c r="S1624" t="str">
        <f>_xlfn.XLOOKUP(Orders[[#This Row],[ProductID]],Products!A:A,Products!C:C)</f>
        <v>Clothing</v>
      </c>
    </row>
    <row r="1625" spans="1:19" x14ac:dyDescent="0.2">
      <c r="A1625" s="4" t="s">
        <v>1814</v>
      </c>
      <c r="B1625" s="5">
        <v>45951</v>
      </c>
      <c r="C1625" s="15">
        <f>WEEKNUM(Orders[[#This Row],[OrderDate]])</f>
        <v>43</v>
      </c>
      <c r="D1625" s="4" t="s">
        <v>212</v>
      </c>
      <c r="E1625" s="4" t="s">
        <v>34</v>
      </c>
      <c r="F1625" s="4">
        <v>4</v>
      </c>
      <c r="G1625" s="4">
        <v>11698.900000000001</v>
      </c>
      <c r="H1625">
        <v>9944.0650000000005</v>
      </c>
      <c r="I1625">
        <f>Orders[[#This Row],[Quantity]]*Orders[[#This Row],[Selling Price]]</f>
        <v>46795.600000000006</v>
      </c>
      <c r="J1625">
        <f>Orders[[#This Row],[Quantity]]*Orders[[#This Row],[Cost Price]]</f>
        <v>39776.26</v>
      </c>
      <c r="K1625">
        <f>Orders[[#This Row],[Revenue]]-Orders[[#This Row],[Expenses]]</f>
        <v>7019.3400000000038</v>
      </c>
      <c r="L1625" t="s">
        <v>2217</v>
      </c>
      <c r="M1625" t="str">
        <f>_xlfn.XLOOKUP(Orders[[#This Row],[CustomerID]],Customers[CustomerID],Customers[City])</f>
        <v>Illinois</v>
      </c>
      <c r="N1625" t="str">
        <f>_xlfn.XLOOKUP(Orders[[#This Row],[CustomerID]],Customers[CustomerID],Customers[CustomerName])</f>
        <v>Ngozi Ojo</v>
      </c>
      <c r="O1625" t="str">
        <f>_xlfn.XLOOKUP(Orders[[#This Row],[CustomerID]],Customers[CustomerID],Customers[Gender])</f>
        <v>Female</v>
      </c>
      <c r="P1625">
        <f>_xlfn.XLOOKUP(Orders[[#This Row],[CustomerID]],Customers[CustomerID],Customers[CustomerAge])</f>
        <v>53</v>
      </c>
      <c r="Q1625" t="str">
        <f>IF(Orders[[#This Row],[Age]]&gt;=35,"older","young")</f>
        <v>older</v>
      </c>
      <c r="R1625" t="str">
        <f>_xlfn.XLOOKUP(Orders[[#This Row],[ProductID]],Products[ProductID],Products[ProductName])</f>
        <v>GOLD BRACELETS</v>
      </c>
      <c r="S1625" t="str">
        <f>_xlfn.XLOOKUP(Orders[[#This Row],[ProductID]],Products!A:A,Products!C:C)</f>
        <v>Accessories</v>
      </c>
    </row>
    <row r="1626" spans="1:19" x14ac:dyDescent="0.2">
      <c r="A1626" s="4" t="s">
        <v>1815</v>
      </c>
      <c r="B1626" s="5">
        <v>46021</v>
      </c>
      <c r="C1626" s="15">
        <f>WEEKNUM(Orders[[#This Row],[OrderDate]])</f>
        <v>53</v>
      </c>
      <c r="D1626" s="4" t="s">
        <v>107</v>
      </c>
      <c r="E1626" s="4" t="s">
        <v>34</v>
      </c>
      <c r="F1626" s="4">
        <v>2</v>
      </c>
      <c r="G1626" s="4">
        <v>12608.599999999999</v>
      </c>
      <c r="H1626">
        <v>10717.31</v>
      </c>
      <c r="I1626">
        <f>Orders[[#This Row],[Quantity]]*Orders[[#This Row],[Selling Price]]</f>
        <v>25217.199999999997</v>
      </c>
      <c r="J1626">
        <f>Orders[[#This Row],[Quantity]]*Orders[[#This Row],[Cost Price]]</f>
        <v>21434.62</v>
      </c>
      <c r="K1626">
        <f>Orders[[#This Row],[Revenue]]-Orders[[#This Row],[Expenses]]</f>
        <v>3782.5799999999981</v>
      </c>
      <c r="L1626" t="s">
        <v>2192</v>
      </c>
      <c r="M1626" t="str">
        <f>_xlfn.XLOOKUP(Orders[[#This Row],[CustomerID]],Customers[CustomerID],Customers[City])</f>
        <v>Texas</v>
      </c>
      <c r="N1626" t="str">
        <f>_xlfn.XLOOKUP(Orders[[#This Row],[CustomerID]],Customers[CustomerID],Customers[CustomerName])</f>
        <v>Blessing Eze</v>
      </c>
      <c r="O1626" t="str">
        <f>_xlfn.XLOOKUP(Orders[[#This Row],[CustomerID]],Customers[CustomerID],Customers[Gender])</f>
        <v>Female</v>
      </c>
      <c r="P1626">
        <f>_xlfn.XLOOKUP(Orders[[#This Row],[CustomerID]],Customers[CustomerID],Customers[CustomerAge])</f>
        <v>44</v>
      </c>
      <c r="Q1626" t="str">
        <f>IF(Orders[[#This Row],[Age]]&gt;=35,"older","young")</f>
        <v>older</v>
      </c>
      <c r="R1626" t="str">
        <f>_xlfn.XLOOKUP(Orders[[#This Row],[ProductID]],Products[ProductID],Products[ProductName])</f>
        <v>GOLD BRACELETS</v>
      </c>
      <c r="S1626" t="str">
        <f>_xlfn.XLOOKUP(Orders[[#This Row],[ProductID]],Products!A:A,Products!C:C)</f>
        <v>Accessories</v>
      </c>
    </row>
    <row r="1627" spans="1:19" x14ac:dyDescent="0.2">
      <c r="A1627" s="4" t="s">
        <v>1816</v>
      </c>
      <c r="B1627" s="5">
        <v>45965</v>
      </c>
      <c r="C1627" s="15">
        <f>WEEKNUM(Orders[[#This Row],[OrderDate]])</f>
        <v>45</v>
      </c>
      <c r="D1627" s="4" t="s">
        <v>33</v>
      </c>
      <c r="E1627" s="4" t="s">
        <v>31</v>
      </c>
      <c r="F1627" s="4">
        <v>6</v>
      </c>
      <c r="G1627" s="4">
        <v>10593.900000000001</v>
      </c>
      <c r="H1627">
        <v>9004.8150000000005</v>
      </c>
      <c r="I1627">
        <f>Orders[[#This Row],[Quantity]]*Orders[[#This Row],[Selling Price]]</f>
        <v>63563.400000000009</v>
      </c>
      <c r="J1627">
        <f>Orders[[#This Row],[Quantity]]*Orders[[#This Row],[Cost Price]]</f>
        <v>54028.89</v>
      </c>
      <c r="K1627">
        <f>Orders[[#This Row],[Revenue]]-Orders[[#This Row],[Expenses]]</f>
        <v>9534.5100000000093</v>
      </c>
      <c r="L1627" t="s">
        <v>2207</v>
      </c>
      <c r="M1627" t="str">
        <f>_xlfn.XLOOKUP(Orders[[#This Row],[CustomerID]],Customers[CustomerID],Customers[City])</f>
        <v>Texas</v>
      </c>
      <c r="N1627" t="str">
        <f>_xlfn.XLOOKUP(Orders[[#This Row],[CustomerID]],Customers[CustomerID],Customers[CustomerName])</f>
        <v>Okon Balogun</v>
      </c>
      <c r="O1627" t="str">
        <f>_xlfn.XLOOKUP(Orders[[#This Row],[CustomerID]],Customers[CustomerID],Customers[Gender])</f>
        <v>Male</v>
      </c>
      <c r="P1627">
        <f>_xlfn.XLOOKUP(Orders[[#This Row],[CustomerID]],Customers[CustomerID],Customers[CustomerAge])</f>
        <v>28</v>
      </c>
      <c r="Q1627" t="str">
        <f>IF(Orders[[#This Row],[Age]]&gt;=35,"older","young")</f>
        <v>young</v>
      </c>
      <c r="R1627" t="str">
        <f>_xlfn.XLOOKUP(Orders[[#This Row],[ProductID]],Products[ProductID],Products[ProductName])</f>
        <v>KIDS GAMES</v>
      </c>
      <c r="S1627" t="str">
        <f>_xlfn.XLOOKUP(Orders[[#This Row],[ProductID]],Products!A:A,Products!C:C)</f>
        <v>Games</v>
      </c>
    </row>
    <row r="1628" spans="1:19" x14ac:dyDescent="0.2">
      <c r="A1628" s="4" t="s">
        <v>1817</v>
      </c>
      <c r="B1628" s="5">
        <v>46011</v>
      </c>
      <c r="C1628" s="15">
        <f>WEEKNUM(Orders[[#This Row],[OrderDate]])</f>
        <v>51</v>
      </c>
      <c r="D1628" s="4" t="s">
        <v>607</v>
      </c>
      <c r="E1628" s="4" t="s">
        <v>34</v>
      </c>
      <c r="F1628" s="4">
        <v>7</v>
      </c>
      <c r="G1628" s="4">
        <v>8807.7000000000007</v>
      </c>
      <c r="H1628">
        <v>7486.545000000001</v>
      </c>
      <c r="I1628">
        <f>Orders[[#This Row],[Quantity]]*Orders[[#This Row],[Selling Price]]</f>
        <v>61653.900000000009</v>
      </c>
      <c r="J1628">
        <f>Orders[[#This Row],[Quantity]]*Orders[[#This Row],[Cost Price]]</f>
        <v>52405.81500000001</v>
      </c>
      <c r="K1628">
        <f>Orders[[#This Row],[Revenue]]-Orders[[#This Row],[Expenses]]</f>
        <v>9248.0849999999991</v>
      </c>
      <c r="L1628" t="s">
        <v>2218</v>
      </c>
      <c r="M1628" t="str">
        <f>_xlfn.XLOOKUP(Orders[[#This Row],[CustomerID]],Customers[CustomerID],Customers[City])</f>
        <v>Texas</v>
      </c>
      <c r="N1628" t="str">
        <f>_xlfn.XLOOKUP(Orders[[#This Row],[CustomerID]],Customers[CustomerID],Customers[CustomerName])</f>
        <v>Folasade Ojo</v>
      </c>
      <c r="O1628" t="str">
        <f>_xlfn.XLOOKUP(Orders[[#This Row],[CustomerID]],Customers[CustomerID],Customers[Gender])</f>
        <v>Female</v>
      </c>
      <c r="P1628">
        <f>_xlfn.XLOOKUP(Orders[[#This Row],[CustomerID]],Customers[CustomerID],Customers[CustomerAge])</f>
        <v>19</v>
      </c>
      <c r="Q1628" t="str">
        <f>IF(Orders[[#This Row],[Age]]&gt;=35,"older","young")</f>
        <v>young</v>
      </c>
      <c r="R1628" t="str">
        <f>_xlfn.XLOOKUP(Orders[[#This Row],[ProductID]],Products[ProductID],Products[ProductName])</f>
        <v>GOLD BRACELETS</v>
      </c>
      <c r="S1628" t="str">
        <f>_xlfn.XLOOKUP(Orders[[#This Row],[ProductID]],Products!A:A,Products!C:C)</f>
        <v>Accessories</v>
      </c>
    </row>
    <row r="1629" spans="1:19" x14ac:dyDescent="0.2">
      <c r="A1629" s="4" t="s">
        <v>1818</v>
      </c>
      <c r="B1629" s="5">
        <v>45957</v>
      </c>
      <c r="C1629" s="15">
        <f>WEEKNUM(Orders[[#This Row],[OrderDate]])</f>
        <v>44</v>
      </c>
      <c r="D1629" s="4" t="s">
        <v>502</v>
      </c>
      <c r="E1629" s="4" t="s">
        <v>168</v>
      </c>
      <c r="F1629" s="4">
        <v>7</v>
      </c>
      <c r="G1629" s="4">
        <v>10564.9</v>
      </c>
      <c r="H1629">
        <v>8980.1649999999991</v>
      </c>
      <c r="I1629">
        <f>Orders[[#This Row],[Quantity]]*Orders[[#This Row],[Selling Price]]</f>
        <v>73954.3</v>
      </c>
      <c r="J1629">
        <f>Orders[[#This Row],[Quantity]]*Orders[[#This Row],[Cost Price]]</f>
        <v>62861.154999999992</v>
      </c>
      <c r="K1629">
        <f>Orders[[#This Row],[Revenue]]-Orders[[#This Row],[Expenses]]</f>
        <v>11093.145000000011</v>
      </c>
      <c r="L1629" t="s">
        <v>2208</v>
      </c>
      <c r="M1629" t="str">
        <f>_xlfn.XLOOKUP(Orders[[#This Row],[CustomerID]],Customers[CustomerID],Customers[City])</f>
        <v>Texas</v>
      </c>
      <c r="N1629" t="str">
        <f>_xlfn.XLOOKUP(Orders[[#This Row],[CustomerID]],Customers[CustomerID],Customers[CustomerName])</f>
        <v>Obi Eze</v>
      </c>
      <c r="O1629" t="str">
        <f>_xlfn.XLOOKUP(Orders[[#This Row],[CustomerID]],Customers[CustomerID],Customers[Gender])</f>
        <v>Male</v>
      </c>
      <c r="P1629">
        <f>_xlfn.XLOOKUP(Orders[[#This Row],[CustomerID]],Customers[CustomerID],Customers[CustomerAge])</f>
        <v>24</v>
      </c>
      <c r="Q1629" t="str">
        <f>IF(Orders[[#This Row],[Age]]&gt;=35,"older","young")</f>
        <v>young</v>
      </c>
      <c r="R1629" t="str">
        <f>_xlfn.XLOOKUP(Orders[[#This Row],[ProductID]],Products[ProductID],Products[ProductName])</f>
        <v>DUMB BELLS</v>
      </c>
      <c r="S1629" t="str">
        <f>_xlfn.XLOOKUP(Orders[[#This Row],[ProductID]],Products!A:A,Products!C:C)</f>
        <v>Gym</v>
      </c>
    </row>
    <row r="1630" spans="1:19" x14ac:dyDescent="0.2">
      <c r="A1630" s="4" t="s">
        <v>1819</v>
      </c>
      <c r="B1630" s="5">
        <v>45966</v>
      </c>
      <c r="C1630" s="15">
        <f>WEEKNUM(Orders[[#This Row],[OrderDate]])</f>
        <v>45</v>
      </c>
      <c r="D1630" s="4" t="s">
        <v>107</v>
      </c>
      <c r="E1630" s="4" t="s">
        <v>15</v>
      </c>
      <c r="F1630" s="4">
        <v>9</v>
      </c>
      <c r="G1630" s="4">
        <v>11162.6</v>
      </c>
      <c r="H1630">
        <v>9488.2100000000009</v>
      </c>
      <c r="I1630">
        <f>Orders[[#This Row],[Quantity]]*Orders[[#This Row],[Selling Price]]</f>
        <v>100463.40000000001</v>
      </c>
      <c r="J1630">
        <f>Orders[[#This Row],[Quantity]]*Orders[[#This Row],[Cost Price]]</f>
        <v>85393.890000000014</v>
      </c>
      <c r="K1630">
        <f>Orders[[#This Row],[Revenue]]-Orders[[#This Row],[Expenses]]</f>
        <v>15069.509999999995</v>
      </c>
      <c r="L1630" t="s">
        <v>2219</v>
      </c>
      <c r="M1630" t="str">
        <f>_xlfn.XLOOKUP(Orders[[#This Row],[CustomerID]],Customers[CustomerID],Customers[City])</f>
        <v>Texas</v>
      </c>
      <c r="N1630" t="str">
        <f>_xlfn.XLOOKUP(Orders[[#This Row],[CustomerID]],Customers[CustomerID],Customers[CustomerName])</f>
        <v>Blessing Eze</v>
      </c>
      <c r="O1630" t="str">
        <f>_xlfn.XLOOKUP(Orders[[#This Row],[CustomerID]],Customers[CustomerID],Customers[Gender])</f>
        <v>Female</v>
      </c>
      <c r="P1630">
        <f>_xlfn.XLOOKUP(Orders[[#This Row],[CustomerID]],Customers[CustomerID],Customers[CustomerAge])</f>
        <v>44</v>
      </c>
      <c r="Q1630" t="str">
        <f>IF(Orders[[#This Row],[Age]]&gt;=35,"older","young")</f>
        <v>older</v>
      </c>
      <c r="R1630" t="str">
        <f>_xlfn.XLOOKUP(Orders[[#This Row],[ProductID]],Products[ProductID],Products[ProductName])</f>
        <v>MONOPOLY</v>
      </c>
      <c r="S1630" t="str">
        <f>_xlfn.XLOOKUP(Orders[[#This Row],[ProductID]],Products!A:A,Products!C:C)</f>
        <v>Games</v>
      </c>
    </row>
    <row r="1631" spans="1:19" x14ac:dyDescent="0.2">
      <c r="A1631" s="4" t="s">
        <v>1820</v>
      </c>
      <c r="B1631" s="5">
        <v>45987</v>
      </c>
      <c r="C1631" s="15">
        <f>WEEKNUM(Orders[[#This Row],[OrderDate]])</f>
        <v>48</v>
      </c>
      <c r="D1631" s="4" t="s">
        <v>43</v>
      </c>
      <c r="E1631" s="4" t="s">
        <v>57</v>
      </c>
      <c r="F1631" s="4">
        <v>6</v>
      </c>
      <c r="G1631" s="4">
        <v>8802.2999999999993</v>
      </c>
      <c r="H1631">
        <v>7481.9549999999999</v>
      </c>
      <c r="I1631">
        <f>Orders[[#This Row],[Quantity]]*Orders[[#This Row],[Selling Price]]</f>
        <v>52813.799999999996</v>
      </c>
      <c r="J1631">
        <f>Orders[[#This Row],[Quantity]]*Orders[[#This Row],[Cost Price]]</f>
        <v>44891.729999999996</v>
      </c>
      <c r="K1631">
        <f>Orders[[#This Row],[Revenue]]-Orders[[#This Row],[Expenses]]</f>
        <v>7922.07</v>
      </c>
      <c r="L1631" t="s">
        <v>2208</v>
      </c>
      <c r="M1631" t="str">
        <f>_xlfn.XLOOKUP(Orders[[#This Row],[CustomerID]],Customers[CustomerID],Customers[City])</f>
        <v>Georgia</v>
      </c>
      <c r="N1631" t="str">
        <f>_xlfn.XLOOKUP(Orders[[#This Row],[CustomerID]],Customers[CustomerID],Customers[CustomerName])</f>
        <v>Mustafa Danladi</v>
      </c>
      <c r="O1631" t="str">
        <f>_xlfn.XLOOKUP(Orders[[#This Row],[CustomerID]],Customers[CustomerID],Customers[Gender])</f>
        <v>Male</v>
      </c>
      <c r="P1631">
        <f>_xlfn.XLOOKUP(Orders[[#This Row],[CustomerID]],Customers[CustomerID],Customers[CustomerAge])</f>
        <v>49</v>
      </c>
      <c r="Q1631" t="str">
        <f>IF(Orders[[#This Row],[Age]]&gt;=35,"older","young")</f>
        <v>older</v>
      </c>
      <c r="R1631" t="str">
        <f>_xlfn.XLOOKUP(Orders[[#This Row],[ProductID]],Products[ProductID],Products[ProductName])</f>
        <v>BADMINTON RACKET</v>
      </c>
      <c r="S1631" t="str">
        <f>_xlfn.XLOOKUP(Orders[[#This Row],[ProductID]],Products!A:A,Products!C:C)</f>
        <v>Sports</v>
      </c>
    </row>
    <row r="1632" spans="1:19" x14ac:dyDescent="0.2">
      <c r="A1632" s="4" t="s">
        <v>1821</v>
      </c>
      <c r="B1632" s="5">
        <v>45931</v>
      </c>
      <c r="C1632" s="15">
        <f>WEEKNUM(Orders[[#This Row],[OrderDate]])</f>
        <v>40</v>
      </c>
      <c r="D1632" s="4" t="s">
        <v>39</v>
      </c>
      <c r="E1632" s="4" t="s">
        <v>34</v>
      </c>
      <c r="F1632" s="4">
        <v>10</v>
      </c>
      <c r="G1632" s="4">
        <v>19341.199999999997</v>
      </c>
      <c r="H1632">
        <v>16440.019999999997</v>
      </c>
      <c r="I1632">
        <f>Orders[[#This Row],[Quantity]]*Orders[[#This Row],[Selling Price]]</f>
        <v>193411.99999999997</v>
      </c>
      <c r="J1632">
        <f>Orders[[#This Row],[Quantity]]*Orders[[#This Row],[Cost Price]]</f>
        <v>164400.19999999995</v>
      </c>
      <c r="K1632">
        <f>Orders[[#This Row],[Revenue]]-Orders[[#This Row],[Expenses]]</f>
        <v>29011.800000000017</v>
      </c>
      <c r="L1632" t="s">
        <v>2199</v>
      </c>
      <c r="M1632" t="str">
        <f>_xlfn.XLOOKUP(Orders[[#This Row],[CustomerID]],Customers[CustomerID],Customers[City])</f>
        <v>Florida</v>
      </c>
      <c r="N1632" t="str">
        <f>_xlfn.XLOOKUP(Orders[[#This Row],[CustomerID]],Customers[CustomerID],Customers[CustomerName])</f>
        <v>Efe Adeyemi</v>
      </c>
      <c r="O1632" t="str">
        <f>_xlfn.XLOOKUP(Orders[[#This Row],[CustomerID]],Customers[CustomerID],Customers[Gender])</f>
        <v>Female</v>
      </c>
      <c r="P1632">
        <f>_xlfn.XLOOKUP(Orders[[#This Row],[CustomerID]],Customers[CustomerID],Customers[CustomerAge])</f>
        <v>20</v>
      </c>
      <c r="Q1632" t="str">
        <f>IF(Orders[[#This Row],[Age]]&gt;=35,"older","young")</f>
        <v>young</v>
      </c>
      <c r="R1632" t="str">
        <f>_xlfn.XLOOKUP(Orders[[#This Row],[ProductID]],Products[ProductID],Products[ProductName])</f>
        <v>GOLD BRACELETS</v>
      </c>
      <c r="S1632" t="str">
        <f>_xlfn.XLOOKUP(Orders[[#This Row],[ProductID]],Products!A:A,Products!C:C)</f>
        <v>Accessories</v>
      </c>
    </row>
    <row r="1633" spans="1:19" x14ac:dyDescent="0.2">
      <c r="A1633" s="4" t="s">
        <v>1822</v>
      </c>
      <c r="B1633" s="5">
        <v>45973</v>
      </c>
      <c r="C1633" s="15">
        <f>WEEKNUM(Orders[[#This Row],[OrderDate]])</f>
        <v>46</v>
      </c>
      <c r="D1633" s="4" t="s">
        <v>174</v>
      </c>
      <c r="E1633" s="4" t="s">
        <v>253</v>
      </c>
      <c r="F1633" s="4">
        <v>3</v>
      </c>
      <c r="G1633" s="4">
        <v>9814.2999999999993</v>
      </c>
      <c r="H1633">
        <v>8342.1549999999988</v>
      </c>
      <c r="I1633">
        <f>Orders[[#This Row],[Quantity]]*Orders[[#This Row],[Selling Price]]</f>
        <v>29442.899999999998</v>
      </c>
      <c r="J1633">
        <f>Orders[[#This Row],[Quantity]]*Orders[[#This Row],[Cost Price]]</f>
        <v>25026.464999999997</v>
      </c>
      <c r="K1633">
        <f>Orders[[#This Row],[Revenue]]-Orders[[#This Row],[Expenses]]</f>
        <v>4416.4350000000013</v>
      </c>
      <c r="L1633" t="s">
        <v>2196</v>
      </c>
      <c r="M1633" t="str">
        <f>_xlfn.XLOOKUP(Orders[[#This Row],[CustomerID]],Customers[CustomerID],Customers[City])</f>
        <v>California</v>
      </c>
      <c r="N1633" t="str">
        <f>_xlfn.XLOOKUP(Orders[[#This Row],[CustomerID]],Customers[CustomerID],Customers[CustomerName])</f>
        <v>Zainab Obi</v>
      </c>
      <c r="O1633" t="str">
        <f>_xlfn.XLOOKUP(Orders[[#This Row],[CustomerID]],Customers[CustomerID],Customers[Gender])</f>
        <v>Female</v>
      </c>
      <c r="P1633">
        <f>_xlfn.XLOOKUP(Orders[[#This Row],[CustomerID]],Customers[CustomerID],Customers[CustomerAge])</f>
        <v>18</v>
      </c>
      <c r="Q1633" t="str">
        <f>IF(Orders[[#This Row],[Age]]&gt;=35,"older","young")</f>
        <v>young</v>
      </c>
      <c r="R1633" t="str">
        <f>_xlfn.XLOOKUP(Orders[[#This Row],[ProductID]],Products[ProductID],Products[ProductName])</f>
        <v>NOSE RINGS</v>
      </c>
      <c r="S1633" t="str">
        <f>_xlfn.XLOOKUP(Orders[[#This Row],[ProductID]],Products!A:A,Products!C:C)</f>
        <v>Accessories</v>
      </c>
    </row>
    <row r="1634" spans="1:19" x14ac:dyDescent="0.2">
      <c r="A1634" s="4" t="s">
        <v>1823</v>
      </c>
      <c r="B1634" s="5">
        <v>45991</v>
      </c>
      <c r="C1634" s="15">
        <f>WEEKNUM(Orders[[#This Row],[OrderDate]])</f>
        <v>49</v>
      </c>
      <c r="D1634" s="4" t="s">
        <v>55</v>
      </c>
      <c r="E1634" s="4" t="s">
        <v>9</v>
      </c>
      <c r="F1634" s="4">
        <v>5</v>
      </c>
      <c r="G1634" s="4">
        <v>924.2</v>
      </c>
      <c r="H1634">
        <v>785.57</v>
      </c>
      <c r="I1634">
        <f>Orders[[#This Row],[Quantity]]*Orders[[#This Row],[Selling Price]]</f>
        <v>4621</v>
      </c>
      <c r="J1634">
        <f>Orders[[#This Row],[Quantity]]*Orders[[#This Row],[Cost Price]]</f>
        <v>3927.8500000000004</v>
      </c>
      <c r="K1634">
        <f>Orders[[#This Row],[Revenue]]-Orders[[#This Row],[Expenses]]</f>
        <v>693.14999999999964</v>
      </c>
      <c r="L1634" t="s">
        <v>2212</v>
      </c>
      <c r="M1634" t="str">
        <f>_xlfn.XLOOKUP(Orders[[#This Row],[CustomerID]],Customers[CustomerID],Customers[City])</f>
        <v>California</v>
      </c>
      <c r="N1634" t="str">
        <f>_xlfn.XLOOKUP(Orders[[#This Row],[CustomerID]],Customers[CustomerID],Customers[CustomerName])</f>
        <v>Adanma Ojo</v>
      </c>
      <c r="O1634" t="str">
        <f>_xlfn.XLOOKUP(Orders[[#This Row],[CustomerID]],Customers[CustomerID],Customers[Gender])</f>
        <v>Female</v>
      </c>
      <c r="P1634">
        <f>_xlfn.XLOOKUP(Orders[[#This Row],[CustomerID]],Customers[CustomerID],Customers[CustomerAge])</f>
        <v>48</v>
      </c>
      <c r="Q1634" t="str">
        <f>IF(Orders[[#This Row],[Age]]&gt;=35,"older","young")</f>
        <v>older</v>
      </c>
      <c r="R1634" t="str">
        <f>_xlfn.XLOOKUP(Orders[[#This Row],[ProductID]],Products[ProductID],Products[ProductName])</f>
        <v>BEADED EARRINGS AND NECKLACES</v>
      </c>
      <c r="S1634" t="str">
        <f>_xlfn.XLOOKUP(Orders[[#This Row],[ProductID]],Products!A:A,Products!C:C)</f>
        <v>Accessories</v>
      </c>
    </row>
    <row r="1635" spans="1:19" x14ac:dyDescent="0.2">
      <c r="A1635" s="4" t="s">
        <v>1824</v>
      </c>
      <c r="B1635" s="5">
        <v>45977</v>
      </c>
      <c r="C1635" s="15">
        <f>WEEKNUM(Orders[[#This Row],[OrderDate]])</f>
        <v>47</v>
      </c>
      <c r="D1635" s="4" t="s">
        <v>98</v>
      </c>
      <c r="E1635" s="4" t="s">
        <v>125</v>
      </c>
      <c r="F1635" s="4">
        <v>9</v>
      </c>
      <c r="G1635" s="4">
        <v>13720</v>
      </c>
      <c r="H1635">
        <v>11662</v>
      </c>
      <c r="I1635">
        <f>Orders[[#This Row],[Quantity]]*Orders[[#This Row],[Selling Price]]</f>
        <v>123480</v>
      </c>
      <c r="J1635">
        <f>Orders[[#This Row],[Quantity]]*Orders[[#This Row],[Cost Price]]</f>
        <v>104958</v>
      </c>
      <c r="K1635">
        <f>Orders[[#This Row],[Revenue]]-Orders[[#This Row],[Expenses]]</f>
        <v>18522</v>
      </c>
      <c r="L1635" t="s">
        <v>2205</v>
      </c>
      <c r="M1635" t="str">
        <f>_xlfn.XLOOKUP(Orders[[#This Row],[CustomerID]],Customers[CustomerID],Customers[City])</f>
        <v>Illinois</v>
      </c>
      <c r="N1635" t="str">
        <f>_xlfn.XLOOKUP(Orders[[#This Row],[CustomerID]],Customers[CustomerID],Customers[CustomerName])</f>
        <v>Chioma Adeyemi</v>
      </c>
      <c r="O1635" t="str">
        <f>_xlfn.XLOOKUP(Orders[[#This Row],[CustomerID]],Customers[CustomerID],Customers[Gender])</f>
        <v>Female</v>
      </c>
      <c r="P1635">
        <f>_xlfn.XLOOKUP(Orders[[#This Row],[CustomerID]],Customers[CustomerID],Customers[CustomerAge])</f>
        <v>23</v>
      </c>
      <c r="Q1635" t="str">
        <f>IF(Orders[[#This Row],[Age]]&gt;=35,"older","young")</f>
        <v>young</v>
      </c>
      <c r="R1635" t="str">
        <f>_xlfn.XLOOKUP(Orders[[#This Row],[ProductID]],Products[ProductID],Products[ProductName])</f>
        <v>EARRINGS</v>
      </c>
      <c r="S1635" t="str">
        <f>_xlfn.XLOOKUP(Orders[[#This Row],[ProductID]],Products!A:A,Products!C:C)</f>
        <v>Accessories</v>
      </c>
    </row>
    <row r="1636" spans="1:19" x14ac:dyDescent="0.2">
      <c r="A1636" s="4" t="s">
        <v>1825</v>
      </c>
      <c r="B1636" s="5">
        <v>45936</v>
      </c>
      <c r="C1636" s="15">
        <f>WEEKNUM(Orders[[#This Row],[OrderDate]])</f>
        <v>41</v>
      </c>
      <c r="D1636" s="4" t="s">
        <v>138</v>
      </c>
      <c r="E1636" s="4" t="s">
        <v>46</v>
      </c>
      <c r="F1636" s="4">
        <v>7</v>
      </c>
      <c r="G1636" s="4">
        <v>5721.9000000000005</v>
      </c>
      <c r="H1636">
        <v>4863.6150000000007</v>
      </c>
      <c r="I1636">
        <f>Orders[[#This Row],[Quantity]]*Orders[[#This Row],[Selling Price]]</f>
        <v>40053.300000000003</v>
      </c>
      <c r="J1636">
        <f>Orders[[#This Row],[Quantity]]*Orders[[#This Row],[Cost Price]]</f>
        <v>34045.305000000008</v>
      </c>
      <c r="K1636">
        <f>Orders[[#This Row],[Revenue]]-Orders[[#This Row],[Expenses]]</f>
        <v>6007.9949999999953</v>
      </c>
      <c r="L1636" t="s">
        <v>2218</v>
      </c>
      <c r="M1636" t="str">
        <f>_xlfn.XLOOKUP(Orders[[#This Row],[CustomerID]],Customers[CustomerID],Customers[City])</f>
        <v>Washington</v>
      </c>
      <c r="N1636" t="str">
        <f>_xlfn.XLOOKUP(Orders[[#This Row],[CustomerID]],Customers[CustomerID],Customers[CustomerName])</f>
        <v>Efe Adeyemi</v>
      </c>
      <c r="O1636" t="str">
        <f>_xlfn.XLOOKUP(Orders[[#This Row],[CustomerID]],Customers[CustomerID],Customers[Gender])</f>
        <v>Female</v>
      </c>
      <c r="P1636">
        <f>_xlfn.XLOOKUP(Orders[[#This Row],[CustomerID]],Customers[CustomerID],Customers[CustomerAge])</f>
        <v>22</v>
      </c>
      <c r="Q1636" t="str">
        <f>IF(Orders[[#This Row],[Age]]&gt;=35,"older","young")</f>
        <v>young</v>
      </c>
      <c r="R1636" t="str">
        <f>_xlfn.XLOOKUP(Orders[[#This Row],[ProductID]],Products[ProductID],Products[ProductName])</f>
        <v>TURTLE NECK</v>
      </c>
      <c r="S1636" t="str">
        <f>_xlfn.XLOOKUP(Orders[[#This Row],[ProductID]],Products!A:A,Products!C:C)</f>
        <v>Clothing</v>
      </c>
    </row>
    <row r="1637" spans="1:19" x14ac:dyDescent="0.2">
      <c r="A1637" s="4" t="s">
        <v>1826</v>
      </c>
      <c r="B1637" s="5">
        <v>46001</v>
      </c>
      <c r="C1637" s="15">
        <f>WEEKNUM(Orders[[#This Row],[OrderDate]])</f>
        <v>50</v>
      </c>
      <c r="D1637" s="4" t="s">
        <v>352</v>
      </c>
      <c r="E1637" s="4" t="s">
        <v>111</v>
      </c>
      <c r="F1637" s="4">
        <v>5</v>
      </c>
      <c r="G1637" s="4">
        <v>6749</v>
      </c>
      <c r="H1637">
        <v>5736.65</v>
      </c>
      <c r="I1637">
        <f>Orders[[#This Row],[Quantity]]*Orders[[#This Row],[Selling Price]]</f>
        <v>33745</v>
      </c>
      <c r="J1637">
        <f>Orders[[#This Row],[Quantity]]*Orders[[#This Row],[Cost Price]]</f>
        <v>28683.25</v>
      </c>
      <c r="K1637">
        <f>Orders[[#This Row],[Revenue]]-Orders[[#This Row],[Expenses]]</f>
        <v>5061.75</v>
      </c>
      <c r="L1637" t="s">
        <v>2204</v>
      </c>
      <c r="M1637" t="str">
        <f>_xlfn.XLOOKUP(Orders[[#This Row],[CustomerID]],Customers[CustomerID],Customers[City])</f>
        <v>Texas</v>
      </c>
      <c r="N1637" t="str">
        <f>_xlfn.XLOOKUP(Orders[[#This Row],[CustomerID]],Customers[CustomerID],Customers[CustomerName])</f>
        <v>Zainab Eze</v>
      </c>
      <c r="O1637" t="str">
        <f>_xlfn.XLOOKUP(Orders[[#This Row],[CustomerID]],Customers[CustomerID],Customers[Gender])</f>
        <v>Female</v>
      </c>
      <c r="P1637">
        <f>_xlfn.XLOOKUP(Orders[[#This Row],[CustomerID]],Customers[CustomerID],Customers[CustomerAge])</f>
        <v>40</v>
      </c>
      <c r="Q1637" t="str">
        <f>IF(Orders[[#This Row],[Age]]&gt;=35,"older","young")</f>
        <v>older</v>
      </c>
      <c r="R1637" t="str">
        <f>_xlfn.XLOOKUP(Orders[[#This Row],[ProductID]],Products[ProductID],Products[ProductName])</f>
        <v>REFRIGERATOR</v>
      </c>
      <c r="S1637" t="str">
        <f>_xlfn.XLOOKUP(Orders[[#This Row],[ProductID]],Products!A:A,Products!C:C)</f>
        <v>Electronics</v>
      </c>
    </row>
    <row r="1638" spans="1:19" x14ac:dyDescent="0.2">
      <c r="A1638" s="4" t="s">
        <v>1827</v>
      </c>
      <c r="B1638" s="5">
        <v>45993</v>
      </c>
      <c r="C1638" s="15">
        <f>WEEKNUM(Orders[[#This Row],[OrderDate]])</f>
        <v>49</v>
      </c>
      <c r="D1638" s="4" t="s">
        <v>124</v>
      </c>
      <c r="E1638" s="4" t="s">
        <v>66</v>
      </c>
      <c r="F1638" s="4">
        <v>3</v>
      </c>
      <c r="G1638" s="4">
        <v>18297.400000000001</v>
      </c>
      <c r="H1638">
        <v>15552.79</v>
      </c>
      <c r="I1638">
        <f>Orders[[#This Row],[Quantity]]*Orders[[#This Row],[Selling Price]]</f>
        <v>54892.200000000004</v>
      </c>
      <c r="J1638">
        <f>Orders[[#This Row],[Quantity]]*Orders[[#This Row],[Cost Price]]</f>
        <v>46658.37</v>
      </c>
      <c r="K1638">
        <f>Orders[[#This Row],[Revenue]]-Orders[[#This Row],[Expenses]]</f>
        <v>8233.8300000000017</v>
      </c>
      <c r="L1638" t="s">
        <v>2201</v>
      </c>
      <c r="M1638" t="str">
        <f>_xlfn.XLOOKUP(Orders[[#This Row],[CustomerID]],Customers[CustomerID],Customers[City])</f>
        <v>Texas</v>
      </c>
      <c r="N1638" t="str">
        <f>_xlfn.XLOOKUP(Orders[[#This Row],[CustomerID]],Customers[CustomerID],Customers[CustomerName])</f>
        <v>Ngozi Ojo</v>
      </c>
      <c r="O1638" t="str">
        <f>_xlfn.XLOOKUP(Orders[[#This Row],[CustomerID]],Customers[CustomerID],Customers[Gender])</f>
        <v>Female</v>
      </c>
      <c r="P1638">
        <f>_xlfn.XLOOKUP(Orders[[#This Row],[CustomerID]],Customers[CustomerID],Customers[CustomerAge])</f>
        <v>22</v>
      </c>
      <c r="Q1638" t="str">
        <f>IF(Orders[[#This Row],[Age]]&gt;=35,"older","young")</f>
        <v>young</v>
      </c>
      <c r="R1638" t="str">
        <f>_xlfn.XLOOKUP(Orders[[#This Row],[ProductID]],Products[ProductID],Products[ProductName])</f>
        <v>MICROWAVE</v>
      </c>
      <c r="S1638" t="str">
        <f>_xlfn.XLOOKUP(Orders[[#This Row],[ProductID]],Products!A:A,Products!C:C)</f>
        <v>Electronics</v>
      </c>
    </row>
    <row r="1639" spans="1:19" x14ac:dyDescent="0.2">
      <c r="A1639" s="4" t="s">
        <v>1828</v>
      </c>
      <c r="B1639" s="5">
        <v>45995</v>
      </c>
      <c r="C1639" s="15">
        <f>WEEKNUM(Orders[[#This Row],[OrderDate]])</f>
        <v>49</v>
      </c>
      <c r="D1639" s="4" t="s">
        <v>439</v>
      </c>
      <c r="E1639" s="4" t="s">
        <v>120</v>
      </c>
      <c r="F1639" s="4">
        <v>9</v>
      </c>
      <c r="G1639" s="4">
        <v>750.3</v>
      </c>
      <c r="H1639">
        <v>637.755</v>
      </c>
      <c r="I1639">
        <f>Orders[[#This Row],[Quantity]]*Orders[[#This Row],[Selling Price]]</f>
        <v>6752.7</v>
      </c>
      <c r="J1639">
        <f>Orders[[#This Row],[Quantity]]*Orders[[#This Row],[Cost Price]]</f>
        <v>5739.7950000000001</v>
      </c>
      <c r="K1639">
        <f>Orders[[#This Row],[Revenue]]-Orders[[#This Row],[Expenses]]</f>
        <v>1012.9049999999997</v>
      </c>
      <c r="L1639" t="s">
        <v>2212</v>
      </c>
      <c r="M1639" t="str">
        <f>_xlfn.XLOOKUP(Orders[[#This Row],[CustomerID]],Customers[CustomerID],Customers[City])</f>
        <v>Texas</v>
      </c>
      <c r="N1639" t="str">
        <f>_xlfn.XLOOKUP(Orders[[#This Row],[CustomerID]],Customers[CustomerID],Customers[CustomerName])</f>
        <v>Efe Abubakar</v>
      </c>
      <c r="O1639" t="str">
        <f>_xlfn.XLOOKUP(Orders[[#This Row],[CustomerID]],Customers[CustomerID],Customers[Gender])</f>
        <v>Female</v>
      </c>
      <c r="P1639">
        <f>_xlfn.XLOOKUP(Orders[[#This Row],[CustomerID]],Customers[CustomerID],Customers[CustomerAge])</f>
        <v>50</v>
      </c>
      <c r="Q1639" t="str">
        <f>IF(Orders[[#This Row],[Age]]&gt;=35,"older","young")</f>
        <v>older</v>
      </c>
      <c r="R1639" t="str">
        <f>_xlfn.XLOOKUP(Orders[[#This Row],[ProductID]],Products[ProductID],Products[ProductName])</f>
        <v>CHESS</v>
      </c>
      <c r="S1639" t="str">
        <f>_xlfn.XLOOKUP(Orders[[#This Row],[ProductID]],Products!A:A,Products!C:C)</f>
        <v>Games</v>
      </c>
    </row>
    <row r="1640" spans="1:19" x14ac:dyDescent="0.2">
      <c r="A1640" s="4" t="s">
        <v>1829</v>
      </c>
      <c r="B1640" s="5">
        <v>45973</v>
      </c>
      <c r="C1640" s="15">
        <f>WEEKNUM(Orders[[#This Row],[OrderDate]])</f>
        <v>46</v>
      </c>
      <c r="D1640" s="4" t="s">
        <v>52</v>
      </c>
      <c r="E1640" s="4" t="s">
        <v>25</v>
      </c>
      <c r="F1640" s="4">
        <v>7</v>
      </c>
      <c r="G1640" s="4">
        <v>18620.3</v>
      </c>
      <c r="H1640">
        <v>15827.254999999999</v>
      </c>
      <c r="I1640">
        <f>Orders[[#This Row],[Quantity]]*Orders[[#This Row],[Selling Price]]</f>
        <v>130342.09999999999</v>
      </c>
      <c r="J1640">
        <f>Orders[[#This Row],[Quantity]]*Orders[[#This Row],[Cost Price]]</f>
        <v>110790.78499999999</v>
      </c>
      <c r="K1640">
        <f>Orders[[#This Row],[Revenue]]-Orders[[#This Row],[Expenses]]</f>
        <v>19551.315000000002</v>
      </c>
      <c r="L1640" t="s">
        <v>2220</v>
      </c>
      <c r="M1640" t="str">
        <f>_xlfn.XLOOKUP(Orders[[#This Row],[CustomerID]],Customers[CustomerID],Customers[City])</f>
        <v>Texas</v>
      </c>
      <c r="N1640" t="str">
        <f>_xlfn.XLOOKUP(Orders[[#This Row],[CustomerID]],Customers[CustomerID],Customers[CustomerName])</f>
        <v>Folasade Ojo</v>
      </c>
      <c r="O1640" t="str">
        <f>_xlfn.XLOOKUP(Orders[[#This Row],[CustomerID]],Customers[CustomerID],Customers[Gender])</f>
        <v>Female</v>
      </c>
      <c r="P1640">
        <f>_xlfn.XLOOKUP(Orders[[#This Row],[CustomerID]],Customers[CustomerID],Customers[CustomerAge])</f>
        <v>29</v>
      </c>
      <c r="Q1640" t="str">
        <f>IF(Orders[[#This Row],[Age]]&gt;=35,"older","young")</f>
        <v>young</v>
      </c>
      <c r="R1640" t="str">
        <f>_xlfn.XLOOKUP(Orders[[#This Row],[ProductID]],Products[ProductID],Products[ProductName])</f>
        <v>GOLD RINGS</v>
      </c>
      <c r="S1640" t="str">
        <f>_xlfn.XLOOKUP(Orders[[#This Row],[ProductID]],Products!A:A,Products!C:C)</f>
        <v>Accessories</v>
      </c>
    </row>
    <row r="1641" spans="1:19" x14ac:dyDescent="0.2">
      <c r="A1641" s="4" t="s">
        <v>1830</v>
      </c>
      <c r="B1641" s="5">
        <v>45932</v>
      </c>
      <c r="C1641" s="15">
        <f>WEEKNUM(Orders[[#This Row],[OrderDate]])</f>
        <v>40</v>
      </c>
      <c r="D1641" s="4" t="s">
        <v>110</v>
      </c>
      <c r="E1641" s="4" t="s">
        <v>57</v>
      </c>
      <c r="F1641" s="4">
        <v>7</v>
      </c>
      <c r="G1641" s="4">
        <v>4019.4</v>
      </c>
      <c r="H1641">
        <v>3416.4900000000002</v>
      </c>
      <c r="I1641">
        <f>Orders[[#This Row],[Quantity]]*Orders[[#This Row],[Selling Price]]</f>
        <v>28135.8</v>
      </c>
      <c r="J1641">
        <f>Orders[[#This Row],[Quantity]]*Orders[[#This Row],[Cost Price]]</f>
        <v>23915.43</v>
      </c>
      <c r="K1641">
        <f>Orders[[#This Row],[Revenue]]-Orders[[#This Row],[Expenses]]</f>
        <v>4220.369999999999</v>
      </c>
      <c r="L1641" t="s">
        <v>2209</v>
      </c>
      <c r="M1641" t="str">
        <f>_xlfn.XLOOKUP(Orders[[#This Row],[CustomerID]],Customers[CustomerID],Customers[City])</f>
        <v>Washington</v>
      </c>
      <c r="N1641" t="str">
        <f>_xlfn.XLOOKUP(Orders[[#This Row],[CustomerID]],Customers[CustomerID],Customers[CustomerName])</f>
        <v>Ngozi Danladi</v>
      </c>
      <c r="O1641" t="str">
        <f>_xlfn.XLOOKUP(Orders[[#This Row],[CustomerID]],Customers[CustomerID],Customers[Gender])</f>
        <v>Female</v>
      </c>
      <c r="P1641">
        <f>_xlfn.XLOOKUP(Orders[[#This Row],[CustomerID]],Customers[CustomerID],Customers[CustomerAge])</f>
        <v>28</v>
      </c>
      <c r="Q1641" t="str">
        <f>IF(Orders[[#This Row],[Age]]&gt;=35,"older","young")</f>
        <v>young</v>
      </c>
      <c r="R1641" t="str">
        <f>_xlfn.XLOOKUP(Orders[[#This Row],[ProductID]],Products[ProductID],Products[ProductName])</f>
        <v>BADMINTON RACKET</v>
      </c>
      <c r="S1641" t="str">
        <f>_xlfn.XLOOKUP(Orders[[#This Row],[ProductID]],Products!A:A,Products!C:C)</f>
        <v>Sports</v>
      </c>
    </row>
    <row r="1642" spans="1:19" x14ac:dyDescent="0.2">
      <c r="A1642" s="4" t="s">
        <v>1831</v>
      </c>
      <c r="B1642" s="5">
        <v>45939</v>
      </c>
      <c r="C1642" s="15">
        <f>WEEKNUM(Orders[[#This Row],[OrderDate]])</f>
        <v>41</v>
      </c>
      <c r="D1642" s="4" t="s">
        <v>369</v>
      </c>
      <c r="E1642" s="4" t="s">
        <v>57</v>
      </c>
      <c r="F1642" s="4">
        <v>8</v>
      </c>
      <c r="G1642" s="4">
        <v>6430.8</v>
      </c>
      <c r="H1642">
        <v>5466.18</v>
      </c>
      <c r="I1642">
        <f>Orders[[#This Row],[Quantity]]*Orders[[#This Row],[Selling Price]]</f>
        <v>51446.400000000001</v>
      </c>
      <c r="J1642">
        <f>Orders[[#This Row],[Quantity]]*Orders[[#This Row],[Cost Price]]</f>
        <v>43729.440000000002</v>
      </c>
      <c r="K1642">
        <f>Orders[[#This Row],[Revenue]]-Orders[[#This Row],[Expenses]]</f>
        <v>7716.9599999999991</v>
      </c>
      <c r="L1642" t="s">
        <v>2195</v>
      </c>
      <c r="M1642" t="str">
        <f>_xlfn.XLOOKUP(Orders[[#This Row],[CustomerID]],Customers[CustomerID],Customers[City])</f>
        <v>Washington</v>
      </c>
      <c r="N1642" t="str">
        <f>_xlfn.XLOOKUP(Orders[[#This Row],[CustomerID]],Customers[CustomerID],Customers[CustomerName])</f>
        <v>Ibrahim Bello</v>
      </c>
      <c r="O1642" t="str">
        <f>_xlfn.XLOOKUP(Orders[[#This Row],[CustomerID]],Customers[CustomerID],Customers[Gender])</f>
        <v>Male</v>
      </c>
      <c r="P1642">
        <f>_xlfn.XLOOKUP(Orders[[#This Row],[CustomerID]],Customers[CustomerID],Customers[CustomerAge])</f>
        <v>40</v>
      </c>
      <c r="Q1642" t="str">
        <f>IF(Orders[[#This Row],[Age]]&gt;=35,"older","young")</f>
        <v>older</v>
      </c>
      <c r="R1642" t="str">
        <f>_xlfn.XLOOKUP(Orders[[#This Row],[ProductID]],Products[ProductID],Products[ProductName])</f>
        <v>BADMINTON RACKET</v>
      </c>
      <c r="S1642" t="str">
        <f>_xlfn.XLOOKUP(Orders[[#This Row],[ProductID]],Products!A:A,Products!C:C)</f>
        <v>Sports</v>
      </c>
    </row>
    <row r="1643" spans="1:19" x14ac:dyDescent="0.2">
      <c r="A1643" s="4" t="s">
        <v>1832</v>
      </c>
      <c r="B1643" s="5">
        <v>45947</v>
      </c>
      <c r="C1643" s="15">
        <f>WEEKNUM(Orders[[#This Row],[OrderDate]])</f>
        <v>42</v>
      </c>
      <c r="D1643" s="4" t="s">
        <v>940</v>
      </c>
      <c r="E1643" s="4" t="s">
        <v>76</v>
      </c>
      <c r="F1643" s="4">
        <v>10</v>
      </c>
      <c r="G1643" s="4">
        <v>3378.1</v>
      </c>
      <c r="H1643">
        <v>2871.3849999999998</v>
      </c>
      <c r="I1643">
        <f>Orders[[#This Row],[Quantity]]*Orders[[#This Row],[Selling Price]]</f>
        <v>33781</v>
      </c>
      <c r="J1643">
        <f>Orders[[#This Row],[Quantity]]*Orders[[#This Row],[Cost Price]]</f>
        <v>28713.85</v>
      </c>
      <c r="K1643">
        <f>Orders[[#This Row],[Revenue]]-Orders[[#This Row],[Expenses]]</f>
        <v>5067.1500000000015</v>
      </c>
      <c r="L1643" t="s">
        <v>2215</v>
      </c>
      <c r="M1643" t="str">
        <f>_xlfn.XLOOKUP(Orders[[#This Row],[CustomerID]],Customers[CustomerID],Customers[City])</f>
        <v>Texas</v>
      </c>
      <c r="N1643" t="str">
        <f>_xlfn.XLOOKUP(Orders[[#This Row],[CustomerID]],Customers[CustomerID],Customers[CustomerName])</f>
        <v>Okon Ojo</v>
      </c>
      <c r="O1643" t="str">
        <f>_xlfn.XLOOKUP(Orders[[#This Row],[CustomerID]],Customers[CustomerID],Customers[Gender])</f>
        <v>Male</v>
      </c>
      <c r="P1643">
        <f>_xlfn.XLOOKUP(Orders[[#This Row],[CustomerID]],Customers[CustomerID],Customers[CustomerAge])</f>
        <v>25</v>
      </c>
      <c r="Q1643" t="str">
        <f>IF(Orders[[#This Row],[Age]]&gt;=35,"older","young")</f>
        <v>young</v>
      </c>
      <c r="R1643" t="str">
        <f>_xlfn.XLOOKUP(Orders[[#This Row],[ProductID]],Products[ProductID],Products[ProductName])</f>
        <v>BLENDER</v>
      </c>
      <c r="S1643" t="str">
        <f>_xlfn.XLOOKUP(Orders[[#This Row],[ProductID]],Products!A:A,Products!C:C)</f>
        <v>Electronics</v>
      </c>
    </row>
    <row r="1644" spans="1:19" x14ac:dyDescent="0.2">
      <c r="A1644" s="4" t="s">
        <v>1833</v>
      </c>
      <c r="B1644" s="5">
        <v>46021</v>
      </c>
      <c r="C1644" s="15">
        <f>WEEKNUM(Orders[[#This Row],[OrderDate]])</f>
        <v>53</v>
      </c>
      <c r="D1644" s="4" t="s">
        <v>435</v>
      </c>
      <c r="E1644" s="4" t="s">
        <v>15</v>
      </c>
      <c r="F1644" s="4">
        <v>8</v>
      </c>
      <c r="G1644" s="4">
        <v>9708.2000000000007</v>
      </c>
      <c r="H1644">
        <v>8251.9700000000012</v>
      </c>
      <c r="I1644">
        <f>Orders[[#This Row],[Quantity]]*Orders[[#This Row],[Selling Price]]</f>
        <v>77665.600000000006</v>
      </c>
      <c r="J1644">
        <f>Orders[[#This Row],[Quantity]]*Orders[[#This Row],[Cost Price]]</f>
        <v>66015.760000000009</v>
      </c>
      <c r="K1644">
        <f>Orders[[#This Row],[Revenue]]-Orders[[#This Row],[Expenses]]</f>
        <v>11649.839999999997</v>
      </c>
      <c r="L1644" t="s">
        <v>2194</v>
      </c>
      <c r="M1644" t="str">
        <f>_xlfn.XLOOKUP(Orders[[#This Row],[CustomerID]],Customers[CustomerID],Customers[City])</f>
        <v>Texas</v>
      </c>
      <c r="N1644" t="str">
        <f>_xlfn.XLOOKUP(Orders[[#This Row],[CustomerID]],Customers[CustomerID],Customers[CustomerName])</f>
        <v>Amina Balogun</v>
      </c>
      <c r="O1644" t="str">
        <f>_xlfn.XLOOKUP(Orders[[#This Row],[CustomerID]],Customers[CustomerID],Customers[Gender])</f>
        <v>Female</v>
      </c>
      <c r="P1644">
        <f>_xlfn.XLOOKUP(Orders[[#This Row],[CustomerID]],Customers[CustomerID],Customers[CustomerAge])</f>
        <v>32</v>
      </c>
      <c r="Q1644" t="str">
        <f>IF(Orders[[#This Row],[Age]]&gt;=35,"older","young")</f>
        <v>young</v>
      </c>
      <c r="R1644" t="str">
        <f>_xlfn.XLOOKUP(Orders[[#This Row],[ProductID]],Products[ProductID],Products[ProductName])</f>
        <v>MONOPOLY</v>
      </c>
      <c r="S1644" t="str">
        <f>_xlfn.XLOOKUP(Orders[[#This Row],[ProductID]],Products!A:A,Products!C:C)</f>
        <v>Games</v>
      </c>
    </row>
    <row r="1645" spans="1:19" x14ac:dyDescent="0.2">
      <c r="A1645" s="4" t="s">
        <v>1834</v>
      </c>
      <c r="B1645" s="5">
        <v>46005</v>
      </c>
      <c r="C1645" s="15">
        <f>WEEKNUM(Orders[[#This Row],[OrderDate]])</f>
        <v>51</v>
      </c>
      <c r="D1645" s="4" t="s">
        <v>94</v>
      </c>
      <c r="E1645" s="4" t="s">
        <v>20</v>
      </c>
      <c r="F1645" s="4">
        <v>10</v>
      </c>
      <c r="G1645" s="4">
        <v>4984.2</v>
      </c>
      <c r="H1645">
        <v>4236.57</v>
      </c>
      <c r="I1645">
        <f>Orders[[#This Row],[Quantity]]*Orders[[#This Row],[Selling Price]]</f>
        <v>49842</v>
      </c>
      <c r="J1645">
        <f>Orders[[#This Row],[Quantity]]*Orders[[#This Row],[Cost Price]]</f>
        <v>42365.7</v>
      </c>
      <c r="K1645">
        <f>Orders[[#This Row],[Revenue]]-Orders[[#This Row],[Expenses]]</f>
        <v>7476.3000000000029</v>
      </c>
      <c r="L1645" t="s">
        <v>2212</v>
      </c>
      <c r="M1645" t="str">
        <f>_xlfn.XLOOKUP(Orders[[#This Row],[CustomerID]],Customers[CustomerID],Customers[City])</f>
        <v>Texas</v>
      </c>
      <c r="N1645" t="str">
        <f>_xlfn.XLOOKUP(Orders[[#This Row],[CustomerID]],Customers[CustomerID],Customers[CustomerName])</f>
        <v>Uche Abubakar</v>
      </c>
      <c r="O1645" t="str">
        <f>_xlfn.XLOOKUP(Orders[[#This Row],[CustomerID]],Customers[CustomerID],Customers[Gender])</f>
        <v>Male</v>
      </c>
      <c r="P1645">
        <f>_xlfn.XLOOKUP(Orders[[#This Row],[CustomerID]],Customers[CustomerID],Customers[CustomerAge])</f>
        <v>26</v>
      </c>
      <c r="Q1645" t="str">
        <f>IF(Orders[[#This Row],[Age]]&gt;=35,"older","young")</f>
        <v>young</v>
      </c>
      <c r="R1645" t="str">
        <f>_xlfn.XLOOKUP(Orders[[#This Row],[ProductID]],Products[ProductID],Products[ProductName])</f>
        <v>GYM BAG</v>
      </c>
      <c r="S1645" t="str">
        <f>_xlfn.XLOOKUP(Orders[[#This Row],[ProductID]],Products!A:A,Products!C:C)</f>
        <v>Gym</v>
      </c>
    </row>
    <row r="1646" spans="1:19" x14ac:dyDescent="0.2">
      <c r="A1646" s="4" t="s">
        <v>1835</v>
      </c>
      <c r="B1646" s="5">
        <v>45989</v>
      </c>
      <c r="C1646" s="15">
        <f>WEEKNUM(Orders[[#This Row],[OrderDate]])</f>
        <v>48</v>
      </c>
      <c r="D1646" s="4" t="s">
        <v>138</v>
      </c>
      <c r="E1646" s="4" t="s">
        <v>232</v>
      </c>
      <c r="F1646" s="4">
        <v>9</v>
      </c>
      <c r="G1646" s="4">
        <v>19248.599999999999</v>
      </c>
      <c r="H1646">
        <v>16361.31</v>
      </c>
      <c r="I1646">
        <f>Orders[[#This Row],[Quantity]]*Orders[[#This Row],[Selling Price]]</f>
        <v>173237.4</v>
      </c>
      <c r="J1646">
        <f>Orders[[#This Row],[Quantity]]*Orders[[#This Row],[Cost Price]]</f>
        <v>147251.79</v>
      </c>
      <c r="K1646">
        <f>Orders[[#This Row],[Revenue]]-Orders[[#This Row],[Expenses]]</f>
        <v>25985.609999999986</v>
      </c>
      <c r="L1646" t="s">
        <v>2199</v>
      </c>
      <c r="M1646" t="str">
        <f>_xlfn.XLOOKUP(Orders[[#This Row],[CustomerID]],Customers[CustomerID],Customers[City])</f>
        <v>Washington</v>
      </c>
      <c r="N1646" t="str">
        <f>_xlfn.XLOOKUP(Orders[[#This Row],[CustomerID]],Customers[CustomerID],Customers[CustomerName])</f>
        <v>Efe Adeyemi</v>
      </c>
      <c r="O1646" t="str">
        <f>_xlfn.XLOOKUP(Orders[[#This Row],[CustomerID]],Customers[CustomerID],Customers[Gender])</f>
        <v>Female</v>
      </c>
      <c r="P1646">
        <f>_xlfn.XLOOKUP(Orders[[#This Row],[CustomerID]],Customers[CustomerID],Customers[CustomerAge])</f>
        <v>22</v>
      </c>
      <c r="Q1646" t="str">
        <f>IF(Orders[[#This Row],[Age]]&gt;=35,"older","young")</f>
        <v>young</v>
      </c>
      <c r="R1646" t="str">
        <f>_xlfn.XLOOKUP(Orders[[#This Row],[ProductID]],Products[ProductID],Products[ProductName])</f>
        <v>ANKARA</v>
      </c>
      <c r="S1646" t="str">
        <f>_xlfn.XLOOKUP(Orders[[#This Row],[ProductID]],Products!A:A,Products!C:C)</f>
        <v>Clothing</v>
      </c>
    </row>
    <row r="1647" spans="1:19" x14ac:dyDescent="0.2">
      <c r="A1647" s="4" t="s">
        <v>1836</v>
      </c>
      <c r="B1647" s="5">
        <v>45961</v>
      </c>
      <c r="C1647" s="15">
        <f>WEEKNUM(Orders[[#This Row],[OrderDate]])</f>
        <v>44</v>
      </c>
      <c r="D1647" s="4" t="s">
        <v>124</v>
      </c>
      <c r="E1647" s="4" t="s">
        <v>151</v>
      </c>
      <c r="F1647" s="4">
        <v>2</v>
      </c>
      <c r="G1647" s="4">
        <v>7434.6</v>
      </c>
      <c r="H1647">
        <v>6319.41</v>
      </c>
      <c r="I1647">
        <f>Orders[[#This Row],[Quantity]]*Orders[[#This Row],[Selling Price]]</f>
        <v>14869.2</v>
      </c>
      <c r="J1647">
        <f>Orders[[#This Row],[Quantity]]*Orders[[#This Row],[Cost Price]]</f>
        <v>12638.82</v>
      </c>
      <c r="K1647">
        <f>Orders[[#This Row],[Revenue]]-Orders[[#This Row],[Expenses]]</f>
        <v>2230.380000000001</v>
      </c>
      <c r="L1647" t="s">
        <v>2206</v>
      </c>
      <c r="M1647" t="str">
        <f>_xlfn.XLOOKUP(Orders[[#This Row],[CustomerID]],Customers[CustomerID],Customers[City])</f>
        <v>Texas</v>
      </c>
      <c r="N1647" t="str">
        <f>_xlfn.XLOOKUP(Orders[[#This Row],[CustomerID]],Customers[CustomerID],Customers[CustomerName])</f>
        <v>Ngozi Ojo</v>
      </c>
      <c r="O1647" t="str">
        <f>_xlfn.XLOOKUP(Orders[[#This Row],[CustomerID]],Customers[CustomerID],Customers[Gender])</f>
        <v>Female</v>
      </c>
      <c r="P1647">
        <f>_xlfn.XLOOKUP(Orders[[#This Row],[CustomerID]],Customers[CustomerID],Customers[CustomerAge])</f>
        <v>22</v>
      </c>
      <c r="Q1647" t="str">
        <f>IF(Orders[[#This Row],[Age]]&gt;=35,"older","young")</f>
        <v>young</v>
      </c>
      <c r="R1647" t="str">
        <f>_xlfn.XLOOKUP(Orders[[#This Row],[ProductID]],Products[ProductID],Products[ProductName])</f>
        <v>CHECKERS</v>
      </c>
      <c r="S1647" t="str">
        <f>_xlfn.XLOOKUP(Orders[[#This Row],[ProductID]],Products!A:A,Products!C:C)</f>
        <v>Games</v>
      </c>
    </row>
    <row r="1648" spans="1:19" x14ac:dyDescent="0.2">
      <c r="A1648" s="4" t="s">
        <v>1837</v>
      </c>
      <c r="B1648" s="5">
        <v>45993</v>
      </c>
      <c r="C1648" s="15">
        <f>WEEKNUM(Orders[[#This Row],[OrderDate]])</f>
        <v>49</v>
      </c>
      <c r="D1648" s="4" t="s">
        <v>264</v>
      </c>
      <c r="E1648" s="4" t="s">
        <v>66</v>
      </c>
      <c r="F1648" s="4">
        <v>9</v>
      </c>
      <c r="G1648" s="4">
        <v>9245.9</v>
      </c>
      <c r="H1648">
        <v>7859.0149999999994</v>
      </c>
      <c r="I1648">
        <f>Orders[[#This Row],[Quantity]]*Orders[[#This Row],[Selling Price]]</f>
        <v>83213.099999999991</v>
      </c>
      <c r="J1648">
        <f>Orders[[#This Row],[Quantity]]*Orders[[#This Row],[Cost Price]]</f>
        <v>70731.134999999995</v>
      </c>
      <c r="K1648">
        <f>Orders[[#This Row],[Revenue]]-Orders[[#This Row],[Expenses]]</f>
        <v>12481.964999999997</v>
      </c>
      <c r="L1648" t="s">
        <v>2200</v>
      </c>
      <c r="M1648" t="str">
        <f>_xlfn.XLOOKUP(Orders[[#This Row],[CustomerID]],Customers[CustomerID],Customers[City])</f>
        <v>Georgia</v>
      </c>
      <c r="N1648" t="str">
        <f>_xlfn.XLOOKUP(Orders[[#This Row],[CustomerID]],Customers[CustomerID],Customers[CustomerName])</f>
        <v>Ronke Adeyemi</v>
      </c>
      <c r="O1648" t="str">
        <f>_xlfn.XLOOKUP(Orders[[#This Row],[CustomerID]],Customers[CustomerID],Customers[Gender])</f>
        <v>Female</v>
      </c>
      <c r="P1648">
        <f>_xlfn.XLOOKUP(Orders[[#This Row],[CustomerID]],Customers[CustomerID],Customers[CustomerAge])</f>
        <v>19</v>
      </c>
      <c r="Q1648" t="str">
        <f>IF(Orders[[#This Row],[Age]]&gt;=35,"older","young")</f>
        <v>young</v>
      </c>
      <c r="R1648" t="str">
        <f>_xlfn.XLOOKUP(Orders[[#This Row],[ProductID]],Products[ProductID],Products[ProductName])</f>
        <v>MICROWAVE</v>
      </c>
      <c r="S1648" t="str">
        <f>_xlfn.XLOOKUP(Orders[[#This Row],[ProductID]],Products!A:A,Products!C:C)</f>
        <v>Electronics</v>
      </c>
    </row>
    <row r="1649" spans="1:19" x14ac:dyDescent="0.2">
      <c r="A1649" s="4" t="s">
        <v>1838</v>
      </c>
      <c r="B1649" s="5">
        <v>45962</v>
      </c>
      <c r="C1649" s="15">
        <f>WEEKNUM(Orders[[#This Row],[OrderDate]])</f>
        <v>44</v>
      </c>
      <c r="D1649" s="4" t="s">
        <v>14</v>
      </c>
      <c r="E1649" s="4" t="s">
        <v>28</v>
      </c>
      <c r="F1649" s="4">
        <v>9</v>
      </c>
      <c r="G1649" s="4">
        <v>11389</v>
      </c>
      <c r="H1649">
        <v>9680.65</v>
      </c>
      <c r="I1649">
        <f>Orders[[#This Row],[Quantity]]*Orders[[#This Row],[Selling Price]]</f>
        <v>102501</v>
      </c>
      <c r="J1649">
        <f>Orders[[#This Row],[Quantity]]*Orders[[#This Row],[Cost Price]]</f>
        <v>87125.849999999991</v>
      </c>
      <c r="K1649">
        <f>Orders[[#This Row],[Revenue]]-Orders[[#This Row],[Expenses]]</f>
        <v>15375.150000000009</v>
      </c>
      <c r="L1649" t="s">
        <v>2204</v>
      </c>
      <c r="M1649" t="str">
        <f>_xlfn.XLOOKUP(Orders[[#This Row],[CustomerID]],Customers[CustomerID],Customers[City])</f>
        <v>Texas</v>
      </c>
      <c r="N1649" t="str">
        <f>_xlfn.XLOOKUP(Orders[[#This Row],[CustomerID]],Customers[CustomerID],Customers[CustomerName])</f>
        <v>Abiola Igwe</v>
      </c>
      <c r="O1649" t="str">
        <f>_xlfn.XLOOKUP(Orders[[#This Row],[CustomerID]],Customers[CustomerID],Customers[Gender])</f>
        <v>Male</v>
      </c>
      <c r="P1649">
        <f>_xlfn.XLOOKUP(Orders[[#This Row],[CustomerID]],Customers[CustomerID],Customers[CustomerAge])</f>
        <v>39</v>
      </c>
      <c r="Q1649" t="str">
        <f>IF(Orders[[#This Row],[Age]]&gt;=35,"older","young")</f>
        <v>older</v>
      </c>
      <c r="R1649" t="str">
        <f>_xlfn.XLOOKUP(Orders[[#This Row],[ProductID]],Products[ProductID],Products[ProductName])</f>
        <v>SNEAKERS</v>
      </c>
      <c r="S1649" t="str">
        <f>_xlfn.XLOOKUP(Orders[[#This Row],[ProductID]],Products!A:A,Products!C:C)</f>
        <v>Sports</v>
      </c>
    </row>
    <row r="1650" spans="1:19" x14ac:dyDescent="0.2">
      <c r="A1650" s="4" t="s">
        <v>1839</v>
      </c>
      <c r="B1650" s="5">
        <v>45946</v>
      </c>
      <c r="C1650" s="15">
        <f>WEEKNUM(Orders[[#This Row],[OrderDate]])</f>
        <v>42</v>
      </c>
      <c r="D1650" s="4" t="s">
        <v>212</v>
      </c>
      <c r="E1650" s="4" t="s">
        <v>46</v>
      </c>
      <c r="F1650" s="4">
        <v>4</v>
      </c>
      <c r="G1650" s="4">
        <v>11200.699999999999</v>
      </c>
      <c r="H1650">
        <v>9520.5949999999993</v>
      </c>
      <c r="I1650">
        <f>Orders[[#This Row],[Quantity]]*Orders[[#This Row],[Selling Price]]</f>
        <v>44802.799999999996</v>
      </c>
      <c r="J1650">
        <f>Orders[[#This Row],[Quantity]]*Orders[[#This Row],[Cost Price]]</f>
        <v>38082.379999999997</v>
      </c>
      <c r="K1650">
        <f>Orders[[#This Row],[Revenue]]-Orders[[#This Row],[Expenses]]</f>
        <v>6720.4199999999983</v>
      </c>
      <c r="L1650" t="s">
        <v>2195</v>
      </c>
      <c r="M1650" t="str">
        <f>_xlfn.XLOOKUP(Orders[[#This Row],[CustomerID]],Customers[CustomerID],Customers[City])</f>
        <v>Illinois</v>
      </c>
      <c r="N1650" t="str">
        <f>_xlfn.XLOOKUP(Orders[[#This Row],[CustomerID]],Customers[CustomerID],Customers[CustomerName])</f>
        <v>Ngozi Ojo</v>
      </c>
      <c r="O1650" t="str">
        <f>_xlfn.XLOOKUP(Orders[[#This Row],[CustomerID]],Customers[CustomerID],Customers[Gender])</f>
        <v>Female</v>
      </c>
      <c r="P1650">
        <f>_xlfn.XLOOKUP(Orders[[#This Row],[CustomerID]],Customers[CustomerID],Customers[CustomerAge])</f>
        <v>53</v>
      </c>
      <c r="Q1650" t="str">
        <f>IF(Orders[[#This Row],[Age]]&gt;=35,"older","young")</f>
        <v>older</v>
      </c>
      <c r="R1650" t="str">
        <f>_xlfn.XLOOKUP(Orders[[#This Row],[ProductID]],Products[ProductID],Products[ProductName])</f>
        <v>TURTLE NECK</v>
      </c>
      <c r="S1650" t="str">
        <f>_xlfn.XLOOKUP(Orders[[#This Row],[ProductID]],Products!A:A,Products!C:C)</f>
        <v>Clothing</v>
      </c>
    </row>
    <row r="1651" spans="1:19" x14ac:dyDescent="0.2">
      <c r="A1651" s="4" t="s">
        <v>1840</v>
      </c>
      <c r="B1651" s="5">
        <v>45988</v>
      </c>
      <c r="C1651" s="15">
        <f>WEEKNUM(Orders[[#This Row],[OrderDate]])</f>
        <v>48</v>
      </c>
      <c r="D1651" s="4" t="s">
        <v>574</v>
      </c>
      <c r="E1651" s="4" t="s">
        <v>25</v>
      </c>
      <c r="F1651" s="4">
        <v>1</v>
      </c>
      <c r="G1651" s="4">
        <v>17867.400000000001</v>
      </c>
      <c r="H1651">
        <v>15187.29</v>
      </c>
      <c r="I1651">
        <f>Orders[[#This Row],[Quantity]]*Orders[[#This Row],[Selling Price]]</f>
        <v>17867.400000000001</v>
      </c>
      <c r="J1651">
        <f>Orders[[#This Row],[Quantity]]*Orders[[#This Row],[Cost Price]]</f>
        <v>15187.29</v>
      </c>
      <c r="K1651">
        <f>Orders[[#This Row],[Revenue]]-Orders[[#This Row],[Expenses]]</f>
        <v>2680.1100000000006</v>
      </c>
      <c r="L1651" t="s">
        <v>2199</v>
      </c>
      <c r="M1651" t="str">
        <f>_xlfn.XLOOKUP(Orders[[#This Row],[CustomerID]],Customers[CustomerID],Customers[City])</f>
        <v>Texas</v>
      </c>
      <c r="N1651" t="str">
        <f>_xlfn.XLOOKUP(Orders[[#This Row],[CustomerID]],Customers[CustomerID],Customers[CustomerName])</f>
        <v>Adanma Obi</v>
      </c>
      <c r="O1651" t="str">
        <f>_xlfn.XLOOKUP(Orders[[#This Row],[CustomerID]],Customers[CustomerID],Customers[Gender])</f>
        <v>Female</v>
      </c>
      <c r="P1651">
        <f>_xlfn.XLOOKUP(Orders[[#This Row],[CustomerID]],Customers[CustomerID],Customers[CustomerAge])</f>
        <v>23</v>
      </c>
      <c r="Q1651" t="str">
        <f>IF(Orders[[#This Row],[Age]]&gt;=35,"older","young")</f>
        <v>young</v>
      </c>
      <c r="R1651" t="str">
        <f>_xlfn.XLOOKUP(Orders[[#This Row],[ProductID]],Products[ProductID],Products[ProductName])</f>
        <v>GOLD RINGS</v>
      </c>
      <c r="S1651" t="str">
        <f>_xlfn.XLOOKUP(Orders[[#This Row],[ProductID]],Products!A:A,Products!C:C)</f>
        <v>Accessories</v>
      </c>
    </row>
    <row r="1652" spans="1:19" x14ac:dyDescent="0.2">
      <c r="A1652" s="4" t="s">
        <v>1841</v>
      </c>
      <c r="B1652" s="5">
        <v>45976</v>
      </c>
      <c r="C1652" s="15">
        <f>WEEKNUM(Orders[[#This Row],[OrderDate]])</f>
        <v>46</v>
      </c>
      <c r="D1652" s="4" t="s">
        <v>87</v>
      </c>
      <c r="E1652" s="4" t="s">
        <v>130</v>
      </c>
      <c r="F1652" s="4">
        <v>9</v>
      </c>
      <c r="G1652" s="4">
        <v>7057.2000000000007</v>
      </c>
      <c r="H1652">
        <v>5998.6200000000008</v>
      </c>
      <c r="I1652">
        <f>Orders[[#This Row],[Quantity]]*Orders[[#This Row],[Selling Price]]</f>
        <v>63514.8</v>
      </c>
      <c r="J1652">
        <f>Orders[[#This Row],[Quantity]]*Orders[[#This Row],[Cost Price]]</f>
        <v>53987.580000000009</v>
      </c>
      <c r="K1652">
        <f>Orders[[#This Row],[Revenue]]-Orders[[#This Row],[Expenses]]</f>
        <v>9527.2199999999939</v>
      </c>
      <c r="L1652" t="s">
        <v>2193</v>
      </c>
      <c r="M1652" t="str">
        <f>_xlfn.XLOOKUP(Orders[[#This Row],[CustomerID]],Customers[CustomerID],Customers[City])</f>
        <v>Illinois</v>
      </c>
      <c r="N1652" t="str">
        <f>_xlfn.XLOOKUP(Orders[[#This Row],[CustomerID]],Customers[CustomerID],Customers[CustomerName])</f>
        <v>Efe Igwe</v>
      </c>
      <c r="O1652" t="str">
        <f>_xlfn.XLOOKUP(Orders[[#This Row],[CustomerID]],Customers[CustomerID],Customers[Gender])</f>
        <v>Female</v>
      </c>
      <c r="P1652">
        <f>_xlfn.XLOOKUP(Orders[[#This Row],[CustomerID]],Customers[CustomerID],Customers[CustomerAge])</f>
        <v>34</v>
      </c>
      <c r="Q1652" t="str">
        <f>IF(Orders[[#This Row],[Age]]&gt;=35,"older","young")</f>
        <v>young</v>
      </c>
      <c r="R1652" t="str">
        <f>_xlfn.XLOOKUP(Orders[[#This Row],[ProductID]],Products[ProductID],Products[ProductName])</f>
        <v>GOLD EARRINGS AND NECKLACES</v>
      </c>
      <c r="S1652" t="str">
        <f>_xlfn.XLOOKUP(Orders[[#This Row],[ProductID]],Products!A:A,Products!C:C)</f>
        <v>Accessories</v>
      </c>
    </row>
    <row r="1653" spans="1:19" x14ac:dyDescent="0.2">
      <c r="A1653" s="4" t="s">
        <v>1842</v>
      </c>
      <c r="B1653" s="5">
        <v>45953</v>
      </c>
      <c r="C1653" s="15">
        <f>WEEKNUM(Orders[[#This Row],[OrderDate]])</f>
        <v>43</v>
      </c>
      <c r="D1653" s="4" t="s">
        <v>184</v>
      </c>
      <c r="E1653" s="4" t="s">
        <v>37</v>
      </c>
      <c r="F1653" s="4">
        <v>3</v>
      </c>
      <c r="G1653" s="4">
        <v>19644.5</v>
      </c>
      <c r="H1653">
        <v>16697.825000000001</v>
      </c>
      <c r="I1653">
        <f>Orders[[#This Row],[Quantity]]*Orders[[#This Row],[Selling Price]]</f>
        <v>58933.5</v>
      </c>
      <c r="J1653">
        <f>Orders[[#This Row],[Quantity]]*Orders[[#This Row],[Cost Price]]</f>
        <v>50093.475000000006</v>
      </c>
      <c r="K1653">
        <f>Orders[[#This Row],[Revenue]]-Orders[[#This Row],[Expenses]]</f>
        <v>8840.0249999999942</v>
      </c>
      <c r="L1653" t="s">
        <v>2201</v>
      </c>
      <c r="M1653" t="str">
        <f>_xlfn.XLOOKUP(Orders[[#This Row],[CustomerID]],Customers[CustomerID],Customers[City])</f>
        <v>Washington</v>
      </c>
      <c r="N1653" t="str">
        <f>_xlfn.XLOOKUP(Orders[[#This Row],[CustomerID]],Customers[CustomerID],Customers[CustomerName])</f>
        <v>Ngozi Obi</v>
      </c>
      <c r="O1653" t="str">
        <f>_xlfn.XLOOKUP(Orders[[#This Row],[CustomerID]],Customers[CustomerID],Customers[Gender])</f>
        <v>Female</v>
      </c>
      <c r="P1653">
        <f>_xlfn.XLOOKUP(Orders[[#This Row],[CustomerID]],Customers[CustomerID],Customers[CustomerAge])</f>
        <v>32</v>
      </c>
      <c r="Q1653" t="str">
        <f>IF(Orders[[#This Row],[Age]]&gt;=35,"older","young")</f>
        <v>young</v>
      </c>
      <c r="R1653" t="str">
        <f>_xlfn.XLOOKUP(Orders[[#This Row],[ProductID]],Products[ProductID],Products[ProductName])</f>
        <v>IRON</v>
      </c>
      <c r="S1653" t="str">
        <f>_xlfn.XLOOKUP(Orders[[#This Row],[ProductID]],Products!A:A,Products!C:C)</f>
        <v>Electronics</v>
      </c>
    </row>
    <row r="1654" spans="1:19" x14ac:dyDescent="0.2">
      <c r="A1654" s="4" t="s">
        <v>1843</v>
      </c>
      <c r="B1654" s="5">
        <v>45954</v>
      </c>
      <c r="C1654" s="15">
        <f>WEEKNUM(Orders[[#This Row],[OrderDate]])</f>
        <v>43</v>
      </c>
      <c r="D1654" s="4" t="s">
        <v>291</v>
      </c>
      <c r="E1654" s="4" t="s">
        <v>111</v>
      </c>
      <c r="F1654" s="4">
        <v>7</v>
      </c>
      <c r="G1654" s="4">
        <v>10525</v>
      </c>
      <c r="H1654">
        <v>8946.25</v>
      </c>
      <c r="I1654">
        <f>Orders[[#This Row],[Quantity]]*Orders[[#This Row],[Selling Price]]</f>
        <v>73675</v>
      </c>
      <c r="J1654">
        <f>Orders[[#This Row],[Quantity]]*Orders[[#This Row],[Cost Price]]</f>
        <v>62623.75</v>
      </c>
      <c r="K1654">
        <f>Orders[[#This Row],[Revenue]]-Orders[[#This Row],[Expenses]]</f>
        <v>11051.25</v>
      </c>
      <c r="L1654" t="s">
        <v>2199</v>
      </c>
      <c r="M1654" t="str">
        <f>_xlfn.XLOOKUP(Orders[[#This Row],[CustomerID]],Customers[CustomerID],Customers[City])</f>
        <v>Texas</v>
      </c>
      <c r="N1654" t="str">
        <f>_xlfn.XLOOKUP(Orders[[#This Row],[CustomerID]],Customers[CustomerID],Customers[CustomerName])</f>
        <v>Okon Igwe</v>
      </c>
      <c r="O1654" t="str">
        <f>_xlfn.XLOOKUP(Orders[[#This Row],[CustomerID]],Customers[CustomerID],Customers[Gender])</f>
        <v>Male</v>
      </c>
      <c r="P1654">
        <f>_xlfn.XLOOKUP(Orders[[#This Row],[CustomerID]],Customers[CustomerID],Customers[CustomerAge])</f>
        <v>33</v>
      </c>
      <c r="Q1654" t="str">
        <f>IF(Orders[[#This Row],[Age]]&gt;=35,"older","young")</f>
        <v>young</v>
      </c>
      <c r="R1654" t="str">
        <f>_xlfn.XLOOKUP(Orders[[#This Row],[ProductID]],Products[ProductID],Products[ProductName])</f>
        <v>REFRIGERATOR</v>
      </c>
      <c r="S1654" t="str">
        <f>_xlfn.XLOOKUP(Orders[[#This Row],[ProductID]],Products!A:A,Products!C:C)</f>
        <v>Electronics</v>
      </c>
    </row>
    <row r="1655" spans="1:19" x14ac:dyDescent="0.2">
      <c r="A1655" s="4" t="s">
        <v>1844</v>
      </c>
      <c r="B1655" s="5">
        <v>45957</v>
      </c>
      <c r="C1655" s="15">
        <f>WEEKNUM(Orders[[#This Row],[OrderDate]])</f>
        <v>44</v>
      </c>
      <c r="D1655" s="4" t="s">
        <v>203</v>
      </c>
      <c r="E1655" s="4" t="s">
        <v>60</v>
      </c>
      <c r="F1655" s="4">
        <v>7</v>
      </c>
      <c r="G1655" s="4">
        <v>13701.6</v>
      </c>
      <c r="H1655">
        <v>11646.36</v>
      </c>
      <c r="I1655">
        <f>Orders[[#This Row],[Quantity]]*Orders[[#This Row],[Selling Price]]</f>
        <v>95911.2</v>
      </c>
      <c r="J1655">
        <f>Orders[[#This Row],[Quantity]]*Orders[[#This Row],[Cost Price]]</f>
        <v>81524.52</v>
      </c>
      <c r="K1655">
        <f>Orders[[#This Row],[Revenue]]-Orders[[#This Row],[Expenses]]</f>
        <v>14386.679999999993</v>
      </c>
      <c r="L1655" t="s">
        <v>2210</v>
      </c>
      <c r="M1655" t="str">
        <f>_xlfn.XLOOKUP(Orders[[#This Row],[CustomerID]],Customers[CustomerID],Customers[City])</f>
        <v>Texas</v>
      </c>
      <c r="N1655" t="str">
        <f>_xlfn.XLOOKUP(Orders[[#This Row],[CustomerID]],Customers[CustomerID],Customers[CustomerName])</f>
        <v>Okon Bello</v>
      </c>
      <c r="O1655" t="str">
        <f>_xlfn.XLOOKUP(Orders[[#This Row],[CustomerID]],Customers[CustomerID],Customers[Gender])</f>
        <v>Male</v>
      </c>
      <c r="P1655">
        <f>_xlfn.XLOOKUP(Orders[[#This Row],[CustomerID]],Customers[CustomerID],Customers[CustomerAge])</f>
        <v>20</v>
      </c>
      <c r="Q1655" t="str">
        <f>IF(Orders[[#This Row],[Age]]&gt;=35,"older","young")</f>
        <v>young</v>
      </c>
      <c r="R1655" t="str">
        <f>_xlfn.XLOOKUP(Orders[[#This Row],[ProductID]],Products[ProductID],Products[ProductName])</f>
        <v>SILVER RINGS</v>
      </c>
      <c r="S1655" t="str">
        <f>_xlfn.XLOOKUP(Orders[[#This Row],[ProductID]],Products!A:A,Products!C:C)</f>
        <v>Accessories</v>
      </c>
    </row>
    <row r="1656" spans="1:19" x14ac:dyDescent="0.2">
      <c r="A1656" s="4" t="s">
        <v>1845</v>
      </c>
      <c r="B1656" s="5">
        <v>45964</v>
      </c>
      <c r="C1656" s="15">
        <f>WEEKNUM(Orders[[#This Row],[OrderDate]])</f>
        <v>45</v>
      </c>
      <c r="D1656" s="4" t="s">
        <v>163</v>
      </c>
      <c r="E1656" s="4" t="s">
        <v>34</v>
      </c>
      <c r="F1656" s="4">
        <v>8</v>
      </c>
      <c r="G1656" s="4">
        <v>4532.7999999999993</v>
      </c>
      <c r="H1656">
        <v>3852.8799999999992</v>
      </c>
      <c r="I1656">
        <f>Orders[[#This Row],[Quantity]]*Orders[[#This Row],[Selling Price]]</f>
        <v>36262.399999999994</v>
      </c>
      <c r="J1656">
        <f>Orders[[#This Row],[Quantity]]*Orders[[#This Row],[Cost Price]]</f>
        <v>30823.039999999994</v>
      </c>
      <c r="K1656">
        <f>Orders[[#This Row],[Revenue]]-Orders[[#This Row],[Expenses]]</f>
        <v>5439.3600000000006</v>
      </c>
      <c r="L1656" t="s">
        <v>2220</v>
      </c>
      <c r="M1656" t="str">
        <f>_xlfn.XLOOKUP(Orders[[#This Row],[CustomerID]],Customers[CustomerID],Customers[City])</f>
        <v>Texas</v>
      </c>
      <c r="N1656" t="str">
        <f>_xlfn.XLOOKUP(Orders[[#This Row],[CustomerID]],Customers[CustomerID],Customers[CustomerName])</f>
        <v>Folasade Danladi</v>
      </c>
      <c r="O1656" t="str">
        <f>_xlfn.XLOOKUP(Orders[[#This Row],[CustomerID]],Customers[CustomerID],Customers[Gender])</f>
        <v>Female</v>
      </c>
      <c r="P1656">
        <f>_xlfn.XLOOKUP(Orders[[#This Row],[CustomerID]],Customers[CustomerID],Customers[CustomerAge])</f>
        <v>32</v>
      </c>
      <c r="Q1656" t="str">
        <f>IF(Orders[[#This Row],[Age]]&gt;=35,"older","young")</f>
        <v>young</v>
      </c>
      <c r="R1656" t="str">
        <f>_xlfn.XLOOKUP(Orders[[#This Row],[ProductID]],Products[ProductID],Products[ProductName])</f>
        <v>GOLD BRACELETS</v>
      </c>
      <c r="S1656" t="str">
        <f>_xlfn.XLOOKUP(Orders[[#This Row],[ProductID]],Products!A:A,Products!C:C)</f>
        <v>Accessories</v>
      </c>
    </row>
    <row r="1657" spans="1:19" x14ac:dyDescent="0.2">
      <c r="A1657" s="4" t="s">
        <v>1846</v>
      </c>
      <c r="B1657" s="5">
        <v>45942</v>
      </c>
      <c r="C1657" s="15">
        <f>WEEKNUM(Orders[[#This Row],[OrderDate]])</f>
        <v>42</v>
      </c>
      <c r="D1657" s="4" t="s">
        <v>17</v>
      </c>
      <c r="E1657" s="4" t="s">
        <v>9</v>
      </c>
      <c r="F1657" s="4">
        <v>9</v>
      </c>
      <c r="G1657" s="4">
        <v>7810</v>
      </c>
      <c r="H1657">
        <v>6638.5</v>
      </c>
      <c r="I1657">
        <f>Orders[[#This Row],[Quantity]]*Orders[[#This Row],[Selling Price]]</f>
        <v>70290</v>
      </c>
      <c r="J1657">
        <f>Orders[[#This Row],[Quantity]]*Orders[[#This Row],[Cost Price]]</f>
        <v>59746.5</v>
      </c>
      <c r="K1657">
        <f>Orders[[#This Row],[Revenue]]-Orders[[#This Row],[Expenses]]</f>
        <v>10543.5</v>
      </c>
      <c r="L1657" t="s">
        <v>2205</v>
      </c>
      <c r="M1657" t="str">
        <f>_xlfn.XLOOKUP(Orders[[#This Row],[CustomerID]],Customers[CustomerID],Customers[City])</f>
        <v>Illinois</v>
      </c>
      <c r="N1657" t="str">
        <f>_xlfn.XLOOKUP(Orders[[#This Row],[CustomerID]],Customers[CustomerID],Customers[CustomerName])</f>
        <v>Bisi Adeyemi</v>
      </c>
      <c r="O1657" t="str">
        <f>_xlfn.XLOOKUP(Orders[[#This Row],[CustomerID]],Customers[CustomerID],Customers[Gender])</f>
        <v>Female</v>
      </c>
      <c r="P1657">
        <f>_xlfn.XLOOKUP(Orders[[#This Row],[CustomerID]],Customers[CustomerID],Customers[CustomerAge])</f>
        <v>48</v>
      </c>
      <c r="Q1657" t="str">
        <f>IF(Orders[[#This Row],[Age]]&gt;=35,"older","young")</f>
        <v>older</v>
      </c>
      <c r="R1657" t="str">
        <f>_xlfn.XLOOKUP(Orders[[#This Row],[ProductID]],Products[ProductID],Products[ProductName])</f>
        <v>BEADED EARRINGS AND NECKLACES</v>
      </c>
      <c r="S1657" t="str">
        <f>_xlfn.XLOOKUP(Orders[[#This Row],[ProductID]],Products!A:A,Products!C:C)</f>
        <v>Accessories</v>
      </c>
    </row>
    <row r="1658" spans="1:19" x14ac:dyDescent="0.2">
      <c r="A1658" s="4" t="s">
        <v>1847</v>
      </c>
      <c r="B1658" s="5">
        <v>45965</v>
      </c>
      <c r="C1658" s="15">
        <f>WEEKNUM(Orders[[#This Row],[OrderDate]])</f>
        <v>45</v>
      </c>
      <c r="D1658" s="4" t="s">
        <v>352</v>
      </c>
      <c r="E1658" s="4" t="s">
        <v>189</v>
      </c>
      <c r="F1658" s="4">
        <v>9</v>
      </c>
      <c r="G1658" s="4">
        <v>11970.9</v>
      </c>
      <c r="H1658">
        <v>10175.264999999999</v>
      </c>
      <c r="I1658">
        <f>Orders[[#This Row],[Quantity]]*Orders[[#This Row],[Selling Price]]</f>
        <v>107738.09999999999</v>
      </c>
      <c r="J1658">
        <f>Orders[[#This Row],[Quantity]]*Orders[[#This Row],[Cost Price]]</f>
        <v>91577.384999999995</v>
      </c>
      <c r="K1658">
        <f>Orders[[#This Row],[Revenue]]-Orders[[#This Row],[Expenses]]</f>
        <v>16160.714999999997</v>
      </c>
      <c r="L1658" t="s">
        <v>2202</v>
      </c>
      <c r="M1658" t="str">
        <f>_xlfn.XLOOKUP(Orders[[#This Row],[CustomerID]],Customers[CustomerID],Customers[City])</f>
        <v>Texas</v>
      </c>
      <c r="N1658" t="str">
        <f>_xlfn.XLOOKUP(Orders[[#This Row],[CustomerID]],Customers[CustomerID],Customers[CustomerName])</f>
        <v>Zainab Eze</v>
      </c>
      <c r="O1658" t="str">
        <f>_xlfn.XLOOKUP(Orders[[#This Row],[CustomerID]],Customers[CustomerID],Customers[Gender])</f>
        <v>Female</v>
      </c>
      <c r="P1658">
        <f>_xlfn.XLOOKUP(Orders[[#This Row],[CustomerID]],Customers[CustomerID],Customers[CustomerAge])</f>
        <v>40</v>
      </c>
      <c r="Q1658" t="str">
        <f>IF(Orders[[#This Row],[Age]]&gt;=35,"older","young")</f>
        <v>older</v>
      </c>
      <c r="R1658" t="str">
        <f>_xlfn.XLOOKUP(Orders[[#This Row],[ProductID]],Products[ProductID],Products[ProductName])</f>
        <v>SCRABBLE</v>
      </c>
      <c r="S1658" t="str">
        <f>_xlfn.XLOOKUP(Orders[[#This Row],[ProductID]],Products!A:A,Products!C:C)</f>
        <v>Games</v>
      </c>
    </row>
    <row r="1659" spans="1:19" x14ac:dyDescent="0.2">
      <c r="A1659" s="4" t="s">
        <v>1848</v>
      </c>
      <c r="B1659" s="5">
        <v>45946</v>
      </c>
      <c r="C1659" s="15">
        <f>WEEKNUM(Orders[[#This Row],[OrderDate]])</f>
        <v>42</v>
      </c>
      <c r="D1659" s="4" t="s">
        <v>107</v>
      </c>
      <c r="E1659" s="4" t="s">
        <v>70</v>
      </c>
      <c r="F1659" s="4">
        <v>1</v>
      </c>
      <c r="G1659" s="4">
        <v>12970.4</v>
      </c>
      <c r="H1659">
        <v>11024.84</v>
      </c>
      <c r="I1659">
        <f>Orders[[#This Row],[Quantity]]*Orders[[#This Row],[Selling Price]]</f>
        <v>12970.4</v>
      </c>
      <c r="J1659">
        <f>Orders[[#This Row],[Quantity]]*Orders[[#This Row],[Cost Price]]</f>
        <v>11024.84</v>
      </c>
      <c r="K1659">
        <f>Orders[[#This Row],[Revenue]]-Orders[[#This Row],[Expenses]]</f>
        <v>1945.5599999999995</v>
      </c>
      <c r="L1659" t="s">
        <v>2209</v>
      </c>
      <c r="M1659" t="str">
        <f>_xlfn.XLOOKUP(Orders[[#This Row],[CustomerID]],Customers[CustomerID],Customers[City])</f>
        <v>Texas</v>
      </c>
      <c r="N1659" t="str">
        <f>_xlfn.XLOOKUP(Orders[[#This Row],[CustomerID]],Customers[CustomerID],Customers[CustomerName])</f>
        <v>Blessing Eze</v>
      </c>
      <c r="O1659" t="str">
        <f>_xlfn.XLOOKUP(Orders[[#This Row],[CustomerID]],Customers[CustomerID],Customers[Gender])</f>
        <v>Female</v>
      </c>
      <c r="P1659">
        <f>_xlfn.XLOOKUP(Orders[[#This Row],[CustomerID]],Customers[CustomerID],Customers[CustomerAge])</f>
        <v>44</v>
      </c>
      <c r="Q1659" t="str">
        <f>IF(Orders[[#This Row],[Age]]&gt;=35,"older","young")</f>
        <v>older</v>
      </c>
      <c r="R1659" t="str">
        <f>_xlfn.XLOOKUP(Orders[[#This Row],[ProductID]],Products[ProductID],Products[ProductName])</f>
        <v>YOGA MAT</v>
      </c>
      <c r="S1659" t="str">
        <f>_xlfn.XLOOKUP(Orders[[#This Row],[ProductID]],Products!A:A,Products!C:C)</f>
        <v>Gym</v>
      </c>
    </row>
    <row r="1660" spans="1:19" x14ac:dyDescent="0.2">
      <c r="A1660" s="4" t="s">
        <v>1849</v>
      </c>
      <c r="B1660" s="5">
        <v>45934</v>
      </c>
      <c r="C1660" s="15">
        <f>WEEKNUM(Orders[[#This Row],[OrderDate]])</f>
        <v>40</v>
      </c>
      <c r="D1660" s="4" t="s">
        <v>416</v>
      </c>
      <c r="E1660" s="4" t="s">
        <v>46</v>
      </c>
      <c r="F1660" s="4">
        <v>4</v>
      </c>
      <c r="G1660" s="4">
        <v>11575.4</v>
      </c>
      <c r="H1660">
        <v>9839.09</v>
      </c>
      <c r="I1660">
        <f>Orders[[#This Row],[Quantity]]*Orders[[#This Row],[Selling Price]]</f>
        <v>46301.599999999999</v>
      </c>
      <c r="J1660">
        <f>Orders[[#This Row],[Quantity]]*Orders[[#This Row],[Cost Price]]</f>
        <v>39356.36</v>
      </c>
      <c r="K1660">
        <f>Orders[[#This Row],[Revenue]]-Orders[[#This Row],[Expenses]]</f>
        <v>6945.239999999998</v>
      </c>
      <c r="L1660" t="s">
        <v>2199</v>
      </c>
      <c r="M1660" t="str">
        <f>_xlfn.XLOOKUP(Orders[[#This Row],[CustomerID]],Customers[CustomerID],Customers[City])</f>
        <v>Texas</v>
      </c>
      <c r="N1660" t="str">
        <f>_xlfn.XLOOKUP(Orders[[#This Row],[CustomerID]],Customers[CustomerID],Customers[CustomerName])</f>
        <v>Chinedu Igwe</v>
      </c>
      <c r="O1660" t="str">
        <f>_xlfn.XLOOKUP(Orders[[#This Row],[CustomerID]],Customers[CustomerID],Customers[Gender])</f>
        <v>Male</v>
      </c>
      <c r="P1660">
        <f>_xlfn.XLOOKUP(Orders[[#This Row],[CustomerID]],Customers[CustomerID],Customers[CustomerAge])</f>
        <v>26</v>
      </c>
      <c r="Q1660" t="str">
        <f>IF(Orders[[#This Row],[Age]]&gt;=35,"older","young")</f>
        <v>young</v>
      </c>
      <c r="R1660" t="str">
        <f>_xlfn.XLOOKUP(Orders[[#This Row],[ProductID]],Products[ProductID],Products[ProductName])</f>
        <v>TURTLE NECK</v>
      </c>
      <c r="S1660" t="str">
        <f>_xlfn.XLOOKUP(Orders[[#This Row],[ProductID]],Products!A:A,Products!C:C)</f>
        <v>Clothing</v>
      </c>
    </row>
    <row r="1661" spans="1:19" x14ac:dyDescent="0.2">
      <c r="A1661" s="4" t="s">
        <v>1850</v>
      </c>
      <c r="B1661" s="5">
        <v>46021</v>
      </c>
      <c r="C1661" s="15">
        <f>WEEKNUM(Orders[[#This Row],[OrderDate]])</f>
        <v>53</v>
      </c>
      <c r="D1661" s="4" t="s">
        <v>136</v>
      </c>
      <c r="E1661" s="4" t="s">
        <v>63</v>
      </c>
      <c r="F1661" s="4">
        <v>6</v>
      </c>
      <c r="G1661" s="4">
        <v>10882.8</v>
      </c>
      <c r="H1661">
        <v>9250.3799999999992</v>
      </c>
      <c r="I1661">
        <f>Orders[[#This Row],[Quantity]]*Orders[[#This Row],[Selling Price]]</f>
        <v>65296.799999999996</v>
      </c>
      <c r="J1661">
        <f>Orders[[#This Row],[Quantity]]*Orders[[#This Row],[Cost Price]]</f>
        <v>55502.28</v>
      </c>
      <c r="K1661">
        <f>Orders[[#This Row],[Revenue]]-Orders[[#This Row],[Expenses]]</f>
        <v>9794.5199999999968</v>
      </c>
      <c r="L1661" t="s">
        <v>2220</v>
      </c>
      <c r="M1661" t="str">
        <f>_xlfn.XLOOKUP(Orders[[#This Row],[CustomerID]],Customers[CustomerID],Customers[City])</f>
        <v>California</v>
      </c>
      <c r="N1661" t="str">
        <f>_xlfn.XLOOKUP(Orders[[#This Row],[CustomerID]],Customers[CustomerID],Customers[CustomerName])</f>
        <v>Chinedu Obi</v>
      </c>
      <c r="O1661" t="str">
        <f>_xlfn.XLOOKUP(Orders[[#This Row],[CustomerID]],Customers[CustomerID],Customers[Gender])</f>
        <v>Male</v>
      </c>
      <c r="P1661">
        <f>_xlfn.XLOOKUP(Orders[[#This Row],[CustomerID]],Customers[CustomerID],Customers[CustomerAge])</f>
        <v>27</v>
      </c>
      <c r="Q1661" t="str">
        <f>IF(Orders[[#This Row],[Age]]&gt;=35,"older","young")</f>
        <v>young</v>
      </c>
      <c r="R1661" t="str">
        <f>_xlfn.XLOOKUP(Orders[[#This Row],[ProductID]],Products[ProductID],Products[ProductName])</f>
        <v>TENNIS BAT</v>
      </c>
      <c r="S1661" t="str">
        <f>_xlfn.XLOOKUP(Orders[[#This Row],[ProductID]],Products!A:A,Products!C:C)</f>
        <v>Sports</v>
      </c>
    </row>
    <row r="1662" spans="1:19" x14ac:dyDescent="0.2">
      <c r="A1662" s="4" t="s">
        <v>1851</v>
      </c>
      <c r="B1662" s="5">
        <v>45938</v>
      </c>
      <c r="C1662" s="15">
        <f>WEEKNUM(Orders[[#This Row],[OrderDate]])</f>
        <v>41</v>
      </c>
      <c r="D1662" s="4" t="s">
        <v>8</v>
      </c>
      <c r="E1662" s="4" t="s">
        <v>20</v>
      </c>
      <c r="F1662" s="4">
        <v>6</v>
      </c>
      <c r="G1662" s="4">
        <v>2471.1000000000004</v>
      </c>
      <c r="H1662">
        <v>2100.4350000000004</v>
      </c>
      <c r="I1662">
        <f>Orders[[#This Row],[Quantity]]*Orders[[#This Row],[Selling Price]]</f>
        <v>14826.600000000002</v>
      </c>
      <c r="J1662">
        <f>Orders[[#This Row],[Quantity]]*Orders[[#This Row],[Cost Price]]</f>
        <v>12602.610000000002</v>
      </c>
      <c r="K1662">
        <f>Orders[[#This Row],[Revenue]]-Orders[[#This Row],[Expenses]]</f>
        <v>2223.9899999999998</v>
      </c>
      <c r="L1662" t="s">
        <v>2202</v>
      </c>
      <c r="M1662" t="str">
        <f>_xlfn.XLOOKUP(Orders[[#This Row],[CustomerID]],Customers[CustomerID],Customers[City])</f>
        <v>Washington</v>
      </c>
      <c r="N1662" t="str">
        <f>_xlfn.XLOOKUP(Orders[[#This Row],[CustomerID]],Customers[CustomerID],Customers[CustomerName])</f>
        <v>Bi si Bello</v>
      </c>
      <c r="O1662" t="str">
        <f>_xlfn.XLOOKUP(Orders[[#This Row],[CustomerID]],Customers[CustomerID],Customers[Gender])</f>
        <v>Female</v>
      </c>
      <c r="P1662">
        <f>_xlfn.XLOOKUP(Orders[[#This Row],[CustomerID]],Customers[CustomerID],Customers[CustomerAge])</f>
        <v>38</v>
      </c>
      <c r="Q1662" t="str">
        <f>IF(Orders[[#This Row],[Age]]&gt;=35,"older","young")</f>
        <v>older</v>
      </c>
      <c r="R1662" t="str">
        <f>_xlfn.XLOOKUP(Orders[[#This Row],[ProductID]],Products[ProductID],Products[ProductName])</f>
        <v>GYM BAG</v>
      </c>
      <c r="S1662" t="str">
        <f>_xlfn.XLOOKUP(Orders[[#This Row],[ProductID]],Products!A:A,Products!C:C)</f>
        <v>Gym</v>
      </c>
    </row>
    <row r="1663" spans="1:19" x14ac:dyDescent="0.2">
      <c r="A1663" s="4" t="s">
        <v>1852</v>
      </c>
      <c r="B1663" s="5">
        <v>45958</v>
      </c>
      <c r="C1663" s="15">
        <f>WEEKNUM(Orders[[#This Row],[OrderDate]])</f>
        <v>44</v>
      </c>
      <c r="D1663" s="4" t="s">
        <v>307</v>
      </c>
      <c r="E1663" s="4" t="s">
        <v>151</v>
      </c>
      <c r="F1663" s="4">
        <v>4</v>
      </c>
      <c r="G1663" s="4">
        <v>5189.7000000000007</v>
      </c>
      <c r="H1663">
        <v>4411.2450000000008</v>
      </c>
      <c r="I1663">
        <f>Orders[[#This Row],[Quantity]]*Orders[[#This Row],[Selling Price]]</f>
        <v>20758.800000000003</v>
      </c>
      <c r="J1663">
        <f>Orders[[#This Row],[Quantity]]*Orders[[#This Row],[Cost Price]]</f>
        <v>17644.980000000003</v>
      </c>
      <c r="K1663">
        <f>Orders[[#This Row],[Revenue]]-Orders[[#This Row],[Expenses]]</f>
        <v>3113.8199999999997</v>
      </c>
      <c r="L1663" t="s">
        <v>2199</v>
      </c>
      <c r="M1663" t="str">
        <f>_xlfn.XLOOKUP(Orders[[#This Row],[CustomerID]],Customers[CustomerID],Customers[City])</f>
        <v>Illinois</v>
      </c>
      <c r="N1663" t="str">
        <f>_xlfn.XLOOKUP(Orders[[#This Row],[CustomerID]],Customers[CustomerID],Customers[CustomerName])</f>
        <v>Adanma Bello</v>
      </c>
      <c r="O1663" t="str">
        <f>_xlfn.XLOOKUP(Orders[[#This Row],[CustomerID]],Customers[CustomerID],Customers[Gender])</f>
        <v>Female</v>
      </c>
      <c r="P1663">
        <f>_xlfn.XLOOKUP(Orders[[#This Row],[CustomerID]],Customers[CustomerID],Customers[CustomerAge])</f>
        <v>51</v>
      </c>
      <c r="Q1663" t="str">
        <f>IF(Orders[[#This Row],[Age]]&gt;=35,"older","young")</f>
        <v>older</v>
      </c>
      <c r="R1663" t="str">
        <f>_xlfn.XLOOKUP(Orders[[#This Row],[ProductID]],Products[ProductID],Products[ProductName])</f>
        <v>CHECKERS</v>
      </c>
      <c r="S1663" t="str">
        <f>_xlfn.XLOOKUP(Orders[[#This Row],[ProductID]],Products!A:A,Products!C:C)</f>
        <v>Games</v>
      </c>
    </row>
    <row r="1664" spans="1:19" x14ac:dyDescent="0.2">
      <c r="A1664" s="4" t="s">
        <v>1853</v>
      </c>
      <c r="B1664" s="5">
        <v>46011</v>
      </c>
      <c r="C1664" s="15">
        <f>WEEKNUM(Orders[[#This Row],[OrderDate]])</f>
        <v>51</v>
      </c>
      <c r="D1664" s="4" t="s">
        <v>216</v>
      </c>
      <c r="E1664" s="4" t="s">
        <v>127</v>
      </c>
      <c r="F1664" s="4">
        <v>1</v>
      </c>
      <c r="G1664" s="4">
        <v>11709.2</v>
      </c>
      <c r="H1664">
        <v>9952.82</v>
      </c>
      <c r="I1664">
        <f>Orders[[#This Row],[Quantity]]*Orders[[#This Row],[Selling Price]]</f>
        <v>11709.2</v>
      </c>
      <c r="J1664">
        <f>Orders[[#This Row],[Quantity]]*Orders[[#This Row],[Cost Price]]</f>
        <v>9952.82</v>
      </c>
      <c r="K1664">
        <f>Orders[[#This Row],[Revenue]]-Orders[[#This Row],[Expenses]]</f>
        <v>1756.380000000001</v>
      </c>
      <c r="L1664" t="s">
        <v>2211</v>
      </c>
      <c r="M1664" t="str">
        <f>_xlfn.XLOOKUP(Orders[[#This Row],[CustomerID]],Customers[CustomerID],Customers[City])</f>
        <v>California</v>
      </c>
      <c r="N1664" t="str">
        <f>_xlfn.XLOOKUP(Orders[[#This Row],[CustomerID]],Customers[CustomerID],Customers[CustomerName])</f>
        <v>Ngozi Obi</v>
      </c>
      <c r="O1664" t="str">
        <f>_xlfn.XLOOKUP(Orders[[#This Row],[CustomerID]],Customers[CustomerID],Customers[Gender])</f>
        <v>Female</v>
      </c>
      <c r="P1664">
        <f>_xlfn.XLOOKUP(Orders[[#This Row],[CustomerID]],Customers[CustomerID],Customers[CustomerAge])</f>
        <v>54</v>
      </c>
      <c r="Q1664" t="str">
        <f>IF(Orders[[#This Row],[Age]]&gt;=35,"older","young")</f>
        <v>older</v>
      </c>
      <c r="R1664" t="str">
        <f>_xlfn.XLOOKUP(Orders[[#This Row],[ProductID]],Products[ProductID],Products[ProductName])</f>
        <v>TOPS</v>
      </c>
      <c r="S1664" t="str">
        <f>_xlfn.XLOOKUP(Orders[[#This Row],[ProductID]],Products!A:A,Products!C:C)</f>
        <v>Clothing</v>
      </c>
    </row>
    <row r="1665" spans="1:19" x14ac:dyDescent="0.2">
      <c r="A1665" s="4" t="s">
        <v>1854</v>
      </c>
      <c r="B1665" s="5">
        <v>45954</v>
      </c>
      <c r="C1665" s="15">
        <f>WEEKNUM(Orders[[#This Row],[OrderDate]])</f>
        <v>43</v>
      </c>
      <c r="D1665" s="4" t="s">
        <v>607</v>
      </c>
      <c r="E1665" s="4" t="s">
        <v>125</v>
      </c>
      <c r="F1665" s="4">
        <v>8</v>
      </c>
      <c r="G1665" s="4">
        <v>16947.5</v>
      </c>
      <c r="H1665">
        <v>14405.375</v>
      </c>
      <c r="I1665">
        <f>Orders[[#This Row],[Quantity]]*Orders[[#This Row],[Selling Price]]</f>
        <v>135580</v>
      </c>
      <c r="J1665">
        <f>Orders[[#This Row],[Quantity]]*Orders[[#This Row],[Cost Price]]</f>
        <v>115243</v>
      </c>
      <c r="K1665">
        <f>Orders[[#This Row],[Revenue]]-Orders[[#This Row],[Expenses]]</f>
        <v>20337</v>
      </c>
      <c r="L1665" t="s">
        <v>2202</v>
      </c>
      <c r="M1665" t="str">
        <f>_xlfn.XLOOKUP(Orders[[#This Row],[CustomerID]],Customers[CustomerID],Customers[City])</f>
        <v>Texas</v>
      </c>
      <c r="N1665" t="str">
        <f>_xlfn.XLOOKUP(Orders[[#This Row],[CustomerID]],Customers[CustomerID],Customers[CustomerName])</f>
        <v>Folasade Ojo</v>
      </c>
      <c r="O1665" t="str">
        <f>_xlfn.XLOOKUP(Orders[[#This Row],[CustomerID]],Customers[CustomerID],Customers[Gender])</f>
        <v>Female</v>
      </c>
      <c r="P1665">
        <f>_xlfn.XLOOKUP(Orders[[#This Row],[CustomerID]],Customers[CustomerID],Customers[CustomerAge])</f>
        <v>19</v>
      </c>
      <c r="Q1665" t="str">
        <f>IF(Orders[[#This Row],[Age]]&gt;=35,"older","young")</f>
        <v>young</v>
      </c>
      <c r="R1665" t="str">
        <f>_xlfn.XLOOKUP(Orders[[#This Row],[ProductID]],Products[ProductID],Products[ProductName])</f>
        <v>EARRINGS</v>
      </c>
      <c r="S1665" t="str">
        <f>_xlfn.XLOOKUP(Orders[[#This Row],[ProductID]],Products!A:A,Products!C:C)</f>
        <v>Accessories</v>
      </c>
    </row>
    <row r="1666" spans="1:19" x14ac:dyDescent="0.2">
      <c r="A1666" s="4" t="s">
        <v>1855</v>
      </c>
      <c r="B1666" s="5">
        <v>45983</v>
      </c>
      <c r="C1666" s="15">
        <f>WEEKNUM(Orders[[#This Row],[OrderDate]])</f>
        <v>47</v>
      </c>
      <c r="D1666" s="4" t="s">
        <v>322</v>
      </c>
      <c r="E1666" s="4" t="s">
        <v>76</v>
      </c>
      <c r="F1666" s="4">
        <v>7</v>
      </c>
      <c r="G1666" s="4">
        <v>17842.2</v>
      </c>
      <c r="H1666">
        <v>15165.87</v>
      </c>
      <c r="I1666">
        <f>Orders[[#This Row],[Quantity]]*Orders[[#This Row],[Selling Price]]</f>
        <v>124895.40000000001</v>
      </c>
      <c r="J1666">
        <f>Orders[[#This Row],[Quantity]]*Orders[[#This Row],[Cost Price]]</f>
        <v>106161.09000000001</v>
      </c>
      <c r="K1666">
        <f>Orders[[#This Row],[Revenue]]-Orders[[#This Row],[Expenses]]</f>
        <v>18734.309999999998</v>
      </c>
      <c r="L1666" t="s">
        <v>2192</v>
      </c>
      <c r="M1666" t="str">
        <f>_xlfn.XLOOKUP(Orders[[#This Row],[CustomerID]],Customers[CustomerID],Customers[City])</f>
        <v>Washington</v>
      </c>
      <c r="N1666" t="str">
        <f>_xlfn.XLOOKUP(Orders[[#This Row],[CustomerID]],Customers[CustomerID],Customers[CustomerName])</f>
        <v>Ngozi Bello</v>
      </c>
      <c r="O1666" t="str">
        <f>_xlfn.XLOOKUP(Orders[[#This Row],[CustomerID]],Customers[CustomerID],Customers[Gender])</f>
        <v>Female</v>
      </c>
      <c r="P1666">
        <f>_xlfn.XLOOKUP(Orders[[#This Row],[CustomerID]],Customers[CustomerID],Customers[CustomerAge])</f>
        <v>32</v>
      </c>
      <c r="Q1666" t="str">
        <f>IF(Orders[[#This Row],[Age]]&gt;=35,"older","young")</f>
        <v>young</v>
      </c>
      <c r="R1666" t="str">
        <f>_xlfn.XLOOKUP(Orders[[#This Row],[ProductID]],Products[ProductID],Products[ProductName])</f>
        <v>BLENDER</v>
      </c>
      <c r="S1666" t="str">
        <f>_xlfn.XLOOKUP(Orders[[#This Row],[ProductID]],Products!A:A,Products!C:C)</f>
        <v>Electronics</v>
      </c>
    </row>
    <row r="1667" spans="1:19" x14ac:dyDescent="0.2">
      <c r="A1667" s="4" t="s">
        <v>1856</v>
      </c>
      <c r="B1667" s="5">
        <v>46018</v>
      </c>
      <c r="C1667" s="15">
        <f>WEEKNUM(Orders[[#This Row],[OrderDate]])</f>
        <v>52</v>
      </c>
      <c r="D1667" s="4" t="s">
        <v>43</v>
      </c>
      <c r="E1667" s="4" t="s">
        <v>28</v>
      </c>
      <c r="F1667" s="4">
        <v>10</v>
      </c>
      <c r="G1667" s="4">
        <v>9004.7999999999993</v>
      </c>
      <c r="H1667">
        <v>7654.08</v>
      </c>
      <c r="I1667">
        <f>Orders[[#This Row],[Quantity]]*Orders[[#This Row],[Selling Price]]</f>
        <v>90048</v>
      </c>
      <c r="J1667">
        <f>Orders[[#This Row],[Quantity]]*Orders[[#This Row],[Cost Price]]</f>
        <v>76540.800000000003</v>
      </c>
      <c r="K1667">
        <f>Orders[[#This Row],[Revenue]]-Orders[[#This Row],[Expenses]]</f>
        <v>13507.199999999997</v>
      </c>
      <c r="L1667" t="s">
        <v>2194</v>
      </c>
      <c r="M1667" t="str">
        <f>_xlfn.XLOOKUP(Orders[[#This Row],[CustomerID]],Customers[CustomerID],Customers[City])</f>
        <v>Georgia</v>
      </c>
      <c r="N1667" t="str">
        <f>_xlfn.XLOOKUP(Orders[[#This Row],[CustomerID]],Customers[CustomerID],Customers[CustomerName])</f>
        <v>Mustafa Danladi</v>
      </c>
      <c r="O1667" t="str">
        <f>_xlfn.XLOOKUP(Orders[[#This Row],[CustomerID]],Customers[CustomerID],Customers[Gender])</f>
        <v>Male</v>
      </c>
      <c r="P1667">
        <f>_xlfn.XLOOKUP(Orders[[#This Row],[CustomerID]],Customers[CustomerID],Customers[CustomerAge])</f>
        <v>49</v>
      </c>
      <c r="Q1667" t="str">
        <f>IF(Orders[[#This Row],[Age]]&gt;=35,"older","young")</f>
        <v>older</v>
      </c>
      <c r="R1667" t="str">
        <f>_xlfn.XLOOKUP(Orders[[#This Row],[ProductID]],Products[ProductID],Products[ProductName])</f>
        <v>SNEAKERS</v>
      </c>
      <c r="S1667" t="str">
        <f>_xlfn.XLOOKUP(Orders[[#This Row],[ProductID]],Products!A:A,Products!C:C)</f>
        <v>Sports</v>
      </c>
    </row>
    <row r="1668" spans="1:19" x14ac:dyDescent="0.2">
      <c r="A1668" s="4" t="s">
        <v>1857</v>
      </c>
      <c r="B1668" s="5">
        <v>45951</v>
      </c>
      <c r="C1668" s="15">
        <f>WEEKNUM(Orders[[#This Row],[OrderDate]])</f>
        <v>43</v>
      </c>
      <c r="D1668" s="4" t="s">
        <v>282</v>
      </c>
      <c r="E1668" s="4" t="s">
        <v>25</v>
      </c>
      <c r="F1668" s="4">
        <v>8</v>
      </c>
      <c r="G1668" s="4">
        <v>17752.2</v>
      </c>
      <c r="H1668">
        <v>15089.37</v>
      </c>
      <c r="I1668">
        <f>Orders[[#This Row],[Quantity]]*Orders[[#This Row],[Selling Price]]</f>
        <v>142017.60000000001</v>
      </c>
      <c r="J1668">
        <f>Orders[[#This Row],[Quantity]]*Orders[[#This Row],[Cost Price]]</f>
        <v>120714.96</v>
      </c>
      <c r="K1668">
        <f>Orders[[#This Row],[Revenue]]-Orders[[#This Row],[Expenses]]</f>
        <v>21302.639999999999</v>
      </c>
      <c r="L1668" t="s">
        <v>2217</v>
      </c>
      <c r="M1668" t="str">
        <f>_xlfn.XLOOKUP(Orders[[#This Row],[CustomerID]],Customers[CustomerID],Customers[City])</f>
        <v>Texas</v>
      </c>
      <c r="N1668" t="str">
        <f>_xlfn.XLOOKUP(Orders[[#This Row],[CustomerID]],Customers[CustomerID],Customers[CustomerName])</f>
        <v>Bisi Ojo</v>
      </c>
      <c r="O1668" t="str">
        <f>_xlfn.XLOOKUP(Orders[[#This Row],[CustomerID]],Customers[CustomerID],Customers[Gender])</f>
        <v>Female</v>
      </c>
      <c r="P1668">
        <f>_xlfn.XLOOKUP(Orders[[#This Row],[CustomerID]],Customers[CustomerID],Customers[CustomerAge])</f>
        <v>26</v>
      </c>
      <c r="Q1668" t="str">
        <f>IF(Orders[[#This Row],[Age]]&gt;=35,"older","young")</f>
        <v>young</v>
      </c>
      <c r="R1668" t="str">
        <f>_xlfn.XLOOKUP(Orders[[#This Row],[ProductID]],Products[ProductID],Products[ProductName])</f>
        <v>GOLD RINGS</v>
      </c>
      <c r="S1668" t="str">
        <f>_xlfn.XLOOKUP(Orders[[#This Row],[ProductID]],Products!A:A,Products!C:C)</f>
        <v>Accessories</v>
      </c>
    </row>
    <row r="1669" spans="1:19" x14ac:dyDescent="0.2">
      <c r="A1669" s="4" t="s">
        <v>1858</v>
      </c>
      <c r="B1669" s="5">
        <v>46002</v>
      </c>
      <c r="C1669" s="15">
        <f>WEEKNUM(Orders[[#This Row],[OrderDate]])</f>
        <v>50</v>
      </c>
      <c r="D1669" s="4" t="s">
        <v>221</v>
      </c>
      <c r="E1669" s="4" t="s">
        <v>23</v>
      </c>
      <c r="F1669" s="4">
        <v>7</v>
      </c>
      <c r="G1669" s="4">
        <v>5471.5999999999995</v>
      </c>
      <c r="H1669">
        <v>4650.8599999999997</v>
      </c>
      <c r="I1669">
        <f>Orders[[#This Row],[Quantity]]*Orders[[#This Row],[Selling Price]]</f>
        <v>38301.199999999997</v>
      </c>
      <c r="J1669">
        <f>Orders[[#This Row],[Quantity]]*Orders[[#This Row],[Cost Price]]</f>
        <v>32556.019999999997</v>
      </c>
      <c r="K1669">
        <f>Orders[[#This Row],[Revenue]]-Orders[[#This Row],[Expenses]]</f>
        <v>5745.18</v>
      </c>
      <c r="L1669" t="s">
        <v>2197</v>
      </c>
      <c r="M1669" t="str">
        <f>_xlfn.XLOOKUP(Orders[[#This Row],[CustomerID]],Customers[CustomerID],Customers[City])</f>
        <v>Texas</v>
      </c>
      <c r="N1669" t="str">
        <f>_xlfn.XLOOKUP(Orders[[#This Row],[CustomerID]],Customers[CustomerID],Customers[CustomerName])</f>
        <v>Obi Bello</v>
      </c>
      <c r="O1669" t="str">
        <f>_xlfn.XLOOKUP(Orders[[#This Row],[CustomerID]],Customers[CustomerID],Customers[Gender])</f>
        <v>Male</v>
      </c>
      <c r="P1669">
        <f>_xlfn.XLOOKUP(Orders[[#This Row],[CustomerID]],Customers[CustomerID],Customers[CustomerAge])</f>
        <v>18</v>
      </c>
      <c r="Q1669" t="str">
        <f>IF(Orders[[#This Row],[Age]]&gt;=35,"older","young")</f>
        <v>young</v>
      </c>
      <c r="R1669" t="str">
        <f>_xlfn.XLOOKUP(Orders[[#This Row],[ProductID]],Products[ProductID],Products[ProductName])</f>
        <v>GYM GLOVES</v>
      </c>
      <c r="S1669" t="str">
        <f>_xlfn.XLOOKUP(Orders[[#This Row],[ProductID]],Products!A:A,Products!C:C)</f>
        <v>Gym</v>
      </c>
    </row>
    <row r="1670" spans="1:19" x14ac:dyDescent="0.2">
      <c r="A1670" s="4" t="s">
        <v>1859</v>
      </c>
      <c r="B1670" s="5">
        <v>45982</v>
      </c>
      <c r="C1670" s="15">
        <f>WEEKNUM(Orders[[#This Row],[OrderDate]])</f>
        <v>47</v>
      </c>
      <c r="D1670" s="4" t="s">
        <v>517</v>
      </c>
      <c r="E1670" s="4" t="s">
        <v>130</v>
      </c>
      <c r="F1670" s="4">
        <v>5</v>
      </c>
      <c r="G1670" s="4">
        <v>19738.900000000001</v>
      </c>
      <c r="H1670">
        <v>16778.065000000002</v>
      </c>
      <c r="I1670">
        <f>Orders[[#This Row],[Quantity]]*Orders[[#This Row],[Selling Price]]</f>
        <v>98694.5</v>
      </c>
      <c r="J1670">
        <f>Orders[[#This Row],[Quantity]]*Orders[[#This Row],[Cost Price]]</f>
        <v>83890.325000000012</v>
      </c>
      <c r="K1670">
        <f>Orders[[#This Row],[Revenue]]-Orders[[#This Row],[Expenses]]</f>
        <v>14804.174999999988</v>
      </c>
      <c r="L1670" t="s">
        <v>2214</v>
      </c>
      <c r="M1670" t="str">
        <f>_xlfn.XLOOKUP(Orders[[#This Row],[CustomerID]],Customers[CustomerID],Customers[City])</f>
        <v>Florida</v>
      </c>
      <c r="N1670" t="str">
        <f>_xlfn.XLOOKUP(Orders[[#This Row],[CustomerID]],Customers[CustomerID],Customers[CustomerName])</f>
        <v>Efe Adeyemi</v>
      </c>
      <c r="O1670" t="str">
        <f>_xlfn.XLOOKUP(Orders[[#This Row],[CustomerID]],Customers[CustomerID],Customers[Gender])</f>
        <v>Female</v>
      </c>
      <c r="P1670">
        <f>_xlfn.XLOOKUP(Orders[[#This Row],[CustomerID]],Customers[CustomerID],Customers[CustomerAge])</f>
        <v>25</v>
      </c>
      <c r="Q1670" t="str">
        <f>IF(Orders[[#This Row],[Age]]&gt;=35,"older","young")</f>
        <v>young</v>
      </c>
      <c r="R1670" t="str">
        <f>_xlfn.XLOOKUP(Orders[[#This Row],[ProductID]],Products[ProductID],Products[ProductName])</f>
        <v>GOLD EARRINGS AND NECKLACES</v>
      </c>
      <c r="S1670" t="str">
        <f>_xlfn.XLOOKUP(Orders[[#This Row],[ProductID]],Products!A:A,Products!C:C)</f>
        <v>Accessories</v>
      </c>
    </row>
    <row r="1671" spans="1:19" x14ac:dyDescent="0.2">
      <c r="A1671" s="4" t="s">
        <v>1860</v>
      </c>
      <c r="B1671" s="5">
        <v>45938</v>
      </c>
      <c r="C1671" s="15">
        <f>WEEKNUM(Orders[[#This Row],[OrderDate]])</f>
        <v>41</v>
      </c>
      <c r="D1671" s="4" t="s">
        <v>41</v>
      </c>
      <c r="E1671" s="4" t="s">
        <v>92</v>
      </c>
      <c r="F1671" s="4">
        <v>2</v>
      </c>
      <c r="G1671" s="4">
        <v>17842.400000000001</v>
      </c>
      <c r="H1671">
        <v>15166.04</v>
      </c>
      <c r="I1671">
        <f>Orders[[#This Row],[Quantity]]*Orders[[#This Row],[Selling Price]]</f>
        <v>35684.800000000003</v>
      </c>
      <c r="J1671">
        <f>Orders[[#This Row],[Quantity]]*Orders[[#This Row],[Cost Price]]</f>
        <v>30332.080000000002</v>
      </c>
      <c r="K1671">
        <f>Orders[[#This Row],[Revenue]]-Orders[[#This Row],[Expenses]]</f>
        <v>5352.7200000000012</v>
      </c>
      <c r="L1671" t="s">
        <v>2201</v>
      </c>
      <c r="M1671" t="str">
        <f>_xlfn.XLOOKUP(Orders[[#This Row],[CustomerID]],Customers[CustomerID],Customers[City])</f>
        <v>Texas</v>
      </c>
      <c r="N1671" t="str">
        <f>_xlfn.XLOOKUP(Orders[[#This Row],[CustomerID]],Customers[CustomerID],Customers[CustomerName])</f>
        <v>Mustafa Balogun</v>
      </c>
      <c r="O1671" t="str">
        <f>_xlfn.XLOOKUP(Orders[[#This Row],[CustomerID]],Customers[CustomerID],Customers[Gender])</f>
        <v>Male</v>
      </c>
      <c r="P1671">
        <f>_xlfn.XLOOKUP(Orders[[#This Row],[CustomerID]],Customers[CustomerID],Customers[CustomerAge])</f>
        <v>40</v>
      </c>
      <c r="Q1671" t="str">
        <f>IF(Orders[[#This Row],[Age]]&gt;=35,"older","young")</f>
        <v>older</v>
      </c>
      <c r="R1671" t="str">
        <f>_xlfn.XLOOKUP(Orders[[#This Row],[ProductID]],Products[ProductID],Products[ProductName])</f>
        <v>CHEST EXPANDER</v>
      </c>
      <c r="S1671" t="str">
        <f>_xlfn.XLOOKUP(Orders[[#This Row],[ProductID]],Products!A:A,Products!C:C)</f>
        <v>Gym</v>
      </c>
    </row>
    <row r="1672" spans="1:19" x14ac:dyDescent="0.2">
      <c r="A1672" s="4" t="s">
        <v>1861</v>
      </c>
      <c r="B1672" s="5">
        <v>45965</v>
      </c>
      <c r="C1672" s="15">
        <f>WEEKNUM(Orders[[#This Row],[OrderDate]])</f>
        <v>45</v>
      </c>
      <c r="D1672" s="4" t="s">
        <v>14</v>
      </c>
      <c r="E1672" s="4" t="s">
        <v>60</v>
      </c>
      <c r="F1672" s="4">
        <v>10</v>
      </c>
      <c r="G1672" s="4">
        <v>2044.5</v>
      </c>
      <c r="H1672">
        <v>1737.825</v>
      </c>
      <c r="I1672">
        <f>Orders[[#This Row],[Quantity]]*Orders[[#This Row],[Selling Price]]</f>
        <v>20445</v>
      </c>
      <c r="J1672">
        <f>Orders[[#This Row],[Quantity]]*Orders[[#This Row],[Cost Price]]</f>
        <v>17378.25</v>
      </c>
      <c r="K1672">
        <f>Orders[[#This Row],[Revenue]]-Orders[[#This Row],[Expenses]]</f>
        <v>3066.75</v>
      </c>
      <c r="L1672" t="s">
        <v>2201</v>
      </c>
      <c r="M1672" t="str">
        <f>_xlfn.XLOOKUP(Orders[[#This Row],[CustomerID]],Customers[CustomerID],Customers[City])</f>
        <v>Texas</v>
      </c>
      <c r="N1672" t="str">
        <f>_xlfn.XLOOKUP(Orders[[#This Row],[CustomerID]],Customers[CustomerID],Customers[CustomerName])</f>
        <v>Abiola Igwe</v>
      </c>
      <c r="O1672" t="str">
        <f>_xlfn.XLOOKUP(Orders[[#This Row],[CustomerID]],Customers[CustomerID],Customers[Gender])</f>
        <v>Male</v>
      </c>
      <c r="P1672">
        <f>_xlfn.XLOOKUP(Orders[[#This Row],[CustomerID]],Customers[CustomerID],Customers[CustomerAge])</f>
        <v>39</v>
      </c>
      <c r="Q1672" t="str">
        <f>IF(Orders[[#This Row],[Age]]&gt;=35,"older","young")</f>
        <v>older</v>
      </c>
      <c r="R1672" t="str">
        <f>_xlfn.XLOOKUP(Orders[[#This Row],[ProductID]],Products[ProductID],Products[ProductName])</f>
        <v>SILVER RINGS</v>
      </c>
      <c r="S1672" t="str">
        <f>_xlfn.XLOOKUP(Orders[[#This Row],[ProductID]],Products!A:A,Products!C:C)</f>
        <v>Accessories</v>
      </c>
    </row>
    <row r="1673" spans="1:19" x14ac:dyDescent="0.2">
      <c r="A1673" s="4" t="s">
        <v>1862</v>
      </c>
      <c r="B1673" s="5">
        <v>46006</v>
      </c>
      <c r="C1673" s="15">
        <f>WEEKNUM(Orders[[#This Row],[OrderDate]])</f>
        <v>51</v>
      </c>
      <c r="D1673" s="4" t="s">
        <v>229</v>
      </c>
      <c r="E1673" s="4" t="s">
        <v>168</v>
      </c>
      <c r="F1673" s="4">
        <v>2</v>
      </c>
      <c r="G1673" s="4">
        <v>6495.8</v>
      </c>
      <c r="H1673">
        <v>5521.43</v>
      </c>
      <c r="I1673">
        <f>Orders[[#This Row],[Quantity]]*Orders[[#This Row],[Selling Price]]</f>
        <v>12991.6</v>
      </c>
      <c r="J1673">
        <f>Orders[[#This Row],[Quantity]]*Orders[[#This Row],[Cost Price]]</f>
        <v>11042.86</v>
      </c>
      <c r="K1673">
        <f>Orders[[#This Row],[Revenue]]-Orders[[#This Row],[Expenses]]</f>
        <v>1948.7399999999998</v>
      </c>
      <c r="L1673" t="s">
        <v>2192</v>
      </c>
      <c r="M1673" t="str">
        <f>_xlfn.XLOOKUP(Orders[[#This Row],[CustomerID]],Customers[CustomerID],Customers[City])</f>
        <v>Florida</v>
      </c>
      <c r="N1673" t="str">
        <f>_xlfn.XLOOKUP(Orders[[#This Row],[CustomerID]],Customers[CustomerID],Customers[CustomerName])</f>
        <v>Uche Abubakar</v>
      </c>
      <c r="O1673" t="str">
        <f>_xlfn.XLOOKUP(Orders[[#This Row],[CustomerID]],Customers[CustomerID],Customers[Gender])</f>
        <v>Male</v>
      </c>
      <c r="P1673">
        <f>_xlfn.XLOOKUP(Orders[[#This Row],[CustomerID]],Customers[CustomerID],Customers[CustomerAge])</f>
        <v>43</v>
      </c>
      <c r="Q1673" t="str">
        <f>IF(Orders[[#This Row],[Age]]&gt;=35,"older","young")</f>
        <v>older</v>
      </c>
      <c r="R1673" t="str">
        <f>_xlfn.XLOOKUP(Orders[[#This Row],[ProductID]],Products[ProductID],Products[ProductName])</f>
        <v>DUMB BELLS</v>
      </c>
      <c r="S1673" t="str">
        <f>_xlfn.XLOOKUP(Orders[[#This Row],[ProductID]],Products!A:A,Products!C:C)</f>
        <v>Gym</v>
      </c>
    </row>
    <row r="1674" spans="1:19" x14ac:dyDescent="0.2">
      <c r="A1674" s="4" t="s">
        <v>1863</v>
      </c>
      <c r="B1674" s="5">
        <v>45967</v>
      </c>
      <c r="C1674" s="15">
        <f>WEEKNUM(Orders[[#This Row],[OrderDate]])</f>
        <v>45</v>
      </c>
      <c r="D1674" s="4" t="s">
        <v>41</v>
      </c>
      <c r="E1674" s="4" t="s">
        <v>66</v>
      </c>
      <c r="F1674" s="4">
        <v>2</v>
      </c>
      <c r="G1674" s="4">
        <v>19100</v>
      </c>
      <c r="H1674">
        <v>16235</v>
      </c>
      <c r="I1674">
        <f>Orders[[#This Row],[Quantity]]*Orders[[#This Row],[Selling Price]]</f>
        <v>38200</v>
      </c>
      <c r="J1674">
        <f>Orders[[#This Row],[Quantity]]*Orders[[#This Row],[Cost Price]]</f>
        <v>32470</v>
      </c>
      <c r="K1674">
        <f>Orders[[#This Row],[Revenue]]-Orders[[#This Row],[Expenses]]</f>
        <v>5730</v>
      </c>
      <c r="L1674" t="s">
        <v>2209</v>
      </c>
      <c r="M1674" t="str">
        <f>_xlfn.XLOOKUP(Orders[[#This Row],[CustomerID]],Customers[CustomerID],Customers[City])</f>
        <v>Texas</v>
      </c>
      <c r="N1674" t="str">
        <f>_xlfn.XLOOKUP(Orders[[#This Row],[CustomerID]],Customers[CustomerID],Customers[CustomerName])</f>
        <v>Mustafa Balogun</v>
      </c>
      <c r="O1674" t="str">
        <f>_xlfn.XLOOKUP(Orders[[#This Row],[CustomerID]],Customers[CustomerID],Customers[Gender])</f>
        <v>Male</v>
      </c>
      <c r="P1674">
        <f>_xlfn.XLOOKUP(Orders[[#This Row],[CustomerID]],Customers[CustomerID],Customers[CustomerAge])</f>
        <v>40</v>
      </c>
      <c r="Q1674" t="str">
        <f>IF(Orders[[#This Row],[Age]]&gt;=35,"older","young")</f>
        <v>older</v>
      </c>
      <c r="R1674" t="str">
        <f>_xlfn.XLOOKUP(Orders[[#This Row],[ProductID]],Products[ProductID],Products[ProductName])</f>
        <v>MICROWAVE</v>
      </c>
      <c r="S1674" t="str">
        <f>_xlfn.XLOOKUP(Orders[[#This Row],[ProductID]],Products!A:A,Products!C:C)</f>
        <v>Electronics</v>
      </c>
    </row>
    <row r="1675" spans="1:19" x14ac:dyDescent="0.2">
      <c r="A1675" s="4" t="s">
        <v>1864</v>
      </c>
      <c r="B1675" s="5">
        <v>45944</v>
      </c>
      <c r="C1675" s="15">
        <f>WEEKNUM(Orders[[#This Row],[OrderDate]])</f>
        <v>42</v>
      </c>
      <c r="D1675" s="4" t="s">
        <v>201</v>
      </c>
      <c r="E1675" s="4" t="s">
        <v>76</v>
      </c>
      <c r="F1675" s="4">
        <v>2</v>
      </c>
      <c r="G1675" s="4">
        <v>16852.099999999999</v>
      </c>
      <c r="H1675">
        <v>14324.285</v>
      </c>
      <c r="I1675">
        <f>Orders[[#This Row],[Quantity]]*Orders[[#This Row],[Selling Price]]</f>
        <v>33704.199999999997</v>
      </c>
      <c r="J1675">
        <f>Orders[[#This Row],[Quantity]]*Orders[[#This Row],[Cost Price]]</f>
        <v>28648.57</v>
      </c>
      <c r="K1675">
        <f>Orders[[#This Row],[Revenue]]-Orders[[#This Row],[Expenses]]</f>
        <v>5055.6299999999974</v>
      </c>
      <c r="L1675" t="s">
        <v>2204</v>
      </c>
      <c r="M1675" t="str">
        <f>_xlfn.XLOOKUP(Orders[[#This Row],[CustomerID]],Customers[CustomerID],Customers[City])</f>
        <v>Georgia</v>
      </c>
      <c r="N1675" t="str">
        <f>_xlfn.XLOOKUP(Orders[[#This Row],[CustomerID]],Customers[CustomerID],Customers[CustomerName])</f>
        <v>Sani Igwe</v>
      </c>
      <c r="O1675" t="str">
        <f>_xlfn.XLOOKUP(Orders[[#This Row],[CustomerID]],Customers[CustomerID],Customers[Gender])</f>
        <v>Male</v>
      </c>
      <c r="P1675">
        <f>_xlfn.XLOOKUP(Orders[[#This Row],[CustomerID]],Customers[CustomerID],Customers[CustomerAge])</f>
        <v>20</v>
      </c>
      <c r="Q1675" t="str">
        <f>IF(Orders[[#This Row],[Age]]&gt;=35,"older","young")</f>
        <v>young</v>
      </c>
      <c r="R1675" t="str">
        <f>_xlfn.XLOOKUP(Orders[[#This Row],[ProductID]],Products[ProductID],Products[ProductName])</f>
        <v>BLENDER</v>
      </c>
      <c r="S1675" t="str">
        <f>_xlfn.XLOOKUP(Orders[[#This Row],[ProductID]],Products!A:A,Products!C:C)</f>
        <v>Electronics</v>
      </c>
    </row>
    <row r="1676" spans="1:19" x14ac:dyDescent="0.2">
      <c r="A1676" s="4" t="s">
        <v>1865</v>
      </c>
      <c r="B1676" s="5">
        <v>45937</v>
      </c>
      <c r="C1676" s="15">
        <f>WEEKNUM(Orders[[#This Row],[OrderDate]])</f>
        <v>41</v>
      </c>
      <c r="D1676" s="4" t="s">
        <v>352</v>
      </c>
      <c r="E1676" s="4" t="s">
        <v>9</v>
      </c>
      <c r="F1676" s="4">
        <v>2</v>
      </c>
      <c r="G1676" s="4">
        <v>1314.7</v>
      </c>
      <c r="H1676">
        <v>1117.4950000000001</v>
      </c>
      <c r="I1676">
        <f>Orders[[#This Row],[Quantity]]*Orders[[#This Row],[Selling Price]]</f>
        <v>2629.4</v>
      </c>
      <c r="J1676">
        <f>Orders[[#This Row],[Quantity]]*Orders[[#This Row],[Cost Price]]</f>
        <v>2234.9900000000002</v>
      </c>
      <c r="K1676">
        <f>Orders[[#This Row],[Revenue]]-Orders[[#This Row],[Expenses]]</f>
        <v>394.40999999999985</v>
      </c>
      <c r="L1676" t="s">
        <v>2214</v>
      </c>
      <c r="M1676" t="str">
        <f>_xlfn.XLOOKUP(Orders[[#This Row],[CustomerID]],Customers[CustomerID],Customers[City])</f>
        <v>Texas</v>
      </c>
      <c r="N1676" t="str">
        <f>_xlfn.XLOOKUP(Orders[[#This Row],[CustomerID]],Customers[CustomerID],Customers[CustomerName])</f>
        <v>Zainab Eze</v>
      </c>
      <c r="O1676" t="str">
        <f>_xlfn.XLOOKUP(Orders[[#This Row],[CustomerID]],Customers[CustomerID],Customers[Gender])</f>
        <v>Female</v>
      </c>
      <c r="P1676">
        <f>_xlfn.XLOOKUP(Orders[[#This Row],[CustomerID]],Customers[CustomerID],Customers[CustomerAge])</f>
        <v>40</v>
      </c>
      <c r="Q1676" t="str">
        <f>IF(Orders[[#This Row],[Age]]&gt;=35,"older","young")</f>
        <v>older</v>
      </c>
      <c r="R1676" t="str">
        <f>_xlfn.XLOOKUP(Orders[[#This Row],[ProductID]],Products[ProductID],Products[ProductName])</f>
        <v>BEADED EARRINGS AND NECKLACES</v>
      </c>
      <c r="S1676" t="str">
        <f>_xlfn.XLOOKUP(Orders[[#This Row],[ProductID]],Products!A:A,Products!C:C)</f>
        <v>Accessories</v>
      </c>
    </row>
    <row r="1677" spans="1:19" x14ac:dyDescent="0.2">
      <c r="A1677" s="4" t="s">
        <v>1866</v>
      </c>
      <c r="B1677" s="5">
        <v>45998</v>
      </c>
      <c r="C1677" s="15">
        <f>WEEKNUM(Orders[[#This Row],[OrderDate]])</f>
        <v>50</v>
      </c>
      <c r="D1677" s="4" t="s">
        <v>671</v>
      </c>
      <c r="E1677" s="4" t="s">
        <v>92</v>
      </c>
      <c r="F1677" s="4">
        <v>7</v>
      </c>
      <c r="G1677" s="4">
        <v>10502</v>
      </c>
      <c r="H1677">
        <v>8926.7000000000007</v>
      </c>
      <c r="I1677">
        <f>Orders[[#This Row],[Quantity]]*Orders[[#This Row],[Selling Price]]</f>
        <v>73514</v>
      </c>
      <c r="J1677">
        <f>Orders[[#This Row],[Quantity]]*Orders[[#This Row],[Cost Price]]</f>
        <v>62486.900000000009</v>
      </c>
      <c r="K1677">
        <f>Orders[[#This Row],[Revenue]]-Orders[[#This Row],[Expenses]]</f>
        <v>11027.099999999991</v>
      </c>
      <c r="L1677" t="s">
        <v>2218</v>
      </c>
      <c r="M1677" t="str">
        <f>_xlfn.XLOOKUP(Orders[[#This Row],[CustomerID]],Customers[CustomerID],Customers[City])</f>
        <v>Texas</v>
      </c>
      <c r="N1677" t="str">
        <f>_xlfn.XLOOKUP(Orders[[#This Row],[CustomerID]],Customers[CustomerID],Customers[CustomerName])</f>
        <v>Tunde Abubakar</v>
      </c>
      <c r="O1677" t="str">
        <f>_xlfn.XLOOKUP(Orders[[#This Row],[CustomerID]],Customers[CustomerID],Customers[Gender])</f>
        <v>Male</v>
      </c>
      <c r="P1677">
        <f>_xlfn.XLOOKUP(Orders[[#This Row],[CustomerID]],Customers[CustomerID],Customers[CustomerAge])</f>
        <v>26</v>
      </c>
      <c r="Q1677" t="str">
        <f>IF(Orders[[#This Row],[Age]]&gt;=35,"older","young")</f>
        <v>young</v>
      </c>
      <c r="R1677" t="str">
        <f>_xlfn.XLOOKUP(Orders[[#This Row],[ProductID]],Products[ProductID],Products[ProductName])</f>
        <v>CHEST EXPANDER</v>
      </c>
      <c r="S1677" t="str">
        <f>_xlfn.XLOOKUP(Orders[[#This Row],[ProductID]],Products!A:A,Products!C:C)</f>
        <v>Gym</v>
      </c>
    </row>
    <row r="1678" spans="1:19" x14ac:dyDescent="0.2">
      <c r="A1678" s="4" t="s">
        <v>1867</v>
      </c>
      <c r="B1678" s="5">
        <v>46005</v>
      </c>
      <c r="C1678" s="15">
        <f>WEEKNUM(Orders[[#This Row],[OrderDate]])</f>
        <v>51</v>
      </c>
      <c r="D1678" s="4" t="s">
        <v>201</v>
      </c>
      <c r="E1678" s="4" t="s">
        <v>46</v>
      </c>
      <c r="F1678" s="4">
        <v>4</v>
      </c>
      <c r="G1678" s="4">
        <v>11007.8</v>
      </c>
      <c r="H1678">
        <v>9356.6299999999992</v>
      </c>
      <c r="I1678">
        <f>Orders[[#This Row],[Quantity]]*Orders[[#This Row],[Selling Price]]</f>
        <v>44031.199999999997</v>
      </c>
      <c r="J1678">
        <f>Orders[[#This Row],[Quantity]]*Orders[[#This Row],[Cost Price]]</f>
        <v>37426.519999999997</v>
      </c>
      <c r="K1678">
        <f>Orders[[#This Row],[Revenue]]-Orders[[#This Row],[Expenses]]</f>
        <v>6604.68</v>
      </c>
      <c r="L1678" t="s">
        <v>2208</v>
      </c>
      <c r="M1678" t="str">
        <f>_xlfn.XLOOKUP(Orders[[#This Row],[CustomerID]],Customers[CustomerID],Customers[City])</f>
        <v>Georgia</v>
      </c>
      <c r="N1678" t="str">
        <f>_xlfn.XLOOKUP(Orders[[#This Row],[CustomerID]],Customers[CustomerID],Customers[CustomerName])</f>
        <v>Sani Igwe</v>
      </c>
      <c r="O1678" t="str">
        <f>_xlfn.XLOOKUP(Orders[[#This Row],[CustomerID]],Customers[CustomerID],Customers[Gender])</f>
        <v>Male</v>
      </c>
      <c r="P1678">
        <f>_xlfn.XLOOKUP(Orders[[#This Row],[CustomerID]],Customers[CustomerID],Customers[CustomerAge])</f>
        <v>20</v>
      </c>
      <c r="Q1678" t="str">
        <f>IF(Orders[[#This Row],[Age]]&gt;=35,"older","young")</f>
        <v>young</v>
      </c>
      <c r="R1678" t="str">
        <f>_xlfn.XLOOKUP(Orders[[#This Row],[ProductID]],Products[ProductID],Products[ProductName])</f>
        <v>TURTLE NECK</v>
      </c>
      <c r="S1678" t="str">
        <f>_xlfn.XLOOKUP(Orders[[#This Row],[ProductID]],Products!A:A,Products!C:C)</f>
        <v>Clothing</v>
      </c>
    </row>
    <row r="1679" spans="1:19" x14ac:dyDescent="0.2">
      <c r="A1679" s="4" t="s">
        <v>1868</v>
      </c>
      <c r="B1679" s="5">
        <v>45988</v>
      </c>
      <c r="C1679" s="15">
        <f>WEEKNUM(Orders[[#This Row],[OrderDate]])</f>
        <v>48</v>
      </c>
      <c r="D1679" s="4" t="s">
        <v>481</v>
      </c>
      <c r="E1679" s="4" t="s">
        <v>92</v>
      </c>
      <c r="F1679" s="4">
        <v>1</v>
      </c>
      <c r="G1679" s="4">
        <v>10926.300000000001</v>
      </c>
      <c r="H1679">
        <v>9287.3550000000014</v>
      </c>
      <c r="I1679">
        <f>Orders[[#This Row],[Quantity]]*Orders[[#This Row],[Selling Price]]</f>
        <v>10926.300000000001</v>
      </c>
      <c r="J1679">
        <f>Orders[[#This Row],[Quantity]]*Orders[[#This Row],[Cost Price]]</f>
        <v>9287.3550000000014</v>
      </c>
      <c r="K1679">
        <f>Orders[[#This Row],[Revenue]]-Orders[[#This Row],[Expenses]]</f>
        <v>1638.9449999999997</v>
      </c>
      <c r="L1679" t="s">
        <v>2213</v>
      </c>
      <c r="M1679" t="str">
        <f>_xlfn.XLOOKUP(Orders[[#This Row],[CustomerID]],Customers[CustomerID],Customers[City])</f>
        <v>Illinois</v>
      </c>
      <c r="N1679" t="str">
        <f>_xlfn.XLOOKUP(Orders[[#This Row],[CustomerID]],Customers[CustomerID],Customers[CustomerName])</f>
        <v>Abiola Bello</v>
      </c>
      <c r="O1679" t="str">
        <f>_xlfn.XLOOKUP(Orders[[#This Row],[CustomerID]],Customers[CustomerID],Customers[Gender])</f>
        <v>Male</v>
      </c>
      <c r="P1679">
        <f>_xlfn.XLOOKUP(Orders[[#This Row],[CustomerID]],Customers[CustomerID],Customers[CustomerAge])</f>
        <v>33</v>
      </c>
      <c r="Q1679" t="str">
        <f>IF(Orders[[#This Row],[Age]]&gt;=35,"older","young")</f>
        <v>young</v>
      </c>
      <c r="R1679" t="str">
        <f>_xlfn.XLOOKUP(Orders[[#This Row],[ProductID]],Products[ProductID],Products[ProductName])</f>
        <v>CHEST EXPANDER</v>
      </c>
      <c r="S1679" t="str">
        <f>_xlfn.XLOOKUP(Orders[[#This Row],[ProductID]],Products!A:A,Products!C:C)</f>
        <v>Gym</v>
      </c>
    </row>
    <row r="1680" spans="1:19" x14ac:dyDescent="0.2">
      <c r="A1680" s="4" t="s">
        <v>1869</v>
      </c>
      <c r="B1680" s="5">
        <v>45957</v>
      </c>
      <c r="C1680" s="15">
        <f>WEEKNUM(Orders[[#This Row],[OrderDate]])</f>
        <v>44</v>
      </c>
      <c r="D1680" s="4" t="s">
        <v>207</v>
      </c>
      <c r="E1680" s="4" t="s">
        <v>37</v>
      </c>
      <c r="F1680" s="4">
        <v>7</v>
      </c>
      <c r="G1680" s="4">
        <v>8524.2999999999993</v>
      </c>
      <c r="H1680">
        <v>7245.6549999999997</v>
      </c>
      <c r="I1680">
        <f>Orders[[#This Row],[Quantity]]*Orders[[#This Row],[Selling Price]]</f>
        <v>59670.099999999991</v>
      </c>
      <c r="J1680">
        <f>Orders[[#This Row],[Quantity]]*Orders[[#This Row],[Cost Price]]</f>
        <v>50719.584999999999</v>
      </c>
      <c r="K1680">
        <f>Orders[[#This Row],[Revenue]]-Orders[[#This Row],[Expenses]]</f>
        <v>8950.5149999999921</v>
      </c>
      <c r="L1680" t="s">
        <v>2211</v>
      </c>
      <c r="M1680" t="str">
        <f>_xlfn.XLOOKUP(Orders[[#This Row],[CustomerID]],Customers[CustomerID],Customers[City])</f>
        <v>Florida</v>
      </c>
      <c r="N1680" t="str">
        <f>_xlfn.XLOOKUP(Orders[[#This Row],[CustomerID]],Customers[CustomerID],Customers[CustomerName])</f>
        <v>Bisi Eze</v>
      </c>
      <c r="O1680" t="str">
        <f>_xlfn.XLOOKUP(Orders[[#This Row],[CustomerID]],Customers[CustomerID],Customers[Gender])</f>
        <v>Female</v>
      </c>
      <c r="P1680">
        <f>_xlfn.XLOOKUP(Orders[[#This Row],[CustomerID]],Customers[CustomerID],Customers[CustomerAge])</f>
        <v>37</v>
      </c>
      <c r="Q1680" t="str">
        <f>IF(Orders[[#This Row],[Age]]&gt;=35,"older","young")</f>
        <v>older</v>
      </c>
      <c r="R1680" t="str">
        <f>_xlfn.XLOOKUP(Orders[[#This Row],[ProductID]],Products[ProductID],Products[ProductName])</f>
        <v>IRON</v>
      </c>
      <c r="S1680" t="str">
        <f>_xlfn.XLOOKUP(Orders[[#This Row],[ProductID]],Products!A:A,Products!C:C)</f>
        <v>Electronics</v>
      </c>
    </row>
    <row r="1681" spans="1:19" x14ac:dyDescent="0.2">
      <c r="A1681" s="4" t="s">
        <v>1870</v>
      </c>
      <c r="B1681" s="5">
        <v>45971</v>
      </c>
      <c r="C1681" s="15">
        <f>WEEKNUM(Orders[[#This Row],[OrderDate]])</f>
        <v>46</v>
      </c>
      <c r="D1681" s="4" t="s">
        <v>418</v>
      </c>
      <c r="E1681" s="4" t="s">
        <v>37</v>
      </c>
      <c r="F1681" s="4">
        <v>6</v>
      </c>
      <c r="G1681" s="4">
        <v>17728</v>
      </c>
      <c r="H1681">
        <v>15068.8</v>
      </c>
      <c r="I1681">
        <f>Orders[[#This Row],[Quantity]]*Orders[[#This Row],[Selling Price]]</f>
        <v>106368</v>
      </c>
      <c r="J1681">
        <f>Orders[[#This Row],[Quantity]]*Orders[[#This Row],[Cost Price]]</f>
        <v>90412.799999999988</v>
      </c>
      <c r="K1681">
        <f>Orders[[#This Row],[Revenue]]-Orders[[#This Row],[Expenses]]</f>
        <v>15955.200000000012</v>
      </c>
      <c r="L1681" t="s">
        <v>2193</v>
      </c>
      <c r="M1681" t="str">
        <f>_xlfn.XLOOKUP(Orders[[#This Row],[CustomerID]],Customers[CustomerID],Customers[City])</f>
        <v>Illinois</v>
      </c>
      <c r="N1681" t="str">
        <f>_xlfn.XLOOKUP(Orders[[#This Row],[CustomerID]],Customers[CustomerID],Customers[CustomerName])</f>
        <v>Amina Danladi</v>
      </c>
      <c r="O1681" t="str">
        <f>_xlfn.XLOOKUP(Orders[[#This Row],[CustomerID]],Customers[CustomerID],Customers[Gender])</f>
        <v>Female</v>
      </c>
      <c r="P1681">
        <f>_xlfn.XLOOKUP(Orders[[#This Row],[CustomerID]],Customers[CustomerID],Customers[CustomerAge])</f>
        <v>20</v>
      </c>
      <c r="Q1681" t="str">
        <f>IF(Orders[[#This Row],[Age]]&gt;=35,"older","young")</f>
        <v>young</v>
      </c>
      <c r="R1681" t="str">
        <f>_xlfn.XLOOKUP(Orders[[#This Row],[ProductID]],Products[ProductID],Products[ProductName])</f>
        <v>IRON</v>
      </c>
      <c r="S1681" t="str">
        <f>_xlfn.XLOOKUP(Orders[[#This Row],[ProductID]],Products!A:A,Products!C:C)</f>
        <v>Electronics</v>
      </c>
    </row>
    <row r="1682" spans="1:19" x14ac:dyDescent="0.2">
      <c r="A1682" s="4" t="s">
        <v>1871</v>
      </c>
      <c r="B1682" s="5">
        <v>45961</v>
      </c>
      <c r="C1682" s="15">
        <f>WEEKNUM(Orders[[#This Row],[OrderDate]])</f>
        <v>44</v>
      </c>
      <c r="D1682" s="4" t="s">
        <v>244</v>
      </c>
      <c r="E1682" s="4" t="s">
        <v>60</v>
      </c>
      <c r="F1682" s="4">
        <v>10</v>
      </c>
      <c r="G1682" s="4">
        <v>2455.8000000000002</v>
      </c>
      <c r="H1682">
        <v>2087.4300000000003</v>
      </c>
      <c r="I1682">
        <f>Orders[[#This Row],[Quantity]]*Orders[[#This Row],[Selling Price]]</f>
        <v>24558</v>
      </c>
      <c r="J1682">
        <f>Orders[[#This Row],[Quantity]]*Orders[[#This Row],[Cost Price]]</f>
        <v>20874.300000000003</v>
      </c>
      <c r="K1682">
        <f>Orders[[#This Row],[Revenue]]-Orders[[#This Row],[Expenses]]</f>
        <v>3683.6999999999971</v>
      </c>
      <c r="L1682" t="s">
        <v>2217</v>
      </c>
      <c r="M1682" t="str">
        <f>_xlfn.XLOOKUP(Orders[[#This Row],[CustomerID]],Customers[CustomerID],Customers[City])</f>
        <v>Texas</v>
      </c>
      <c r="N1682" t="str">
        <f>_xlfn.XLOOKUP(Orders[[#This Row],[CustomerID]],Customers[CustomerID],Customers[CustomerName])</f>
        <v>Zainab Abubakar</v>
      </c>
      <c r="O1682" t="str">
        <f>_xlfn.XLOOKUP(Orders[[#This Row],[CustomerID]],Customers[CustomerID],Customers[Gender])</f>
        <v>Female</v>
      </c>
      <c r="P1682">
        <f>_xlfn.XLOOKUP(Orders[[#This Row],[CustomerID]],Customers[CustomerID],Customers[CustomerAge])</f>
        <v>33</v>
      </c>
      <c r="Q1682" t="str">
        <f>IF(Orders[[#This Row],[Age]]&gt;=35,"older","young")</f>
        <v>young</v>
      </c>
      <c r="R1682" t="str">
        <f>_xlfn.XLOOKUP(Orders[[#This Row],[ProductID]],Products[ProductID],Products[ProductName])</f>
        <v>SILVER RINGS</v>
      </c>
      <c r="S1682" t="str">
        <f>_xlfn.XLOOKUP(Orders[[#This Row],[ProductID]],Products!A:A,Products!C:C)</f>
        <v>Accessories</v>
      </c>
    </row>
    <row r="1683" spans="1:19" x14ac:dyDescent="0.2">
      <c r="A1683" s="4" t="s">
        <v>1872</v>
      </c>
      <c r="B1683" s="5">
        <v>46003</v>
      </c>
      <c r="C1683" s="15">
        <f>WEEKNUM(Orders[[#This Row],[OrderDate]])</f>
        <v>50</v>
      </c>
      <c r="D1683" s="4" t="s">
        <v>314</v>
      </c>
      <c r="E1683" s="4" t="s">
        <v>34</v>
      </c>
      <c r="F1683" s="4">
        <v>2</v>
      </c>
      <c r="G1683" s="4">
        <v>10616.099999999999</v>
      </c>
      <c r="H1683">
        <v>9023.6849999999995</v>
      </c>
      <c r="I1683">
        <f>Orders[[#This Row],[Quantity]]*Orders[[#This Row],[Selling Price]]</f>
        <v>21232.199999999997</v>
      </c>
      <c r="J1683">
        <f>Orders[[#This Row],[Quantity]]*Orders[[#This Row],[Cost Price]]</f>
        <v>18047.37</v>
      </c>
      <c r="K1683">
        <f>Orders[[#This Row],[Revenue]]-Orders[[#This Row],[Expenses]]</f>
        <v>3184.8299999999981</v>
      </c>
      <c r="L1683" t="s">
        <v>2203</v>
      </c>
      <c r="M1683" t="str">
        <f>_xlfn.XLOOKUP(Orders[[#This Row],[CustomerID]],Customers[CustomerID],Customers[City])</f>
        <v>Washington</v>
      </c>
      <c r="N1683" t="str">
        <f>_xlfn.XLOOKUP(Orders[[#This Row],[CustomerID]],Customers[CustomerID],Customers[CustomerName])</f>
        <v>Bisi Ojo</v>
      </c>
      <c r="O1683" t="str">
        <f>_xlfn.XLOOKUP(Orders[[#This Row],[CustomerID]],Customers[CustomerID],Customers[Gender])</f>
        <v>Female</v>
      </c>
      <c r="P1683">
        <f>_xlfn.XLOOKUP(Orders[[#This Row],[CustomerID]],Customers[CustomerID],Customers[CustomerAge])</f>
        <v>18</v>
      </c>
      <c r="Q1683" t="str">
        <f>IF(Orders[[#This Row],[Age]]&gt;=35,"older","young")</f>
        <v>young</v>
      </c>
      <c r="R1683" t="str">
        <f>_xlfn.XLOOKUP(Orders[[#This Row],[ProductID]],Products[ProductID],Products[ProductName])</f>
        <v>GOLD BRACELETS</v>
      </c>
      <c r="S1683" t="str">
        <f>_xlfn.XLOOKUP(Orders[[#This Row],[ProductID]],Products!A:A,Products!C:C)</f>
        <v>Accessories</v>
      </c>
    </row>
    <row r="1684" spans="1:19" x14ac:dyDescent="0.2">
      <c r="A1684" s="4" t="s">
        <v>1873</v>
      </c>
      <c r="B1684" s="5">
        <v>45997</v>
      </c>
      <c r="C1684" s="15">
        <f>WEEKNUM(Orders[[#This Row],[OrderDate]])</f>
        <v>49</v>
      </c>
      <c r="D1684" s="4" t="s">
        <v>282</v>
      </c>
      <c r="E1684" s="4" t="s">
        <v>37</v>
      </c>
      <c r="F1684" s="4">
        <v>7</v>
      </c>
      <c r="G1684" s="4">
        <v>3662.2000000000003</v>
      </c>
      <c r="H1684">
        <v>3112.8700000000003</v>
      </c>
      <c r="I1684">
        <f>Orders[[#This Row],[Quantity]]*Orders[[#This Row],[Selling Price]]</f>
        <v>25635.4</v>
      </c>
      <c r="J1684">
        <f>Orders[[#This Row],[Quantity]]*Orders[[#This Row],[Cost Price]]</f>
        <v>21790.090000000004</v>
      </c>
      <c r="K1684">
        <f>Orders[[#This Row],[Revenue]]-Orders[[#This Row],[Expenses]]</f>
        <v>3845.3099999999977</v>
      </c>
      <c r="L1684" t="s">
        <v>2206</v>
      </c>
      <c r="M1684" t="str">
        <f>_xlfn.XLOOKUP(Orders[[#This Row],[CustomerID]],Customers[CustomerID],Customers[City])</f>
        <v>Texas</v>
      </c>
      <c r="N1684" t="str">
        <f>_xlfn.XLOOKUP(Orders[[#This Row],[CustomerID]],Customers[CustomerID],Customers[CustomerName])</f>
        <v>Bisi Ojo</v>
      </c>
      <c r="O1684" t="str">
        <f>_xlfn.XLOOKUP(Orders[[#This Row],[CustomerID]],Customers[CustomerID],Customers[Gender])</f>
        <v>Female</v>
      </c>
      <c r="P1684">
        <f>_xlfn.XLOOKUP(Orders[[#This Row],[CustomerID]],Customers[CustomerID],Customers[CustomerAge])</f>
        <v>26</v>
      </c>
      <c r="Q1684" t="str">
        <f>IF(Orders[[#This Row],[Age]]&gt;=35,"older","young")</f>
        <v>young</v>
      </c>
      <c r="R1684" t="str">
        <f>_xlfn.XLOOKUP(Orders[[#This Row],[ProductID]],Products[ProductID],Products[ProductName])</f>
        <v>IRON</v>
      </c>
      <c r="S1684" t="str">
        <f>_xlfn.XLOOKUP(Orders[[#This Row],[ProductID]],Products!A:A,Products!C:C)</f>
        <v>Electronics</v>
      </c>
    </row>
    <row r="1685" spans="1:19" x14ac:dyDescent="0.2">
      <c r="A1685" s="4" t="s">
        <v>1874</v>
      </c>
      <c r="B1685" s="5">
        <v>45964</v>
      </c>
      <c r="C1685" s="15">
        <f>WEEKNUM(Orders[[#This Row],[OrderDate]])</f>
        <v>45</v>
      </c>
      <c r="D1685" s="4" t="s">
        <v>96</v>
      </c>
      <c r="E1685" s="4" t="s">
        <v>15</v>
      </c>
      <c r="F1685" s="4">
        <v>1</v>
      </c>
      <c r="G1685" s="4">
        <v>7582.6</v>
      </c>
      <c r="H1685">
        <v>6445.21</v>
      </c>
      <c r="I1685">
        <f>Orders[[#This Row],[Quantity]]*Orders[[#This Row],[Selling Price]]</f>
        <v>7582.6</v>
      </c>
      <c r="J1685">
        <f>Orders[[#This Row],[Quantity]]*Orders[[#This Row],[Cost Price]]</f>
        <v>6445.21</v>
      </c>
      <c r="K1685">
        <f>Orders[[#This Row],[Revenue]]-Orders[[#This Row],[Expenses]]</f>
        <v>1137.3900000000003</v>
      </c>
      <c r="L1685" t="s">
        <v>2195</v>
      </c>
      <c r="M1685" t="str">
        <f>_xlfn.XLOOKUP(Orders[[#This Row],[CustomerID]],Customers[CustomerID],Customers[City])</f>
        <v>Texas</v>
      </c>
      <c r="N1685" t="str">
        <f>_xlfn.XLOOKUP(Orders[[#This Row],[CustomerID]],Customers[CustomerID],Customers[CustomerName])</f>
        <v>Amina Abubakar</v>
      </c>
      <c r="O1685" t="str">
        <f>_xlfn.XLOOKUP(Orders[[#This Row],[CustomerID]],Customers[CustomerID],Customers[Gender])</f>
        <v>Female</v>
      </c>
      <c r="P1685">
        <f>_xlfn.XLOOKUP(Orders[[#This Row],[CustomerID]],Customers[CustomerID],Customers[CustomerAge])</f>
        <v>35</v>
      </c>
      <c r="Q1685" t="str">
        <f>IF(Orders[[#This Row],[Age]]&gt;=35,"older","young")</f>
        <v>older</v>
      </c>
      <c r="R1685" t="str">
        <f>_xlfn.XLOOKUP(Orders[[#This Row],[ProductID]],Products[ProductID],Products[ProductName])</f>
        <v>MONOPOLY</v>
      </c>
      <c r="S1685" t="str">
        <f>_xlfn.XLOOKUP(Orders[[#This Row],[ProductID]],Products!A:A,Products!C:C)</f>
        <v>Games</v>
      </c>
    </row>
    <row r="1686" spans="1:19" x14ac:dyDescent="0.2">
      <c r="A1686" s="4" t="s">
        <v>1875</v>
      </c>
      <c r="B1686" s="5">
        <v>46020</v>
      </c>
      <c r="C1686" s="15">
        <f>WEEKNUM(Orders[[#This Row],[OrderDate]])</f>
        <v>53</v>
      </c>
      <c r="D1686" s="4" t="s">
        <v>388</v>
      </c>
      <c r="E1686" s="4" t="s">
        <v>130</v>
      </c>
      <c r="F1686" s="4">
        <v>10</v>
      </c>
      <c r="G1686" s="4">
        <v>13949.400000000001</v>
      </c>
      <c r="H1686">
        <v>11856.990000000002</v>
      </c>
      <c r="I1686">
        <f>Orders[[#This Row],[Quantity]]*Orders[[#This Row],[Selling Price]]</f>
        <v>139494</v>
      </c>
      <c r="J1686">
        <f>Orders[[#This Row],[Quantity]]*Orders[[#This Row],[Cost Price]]</f>
        <v>118569.90000000002</v>
      </c>
      <c r="K1686">
        <f>Orders[[#This Row],[Revenue]]-Orders[[#This Row],[Expenses]]</f>
        <v>20924.099999999977</v>
      </c>
      <c r="L1686" t="s">
        <v>2199</v>
      </c>
      <c r="M1686" t="str">
        <f>_xlfn.XLOOKUP(Orders[[#This Row],[CustomerID]],Customers[CustomerID],Customers[City])</f>
        <v>Washington</v>
      </c>
      <c r="N1686" t="str">
        <f>_xlfn.XLOOKUP(Orders[[#This Row],[CustomerID]],Customers[CustomerID],Customers[CustomerName])</f>
        <v>Folasade Okonkwo</v>
      </c>
      <c r="O1686" t="str">
        <f>_xlfn.XLOOKUP(Orders[[#This Row],[CustomerID]],Customers[CustomerID],Customers[Gender])</f>
        <v>Female</v>
      </c>
      <c r="P1686">
        <f>_xlfn.XLOOKUP(Orders[[#This Row],[CustomerID]],Customers[CustomerID],Customers[CustomerAge])</f>
        <v>52</v>
      </c>
      <c r="Q1686" t="str">
        <f>IF(Orders[[#This Row],[Age]]&gt;=35,"older","young")</f>
        <v>older</v>
      </c>
      <c r="R1686" t="str">
        <f>_xlfn.XLOOKUP(Orders[[#This Row],[ProductID]],Products[ProductID],Products[ProductName])</f>
        <v>GOLD EARRINGS AND NECKLACES</v>
      </c>
      <c r="S1686" t="str">
        <f>_xlfn.XLOOKUP(Orders[[#This Row],[ProductID]],Products!A:A,Products!C:C)</f>
        <v>Accessories</v>
      </c>
    </row>
    <row r="1687" spans="1:19" x14ac:dyDescent="0.2">
      <c r="A1687" s="4" t="s">
        <v>1876</v>
      </c>
      <c r="B1687" s="5">
        <v>45955</v>
      </c>
      <c r="C1687" s="15">
        <f>WEEKNUM(Orders[[#This Row],[OrderDate]])</f>
        <v>43</v>
      </c>
      <c r="D1687" s="4" t="s">
        <v>605</v>
      </c>
      <c r="E1687" s="4" t="s">
        <v>37</v>
      </c>
      <c r="F1687" s="4">
        <v>1</v>
      </c>
      <c r="G1687" s="4">
        <v>13783.900000000001</v>
      </c>
      <c r="H1687">
        <v>11716.315000000002</v>
      </c>
      <c r="I1687">
        <f>Orders[[#This Row],[Quantity]]*Orders[[#This Row],[Selling Price]]</f>
        <v>13783.900000000001</v>
      </c>
      <c r="J1687">
        <f>Orders[[#This Row],[Quantity]]*Orders[[#This Row],[Cost Price]]</f>
        <v>11716.315000000002</v>
      </c>
      <c r="K1687">
        <f>Orders[[#This Row],[Revenue]]-Orders[[#This Row],[Expenses]]</f>
        <v>2067.5849999999991</v>
      </c>
      <c r="L1687" t="s">
        <v>2193</v>
      </c>
      <c r="M1687" t="str">
        <f>_xlfn.XLOOKUP(Orders[[#This Row],[CustomerID]],Customers[CustomerID],Customers[City])</f>
        <v>Texas</v>
      </c>
      <c r="N1687" t="str">
        <f>_xlfn.XLOOKUP(Orders[[#This Row],[CustomerID]],Customers[CustomerID],Customers[CustomerName])</f>
        <v>Blessing Abubakar</v>
      </c>
      <c r="O1687" t="str">
        <f>_xlfn.XLOOKUP(Orders[[#This Row],[CustomerID]],Customers[CustomerID],Customers[Gender])</f>
        <v>Female</v>
      </c>
      <c r="P1687">
        <f>_xlfn.XLOOKUP(Orders[[#This Row],[CustomerID]],Customers[CustomerID],Customers[CustomerAge])</f>
        <v>44</v>
      </c>
      <c r="Q1687" t="str">
        <f>IF(Orders[[#This Row],[Age]]&gt;=35,"older","young")</f>
        <v>older</v>
      </c>
      <c r="R1687" t="str">
        <f>_xlfn.XLOOKUP(Orders[[#This Row],[ProductID]],Products[ProductID],Products[ProductName])</f>
        <v>IRON</v>
      </c>
      <c r="S1687" t="str">
        <f>_xlfn.XLOOKUP(Orders[[#This Row],[ProductID]],Products!A:A,Products!C:C)</f>
        <v>Electronics</v>
      </c>
    </row>
    <row r="1688" spans="1:19" x14ac:dyDescent="0.2">
      <c r="A1688" s="4" t="s">
        <v>1877</v>
      </c>
      <c r="B1688" s="5">
        <v>46001</v>
      </c>
      <c r="C1688" s="15">
        <f>WEEKNUM(Orders[[#This Row],[OrderDate]])</f>
        <v>50</v>
      </c>
      <c r="D1688" s="4" t="s">
        <v>295</v>
      </c>
      <c r="E1688" s="4" t="s">
        <v>31</v>
      </c>
      <c r="F1688" s="4">
        <v>8</v>
      </c>
      <c r="G1688" s="4">
        <v>13239</v>
      </c>
      <c r="H1688">
        <v>11253.15</v>
      </c>
      <c r="I1688">
        <f>Orders[[#This Row],[Quantity]]*Orders[[#This Row],[Selling Price]]</f>
        <v>105912</v>
      </c>
      <c r="J1688">
        <f>Orders[[#This Row],[Quantity]]*Orders[[#This Row],[Cost Price]]</f>
        <v>90025.2</v>
      </c>
      <c r="K1688">
        <f>Orders[[#This Row],[Revenue]]-Orders[[#This Row],[Expenses]]</f>
        <v>15886.800000000003</v>
      </c>
      <c r="L1688" t="s">
        <v>2213</v>
      </c>
      <c r="M1688" t="str">
        <f>_xlfn.XLOOKUP(Orders[[#This Row],[CustomerID]],Customers[CustomerID],Customers[City])</f>
        <v>Texas</v>
      </c>
      <c r="N1688" t="str">
        <f>_xlfn.XLOOKUP(Orders[[#This Row],[CustomerID]],Customers[CustomerID],Customers[CustomerName])</f>
        <v>Sani Obi</v>
      </c>
      <c r="O1688" t="str">
        <f>_xlfn.XLOOKUP(Orders[[#This Row],[CustomerID]],Customers[CustomerID],Customers[Gender])</f>
        <v>Male</v>
      </c>
      <c r="P1688">
        <f>_xlfn.XLOOKUP(Orders[[#This Row],[CustomerID]],Customers[CustomerID],Customers[CustomerAge])</f>
        <v>31</v>
      </c>
      <c r="Q1688" t="str">
        <f>IF(Orders[[#This Row],[Age]]&gt;=35,"older","young")</f>
        <v>young</v>
      </c>
      <c r="R1688" t="str">
        <f>_xlfn.XLOOKUP(Orders[[#This Row],[ProductID]],Products[ProductID],Products[ProductName])</f>
        <v>KIDS GAMES</v>
      </c>
      <c r="S1688" t="str">
        <f>_xlfn.XLOOKUP(Orders[[#This Row],[ProductID]],Products!A:A,Products!C:C)</f>
        <v>Games</v>
      </c>
    </row>
    <row r="1689" spans="1:19" x14ac:dyDescent="0.2">
      <c r="A1689" s="4" t="s">
        <v>1878</v>
      </c>
      <c r="B1689" s="5">
        <v>45970</v>
      </c>
      <c r="C1689" s="15">
        <f>WEEKNUM(Orders[[#This Row],[OrderDate]])</f>
        <v>46</v>
      </c>
      <c r="D1689" s="4" t="s">
        <v>502</v>
      </c>
      <c r="E1689" s="4" t="s">
        <v>111</v>
      </c>
      <c r="F1689" s="4">
        <v>5</v>
      </c>
      <c r="G1689" s="4">
        <v>9201.2000000000007</v>
      </c>
      <c r="H1689">
        <v>7821.02</v>
      </c>
      <c r="I1689">
        <f>Orders[[#This Row],[Quantity]]*Orders[[#This Row],[Selling Price]]</f>
        <v>46006</v>
      </c>
      <c r="J1689">
        <f>Orders[[#This Row],[Quantity]]*Orders[[#This Row],[Cost Price]]</f>
        <v>39105.100000000006</v>
      </c>
      <c r="K1689">
        <f>Orders[[#This Row],[Revenue]]-Orders[[#This Row],[Expenses]]</f>
        <v>6900.8999999999942</v>
      </c>
      <c r="L1689" t="s">
        <v>2201</v>
      </c>
      <c r="M1689" t="str">
        <f>_xlfn.XLOOKUP(Orders[[#This Row],[CustomerID]],Customers[CustomerID],Customers[City])</f>
        <v>Texas</v>
      </c>
      <c r="N1689" t="str">
        <f>_xlfn.XLOOKUP(Orders[[#This Row],[CustomerID]],Customers[CustomerID],Customers[CustomerName])</f>
        <v>Obi Eze</v>
      </c>
      <c r="O1689" t="str">
        <f>_xlfn.XLOOKUP(Orders[[#This Row],[CustomerID]],Customers[CustomerID],Customers[Gender])</f>
        <v>Male</v>
      </c>
      <c r="P1689">
        <f>_xlfn.XLOOKUP(Orders[[#This Row],[CustomerID]],Customers[CustomerID],Customers[CustomerAge])</f>
        <v>24</v>
      </c>
      <c r="Q1689" t="str">
        <f>IF(Orders[[#This Row],[Age]]&gt;=35,"older","young")</f>
        <v>young</v>
      </c>
      <c r="R1689" t="str">
        <f>_xlfn.XLOOKUP(Orders[[#This Row],[ProductID]],Products[ProductID],Products[ProductName])</f>
        <v>REFRIGERATOR</v>
      </c>
      <c r="S1689" t="str">
        <f>_xlfn.XLOOKUP(Orders[[#This Row],[ProductID]],Products!A:A,Products!C:C)</f>
        <v>Electronics</v>
      </c>
    </row>
    <row r="1690" spans="1:19" x14ac:dyDescent="0.2">
      <c r="A1690" s="4" t="s">
        <v>1879</v>
      </c>
      <c r="B1690" s="5">
        <v>46014</v>
      </c>
      <c r="C1690" s="15">
        <f>WEEKNUM(Orders[[#This Row],[OrderDate]])</f>
        <v>52</v>
      </c>
      <c r="D1690" s="4" t="s">
        <v>216</v>
      </c>
      <c r="E1690" s="4" t="s">
        <v>20</v>
      </c>
      <c r="F1690" s="4">
        <v>4</v>
      </c>
      <c r="G1690" s="4">
        <v>10145.9</v>
      </c>
      <c r="H1690">
        <v>8624.0149999999994</v>
      </c>
      <c r="I1690">
        <f>Orders[[#This Row],[Quantity]]*Orders[[#This Row],[Selling Price]]</f>
        <v>40583.599999999999</v>
      </c>
      <c r="J1690">
        <f>Orders[[#This Row],[Quantity]]*Orders[[#This Row],[Cost Price]]</f>
        <v>34496.06</v>
      </c>
      <c r="K1690">
        <f>Orders[[#This Row],[Revenue]]-Orders[[#This Row],[Expenses]]</f>
        <v>6087.5400000000009</v>
      </c>
      <c r="L1690" t="s">
        <v>2210</v>
      </c>
      <c r="M1690" t="str">
        <f>_xlfn.XLOOKUP(Orders[[#This Row],[CustomerID]],Customers[CustomerID],Customers[City])</f>
        <v>California</v>
      </c>
      <c r="N1690" t="str">
        <f>_xlfn.XLOOKUP(Orders[[#This Row],[CustomerID]],Customers[CustomerID],Customers[CustomerName])</f>
        <v>Ngozi Obi</v>
      </c>
      <c r="O1690" t="str">
        <f>_xlfn.XLOOKUP(Orders[[#This Row],[CustomerID]],Customers[CustomerID],Customers[Gender])</f>
        <v>Female</v>
      </c>
      <c r="P1690">
        <f>_xlfn.XLOOKUP(Orders[[#This Row],[CustomerID]],Customers[CustomerID],Customers[CustomerAge])</f>
        <v>54</v>
      </c>
      <c r="Q1690" t="str">
        <f>IF(Orders[[#This Row],[Age]]&gt;=35,"older","young")</f>
        <v>older</v>
      </c>
      <c r="R1690" t="str">
        <f>_xlfn.XLOOKUP(Orders[[#This Row],[ProductID]],Products[ProductID],Products[ProductName])</f>
        <v>GYM BAG</v>
      </c>
      <c r="S1690" t="str">
        <f>_xlfn.XLOOKUP(Orders[[#This Row],[ProductID]],Products!A:A,Products!C:C)</f>
        <v>Gym</v>
      </c>
    </row>
    <row r="1691" spans="1:19" x14ac:dyDescent="0.2">
      <c r="A1691" s="4" t="s">
        <v>1880</v>
      </c>
      <c r="B1691" s="5">
        <v>46021</v>
      </c>
      <c r="C1691" s="15">
        <f>WEEKNUM(Orders[[#This Row],[OrderDate]])</f>
        <v>53</v>
      </c>
      <c r="D1691" s="4" t="s">
        <v>481</v>
      </c>
      <c r="E1691" s="4" t="s">
        <v>168</v>
      </c>
      <c r="F1691" s="4">
        <v>1</v>
      </c>
      <c r="G1691" s="4">
        <v>2717.1</v>
      </c>
      <c r="H1691">
        <v>2309.5349999999999</v>
      </c>
      <c r="I1691">
        <f>Orders[[#This Row],[Quantity]]*Orders[[#This Row],[Selling Price]]</f>
        <v>2717.1</v>
      </c>
      <c r="J1691">
        <f>Orders[[#This Row],[Quantity]]*Orders[[#This Row],[Cost Price]]</f>
        <v>2309.5349999999999</v>
      </c>
      <c r="K1691">
        <f>Orders[[#This Row],[Revenue]]-Orders[[#This Row],[Expenses]]</f>
        <v>407.56500000000005</v>
      </c>
      <c r="L1691" t="s">
        <v>2196</v>
      </c>
      <c r="M1691" t="str">
        <f>_xlfn.XLOOKUP(Orders[[#This Row],[CustomerID]],Customers[CustomerID],Customers[City])</f>
        <v>Illinois</v>
      </c>
      <c r="N1691" t="str">
        <f>_xlfn.XLOOKUP(Orders[[#This Row],[CustomerID]],Customers[CustomerID],Customers[CustomerName])</f>
        <v>Abiola Bello</v>
      </c>
      <c r="O1691" t="str">
        <f>_xlfn.XLOOKUP(Orders[[#This Row],[CustomerID]],Customers[CustomerID],Customers[Gender])</f>
        <v>Male</v>
      </c>
      <c r="P1691">
        <f>_xlfn.XLOOKUP(Orders[[#This Row],[CustomerID]],Customers[CustomerID],Customers[CustomerAge])</f>
        <v>33</v>
      </c>
      <c r="Q1691" t="str">
        <f>IF(Orders[[#This Row],[Age]]&gt;=35,"older","young")</f>
        <v>young</v>
      </c>
      <c r="R1691" t="str">
        <f>_xlfn.XLOOKUP(Orders[[#This Row],[ProductID]],Products[ProductID],Products[ProductName])</f>
        <v>DUMB BELLS</v>
      </c>
      <c r="S1691" t="str">
        <f>_xlfn.XLOOKUP(Orders[[#This Row],[ProductID]],Products!A:A,Products!C:C)</f>
        <v>Gym</v>
      </c>
    </row>
    <row r="1692" spans="1:19" x14ac:dyDescent="0.2">
      <c r="A1692" s="4" t="s">
        <v>1881</v>
      </c>
      <c r="B1692" s="5">
        <v>45993</v>
      </c>
      <c r="C1692" s="15">
        <f>WEEKNUM(Orders[[#This Row],[OrderDate]])</f>
        <v>49</v>
      </c>
      <c r="D1692" s="4" t="s">
        <v>410</v>
      </c>
      <c r="E1692" s="4" t="s">
        <v>151</v>
      </c>
      <c r="F1692" s="4">
        <v>7</v>
      </c>
      <c r="G1692" s="4">
        <v>6955</v>
      </c>
      <c r="H1692">
        <v>5911.75</v>
      </c>
      <c r="I1692">
        <f>Orders[[#This Row],[Quantity]]*Orders[[#This Row],[Selling Price]]</f>
        <v>48685</v>
      </c>
      <c r="J1692">
        <f>Orders[[#This Row],[Quantity]]*Orders[[#This Row],[Cost Price]]</f>
        <v>41382.25</v>
      </c>
      <c r="K1692">
        <f>Orders[[#This Row],[Revenue]]-Orders[[#This Row],[Expenses]]</f>
        <v>7302.75</v>
      </c>
      <c r="L1692" t="s">
        <v>2213</v>
      </c>
      <c r="M1692" t="str">
        <f>_xlfn.XLOOKUP(Orders[[#This Row],[CustomerID]],Customers[CustomerID],Customers[City])</f>
        <v>Texas</v>
      </c>
      <c r="N1692" t="str">
        <f>_xlfn.XLOOKUP(Orders[[#This Row],[CustomerID]],Customers[CustomerID],Customers[CustomerName])</f>
        <v>Jane Thomas</v>
      </c>
      <c r="O1692" t="str">
        <f>_xlfn.XLOOKUP(Orders[[#This Row],[CustomerID]],Customers[CustomerID],Customers[Gender])</f>
        <v>Male</v>
      </c>
      <c r="P1692">
        <f>_xlfn.XLOOKUP(Orders[[#This Row],[CustomerID]],Customers[CustomerID],Customers[CustomerAge])</f>
        <v>21</v>
      </c>
      <c r="Q1692" t="str">
        <f>IF(Orders[[#This Row],[Age]]&gt;=35,"older","young")</f>
        <v>young</v>
      </c>
      <c r="R1692" t="str">
        <f>_xlfn.XLOOKUP(Orders[[#This Row],[ProductID]],Products[ProductID],Products[ProductName])</f>
        <v>CHECKERS</v>
      </c>
      <c r="S1692" t="str">
        <f>_xlfn.XLOOKUP(Orders[[#This Row],[ProductID]],Products!A:A,Products!C:C)</f>
        <v>Games</v>
      </c>
    </row>
    <row r="1693" spans="1:19" x14ac:dyDescent="0.2">
      <c r="A1693" s="4" t="s">
        <v>1882</v>
      </c>
      <c r="B1693" s="5">
        <v>45964</v>
      </c>
      <c r="C1693" s="15">
        <f>WEEKNUM(Orders[[#This Row],[OrderDate]])</f>
        <v>45</v>
      </c>
      <c r="D1693" s="4" t="s">
        <v>136</v>
      </c>
      <c r="E1693" s="4" t="s">
        <v>20</v>
      </c>
      <c r="F1693" s="4">
        <v>7</v>
      </c>
      <c r="G1693" s="4">
        <v>3817.5</v>
      </c>
      <c r="H1693">
        <v>3244.875</v>
      </c>
      <c r="I1693">
        <f>Orders[[#This Row],[Quantity]]*Orders[[#This Row],[Selling Price]]</f>
        <v>26722.5</v>
      </c>
      <c r="J1693">
        <f>Orders[[#This Row],[Quantity]]*Orders[[#This Row],[Cost Price]]</f>
        <v>22714.125</v>
      </c>
      <c r="K1693">
        <f>Orders[[#This Row],[Revenue]]-Orders[[#This Row],[Expenses]]</f>
        <v>4008.375</v>
      </c>
      <c r="L1693" t="s">
        <v>2201</v>
      </c>
      <c r="M1693" t="str">
        <f>_xlfn.XLOOKUP(Orders[[#This Row],[CustomerID]],Customers[CustomerID],Customers[City])</f>
        <v>California</v>
      </c>
      <c r="N1693" t="str">
        <f>_xlfn.XLOOKUP(Orders[[#This Row],[CustomerID]],Customers[CustomerID],Customers[CustomerName])</f>
        <v>Chinedu Obi</v>
      </c>
      <c r="O1693" t="str">
        <f>_xlfn.XLOOKUP(Orders[[#This Row],[CustomerID]],Customers[CustomerID],Customers[Gender])</f>
        <v>Male</v>
      </c>
      <c r="P1693">
        <f>_xlfn.XLOOKUP(Orders[[#This Row],[CustomerID]],Customers[CustomerID],Customers[CustomerAge])</f>
        <v>27</v>
      </c>
      <c r="Q1693" t="str">
        <f>IF(Orders[[#This Row],[Age]]&gt;=35,"older","young")</f>
        <v>young</v>
      </c>
      <c r="R1693" t="str">
        <f>_xlfn.XLOOKUP(Orders[[#This Row],[ProductID]],Products[ProductID],Products[ProductName])</f>
        <v>GYM BAG</v>
      </c>
      <c r="S1693" t="str">
        <f>_xlfn.XLOOKUP(Orders[[#This Row],[ProductID]],Products!A:A,Products!C:C)</f>
        <v>Gym</v>
      </c>
    </row>
    <row r="1694" spans="1:19" x14ac:dyDescent="0.2">
      <c r="A1694" s="4" t="s">
        <v>1883</v>
      </c>
      <c r="B1694" s="5">
        <v>45935</v>
      </c>
      <c r="C1694" s="15">
        <f>WEEKNUM(Orders[[#This Row],[OrderDate]])</f>
        <v>41</v>
      </c>
      <c r="D1694" s="4" t="s">
        <v>110</v>
      </c>
      <c r="E1694" s="4" t="s">
        <v>12</v>
      </c>
      <c r="F1694" s="4">
        <v>5</v>
      </c>
      <c r="G1694" s="4">
        <v>16785.2</v>
      </c>
      <c r="H1694">
        <v>14267.42</v>
      </c>
      <c r="I1694">
        <f>Orders[[#This Row],[Quantity]]*Orders[[#This Row],[Selling Price]]</f>
        <v>83926</v>
      </c>
      <c r="J1694">
        <f>Orders[[#This Row],[Quantity]]*Orders[[#This Row],[Cost Price]]</f>
        <v>71337.100000000006</v>
      </c>
      <c r="K1694">
        <f>Orders[[#This Row],[Revenue]]-Orders[[#This Row],[Expenses]]</f>
        <v>12588.899999999994</v>
      </c>
      <c r="L1694" t="s">
        <v>2199</v>
      </c>
      <c r="M1694" t="str">
        <f>_xlfn.XLOOKUP(Orders[[#This Row],[CustomerID]],Customers[CustomerID],Customers[City])</f>
        <v>Washington</v>
      </c>
      <c r="N1694" t="str">
        <f>_xlfn.XLOOKUP(Orders[[#This Row],[CustomerID]],Customers[CustomerID],Customers[CustomerName])</f>
        <v>Ngozi Danladi</v>
      </c>
      <c r="O1694" t="str">
        <f>_xlfn.XLOOKUP(Orders[[#This Row],[CustomerID]],Customers[CustomerID],Customers[Gender])</f>
        <v>Female</v>
      </c>
      <c r="P1694">
        <f>_xlfn.XLOOKUP(Orders[[#This Row],[CustomerID]],Customers[CustomerID],Customers[CustomerAge])</f>
        <v>28</v>
      </c>
      <c r="Q1694" t="str">
        <f>IF(Orders[[#This Row],[Age]]&gt;=35,"older","young")</f>
        <v>young</v>
      </c>
      <c r="R1694" t="str">
        <f>_xlfn.XLOOKUP(Orders[[#This Row],[ProductID]],Products[ProductID],Products[ProductName])</f>
        <v>BOUBOU</v>
      </c>
      <c r="S1694" t="str">
        <f>_xlfn.XLOOKUP(Orders[[#This Row],[ProductID]],Products!A:A,Products!C:C)</f>
        <v>Clothing</v>
      </c>
    </row>
    <row r="1695" spans="1:19" x14ac:dyDescent="0.2">
      <c r="A1695" s="4" t="s">
        <v>1884</v>
      </c>
      <c r="B1695" s="5">
        <v>46010</v>
      </c>
      <c r="C1695" s="15">
        <f>WEEKNUM(Orders[[#This Row],[OrderDate]])</f>
        <v>51</v>
      </c>
      <c r="D1695" s="4" t="s">
        <v>314</v>
      </c>
      <c r="E1695" s="4" t="s">
        <v>130</v>
      </c>
      <c r="F1695" s="4">
        <v>9</v>
      </c>
      <c r="G1695" s="4">
        <v>10105</v>
      </c>
      <c r="H1695">
        <v>8589.25</v>
      </c>
      <c r="I1695">
        <f>Orders[[#This Row],[Quantity]]*Orders[[#This Row],[Selling Price]]</f>
        <v>90945</v>
      </c>
      <c r="J1695">
        <f>Orders[[#This Row],[Quantity]]*Orders[[#This Row],[Cost Price]]</f>
        <v>77303.25</v>
      </c>
      <c r="K1695">
        <f>Orders[[#This Row],[Revenue]]-Orders[[#This Row],[Expenses]]</f>
        <v>13641.75</v>
      </c>
      <c r="L1695" t="s">
        <v>2197</v>
      </c>
      <c r="M1695" t="str">
        <f>_xlfn.XLOOKUP(Orders[[#This Row],[CustomerID]],Customers[CustomerID],Customers[City])</f>
        <v>Washington</v>
      </c>
      <c r="N1695" t="str">
        <f>_xlfn.XLOOKUP(Orders[[#This Row],[CustomerID]],Customers[CustomerID],Customers[CustomerName])</f>
        <v>Bisi Ojo</v>
      </c>
      <c r="O1695" t="str">
        <f>_xlfn.XLOOKUP(Orders[[#This Row],[CustomerID]],Customers[CustomerID],Customers[Gender])</f>
        <v>Female</v>
      </c>
      <c r="P1695">
        <f>_xlfn.XLOOKUP(Orders[[#This Row],[CustomerID]],Customers[CustomerID],Customers[CustomerAge])</f>
        <v>18</v>
      </c>
      <c r="Q1695" t="str">
        <f>IF(Orders[[#This Row],[Age]]&gt;=35,"older","young")</f>
        <v>young</v>
      </c>
      <c r="R1695" t="str">
        <f>_xlfn.XLOOKUP(Orders[[#This Row],[ProductID]],Products[ProductID],Products[ProductName])</f>
        <v>GOLD EARRINGS AND NECKLACES</v>
      </c>
      <c r="S1695" t="str">
        <f>_xlfn.XLOOKUP(Orders[[#This Row],[ProductID]],Products!A:A,Products!C:C)</f>
        <v>Accessories</v>
      </c>
    </row>
    <row r="1696" spans="1:19" x14ac:dyDescent="0.2">
      <c r="A1696" s="4" t="s">
        <v>1885</v>
      </c>
      <c r="B1696" s="5">
        <v>45941</v>
      </c>
      <c r="C1696" s="15">
        <f>WEEKNUM(Orders[[#This Row],[OrderDate]])</f>
        <v>41</v>
      </c>
      <c r="D1696" s="4" t="s">
        <v>129</v>
      </c>
      <c r="E1696" s="4" t="s">
        <v>120</v>
      </c>
      <c r="F1696" s="4">
        <v>4</v>
      </c>
      <c r="G1696" s="4">
        <v>8557</v>
      </c>
      <c r="H1696">
        <v>7273.45</v>
      </c>
      <c r="I1696">
        <f>Orders[[#This Row],[Quantity]]*Orders[[#This Row],[Selling Price]]</f>
        <v>34228</v>
      </c>
      <c r="J1696">
        <f>Orders[[#This Row],[Quantity]]*Orders[[#This Row],[Cost Price]]</f>
        <v>29093.8</v>
      </c>
      <c r="K1696">
        <f>Orders[[#This Row],[Revenue]]-Orders[[#This Row],[Expenses]]</f>
        <v>5134.2000000000007</v>
      </c>
      <c r="L1696" t="s">
        <v>2218</v>
      </c>
      <c r="M1696" t="str">
        <f>_xlfn.XLOOKUP(Orders[[#This Row],[CustomerID]],Customers[CustomerID],Customers[City])</f>
        <v>Washington</v>
      </c>
      <c r="N1696" t="str">
        <f>_xlfn.XLOOKUP(Orders[[#This Row],[CustomerID]],Customers[CustomerID],Customers[CustomerName])</f>
        <v>Chioma Ojo</v>
      </c>
      <c r="O1696" t="str">
        <f>_xlfn.XLOOKUP(Orders[[#This Row],[CustomerID]],Customers[CustomerID],Customers[Gender])</f>
        <v>Female</v>
      </c>
      <c r="P1696">
        <f>_xlfn.XLOOKUP(Orders[[#This Row],[CustomerID]],Customers[CustomerID],Customers[CustomerAge])</f>
        <v>46</v>
      </c>
      <c r="Q1696" t="str">
        <f>IF(Orders[[#This Row],[Age]]&gt;=35,"older","young")</f>
        <v>older</v>
      </c>
      <c r="R1696" t="str">
        <f>_xlfn.XLOOKUP(Orders[[#This Row],[ProductID]],Products[ProductID],Products[ProductName])</f>
        <v>CHESS</v>
      </c>
      <c r="S1696" t="str">
        <f>_xlfn.XLOOKUP(Orders[[#This Row],[ProductID]],Products!A:A,Products!C:C)</f>
        <v>Games</v>
      </c>
    </row>
    <row r="1697" spans="1:19" x14ac:dyDescent="0.2">
      <c r="A1697" s="4" t="s">
        <v>1886</v>
      </c>
      <c r="B1697" s="5">
        <v>45943</v>
      </c>
      <c r="C1697" s="15">
        <f>WEEKNUM(Orders[[#This Row],[OrderDate]])</f>
        <v>42</v>
      </c>
      <c r="D1697" s="4" t="s">
        <v>150</v>
      </c>
      <c r="E1697" s="4" t="s">
        <v>15</v>
      </c>
      <c r="F1697" s="4">
        <v>8</v>
      </c>
      <c r="G1697" s="4">
        <v>12643.099999999999</v>
      </c>
      <c r="H1697">
        <v>10746.634999999998</v>
      </c>
      <c r="I1697">
        <f>Orders[[#This Row],[Quantity]]*Orders[[#This Row],[Selling Price]]</f>
        <v>101144.79999999999</v>
      </c>
      <c r="J1697">
        <f>Orders[[#This Row],[Quantity]]*Orders[[#This Row],[Cost Price]]</f>
        <v>85973.079999999987</v>
      </c>
      <c r="K1697">
        <f>Orders[[#This Row],[Revenue]]-Orders[[#This Row],[Expenses]]</f>
        <v>15171.720000000001</v>
      </c>
      <c r="L1697" t="s">
        <v>2195</v>
      </c>
      <c r="M1697" t="str">
        <f>_xlfn.XLOOKUP(Orders[[#This Row],[CustomerID]],Customers[CustomerID],Customers[City])</f>
        <v>Georgia</v>
      </c>
      <c r="N1697" t="str">
        <f>_xlfn.XLOOKUP(Orders[[#This Row],[CustomerID]],Customers[CustomerID],Customers[CustomerName])</f>
        <v>Ronke Eze</v>
      </c>
      <c r="O1697" t="str">
        <f>_xlfn.XLOOKUP(Orders[[#This Row],[CustomerID]],Customers[CustomerID],Customers[Gender])</f>
        <v>Female</v>
      </c>
      <c r="P1697">
        <f>_xlfn.XLOOKUP(Orders[[#This Row],[CustomerID]],Customers[CustomerID],Customers[CustomerAge])</f>
        <v>23</v>
      </c>
      <c r="Q1697" t="str">
        <f>IF(Orders[[#This Row],[Age]]&gt;=35,"older","young")</f>
        <v>young</v>
      </c>
      <c r="R1697" t="str">
        <f>_xlfn.XLOOKUP(Orders[[#This Row],[ProductID]],Products[ProductID],Products[ProductName])</f>
        <v>MONOPOLY</v>
      </c>
      <c r="S1697" t="str">
        <f>_xlfn.XLOOKUP(Orders[[#This Row],[ProductID]],Products!A:A,Products!C:C)</f>
        <v>Games</v>
      </c>
    </row>
    <row r="1698" spans="1:19" x14ac:dyDescent="0.2">
      <c r="A1698" s="4" t="s">
        <v>1887</v>
      </c>
      <c r="B1698" s="5">
        <v>45955</v>
      </c>
      <c r="C1698" s="15">
        <f>WEEKNUM(Orders[[#This Row],[OrderDate]])</f>
        <v>43</v>
      </c>
      <c r="D1698" s="4" t="s">
        <v>8</v>
      </c>
      <c r="E1698" s="4" t="s">
        <v>125</v>
      </c>
      <c r="F1698" s="4">
        <v>4</v>
      </c>
      <c r="G1698" s="4">
        <v>15133.199999999999</v>
      </c>
      <c r="H1698">
        <v>12863.22</v>
      </c>
      <c r="I1698">
        <f>Orders[[#This Row],[Quantity]]*Orders[[#This Row],[Selling Price]]</f>
        <v>60532.799999999996</v>
      </c>
      <c r="J1698">
        <f>Orders[[#This Row],[Quantity]]*Orders[[#This Row],[Cost Price]]</f>
        <v>51452.88</v>
      </c>
      <c r="K1698">
        <f>Orders[[#This Row],[Revenue]]-Orders[[#This Row],[Expenses]]</f>
        <v>9079.9199999999983</v>
      </c>
      <c r="L1698" t="s">
        <v>2206</v>
      </c>
      <c r="M1698" t="str">
        <f>_xlfn.XLOOKUP(Orders[[#This Row],[CustomerID]],Customers[CustomerID],Customers[City])</f>
        <v>Washington</v>
      </c>
      <c r="N1698" t="str">
        <f>_xlfn.XLOOKUP(Orders[[#This Row],[CustomerID]],Customers[CustomerID],Customers[CustomerName])</f>
        <v>Bi si Bello</v>
      </c>
      <c r="O1698" t="str">
        <f>_xlfn.XLOOKUP(Orders[[#This Row],[CustomerID]],Customers[CustomerID],Customers[Gender])</f>
        <v>Female</v>
      </c>
      <c r="P1698">
        <f>_xlfn.XLOOKUP(Orders[[#This Row],[CustomerID]],Customers[CustomerID],Customers[CustomerAge])</f>
        <v>38</v>
      </c>
      <c r="Q1698" t="str">
        <f>IF(Orders[[#This Row],[Age]]&gt;=35,"older","young")</f>
        <v>older</v>
      </c>
      <c r="R1698" t="str">
        <f>_xlfn.XLOOKUP(Orders[[#This Row],[ProductID]],Products[ProductID],Products[ProductName])</f>
        <v>EARRINGS</v>
      </c>
      <c r="S1698" t="str">
        <f>_xlfn.XLOOKUP(Orders[[#This Row],[ProductID]],Products!A:A,Products!C:C)</f>
        <v>Accessories</v>
      </c>
    </row>
    <row r="1699" spans="1:19" x14ac:dyDescent="0.2">
      <c r="A1699" s="4" t="s">
        <v>1888</v>
      </c>
      <c r="B1699" s="5">
        <v>45979</v>
      </c>
      <c r="C1699" s="15">
        <f>WEEKNUM(Orders[[#This Row],[OrderDate]])</f>
        <v>47</v>
      </c>
      <c r="D1699" s="4" t="s">
        <v>180</v>
      </c>
      <c r="E1699" s="4" t="s">
        <v>63</v>
      </c>
      <c r="F1699" s="4">
        <v>6</v>
      </c>
      <c r="G1699" s="4">
        <v>1296.5999999999999</v>
      </c>
      <c r="H1699">
        <v>1102.1099999999999</v>
      </c>
      <c r="I1699">
        <f>Orders[[#This Row],[Quantity]]*Orders[[#This Row],[Selling Price]]</f>
        <v>7779.5999999999995</v>
      </c>
      <c r="J1699">
        <f>Orders[[#This Row],[Quantity]]*Orders[[#This Row],[Cost Price]]</f>
        <v>6612.66</v>
      </c>
      <c r="K1699">
        <f>Orders[[#This Row],[Revenue]]-Orders[[#This Row],[Expenses]]</f>
        <v>1166.9399999999996</v>
      </c>
      <c r="L1699" t="s">
        <v>2203</v>
      </c>
      <c r="M1699" t="str">
        <f>_xlfn.XLOOKUP(Orders[[#This Row],[CustomerID]],Customers[CustomerID],Customers[City])</f>
        <v>Texas</v>
      </c>
      <c r="N1699" t="str">
        <f>_xlfn.XLOOKUP(Orders[[#This Row],[CustomerID]],Customers[CustomerID],Customers[CustomerName])</f>
        <v>Jide Okonkwo</v>
      </c>
      <c r="O1699" t="str">
        <f>_xlfn.XLOOKUP(Orders[[#This Row],[CustomerID]],Customers[CustomerID],Customers[Gender])</f>
        <v>Male</v>
      </c>
      <c r="P1699">
        <f>_xlfn.XLOOKUP(Orders[[#This Row],[CustomerID]],Customers[CustomerID],Customers[CustomerAge])</f>
        <v>25</v>
      </c>
      <c r="Q1699" t="str">
        <f>IF(Orders[[#This Row],[Age]]&gt;=35,"older","young")</f>
        <v>young</v>
      </c>
      <c r="R1699" t="str">
        <f>_xlfn.XLOOKUP(Orders[[#This Row],[ProductID]],Products[ProductID],Products[ProductName])</f>
        <v>TENNIS BAT</v>
      </c>
      <c r="S1699" t="str">
        <f>_xlfn.XLOOKUP(Orders[[#This Row],[ProductID]],Products!A:A,Products!C:C)</f>
        <v>Sports</v>
      </c>
    </row>
    <row r="1700" spans="1:19" x14ac:dyDescent="0.2">
      <c r="A1700" s="4" t="s">
        <v>1889</v>
      </c>
      <c r="B1700" s="5">
        <v>45948</v>
      </c>
      <c r="C1700" s="15">
        <f>WEEKNUM(Orders[[#This Row],[OrderDate]])</f>
        <v>42</v>
      </c>
      <c r="D1700" s="4" t="s">
        <v>132</v>
      </c>
      <c r="E1700" s="4" t="s">
        <v>92</v>
      </c>
      <c r="F1700" s="4">
        <v>9</v>
      </c>
      <c r="G1700" s="4">
        <v>15306.5</v>
      </c>
      <c r="H1700">
        <v>13010.525</v>
      </c>
      <c r="I1700">
        <f>Orders[[#This Row],[Quantity]]*Orders[[#This Row],[Selling Price]]</f>
        <v>137758.5</v>
      </c>
      <c r="J1700">
        <f>Orders[[#This Row],[Quantity]]*Orders[[#This Row],[Cost Price]]</f>
        <v>117094.72499999999</v>
      </c>
      <c r="K1700">
        <f>Orders[[#This Row],[Revenue]]-Orders[[#This Row],[Expenses]]</f>
        <v>20663.775000000009</v>
      </c>
      <c r="L1700" t="s">
        <v>2214</v>
      </c>
      <c r="M1700" t="str">
        <f>_xlfn.XLOOKUP(Orders[[#This Row],[CustomerID]],Customers[CustomerID],Customers[City])</f>
        <v>Illinois</v>
      </c>
      <c r="N1700" t="str">
        <f>_xlfn.XLOOKUP(Orders[[#This Row],[CustomerID]],Customers[CustomerID],Customers[CustomerName])</f>
        <v>Emeka Balogun</v>
      </c>
      <c r="O1700" t="str">
        <f>_xlfn.XLOOKUP(Orders[[#This Row],[CustomerID]],Customers[CustomerID],Customers[Gender])</f>
        <v>Male</v>
      </c>
      <c r="P1700">
        <f>_xlfn.XLOOKUP(Orders[[#This Row],[CustomerID]],Customers[CustomerID],Customers[CustomerAge])</f>
        <v>36</v>
      </c>
      <c r="Q1700" t="str">
        <f>IF(Orders[[#This Row],[Age]]&gt;=35,"older","young")</f>
        <v>older</v>
      </c>
      <c r="R1700" t="str">
        <f>_xlfn.XLOOKUP(Orders[[#This Row],[ProductID]],Products[ProductID],Products[ProductName])</f>
        <v>CHEST EXPANDER</v>
      </c>
      <c r="S1700" t="str">
        <f>_xlfn.XLOOKUP(Orders[[#This Row],[ProductID]],Products!A:A,Products!C:C)</f>
        <v>Gym</v>
      </c>
    </row>
    <row r="1701" spans="1:19" x14ac:dyDescent="0.2">
      <c r="A1701" s="4" t="s">
        <v>1890</v>
      </c>
      <c r="B1701" s="5">
        <v>45991</v>
      </c>
      <c r="C1701" s="15">
        <f>WEEKNUM(Orders[[#This Row],[OrderDate]])</f>
        <v>49</v>
      </c>
      <c r="D1701" s="4" t="s">
        <v>607</v>
      </c>
      <c r="E1701" s="4" t="s">
        <v>151</v>
      </c>
      <c r="F1701" s="4">
        <v>7</v>
      </c>
      <c r="G1701" s="4">
        <v>14968.699999999999</v>
      </c>
      <c r="H1701">
        <v>12723.394999999999</v>
      </c>
      <c r="I1701">
        <f>Orders[[#This Row],[Quantity]]*Orders[[#This Row],[Selling Price]]</f>
        <v>104780.9</v>
      </c>
      <c r="J1701">
        <f>Orders[[#This Row],[Quantity]]*Orders[[#This Row],[Cost Price]]</f>
        <v>89063.764999999985</v>
      </c>
      <c r="K1701">
        <f>Orders[[#This Row],[Revenue]]-Orders[[#This Row],[Expenses]]</f>
        <v>15717.135000000009</v>
      </c>
      <c r="L1701" t="s">
        <v>2216</v>
      </c>
      <c r="M1701" t="str">
        <f>_xlfn.XLOOKUP(Orders[[#This Row],[CustomerID]],Customers[CustomerID],Customers[City])</f>
        <v>Texas</v>
      </c>
      <c r="N1701" t="str">
        <f>_xlfn.XLOOKUP(Orders[[#This Row],[CustomerID]],Customers[CustomerID],Customers[CustomerName])</f>
        <v>Folasade Ojo</v>
      </c>
      <c r="O1701" t="str">
        <f>_xlfn.XLOOKUP(Orders[[#This Row],[CustomerID]],Customers[CustomerID],Customers[Gender])</f>
        <v>Female</v>
      </c>
      <c r="P1701">
        <f>_xlfn.XLOOKUP(Orders[[#This Row],[CustomerID]],Customers[CustomerID],Customers[CustomerAge])</f>
        <v>19</v>
      </c>
      <c r="Q1701" t="str">
        <f>IF(Orders[[#This Row],[Age]]&gt;=35,"older","young")</f>
        <v>young</v>
      </c>
      <c r="R1701" t="str">
        <f>_xlfn.XLOOKUP(Orders[[#This Row],[ProductID]],Products[ProductID],Products[ProductName])</f>
        <v>CHECKERS</v>
      </c>
      <c r="S1701" t="str">
        <f>_xlfn.XLOOKUP(Orders[[#This Row],[ProductID]],Products!A:A,Products!C:C)</f>
        <v>Games</v>
      </c>
    </row>
    <row r="1702" spans="1:19" x14ac:dyDescent="0.2">
      <c r="A1702" s="4" t="s">
        <v>1891</v>
      </c>
      <c r="B1702" s="5">
        <v>45954</v>
      </c>
      <c r="C1702" s="15">
        <f>WEEKNUM(Orders[[#This Row],[OrderDate]])</f>
        <v>43</v>
      </c>
      <c r="D1702" s="4" t="s">
        <v>309</v>
      </c>
      <c r="E1702" s="4" t="s">
        <v>57</v>
      </c>
      <c r="F1702" s="4">
        <v>8</v>
      </c>
      <c r="G1702" s="4">
        <v>14251.900000000001</v>
      </c>
      <c r="H1702">
        <v>12114.115000000002</v>
      </c>
      <c r="I1702">
        <f>Orders[[#This Row],[Quantity]]*Orders[[#This Row],[Selling Price]]</f>
        <v>114015.20000000001</v>
      </c>
      <c r="J1702">
        <f>Orders[[#This Row],[Quantity]]*Orders[[#This Row],[Cost Price]]</f>
        <v>96912.920000000013</v>
      </c>
      <c r="K1702">
        <f>Orders[[#This Row],[Revenue]]-Orders[[#This Row],[Expenses]]</f>
        <v>17102.28</v>
      </c>
      <c r="L1702" t="s">
        <v>2203</v>
      </c>
      <c r="M1702" t="str">
        <f>_xlfn.XLOOKUP(Orders[[#This Row],[CustomerID]],Customers[CustomerID],Customers[City])</f>
        <v>Washington</v>
      </c>
      <c r="N1702" t="str">
        <f>_xlfn.XLOOKUP(Orders[[#This Row],[CustomerID]],Customers[CustomerID],Customers[CustomerName])</f>
        <v>Temi Ojo</v>
      </c>
      <c r="O1702" t="str">
        <f>_xlfn.XLOOKUP(Orders[[#This Row],[CustomerID]],Customers[CustomerID],Customers[Gender])</f>
        <v>Female</v>
      </c>
      <c r="P1702">
        <f>_xlfn.XLOOKUP(Orders[[#This Row],[CustomerID]],Customers[CustomerID],Customers[CustomerAge])</f>
        <v>36</v>
      </c>
      <c r="Q1702" t="str">
        <f>IF(Orders[[#This Row],[Age]]&gt;=35,"older","young")</f>
        <v>older</v>
      </c>
      <c r="R1702" t="str">
        <f>_xlfn.XLOOKUP(Orders[[#This Row],[ProductID]],Products[ProductID],Products[ProductName])</f>
        <v>BADMINTON RACKET</v>
      </c>
      <c r="S1702" t="str">
        <f>_xlfn.XLOOKUP(Orders[[#This Row],[ProductID]],Products!A:A,Products!C:C)</f>
        <v>Sports</v>
      </c>
    </row>
    <row r="1703" spans="1:19" x14ac:dyDescent="0.2">
      <c r="A1703" s="4" t="s">
        <v>1892</v>
      </c>
      <c r="B1703" s="5">
        <v>45940</v>
      </c>
      <c r="C1703" s="15">
        <f>WEEKNUM(Orders[[#This Row],[OrderDate]])</f>
        <v>41</v>
      </c>
      <c r="D1703" s="4" t="s">
        <v>68</v>
      </c>
      <c r="E1703" s="4" t="s">
        <v>57</v>
      </c>
      <c r="F1703" s="4">
        <v>4</v>
      </c>
      <c r="G1703" s="4">
        <v>4574.1000000000004</v>
      </c>
      <c r="H1703">
        <v>3887.9850000000006</v>
      </c>
      <c r="I1703">
        <f>Orders[[#This Row],[Quantity]]*Orders[[#This Row],[Selling Price]]</f>
        <v>18296.400000000001</v>
      </c>
      <c r="J1703">
        <f>Orders[[#This Row],[Quantity]]*Orders[[#This Row],[Cost Price]]</f>
        <v>15551.940000000002</v>
      </c>
      <c r="K1703">
        <f>Orders[[#This Row],[Revenue]]-Orders[[#This Row],[Expenses]]</f>
        <v>2744.4599999999991</v>
      </c>
      <c r="L1703" t="s">
        <v>2216</v>
      </c>
      <c r="M1703" t="str">
        <f>_xlfn.XLOOKUP(Orders[[#This Row],[CustomerID]],Customers[CustomerID],Customers[City])</f>
        <v>Texas</v>
      </c>
      <c r="N1703" t="str">
        <f>_xlfn.XLOOKUP(Orders[[#This Row],[CustomerID]],Customers[CustomerID],Customers[CustomerName])</f>
        <v>Abiola Balogun</v>
      </c>
      <c r="O1703" t="str">
        <f>_xlfn.XLOOKUP(Orders[[#This Row],[CustomerID]],Customers[CustomerID],Customers[Gender])</f>
        <v>Male</v>
      </c>
      <c r="P1703">
        <f>_xlfn.XLOOKUP(Orders[[#This Row],[CustomerID]],Customers[CustomerID],Customers[CustomerAge])</f>
        <v>29</v>
      </c>
      <c r="Q1703" t="str">
        <f>IF(Orders[[#This Row],[Age]]&gt;=35,"older","young")</f>
        <v>young</v>
      </c>
      <c r="R1703" t="str">
        <f>_xlfn.XLOOKUP(Orders[[#This Row],[ProductID]],Products[ProductID],Products[ProductName])</f>
        <v>BADMINTON RACKET</v>
      </c>
      <c r="S1703" t="str">
        <f>_xlfn.XLOOKUP(Orders[[#This Row],[ProductID]],Products!A:A,Products!C:C)</f>
        <v>Sports</v>
      </c>
    </row>
    <row r="1704" spans="1:19" x14ac:dyDescent="0.2">
      <c r="A1704" s="4" t="s">
        <v>1893</v>
      </c>
      <c r="B1704" s="5">
        <v>45992</v>
      </c>
      <c r="C1704" s="15">
        <f>WEEKNUM(Orders[[#This Row],[OrderDate]])</f>
        <v>49</v>
      </c>
      <c r="D1704" s="4" t="s">
        <v>346</v>
      </c>
      <c r="E1704" s="4" t="s">
        <v>189</v>
      </c>
      <c r="F1704" s="4">
        <v>1</v>
      </c>
      <c r="G1704" s="4">
        <v>16713</v>
      </c>
      <c r="H1704">
        <v>14206.05</v>
      </c>
      <c r="I1704">
        <f>Orders[[#This Row],[Quantity]]*Orders[[#This Row],[Selling Price]]</f>
        <v>16713</v>
      </c>
      <c r="J1704">
        <f>Orders[[#This Row],[Quantity]]*Orders[[#This Row],[Cost Price]]</f>
        <v>14206.05</v>
      </c>
      <c r="K1704">
        <f>Orders[[#This Row],[Revenue]]-Orders[[#This Row],[Expenses]]</f>
        <v>2506.9500000000007</v>
      </c>
      <c r="L1704" t="s">
        <v>2193</v>
      </c>
      <c r="M1704" t="str">
        <f>_xlfn.XLOOKUP(Orders[[#This Row],[CustomerID]],Customers[CustomerID],Customers[City])</f>
        <v>California</v>
      </c>
      <c r="N1704" t="str">
        <f>_xlfn.XLOOKUP(Orders[[#This Row],[CustomerID]],Customers[CustomerID],Customers[CustomerName])</f>
        <v>Ngozi Danladi</v>
      </c>
      <c r="O1704" t="str">
        <f>_xlfn.XLOOKUP(Orders[[#This Row],[CustomerID]],Customers[CustomerID],Customers[Gender])</f>
        <v>Female</v>
      </c>
      <c r="P1704">
        <f>_xlfn.XLOOKUP(Orders[[#This Row],[CustomerID]],Customers[CustomerID],Customers[CustomerAge])</f>
        <v>30</v>
      </c>
      <c r="Q1704" t="str">
        <f>IF(Orders[[#This Row],[Age]]&gt;=35,"older","young")</f>
        <v>young</v>
      </c>
      <c r="R1704" t="str">
        <f>_xlfn.XLOOKUP(Orders[[#This Row],[ProductID]],Products[ProductID],Products[ProductName])</f>
        <v>SCRABBLE</v>
      </c>
      <c r="S1704" t="str">
        <f>_xlfn.XLOOKUP(Orders[[#This Row],[ProductID]],Products!A:A,Products!C:C)</f>
        <v>Games</v>
      </c>
    </row>
    <row r="1705" spans="1:19" x14ac:dyDescent="0.2">
      <c r="A1705" s="4" t="s">
        <v>1894</v>
      </c>
      <c r="B1705" s="5">
        <v>45970</v>
      </c>
      <c r="C1705" s="15">
        <f>WEEKNUM(Orders[[#This Row],[OrderDate]])</f>
        <v>46</v>
      </c>
      <c r="D1705" s="4" t="s">
        <v>105</v>
      </c>
      <c r="E1705" s="4" t="s">
        <v>63</v>
      </c>
      <c r="F1705" s="4">
        <v>2</v>
      </c>
      <c r="G1705" s="4">
        <v>13880.599999999999</v>
      </c>
      <c r="H1705">
        <v>11798.509999999998</v>
      </c>
      <c r="I1705">
        <f>Orders[[#This Row],[Quantity]]*Orders[[#This Row],[Selling Price]]</f>
        <v>27761.199999999997</v>
      </c>
      <c r="J1705">
        <f>Orders[[#This Row],[Quantity]]*Orders[[#This Row],[Cost Price]]</f>
        <v>23597.019999999997</v>
      </c>
      <c r="K1705">
        <f>Orders[[#This Row],[Revenue]]-Orders[[#This Row],[Expenses]]</f>
        <v>4164.18</v>
      </c>
      <c r="L1705" t="s">
        <v>2208</v>
      </c>
      <c r="M1705" t="str">
        <f>_xlfn.XLOOKUP(Orders[[#This Row],[CustomerID]],Customers[CustomerID],Customers[City])</f>
        <v>Georgia</v>
      </c>
      <c r="N1705" t="str">
        <f>_xlfn.XLOOKUP(Orders[[#This Row],[CustomerID]],Customers[CustomerID],Customers[CustomerName])</f>
        <v>Folasade Adeyemi</v>
      </c>
      <c r="O1705" t="str">
        <f>_xlfn.XLOOKUP(Orders[[#This Row],[CustomerID]],Customers[CustomerID],Customers[Gender])</f>
        <v>Female</v>
      </c>
      <c r="P1705">
        <f>_xlfn.XLOOKUP(Orders[[#This Row],[CustomerID]],Customers[CustomerID],Customers[CustomerAge])</f>
        <v>42</v>
      </c>
      <c r="Q1705" t="str">
        <f>IF(Orders[[#This Row],[Age]]&gt;=35,"older","young")</f>
        <v>older</v>
      </c>
      <c r="R1705" t="str">
        <f>_xlfn.XLOOKUP(Orders[[#This Row],[ProductID]],Products[ProductID],Products[ProductName])</f>
        <v>TENNIS BAT</v>
      </c>
      <c r="S1705" t="str">
        <f>_xlfn.XLOOKUP(Orders[[#This Row],[ProductID]],Products!A:A,Products!C:C)</f>
        <v>Sports</v>
      </c>
    </row>
    <row r="1706" spans="1:19" x14ac:dyDescent="0.2">
      <c r="A1706" s="4" t="s">
        <v>1895</v>
      </c>
      <c r="B1706" s="5">
        <v>45962</v>
      </c>
      <c r="C1706" s="15">
        <f>WEEKNUM(Orders[[#This Row],[OrderDate]])</f>
        <v>44</v>
      </c>
      <c r="D1706" s="4" t="s">
        <v>514</v>
      </c>
      <c r="E1706" s="4" t="s">
        <v>20</v>
      </c>
      <c r="F1706" s="4">
        <v>6</v>
      </c>
      <c r="G1706" s="4">
        <v>11688.800000000001</v>
      </c>
      <c r="H1706">
        <v>9935.4800000000014</v>
      </c>
      <c r="I1706">
        <f>Orders[[#This Row],[Quantity]]*Orders[[#This Row],[Selling Price]]</f>
        <v>70132.800000000003</v>
      </c>
      <c r="J1706">
        <f>Orders[[#This Row],[Quantity]]*Orders[[#This Row],[Cost Price]]</f>
        <v>59612.880000000005</v>
      </c>
      <c r="K1706">
        <f>Orders[[#This Row],[Revenue]]-Orders[[#This Row],[Expenses]]</f>
        <v>10519.919999999998</v>
      </c>
      <c r="L1706" t="s">
        <v>2218</v>
      </c>
      <c r="M1706" t="str">
        <f>_xlfn.XLOOKUP(Orders[[#This Row],[CustomerID]],Customers[CustomerID],Customers[City])</f>
        <v>Florida</v>
      </c>
      <c r="N1706" t="str">
        <f>_xlfn.XLOOKUP(Orders[[#This Row],[CustomerID]],Customers[CustomerID],Customers[CustomerName])</f>
        <v>Ibrahim Okonkwo</v>
      </c>
      <c r="O1706" t="str">
        <f>_xlfn.XLOOKUP(Orders[[#This Row],[CustomerID]],Customers[CustomerID],Customers[Gender])</f>
        <v>Male</v>
      </c>
      <c r="P1706">
        <f>_xlfn.XLOOKUP(Orders[[#This Row],[CustomerID]],Customers[CustomerID],Customers[CustomerAge])</f>
        <v>28</v>
      </c>
      <c r="Q1706" t="str">
        <f>IF(Orders[[#This Row],[Age]]&gt;=35,"older","young")</f>
        <v>young</v>
      </c>
      <c r="R1706" t="str">
        <f>_xlfn.XLOOKUP(Orders[[#This Row],[ProductID]],Products[ProductID],Products[ProductName])</f>
        <v>GYM BAG</v>
      </c>
      <c r="S1706" t="str">
        <f>_xlfn.XLOOKUP(Orders[[#This Row],[ProductID]],Products!A:A,Products!C:C)</f>
        <v>Gym</v>
      </c>
    </row>
    <row r="1707" spans="1:19" x14ac:dyDescent="0.2">
      <c r="A1707" s="4" t="s">
        <v>1896</v>
      </c>
      <c r="B1707" s="5">
        <v>46006</v>
      </c>
      <c r="C1707" s="15">
        <f>WEEKNUM(Orders[[#This Row],[OrderDate]])</f>
        <v>51</v>
      </c>
      <c r="D1707" s="4" t="s">
        <v>17</v>
      </c>
      <c r="E1707" s="4" t="s">
        <v>46</v>
      </c>
      <c r="F1707" s="4">
        <v>7</v>
      </c>
      <c r="G1707" s="4">
        <v>3844.2000000000003</v>
      </c>
      <c r="H1707">
        <v>3267.57</v>
      </c>
      <c r="I1707">
        <f>Orders[[#This Row],[Quantity]]*Orders[[#This Row],[Selling Price]]</f>
        <v>26909.4</v>
      </c>
      <c r="J1707">
        <f>Orders[[#This Row],[Quantity]]*Orders[[#This Row],[Cost Price]]</f>
        <v>22872.99</v>
      </c>
      <c r="K1707">
        <f>Orders[[#This Row],[Revenue]]-Orders[[#This Row],[Expenses]]</f>
        <v>4036.41</v>
      </c>
      <c r="L1707" t="s">
        <v>2206</v>
      </c>
      <c r="M1707" t="str">
        <f>_xlfn.XLOOKUP(Orders[[#This Row],[CustomerID]],Customers[CustomerID],Customers[City])</f>
        <v>Illinois</v>
      </c>
      <c r="N1707" t="str">
        <f>_xlfn.XLOOKUP(Orders[[#This Row],[CustomerID]],Customers[CustomerID],Customers[CustomerName])</f>
        <v>Bisi Adeyemi</v>
      </c>
      <c r="O1707" t="str">
        <f>_xlfn.XLOOKUP(Orders[[#This Row],[CustomerID]],Customers[CustomerID],Customers[Gender])</f>
        <v>Female</v>
      </c>
      <c r="P1707">
        <f>_xlfn.XLOOKUP(Orders[[#This Row],[CustomerID]],Customers[CustomerID],Customers[CustomerAge])</f>
        <v>48</v>
      </c>
      <c r="Q1707" t="str">
        <f>IF(Orders[[#This Row],[Age]]&gt;=35,"older","young")</f>
        <v>older</v>
      </c>
      <c r="R1707" t="str">
        <f>_xlfn.XLOOKUP(Orders[[#This Row],[ProductID]],Products[ProductID],Products[ProductName])</f>
        <v>TURTLE NECK</v>
      </c>
      <c r="S1707" t="str">
        <f>_xlfn.XLOOKUP(Orders[[#This Row],[ProductID]],Products!A:A,Products!C:C)</f>
        <v>Clothing</v>
      </c>
    </row>
    <row r="1708" spans="1:19" x14ac:dyDescent="0.2">
      <c r="A1708" s="4" t="s">
        <v>1897</v>
      </c>
      <c r="B1708" s="5">
        <v>45938</v>
      </c>
      <c r="C1708" s="15">
        <f>WEEKNUM(Orders[[#This Row],[OrderDate]])</f>
        <v>41</v>
      </c>
      <c r="D1708" s="4" t="s">
        <v>291</v>
      </c>
      <c r="E1708" s="4" t="s">
        <v>168</v>
      </c>
      <c r="F1708" s="4">
        <v>1</v>
      </c>
      <c r="G1708" s="4">
        <v>17057.900000000001</v>
      </c>
      <c r="H1708">
        <v>14499.215000000002</v>
      </c>
      <c r="I1708">
        <f>Orders[[#This Row],[Quantity]]*Orders[[#This Row],[Selling Price]]</f>
        <v>17057.900000000001</v>
      </c>
      <c r="J1708">
        <f>Orders[[#This Row],[Quantity]]*Orders[[#This Row],[Cost Price]]</f>
        <v>14499.215000000002</v>
      </c>
      <c r="K1708">
        <f>Orders[[#This Row],[Revenue]]-Orders[[#This Row],[Expenses]]</f>
        <v>2558.6849999999995</v>
      </c>
      <c r="L1708" t="s">
        <v>2200</v>
      </c>
      <c r="M1708" t="str">
        <f>_xlfn.XLOOKUP(Orders[[#This Row],[CustomerID]],Customers[CustomerID],Customers[City])</f>
        <v>Texas</v>
      </c>
      <c r="N1708" t="str">
        <f>_xlfn.XLOOKUP(Orders[[#This Row],[CustomerID]],Customers[CustomerID],Customers[CustomerName])</f>
        <v>Okon Igwe</v>
      </c>
      <c r="O1708" t="str">
        <f>_xlfn.XLOOKUP(Orders[[#This Row],[CustomerID]],Customers[CustomerID],Customers[Gender])</f>
        <v>Male</v>
      </c>
      <c r="P1708">
        <f>_xlfn.XLOOKUP(Orders[[#This Row],[CustomerID]],Customers[CustomerID],Customers[CustomerAge])</f>
        <v>33</v>
      </c>
      <c r="Q1708" t="str">
        <f>IF(Orders[[#This Row],[Age]]&gt;=35,"older","young")</f>
        <v>young</v>
      </c>
      <c r="R1708" t="str">
        <f>_xlfn.XLOOKUP(Orders[[#This Row],[ProductID]],Products[ProductID],Products[ProductName])</f>
        <v>DUMB BELLS</v>
      </c>
      <c r="S1708" t="str">
        <f>_xlfn.XLOOKUP(Orders[[#This Row],[ProductID]],Products!A:A,Products!C:C)</f>
        <v>Gym</v>
      </c>
    </row>
    <row r="1709" spans="1:19" x14ac:dyDescent="0.2">
      <c r="A1709" s="4" t="s">
        <v>1898</v>
      </c>
      <c r="B1709" s="5">
        <v>45977</v>
      </c>
      <c r="C1709" s="15">
        <f>WEEKNUM(Orders[[#This Row],[OrderDate]])</f>
        <v>47</v>
      </c>
      <c r="D1709" s="4" t="s">
        <v>134</v>
      </c>
      <c r="E1709" s="4" t="s">
        <v>84</v>
      </c>
      <c r="F1709" s="4">
        <v>7</v>
      </c>
      <c r="G1709" s="4">
        <v>6633</v>
      </c>
      <c r="H1709">
        <v>5638.05</v>
      </c>
      <c r="I1709">
        <f>Orders[[#This Row],[Quantity]]*Orders[[#This Row],[Selling Price]]</f>
        <v>46431</v>
      </c>
      <c r="J1709">
        <f>Orders[[#This Row],[Quantity]]*Orders[[#This Row],[Cost Price]]</f>
        <v>39466.35</v>
      </c>
      <c r="K1709">
        <f>Orders[[#This Row],[Revenue]]-Orders[[#This Row],[Expenses]]</f>
        <v>6964.6500000000015</v>
      </c>
      <c r="L1709" t="s">
        <v>2215</v>
      </c>
      <c r="M1709" t="str">
        <f>_xlfn.XLOOKUP(Orders[[#This Row],[CustomerID]],Customers[CustomerID],Customers[City])</f>
        <v>Florida</v>
      </c>
      <c r="N1709" t="str">
        <f>_xlfn.XLOOKUP(Orders[[#This Row],[CustomerID]],Customers[CustomerID],Customers[CustomerName])</f>
        <v>Ngozi Ojo</v>
      </c>
      <c r="O1709" t="str">
        <f>_xlfn.XLOOKUP(Orders[[#This Row],[CustomerID]],Customers[CustomerID],Customers[Gender])</f>
        <v>Female</v>
      </c>
      <c r="P1709">
        <f>_xlfn.XLOOKUP(Orders[[#This Row],[CustomerID]],Customers[CustomerID],Customers[CustomerAge])</f>
        <v>18</v>
      </c>
      <c r="Q1709" t="str">
        <f>IF(Orders[[#This Row],[Age]]&gt;=35,"older","young")</f>
        <v>young</v>
      </c>
      <c r="R1709" t="str">
        <f>_xlfn.XLOOKUP(Orders[[#This Row],[ProductID]],Products[ProductID],Products[ProductName])</f>
        <v>GYM WEARS</v>
      </c>
      <c r="S1709" t="str">
        <f>_xlfn.XLOOKUP(Orders[[#This Row],[ProductID]],Products!A:A,Products!C:C)</f>
        <v>Clothing</v>
      </c>
    </row>
    <row r="1710" spans="1:19" x14ac:dyDescent="0.2">
      <c r="A1710" s="4" t="s">
        <v>1899</v>
      </c>
      <c r="B1710" s="5">
        <v>45963</v>
      </c>
      <c r="C1710" s="15">
        <f>WEEKNUM(Orders[[#This Row],[OrderDate]])</f>
        <v>45</v>
      </c>
      <c r="D1710" s="4" t="s">
        <v>227</v>
      </c>
      <c r="E1710" s="4" t="s">
        <v>15</v>
      </c>
      <c r="F1710" s="4">
        <v>7</v>
      </c>
      <c r="G1710" s="4">
        <v>18868.699999999997</v>
      </c>
      <c r="H1710">
        <v>16038.394999999997</v>
      </c>
      <c r="I1710">
        <f>Orders[[#This Row],[Quantity]]*Orders[[#This Row],[Selling Price]]</f>
        <v>132080.89999999997</v>
      </c>
      <c r="J1710">
        <f>Orders[[#This Row],[Quantity]]*Orders[[#This Row],[Cost Price]]</f>
        <v>112268.76499999998</v>
      </c>
      <c r="K1710">
        <f>Orders[[#This Row],[Revenue]]-Orders[[#This Row],[Expenses]]</f>
        <v>19812.13499999998</v>
      </c>
      <c r="L1710" t="s">
        <v>2193</v>
      </c>
      <c r="M1710" t="str">
        <f>_xlfn.XLOOKUP(Orders[[#This Row],[CustomerID]],Customers[CustomerID],Customers[City])</f>
        <v>Washington</v>
      </c>
      <c r="N1710" t="str">
        <f>_xlfn.XLOOKUP(Orders[[#This Row],[CustomerID]],Customers[CustomerID],Customers[CustomerName])</f>
        <v>Emmanuel Victor</v>
      </c>
      <c r="O1710" t="str">
        <f>_xlfn.XLOOKUP(Orders[[#This Row],[CustomerID]],Customers[CustomerID],Customers[Gender])</f>
        <v>Male</v>
      </c>
      <c r="P1710">
        <f>_xlfn.XLOOKUP(Orders[[#This Row],[CustomerID]],Customers[CustomerID],Customers[CustomerAge])</f>
        <v>35</v>
      </c>
      <c r="Q1710" t="str">
        <f>IF(Orders[[#This Row],[Age]]&gt;=35,"older","young")</f>
        <v>older</v>
      </c>
      <c r="R1710" t="str">
        <f>_xlfn.XLOOKUP(Orders[[#This Row],[ProductID]],Products[ProductID],Products[ProductName])</f>
        <v>MONOPOLY</v>
      </c>
      <c r="S1710" t="str">
        <f>_xlfn.XLOOKUP(Orders[[#This Row],[ProductID]],Products!A:A,Products!C:C)</f>
        <v>Games</v>
      </c>
    </row>
    <row r="1711" spans="1:19" x14ac:dyDescent="0.2">
      <c r="A1711" s="4" t="s">
        <v>1900</v>
      </c>
      <c r="B1711" s="5">
        <v>45985</v>
      </c>
      <c r="C1711" s="15">
        <f>WEEKNUM(Orders[[#This Row],[OrderDate]])</f>
        <v>48</v>
      </c>
      <c r="D1711" s="4" t="s">
        <v>940</v>
      </c>
      <c r="E1711" s="4" t="s">
        <v>70</v>
      </c>
      <c r="F1711" s="4">
        <v>9</v>
      </c>
      <c r="G1711" s="4">
        <v>4330.2</v>
      </c>
      <c r="H1711">
        <v>3680.67</v>
      </c>
      <c r="I1711">
        <f>Orders[[#This Row],[Quantity]]*Orders[[#This Row],[Selling Price]]</f>
        <v>38971.799999999996</v>
      </c>
      <c r="J1711">
        <f>Orders[[#This Row],[Quantity]]*Orders[[#This Row],[Cost Price]]</f>
        <v>33126.03</v>
      </c>
      <c r="K1711">
        <f>Orders[[#This Row],[Revenue]]-Orders[[#This Row],[Expenses]]</f>
        <v>5845.7699999999968</v>
      </c>
      <c r="L1711" t="s">
        <v>2211</v>
      </c>
      <c r="M1711" t="str">
        <f>_xlfn.XLOOKUP(Orders[[#This Row],[CustomerID]],Customers[CustomerID],Customers[City])</f>
        <v>Texas</v>
      </c>
      <c r="N1711" t="str">
        <f>_xlfn.XLOOKUP(Orders[[#This Row],[CustomerID]],Customers[CustomerID],Customers[CustomerName])</f>
        <v>Okon Ojo</v>
      </c>
      <c r="O1711" t="str">
        <f>_xlfn.XLOOKUP(Orders[[#This Row],[CustomerID]],Customers[CustomerID],Customers[Gender])</f>
        <v>Male</v>
      </c>
      <c r="P1711">
        <f>_xlfn.XLOOKUP(Orders[[#This Row],[CustomerID]],Customers[CustomerID],Customers[CustomerAge])</f>
        <v>25</v>
      </c>
      <c r="Q1711" t="str">
        <f>IF(Orders[[#This Row],[Age]]&gt;=35,"older","young")</f>
        <v>young</v>
      </c>
      <c r="R1711" t="str">
        <f>_xlfn.XLOOKUP(Orders[[#This Row],[ProductID]],Products[ProductID],Products[ProductName])</f>
        <v>YOGA MAT</v>
      </c>
      <c r="S1711" t="str">
        <f>_xlfn.XLOOKUP(Orders[[#This Row],[ProductID]],Products!A:A,Products!C:C)</f>
        <v>Gym</v>
      </c>
    </row>
    <row r="1712" spans="1:19" x14ac:dyDescent="0.2">
      <c r="A1712" s="4" t="s">
        <v>1901</v>
      </c>
      <c r="B1712" s="5">
        <v>45992</v>
      </c>
      <c r="C1712" s="15">
        <f>WEEKNUM(Orders[[#This Row],[OrderDate]])</f>
        <v>49</v>
      </c>
      <c r="D1712" s="4" t="s">
        <v>346</v>
      </c>
      <c r="E1712" s="4" t="s">
        <v>9</v>
      </c>
      <c r="F1712" s="4">
        <v>2</v>
      </c>
      <c r="G1712" s="4">
        <v>13971.300000000001</v>
      </c>
      <c r="H1712">
        <v>11875.605000000001</v>
      </c>
      <c r="I1712">
        <f>Orders[[#This Row],[Quantity]]*Orders[[#This Row],[Selling Price]]</f>
        <v>27942.600000000002</v>
      </c>
      <c r="J1712">
        <f>Orders[[#This Row],[Quantity]]*Orders[[#This Row],[Cost Price]]</f>
        <v>23751.210000000003</v>
      </c>
      <c r="K1712">
        <f>Orders[[#This Row],[Revenue]]-Orders[[#This Row],[Expenses]]</f>
        <v>4191.3899999999994</v>
      </c>
      <c r="L1712" t="s">
        <v>2202</v>
      </c>
      <c r="M1712" t="str">
        <f>_xlfn.XLOOKUP(Orders[[#This Row],[CustomerID]],Customers[CustomerID],Customers[City])</f>
        <v>California</v>
      </c>
      <c r="N1712" t="str">
        <f>_xlfn.XLOOKUP(Orders[[#This Row],[CustomerID]],Customers[CustomerID],Customers[CustomerName])</f>
        <v>Ngozi Danladi</v>
      </c>
      <c r="O1712" t="str">
        <f>_xlfn.XLOOKUP(Orders[[#This Row],[CustomerID]],Customers[CustomerID],Customers[Gender])</f>
        <v>Female</v>
      </c>
      <c r="P1712">
        <f>_xlfn.XLOOKUP(Orders[[#This Row],[CustomerID]],Customers[CustomerID],Customers[CustomerAge])</f>
        <v>30</v>
      </c>
      <c r="Q1712" t="str">
        <f>IF(Orders[[#This Row],[Age]]&gt;=35,"older","young")</f>
        <v>young</v>
      </c>
      <c r="R1712" t="str">
        <f>_xlfn.XLOOKUP(Orders[[#This Row],[ProductID]],Products[ProductID],Products[ProductName])</f>
        <v>BEADED EARRINGS AND NECKLACES</v>
      </c>
      <c r="S1712" t="str">
        <f>_xlfn.XLOOKUP(Orders[[#This Row],[ProductID]],Products!A:A,Products!C:C)</f>
        <v>Accessories</v>
      </c>
    </row>
    <row r="1713" spans="1:19" x14ac:dyDescent="0.2">
      <c r="A1713" s="4" t="s">
        <v>1902</v>
      </c>
      <c r="B1713" s="5">
        <v>46011</v>
      </c>
      <c r="C1713" s="15">
        <f>WEEKNUM(Orders[[#This Row],[OrderDate]])</f>
        <v>51</v>
      </c>
      <c r="D1713" s="4" t="s">
        <v>194</v>
      </c>
      <c r="E1713" s="4" t="s">
        <v>111</v>
      </c>
      <c r="F1713" s="4">
        <v>3</v>
      </c>
      <c r="G1713" s="4">
        <v>18499.100000000002</v>
      </c>
      <c r="H1713">
        <v>15724.235000000002</v>
      </c>
      <c r="I1713">
        <f>Orders[[#This Row],[Quantity]]*Orders[[#This Row],[Selling Price]]</f>
        <v>55497.3</v>
      </c>
      <c r="J1713">
        <f>Orders[[#This Row],[Quantity]]*Orders[[#This Row],[Cost Price]]</f>
        <v>47172.705000000009</v>
      </c>
      <c r="K1713">
        <f>Orders[[#This Row],[Revenue]]-Orders[[#This Row],[Expenses]]</f>
        <v>8324.5949999999939</v>
      </c>
      <c r="L1713" t="s">
        <v>2192</v>
      </c>
      <c r="M1713" t="str">
        <f>_xlfn.XLOOKUP(Orders[[#This Row],[CustomerID]],Customers[CustomerID],Customers[City])</f>
        <v>Washington</v>
      </c>
      <c r="N1713" t="str">
        <f>_xlfn.XLOOKUP(Orders[[#This Row],[CustomerID]],Customers[CustomerID],Customers[CustomerName])</f>
        <v>Adanma Adeyemi</v>
      </c>
      <c r="O1713" t="str">
        <f>_xlfn.XLOOKUP(Orders[[#This Row],[CustomerID]],Customers[CustomerID],Customers[Gender])</f>
        <v>Female</v>
      </c>
      <c r="P1713">
        <f>_xlfn.XLOOKUP(Orders[[#This Row],[CustomerID]],Customers[CustomerID],Customers[CustomerAge])</f>
        <v>45</v>
      </c>
      <c r="Q1713" t="str">
        <f>IF(Orders[[#This Row],[Age]]&gt;=35,"older","young")</f>
        <v>older</v>
      </c>
      <c r="R1713" t="str">
        <f>_xlfn.XLOOKUP(Orders[[#This Row],[ProductID]],Products[ProductID],Products[ProductName])</f>
        <v>REFRIGERATOR</v>
      </c>
      <c r="S1713" t="str">
        <f>_xlfn.XLOOKUP(Orders[[#This Row],[ProductID]],Products!A:A,Products!C:C)</f>
        <v>Electronics</v>
      </c>
    </row>
    <row r="1714" spans="1:19" x14ac:dyDescent="0.2">
      <c r="A1714" s="4" t="s">
        <v>1903</v>
      </c>
      <c r="B1714" s="5">
        <v>45931</v>
      </c>
      <c r="C1714" s="15">
        <f>WEEKNUM(Orders[[#This Row],[OrderDate]])</f>
        <v>40</v>
      </c>
      <c r="D1714" s="4" t="s">
        <v>502</v>
      </c>
      <c r="E1714" s="4" t="s">
        <v>37</v>
      </c>
      <c r="F1714" s="4">
        <v>1</v>
      </c>
      <c r="G1714" s="4">
        <v>8909.9</v>
      </c>
      <c r="H1714">
        <v>7573.415</v>
      </c>
      <c r="I1714">
        <f>Orders[[#This Row],[Quantity]]*Orders[[#This Row],[Selling Price]]</f>
        <v>8909.9</v>
      </c>
      <c r="J1714">
        <f>Orders[[#This Row],[Quantity]]*Orders[[#This Row],[Cost Price]]</f>
        <v>7573.415</v>
      </c>
      <c r="K1714">
        <f>Orders[[#This Row],[Revenue]]-Orders[[#This Row],[Expenses]]</f>
        <v>1336.4849999999997</v>
      </c>
      <c r="L1714" t="s">
        <v>2194</v>
      </c>
      <c r="M1714" t="str">
        <f>_xlfn.XLOOKUP(Orders[[#This Row],[CustomerID]],Customers[CustomerID],Customers[City])</f>
        <v>Texas</v>
      </c>
      <c r="N1714" t="str">
        <f>_xlfn.XLOOKUP(Orders[[#This Row],[CustomerID]],Customers[CustomerID],Customers[CustomerName])</f>
        <v>Obi Eze</v>
      </c>
      <c r="O1714" t="str">
        <f>_xlfn.XLOOKUP(Orders[[#This Row],[CustomerID]],Customers[CustomerID],Customers[Gender])</f>
        <v>Male</v>
      </c>
      <c r="P1714">
        <f>_xlfn.XLOOKUP(Orders[[#This Row],[CustomerID]],Customers[CustomerID],Customers[CustomerAge])</f>
        <v>24</v>
      </c>
      <c r="Q1714" t="str">
        <f>IF(Orders[[#This Row],[Age]]&gt;=35,"older","young")</f>
        <v>young</v>
      </c>
      <c r="R1714" t="str">
        <f>_xlfn.XLOOKUP(Orders[[#This Row],[ProductID]],Products[ProductID],Products[ProductName])</f>
        <v>IRON</v>
      </c>
      <c r="S1714" t="str">
        <f>_xlfn.XLOOKUP(Orders[[#This Row],[ProductID]],Products!A:A,Products!C:C)</f>
        <v>Electronics</v>
      </c>
    </row>
    <row r="1715" spans="1:19" x14ac:dyDescent="0.2">
      <c r="A1715" s="4" t="s">
        <v>1904</v>
      </c>
      <c r="B1715" s="5">
        <v>45988</v>
      </c>
      <c r="C1715" s="15">
        <f>WEEKNUM(Orders[[#This Row],[OrderDate]])</f>
        <v>48</v>
      </c>
      <c r="D1715" s="4" t="s">
        <v>27</v>
      </c>
      <c r="E1715" s="4" t="s">
        <v>23</v>
      </c>
      <c r="F1715" s="4">
        <v>6</v>
      </c>
      <c r="G1715" s="4">
        <v>16603.900000000001</v>
      </c>
      <c r="H1715">
        <v>14113.315000000002</v>
      </c>
      <c r="I1715">
        <f>Orders[[#This Row],[Quantity]]*Orders[[#This Row],[Selling Price]]</f>
        <v>99623.400000000009</v>
      </c>
      <c r="J1715">
        <f>Orders[[#This Row],[Quantity]]*Orders[[#This Row],[Cost Price]]</f>
        <v>84679.890000000014</v>
      </c>
      <c r="K1715">
        <f>Orders[[#This Row],[Revenue]]-Orders[[#This Row],[Expenses]]</f>
        <v>14943.509999999995</v>
      </c>
      <c r="L1715" t="s">
        <v>2214</v>
      </c>
      <c r="M1715" t="str">
        <f>_xlfn.XLOOKUP(Orders[[#This Row],[CustomerID]],Customers[CustomerID],Customers[City])</f>
        <v>Illinois</v>
      </c>
      <c r="N1715" t="str">
        <f>_xlfn.XLOOKUP(Orders[[#This Row],[CustomerID]],Customers[CustomerID],Customers[CustomerName])</f>
        <v>Okon Ojo</v>
      </c>
      <c r="O1715" t="str">
        <f>_xlfn.XLOOKUP(Orders[[#This Row],[CustomerID]],Customers[CustomerID],Customers[Gender])</f>
        <v>Male</v>
      </c>
      <c r="P1715">
        <f>_xlfn.XLOOKUP(Orders[[#This Row],[CustomerID]],Customers[CustomerID],Customers[CustomerAge])</f>
        <v>32</v>
      </c>
      <c r="Q1715" t="str">
        <f>IF(Orders[[#This Row],[Age]]&gt;=35,"older","young")</f>
        <v>young</v>
      </c>
      <c r="R1715" t="str">
        <f>_xlfn.XLOOKUP(Orders[[#This Row],[ProductID]],Products[ProductID],Products[ProductName])</f>
        <v>GYM GLOVES</v>
      </c>
      <c r="S1715" t="str">
        <f>_xlfn.XLOOKUP(Orders[[#This Row],[ProductID]],Products!A:A,Products!C:C)</f>
        <v>Gym</v>
      </c>
    </row>
    <row r="1716" spans="1:19" x14ac:dyDescent="0.2">
      <c r="A1716" s="4" t="s">
        <v>1905</v>
      </c>
      <c r="B1716" s="5">
        <v>46003</v>
      </c>
      <c r="C1716" s="15">
        <f>WEEKNUM(Orders[[#This Row],[OrderDate]])</f>
        <v>50</v>
      </c>
      <c r="D1716" s="4" t="s">
        <v>605</v>
      </c>
      <c r="E1716" s="4" t="s">
        <v>31</v>
      </c>
      <c r="F1716" s="4">
        <v>10</v>
      </c>
      <c r="G1716" s="4">
        <v>13422.8</v>
      </c>
      <c r="H1716">
        <v>11409.38</v>
      </c>
      <c r="I1716">
        <f>Orders[[#This Row],[Quantity]]*Orders[[#This Row],[Selling Price]]</f>
        <v>134228</v>
      </c>
      <c r="J1716">
        <f>Orders[[#This Row],[Quantity]]*Orders[[#This Row],[Cost Price]]</f>
        <v>114093.79999999999</v>
      </c>
      <c r="K1716">
        <f>Orders[[#This Row],[Revenue]]-Orders[[#This Row],[Expenses]]</f>
        <v>20134.200000000012</v>
      </c>
      <c r="L1716" t="s">
        <v>2219</v>
      </c>
      <c r="M1716" t="str">
        <f>_xlfn.XLOOKUP(Orders[[#This Row],[CustomerID]],Customers[CustomerID],Customers[City])</f>
        <v>Texas</v>
      </c>
      <c r="N1716" t="str">
        <f>_xlfn.XLOOKUP(Orders[[#This Row],[CustomerID]],Customers[CustomerID],Customers[CustomerName])</f>
        <v>Blessing Abubakar</v>
      </c>
      <c r="O1716" t="str">
        <f>_xlfn.XLOOKUP(Orders[[#This Row],[CustomerID]],Customers[CustomerID],Customers[Gender])</f>
        <v>Female</v>
      </c>
      <c r="P1716">
        <f>_xlfn.XLOOKUP(Orders[[#This Row],[CustomerID]],Customers[CustomerID],Customers[CustomerAge])</f>
        <v>44</v>
      </c>
      <c r="Q1716" t="str">
        <f>IF(Orders[[#This Row],[Age]]&gt;=35,"older","young")</f>
        <v>older</v>
      </c>
      <c r="R1716" t="str">
        <f>_xlfn.XLOOKUP(Orders[[#This Row],[ProductID]],Products[ProductID],Products[ProductName])</f>
        <v>KIDS GAMES</v>
      </c>
      <c r="S1716" t="str">
        <f>_xlfn.XLOOKUP(Orders[[#This Row],[ProductID]],Products!A:A,Products!C:C)</f>
        <v>Games</v>
      </c>
    </row>
    <row r="1717" spans="1:19" x14ac:dyDescent="0.2">
      <c r="A1717" s="4" t="s">
        <v>1906</v>
      </c>
      <c r="B1717" s="5">
        <v>45972</v>
      </c>
      <c r="C1717" s="15">
        <f>WEEKNUM(Orders[[#This Row],[OrderDate]])</f>
        <v>46</v>
      </c>
      <c r="D1717" s="4" t="s">
        <v>156</v>
      </c>
      <c r="E1717" s="4" t="s">
        <v>34</v>
      </c>
      <c r="F1717" s="4">
        <v>2</v>
      </c>
      <c r="G1717" s="4">
        <v>4825.2</v>
      </c>
      <c r="H1717">
        <v>4101.42</v>
      </c>
      <c r="I1717">
        <f>Orders[[#This Row],[Quantity]]*Orders[[#This Row],[Selling Price]]</f>
        <v>9650.4</v>
      </c>
      <c r="J1717">
        <f>Orders[[#This Row],[Quantity]]*Orders[[#This Row],[Cost Price]]</f>
        <v>8202.84</v>
      </c>
      <c r="K1717">
        <f>Orders[[#This Row],[Revenue]]-Orders[[#This Row],[Expenses]]</f>
        <v>1447.5599999999995</v>
      </c>
      <c r="L1717" t="s">
        <v>2213</v>
      </c>
      <c r="M1717" t="str">
        <f>_xlfn.XLOOKUP(Orders[[#This Row],[CustomerID]],Customers[CustomerID],Customers[City])</f>
        <v>Florida</v>
      </c>
      <c r="N1717" t="str">
        <f>_xlfn.XLOOKUP(Orders[[#This Row],[CustomerID]],Customers[CustomerID],Customers[CustomerName])</f>
        <v>Obi Okonkwo</v>
      </c>
      <c r="O1717" t="str">
        <f>_xlfn.XLOOKUP(Orders[[#This Row],[CustomerID]],Customers[CustomerID],Customers[Gender])</f>
        <v>Male</v>
      </c>
      <c r="P1717">
        <f>_xlfn.XLOOKUP(Orders[[#This Row],[CustomerID]],Customers[CustomerID],Customers[CustomerAge])</f>
        <v>52</v>
      </c>
      <c r="Q1717" t="str">
        <f>IF(Orders[[#This Row],[Age]]&gt;=35,"older","young")</f>
        <v>older</v>
      </c>
      <c r="R1717" t="str">
        <f>_xlfn.XLOOKUP(Orders[[#This Row],[ProductID]],Products[ProductID],Products[ProductName])</f>
        <v>GOLD BRACELETS</v>
      </c>
      <c r="S1717" t="str">
        <f>_xlfn.XLOOKUP(Orders[[#This Row],[ProductID]],Products!A:A,Products!C:C)</f>
        <v>Accessories</v>
      </c>
    </row>
    <row r="1718" spans="1:19" x14ac:dyDescent="0.2">
      <c r="A1718" s="4" t="s">
        <v>1907</v>
      </c>
      <c r="B1718" s="5">
        <v>45945</v>
      </c>
      <c r="C1718" s="15">
        <f>WEEKNUM(Orders[[#This Row],[OrderDate]])</f>
        <v>42</v>
      </c>
      <c r="D1718" s="4" t="s">
        <v>369</v>
      </c>
      <c r="E1718" s="4" t="s">
        <v>60</v>
      </c>
      <c r="F1718" s="4">
        <v>4</v>
      </c>
      <c r="G1718" s="4">
        <v>573</v>
      </c>
      <c r="H1718">
        <v>487.05</v>
      </c>
      <c r="I1718">
        <f>Orders[[#This Row],[Quantity]]*Orders[[#This Row],[Selling Price]]</f>
        <v>2292</v>
      </c>
      <c r="J1718">
        <f>Orders[[#This Row],[Quantity]]*Orders[[#This Row],[Cost Price]]</f>
        <v>1948.2</v>
      </c>
      <c r="K1718">
        <f>Orders[[#This Row],[Revenue]]-Orders[[#This Row],[Expenses]]</f>
        <v>343.79999999999995</v>
      </c>
      <c r="L1718" t="s">
        <v>2201</v>
      </c>
      <c r="M1718" t="str">
        <f>_xlfn.XLOOKUP(Orders[[#This Row],[CustomerID]],Customers[CustomerID],Customers[City])</f>
        <v>Washington</v>
      </c>
      <c r="N1718" t="str">
        <f>_xlfn.XLOOKUP(Orders[[#This Row],[CustomerID]],Customers[CustomerID],Customers[CustomerName])</f>
        <v>Ibrahim Bello</v>
      </c>
      <c r="O1718" t="str">
        <f>_xlfn.XLOOKUP(Orders[[#This Row],[CustomerID]],Customers[CustomerID],Customers[Gender])</f>
        <v>Male</v>
      </c>
      <c r="P1718">
        <f>_xlfn.XLOOKUP(Orders[[#This Row],[CustomerID]],Customers[CustomerID],Customers[CustomerAge])</f>
        <v>40</v>
      </c>
      <c r="Q1718" t="str">
        <f>IF(Orders[[#This Row],[Age]]&gt;=35,"older","young")</f>
        <v>older</v>
      </c>
      <c r="R1718" t="str">
        <f>_xlfn.XLOOKUP(Orders[[#This Row],[ProductID]],Products[ProductID],Products[ProductName])</f>
        <v>SILVER RINGS</v>
      </c>
      <c r="S1718" t="str">
        <f>_xlfn.XLOOKUP(Orders[[#This Row],[ProductID]],Products!A:A,Products!C:C)</f>
        <v>Accessories</v>
      </c>
    </row>
    <row r="1719" spans="1:19" x14ac:dyDescent="0.2">
      <c r="A1719" s="4" t="s">
        <v>1908</v>
      </c>
      <c r="B1719" s="5">
        <v>45996</v>
      </c>
      <c r="C1719" s="15">
        <f>WEEKNUM(Orders[[#This Row],[OrderDate]])</f>
        <v>49</v>
      </c>
      <c r="D1719" s="4" t="s">
        <v>214</v>
      </c>
      <c r="E1719" s="4" t="s">
        <v>70</v>
      </c>
      <c r="F1719" s="4">
        <v>6</v>
      </c>
      <c r="G1719" s="4">
        <v>7744.2999999999993</v>
      </c>
      <c r="H1719">
        <v>6582.6549999999997</v>
      </c>
      <c r="I1719">
        <f>Orders[[#This Row],[Quantity]]*Orders[[#This Row],[Selling Price]]</f>
        <v>46465.799999999996</v>
      </c>
      <c r="J1719">
        <f>Orders[[#This Row],[Quantity]]*Orders[[#This Row],[Cost Price]]</f>
        <v>39495.93</v>
      </c>
      <c r="K1719">
        <f>Orders[[#This Row],[Revenue]]-Orders[[#This Row],[Expenses]]</f>
        <v>6969.8699999999953</v>
      </c>
      <c r="L1719" t="s">
        <v>2218</v>
      </c>
      <c r="M1719" t="str">
        <f>_xlfn.XLOOKUP(Orders[[#This Row],[CustomerID]],Customers[CustomerID],Customers[City])</f>
        <v>California</v>
      </c>
      <c r="N1719" t="str">
        <f>_xlfn.XLOOKUP(Orders[[#This Row],[CustomerID]],Customers[CustomerID],Customers[CustomerName])</f>
        <v>Adanma Okonkwo</v>
      </c>
      <c r="O1719" t="str">
        <f>_xlfn.XLOOKUP(Orders[[#This Row],[CustomerID]],Customers[CustomerID],Customers[Gender])</f>
        <v>Female</v>
      </c>
      <c r="P1719">
        <f>_xlfn.XLOOKUP(Orders[[#This Row],[CustomerID]],Customers[CustomerID],Customers[CustomerAge])</f>
        <v>20</v>
      </c>
      <c r="Q1719" t="str">
        <f>IF(Orders[[#This Row],[Age]]&gt;=35,"older","young")</f>
        <v>young</v>
      </c>
      <c r="R1719" t="str">
        <f>_xlfn.XLOOKUP(Orders[[#This Row],[ProductID]],Products[ProductID],Products[ProductName])</f>
        <v>YOGA MAT</v>
      </c>
      <c r="S1719" t="str">
        <f>_xlfn.XLOOKUP(Orders[[#This Row],[ProductID]],Products!A:A,Products!C:C)</f>
        <v>Gym</v>
      </c>
    </row>
    <row r="1720" spans="1:19" x14ac:dyDescent="0.2">
      <c r="A1720" s="4" t="s">
        <v>1909</v>
      </c>
      <c r="B1720" s="5">
        <v>46010</v>
      </c>
      <c r="C1720" s="15">
        <f>WEEKNUM(Orders[[#This Row],[OrderDate]])</f>
        <v>51</v>
      </c>
      <c r="D1720" s="4" t="s">
        <v>14</v>
      </c>
      <c r="E1720" s="4" t="s">
        <v>81</v>
      </c>
      <c r="F1720" s="4">
        <v>8</v>
      </c>
      <c r="G1720" s="4">
        <v>17805.400000000001</v>
      </c>
      <c r="H1720">
        <v>15134.590000000002</v>
      </c>
      <c r="I1720">
        <f>Orders[[#This Row],[Quantity]]*Orders[[#This Row],[Selling Price]]</f>
        <v>142443.20000000001</v>
      </c>
      <c r="J1720">
        <f>Orders[[#This Row],[Quantity]]*Orders[[#This Row],[Cost Price]]</f>
        <v>121076.72000000002</v>
      </c>
      <c r="K1720">
        <f>Orders[[#This Row],[Revenue]]-Orders[[#This Row],[Expenses]]</f>
        <v>21366.479999999996</v>
      </c>
      <c r="L1720" t="s">
        <v>2218</v>
      </c>
      <c r="M1720" t="str">
        <f>_xlfn.XLOOKUP(Orders[[#This Row],[CustomerID]],Customers[CustomerID],Customers[City])</f>
        <v>Texas</v>
      </c>
      <c r="N1720" t="str">
        <f>_xlfn.XLOOKUP(Orders[[#This Row],[CustomerID]],Customers[CustomerID],Customers[CustomerName])</f>
        <v>Abiola Igwe</v>
      </c>
      <c r="O1720" t="str">
        <f>_xlfn.XLOOKUP(Orders[[#This Row],[CustomerID]],Customers[CustomerID],Customers[Gender])</f>
        <v>Male</v>
      </c>
      <c r="P1720">
        <f>_xlfn.XLOOKUP(Orders[[#This Row],[CustomerID]],Customers[CustomerID],Customers[CustomerAge])</f>
        <v>39</v>
      </c>
      <c r="Q1720" t="str">
        <f>IF(Orders[[#This Row],[Age]]&gt;=35,"older","young")</f>
        <v>older</v>
      </c>
      <c r="R1720" t="str">
        <f>_xlfn.XLOOKUP(Orders[[#This Row],[ProductID]],Products[ProductID],Products[ProductName])</f>
        <v>TROUSERS</v>
      </c>
      <c r="S1720" t="str">
        <f>_xlfn.XLOOKUP(Orders[[#This Row],[ProductID]],Products!A:A,Products!C:C)</f>
        <v>Clothing</v>
      </c>
    </row>
    <row r="1721" spans="1:19" x14ac:dyDescent="0.2">
      <c r="A1721" s="4" t="s">
        <v>1910</v>
      </c>
      <c r="B1721" s="5">
        <v>46002</v>
      </c>
      <c r="C1721" s="15">
        <f>WEEKNUM(Orders[[#This Row],[OrderDate]])</f>
        <v>50</v>
      </c>
      <c r="D1721" s="4" t="s">
        <v>103</v>
      </c>
      <c r="E1721" s="4" t="s">
        <v>53</v>
      </c>
      <c r="F1721" s="4">
        <v>9</v>
      </c>
      <c r="G1721" s="4">
        <v>11548.900000000001</v>
      </c>
      <c r="H1721">
        <v>9816.5650000000005</v>
      </c>
      <c r="I1721">
        <f>Orders[[#This Row],[Quantity]]*Orders[[#This Row],[Selling Price]]</f>
        <v>103940.1</v>
      </c>
      <c r="J1721">
        <f>Orders[[#This Row],[Quantity]]*Orders[[#This Row],[Cost Price]]</f>
        <v>88349.085000000006</v>
      </c>
      <c r="K1721">
        <f>Orders[[#This Row],[Revenue]]-Orders[[#This Row],[Expenses]]</f>
        <v>15591.014999999999</v>
      </c>
      <c r="L1721" t="s">
        <v>2208</v>
      </c>
      <c r="M1721" t="str">
        <f>_xlfn.XLOOKUP(Orders[[#This Row],[CustomerID]],Customers[CustomerID],Customers[City])</f>
        <v>Georgia</v>
      </c>
      <c r="N1721" t="str">
        <f>_xlfn.XLOOKUP(Orders[[#This Row],[CustomerID]],Customers[CustomerID],Customers[CustomerName])</f>
        <v>Chioma Adeyemi</v>
      </c>
      <c r="O1721" t="str">
        <f>_xlfn.XLOOKUP(Orders[[#This Row],[CustomerID]],Customers[CustomerID],Customers[Gender])</f>
        <v>Female</v>
      </c>
      <c r="P1721">
        <f>_xlfn.XLOOKUP(Orders[[#This Row],[CustomerID]],Customers[CustomerID],Customers[CustomerAge])</f>
        <v>31</v>
      </c>
      <c r="Q1721" t="str">
        <f>IF(Orders[[#This Row],[Age]]&gt;=35,"older","young")</f>
        <v>young</v>
      </c>
      <c r="R1721" t="str">
        <f>_xlfn.XLOOKUP(Orders[[#This Row],[ProductID]],Products[ProductID],Products[ProductName])</f>
        <v>SILVER BANGLES</v>
      </c>
      <c r="S1721" t="str">
        <f>_xlfn.XLOOKUP(Orders[[#This Row],[ProductID]],Products!A:A,Products!C:C)</f>
        <v>Accessories</v>
      </c>
    </row>
    <row r="1722" spans="1:19" x14ac:dyDescent="0.2">
      <c r="A1722" s="4" t="s">
        <v>1911</v>
      </c>
      <c r="B1722" s="5">
        <v>45976</v>
      </c>
      <c r="C1722" s="15">
        <f>WEEKNUM(Orders[[#This Row],[OrderDate]])</f>
        <v>46</v>
      </c>
      <c r="D1722" s="4" t="s">
        <v>322</v>
      </c>
      <c r="E1722" s="4" t="s">
        <v>189</v>
      </c>
      <c r="F1722" s="4">
        <v>3</v>
      </c>
      <c r="G1722" s="4">
        <v>8829.1</v>
      </c>
      <c r="H1722">
        <v>7504.7350000000006</v>
      </c>
      <c r="I1722">
        <f>Orders[[#This Row],[Quantity]]*Orders[[#This Row],[Selling Price]]</f>
        <v>26487.300000000003</v>
      </c>
      <c r="J1722">
        <f>Orders[[#This Row],[Quantity]]*Orders[[#This Row],[Cost Price]]</f>
        <v>22514.205000000002</v>
      </c>
      <c r="K1722">
        <f>Orders[[#This Row],[Revenue]]-Orders[[#This Row],[Expenses]]</f>
        <v>3973.0950000000012</v>
      </c>
      <c r="L1722" t="s">
        <v>2207</v>
      </c>
      <c r="M1722" t="str">
        <f>_xlfn.XLOOKUP(Orders[[#This Row],[CustomerID]],Customers[CustomerID],Customers[City])</f>
        <v>Washington</v>
      </c>
      <c r="N1722" t="str">
        <f>_xlfn.XLOOKUP(Orders[[#This Row],[CustomerID]],Customers[CustomerID],Customers[CustomerName])</f>
        <v>Ngozi Bello</v>
      </c>
      <c r="O1722" t="str">
        <f>_xlfn.XLOOKUP(Orders[[#This Row],[CustomerID]],Customers[CustomerID],Customers[Gender])</f>
        <v>Female</v>
      </c>
      <c r="P1722">
        <f>_xlfn.XLOOKUP(Orders[[#This Row],[CustomerID]],Customers[CustomerID],Customers[CustomerAge])</f>
        <v>32</v>
      </c>
      <c r="Q1722" t="str">
        <f>IF(Orders[[#This Row],[Age]]&gt;=35,"older","young")</f>
        <v>young</v>
      </c>
      <c r="R1722" t="str">
        <f>_xlfn.XLOOKUP(Orders[[#This Row],[ProductID]],Products[ProductID],Products[ProductName])</f>
        <v>SCRABBLE</v>
      </c>
      <c r="S1722" t="str">
        <f>_xlfn.XLOOKUP(Orders[[#This Row],[ProductID]],Products!A:A,Products!C:C)</f>
        <v>Games</v>
      </c>
    </row>
    <row r="1723" spans="1:19" x14ac:dyDescent="0.2">
      <c r="A1723" s="4" t="s">
        <v>1912</v>
      </c>
      <c r="B1723" s="5">
        <v>46004</v>
      </c>
      <c r="C1723" s="15">
        <f>WEEKNUM(Orders[[#This Row],[OrderDate]])</f>
        <v>50</v>
      </c>
      <c r="D1723" s="4" t="s">
        <v>260</v>
      </c>
      <c r="E1723" s="4" t="s">
        <v>9</v>
      </c>
      <c r="F1723" s="4">
        <v>1</v>
      </c>
      <c r="G1723" s="4">
        <v>10053.9</v>
      </c>
      <c r="H1723">
        <v>8545.8150000000005</v>
      </c>
      <c r="I1723">
        <f>Orders[[#This Row],[Quantity]]*Orders[[#This Row],[Selling Price]]</f>
        <v>10053.9</v>
      </c>
      <c r="J1723">
        <f>Orders[[#This Row],[Quantity]]*Orders[[#This Row],[Cost Price]]</f>
        <v>8545.8150000000005</v>
      </c>
      <c r="K1723">
        <f>Orders[[#This Row],[Revenue]]-Orders[[#This Row],[Expenses]]</f>
        <v>1508.0849999999991</v>
      </c>
      <c r="L1723" t="s">
        <v>2201</v>
      </c>
      <c r="M1723" t="str">
        <f>_xlfn.XLOOKUP(Orders[[#This Row],[CustomerID]],Customers[CustomerID],Customers[City])</f>
        <v>Florida</v>
      </c>
      <c r="N1723" t="str">
        <f>_xlfn.XLOOKUP(Orders[[#This Row],[CustomerID]],Customers[CustomerID],Customers[CustomerName])</f>
        <v>Amina Obi</v>
      </c>
      <c r="O1723" t="str">
        <f>_xlfn.XLOOKUP(Orders[[#This Row],[CustomerID]],Customers[CustomerID],Customers[Gender])</f>
        <v>Female</v>
      </c>
      <c r="P1723">
        <f>_xlfn.XLOOKUP(Orders[[#This Row],[CustomerID]],Customers[CustomerID],Customers[CustomerAge])</f>
        <v>29</v>
      </c>
      <c r="Q1723" t="str">
        <f>IF(Orders[[#This Row],[Age]]&gt;=35,"older","young")</f>
        <v>young</v>
      </c>
      <c r="R1723" t="str">
        <f>_xlfn.XLOOKUP(Orders[[#This Row],[ProductID]],Products[ProductID],Products[ProductName])</f>
        <v>BEADED EARRINGS AND NECKLACES</v>
      </c>
      <c r="S1723" t="str">
        <f>_xlfn.XLOOKUP(Orders[[#This Row],[ProductID]],Products!A:A,Products!C:C)</f>
        <v>Accessories</v>
      </c>
    </row>
    <row r="1724" spans="1:19" x14ac:dyDescent="0.2">
      <c r="A1724" s="4" t="s">
        <v>1913</v>
      </c>
      <c r="B1724" s="5">
        <v>45984</v>
      </c>
      <c r="C1724" s="15">
        <f>WEEKNUM(Orders[[#This Row],[OrderDate]])</f>
        <v>48</v>
      </c>
      <c r="D1724" s="4" t="s">
        <v>186</v>
      </c>
      <c r="E1724" s="4" t="s">
        <v>63</v>
      </c>
      <c r="F1724" s="4">
        <v>3</v>
      </c>
      <c r="G1724" s="4">
        <v>10341.099999999999</v>
      </c>
      <c r="H1724">
        <v>8789.9349999999995</v>
      </c>
      <c r="I1724">
        <f>Orders[[#This Row],[Quantity]]*Orders[[#This Row],[Selling Price]]</f>
        <v>31023.299999999996</v>
      </c>
      <c r="J1724">
        <f>Orders[[#This Row],[Quantity]]*Orders[[#This Row],[Cost Price]]</f>
        <v>26369.805</v>
      </c>
      <c r="K1724">
        <f>Orders[[#This Row],[Revenue]]-Orders[[#This Row],[Expenses]]</f>
        <v>4653.4949999999953</v>
      </c>
      <c r="L1724" t="s">
        <v>2211</v>
      </c>
      <c r="M1724" t="str">
        <f>_xlfn.XLOOKUP(Orders[[#This Row],[CustomerID]],Customers[CustomerID],Customers[City])</f>
        <v>Texas</v>
      </c>
      <c r="N1724" t="str">
        <f>_xlfn.XLOOKUP(Orders[[#This Row],[CustomerID]],Customers[CustomerID],Customers[CustomerName])</f>
        <v>Ronke Eze</v>
      </c>
      <c r="O1724" t="str">
        <f>_xlfn.XLOOKUP(Orders[[#This Row],[CustomerID]],Customers[CustomerID],Customers[Gender])</f>
        <v>Female</v>
      </c>
      <c r="P1724">
        <f>_xlfn.XLOOKUP(Orders[[#This Row],[CustomerID]],Customers[CustomerID],Customers[CustomerAge])</f>
        <v>37</v>
      </c>
      <c r="Q1724" t="str">
        <f>IF(Orders[[#This Row],[Age]]&gt;=35,"older","young")</f>
        <v>older</v>
      </c>
      <c r="R1724" t="str">
        <f>_xlfn.XLOOKUP(Orders[[#This Row],[ProductID]],Products[ProductID],Products[ProductName])</f>
        <v>TENNIS BAT</v>
      </c>
      <c r="S1724" t="str">
        <f>_xlfn.XLOOKUP(Orders[[#This Row],[ProductID]],Products!A:A,Products!C:C)</f>
        <v>Sports</v>
      </c>
    </row>
    <row r="1725" spans="1:19" x14ac:dyDescent="0.2">
      <c r="A1725" s="4" t="s">
        <v>1914</v>
      </c>
      <c r="B1725" s="5">
        <v>45989</v>
      </c>
      <c r="C1725" s="15">
        <f>WEEKNUM(Orders[[#This Row],[OrderDate]])</f>
        <v>48</v>
      </c>
      <c r="D1725" s="4" t="s">
        <v>198</v>
      </c>
      <c r="E1725" s="4" t="s">
        <v>23</v>
      </c>
      <c r="F1725" s="4">
        <v>9</v>
      </c>
      <c r="G1725" s="4">
        <v>14356.7</v>
      </c>
      <c r="H1725">
        <v>12203.195</v>
      </c>
      <c r="I1725">
        <f>Orders[[#This Row],[Quantity]]*Orders[[#This Row],[Selling Price]]</f>
        <v>129210.3</v>
      </c>
      <c r="J1725">
        <f>Orders[[#This Row],[Quantity]]*Orders[[#This Row],[Cost Price]]</f>
        <v>109828.755</v>
      </c>
      <c r="K1725">
        <f>Orders[[#This Row],[Revenue]]-Orders[[#This Row],[Expenses]]</f>
        <v>19381.544999999998</v>
      </c>
      <c r="L1725" t="s">
        <v>2209</v>
      </c>
      <c r="M1725" t="str">
        <f>_xlfn.XLOOKUP(Orders[[#This Row],[CustomerID]],Customers[CustomerID],Customers[City])</f>
        <v>Texas</v>
      </c>
      <c r="N1725" t="str">
        <f>_xlfn.XLOOKUP(Orders[[#This Row],[CustomerID]],Customers[CustomerID],Customers[CustomerName])</f>
        <v>Blessing Danladi</v>
      </c>
      <c r="O1725" t="str">
        <f>_xlfn.XLOOKUP(Orders[[#This Row],[CustomerID]],Customers[CustomerID],Customers[Gender])</f>
        <v>Female</v>
      </c>
      <c r="P1725">
        <f>_xlfn.XLOOKUP(Orders[[#This Row],[CustomerID]],Customers[CustomerID],Customers[CustomerAge])</f>
        <v>19</v>
      </c>
      <c r="Q1725" t="str">
        <f>IF(Orders[[#This Row],[Age]]&gt;=35,"older","young")</f>
        <v>young</v>
      </c>
      <c r="R1725" t="str">
        <f>_xlfn.XLOOKUP(Orders[[#This Row],[ProductID]],Products[ProductID],Products[ProductName])</f>
        <v>GYM GLOVES</v>
      </c>
      <c r="S1725" t="str">
        <f>_xlfn.XLOOKUP(Orders[[#This Row],[ProductID]],Products!A:A,Products!C:C)</f>
        <v>Gym</v>
      </c>
    </row>
    <row r="1726" spans="1:19" x14ac:dyDescent="0.2">
      <c r="A1726" s="4" t="s">
        <v>1915</v>
      </c>
      <c r="B1726" s="5">
        <v>46019</v>
      </c>
      <c r="C1726" s="15">
        <f>WEEKNUM(Orders[[#This Row],[OrderDate]])</f>
        <v>53</v>
      </c>
      <c r="D1726" s="4" t="s">
        <v>91</v>
      </c>
      <c r="E1726" s="4" t="s">
        <v>15</v>
      </c>
      <c r="F1726" s="4">
        <v>7</v>
      </c>
      <c r="G1726" s="4">
        <v>15724.7</v>
      </c>
      <c r="H1726">
        <v>13365.995000000001</v>
      </c>
      <c r="I1726">
        <f>Orders[[#This Row],[Quantity]]*Orders[[#This Row],[Selling Price]]</f>
        <v>110072.90000000001</v>
      </c>
      <c r="J1726">
        <f>Orders[[#This Row],[Quantity]]*Orders[[#This Row],[Cost Price]]</f>
        <v>93561.965000000011</v>
      </c>
      <c r="K1726">
        <f>Orders[[#This Row],[Revenue]]-Orders[[#This Row],[Expenses]]</f>
        <v>16510.934999999998</v>
      </c>
      <c r="L1726" t="s">
        <v>2220</v>
      </c>
      <c r="M1726" t="str">
        <f>_xlfn.XLOOKUP(Orders[[#This Row],[CustomerID]],Customers[CustomerID],Customers[City])</f>
        <v>Florida</v>
      </c>
      <c r="N1726" t="str">
        <f>_xlfn.XLOOKUP(Orders[[#This Row],[CustomerID]],Customers[CustomerID],Customers[CustomerName])</f>
        <v>Uche Abubakar</v>
      </c>
      <c r="O1726" t="str">
        <f>_xlfn.XLOOKUP(Orders[[#This Row],[CustomerID]],Customers[CustomerID],Customers[Gender])</f>
        <v>Male</v>
      </c>
      <c r="P1726">
        <f>_xlfn.XLOOKUP(Orders[[#This Row],[CustomerID]],Customers[CustomerID],Customers[CustomerAge])</f>
        <v>28</v>
      </c>
      <c r="Q1726" t="str">
        <f>IF(Orders[[#This Row],[Age]]&gt;=35,"older","young")</f>
        <v>young</v>
      </c>
      <c r="R1726" t="str">
        <f>_xlfn.XLOOKUP(Orders[[#This Row],[ProductID]],Products[ProductID],Products[ProductName])</f>
        <v>MONOPOLY</v>
      </c>
      <c r="S1726" t="str">
        <f>_xlfn.XLOOKUP(Orders[[#This Row],[ProductID]],Products!A:A,Products!C:C)</f>
        <v>Games</v>
      </c>
    </row>
    <row r="1727" spans="1:19" x14ac:dyDescent="0.2">
      <c r="A1727" s="4" t="s">
        <v>1916</v>
      </c>
      <c r="B1727" s="5">
        <v>45934</v>
      </c>
      <c r="C1727" s="15">
        <f>WEEKNUM(Orders[[#This Row],[OrderDate]])</f>
        <v>40</v>
      </c>
      <c r="D1727" s="4" t="s">
        <v>256</v>
      </c>
      <c r="E1727" s="4" t="s">
        <v>28</v>
      </c>
      <c r="F1727" s="4">
        <v>5</v>
      </c>
      <c r="G1727" s="4">
        <v>9115.8000000000011</v>
      </c>
      <c r="H1727">
        <v>7748.4300000000012</v>
      </c>
      <c r="I1727">
        <f>Orders[[#This Row],[Quantity]]*Orders[[#This Row],[Selling Price]]</f>
        <v>45579.000000000007</v>
      </c>
      <c r="J1727">
        <f>Orders[[#This Row],[Quantity]]*Orders[[#This Row],[Cost Price]]</f>
        <v>38742.150000000009</v>
      </c>
      <c r="K1727">
        <f>Orders[[#This Row],[Revenue]]-Orders[[#This Row],[Expenses]]</f>
        <v>6836.8499999999985</v>
      </c>
      <c r="L1727" t="s">
        <v>2193</v>
      </c>
      <c r="M1727" t="str">
        <f>_xlfn.XLOOKUP(Orders[[#This Row],[CustomerID]],Customers[CustomerID],Customers[City])</f>
        <v>Georgia</v>
      </c>
      <c r="N1727" t="str">
        <f>_xlfn.XLOOKUP(Orders[[#This Row],[CustomerID]],Customers[CustomerID],Customers[CustomerName])</f>
        <v>Efe Ojo</v>
      </c>
      <c r="O1727" t="str">
        <f>_xlfn.XLOOKUP(Orders[[#This Row],[CustomerID]],Customers[CustomerID],Customers[Gender])</f>
        <v>Female</v>
      </c>
      <c r="P1727">
        <f>_xlfn.XLOOKUP(Orders[[#This Row],[CustomerID]],Customers[CustomerID],Customers[CustomerAge])</f>
        <v>23</v>
      </c>
      <c r="Q1727" t="str">
        <f>IF(Orders[[#This Row],[Age]]&gt;=35,"older","young")</f>
        <v>young</v>
      </c>
      <c r="R1727" t="str">
        <f>_xlfn.XLOOKUP(Orders[[#This Row],[ProductID]],Products[ProductID],Products[ProductName])</f>
        <v>SNEAKERS</v>
      </c>
      <c r="S1727" t="str">
        <f>_xlfn.XLOOKUP(Orders[[#This Row],[ProductID]],Products!A:A,Products!C:C)</f>
        <v>Sports</v>
      </c>
    </row>
    <row r="1728" spans="1:19" x14ac:dyDescent="0.2">
      <c r="A1728" s="4" t="s">
        <v>1917</v>
      </c>
      <c r="B1728" s="5">
        <v>45943</v>
      </c>
      <c r="C1728" s="15">
        <f>WEEKNUM(Orders[[#This Row],[OrderDate]])</f>
        <v>42</v>
      </c>
      <c r="D1728" s="4" t="s">
        <v>223</v>
      </c>
      <c r="E1728" s="4" t="s">
        <v>37</v>
      </c>
      <c r="F1728" s="4">
        <v>1</v>
      </c>
      <c r="G1728" s="4">
        <v>12308.5</v>
      </c>
      <c r="H1728">
        <v>10462.225</v>
      </c>
      <c r="I1728">
        <f>Orders[[#This Row],[Quantity]]*Orders[[#This Row],[Selling Price]]</f>
        <v>12308.5</v>
      </c>
      <c r="J1728">
        <f>Orders[[#This Row],[Quantity]]*Orders[[#This Row],[Cost Price]]</f>
        <v>10462.225</v>
      </c>
      <c r="K1728">
        <f>Orders[[#This Row],[Revenue]]-Orders[[#This Row],[Expenses]]</f>
        <v>1846.2749999999996</v>
      </c>
      <c r="L1728" t="s">
        <v>2209</v>
      </c>
      <c r="M1728" t="str">
        <f>_xlfn.XLOOKUP(Orders[[#This Row],[CustomerID]],Customers[CustomerID],Customers[City])</f>
        <v>Washington</v>
      </c>
      <c r="N1728" t="str">
        <f>_xlfn.XLOOKUP(Orders[[#This Row],[CustomerID]],Customers[CustomerID],Customers[CustomerName])</f>
        <v>Blessing Danladi</v>
      </c>
      <c r="O1728" t="str">
        <f>_xlfn.XLOOKUP(Orders[[#This Row],[CustomerID]],Customers[CustomerID],Customers[Gender])</f>
        <v>Female</v>
      </c>
      <c r="P1728">
        <f>_xlfn.XLOOKUP(Orders[[#This Row],[CustomerID]],Customers[CustomerID],Customers[CustomerAge])</f>
        <v>20</v>
      </c>
      <c r="Q1728" t="str">
        <f>IF(Orders[[#This Row],[Age]]&gt;=35,"older","young")</f>
        <v>young</v>
      </c>
      <c r="R1728" t="str">
        <f>_xlfn.XLOOKUP(Orders[[#This Row],[ProductID]],Products[ProductID],Products[ProductName])</f>
        <v>IRON</v>
      </c>
      <c r="S1728" t="str">
        <f>_xlfn.XLOOKUP(Orders[[#This Row],[ProductID]],Products!A:A,Products!C:C)</f>
        <v>Electronics</v>
      </c>
    </row>
    <row r="1729" spans="1:19" x14ac:dyDescent="0.2">
      <c r="A1729" s="4" t="s">
        <v>1918</v>
      </c>
      <c r="B1729" s="5">
        <v>46017</v>
      </c>
      <c r="C1729" s="15">
        <f>WEEKNUM(Orders[[#This Row],[OrderDate]])</f>
        <v>52</v>
      </c>
      <c r="D1729" s="4" t="s">
        <v>216</v>
      </c>
      <c r="E1729" s="4" t="s">
        <v>37</v>
      </c>
      <c r="F1729" s="4">
        <v>6</v>
      </c>
      <c r="G1729" s="4">
        <v>14127.4</v>
      </c>
      <c r="H1729">
        <v>12008.29</v>
      </c>
      <c r="I1729">
        <f>Orders[[#This Row],[Quantity]]*Orders[[#This Row],[Selling Price]]</f>
        <v>84764.4</v>
      </c>
      <c r="J1729">
        <f>Orders[[#This Row],[Quantity]]*Orders[[#This Row],[Cost Price]]</f>
        <v>72049.740000000005</v>
      </c>
      <c r="K1729">
        <f>Orders[[#This Row],[Revenue]]-Orders[[#This Row],[Expenses]]</f>
        <v>12714.659999999989</v>
      </c>
      <c r="L1729" t="s">
        <v>2202</v>
      </c>
      <c r="M1729" t="str">
        <f>_xlfn.XLOOKUP(Orders[[#This Row],[CustomerID]],Customers[CustomerID],Customers[City])</f>
        <v>California</v>
      </c>
      <c r="N1729" t="str">
        <f>_xlfn.XLOOKUP(Orders[[#This Row],[CustomerID]],Customers[CustomerID],Customers[CustomerName])</f>
        <v>Ngozi Obi</v>
      </c>
      <c r="O1729" t="str">
        <f>_xlfn.XLOOKUP(Orders[[#This Row],[CustomerID]],Customers[CustomerID],Customers[Gender])</f>
        <v>Female</v>
      </c>
      <c r="P1729">
        <f>_xlfn.XLOOKUP(Orders[[#This Row],[CustomerID]],Customers[CustomerID],Customers[CustomerAge])</f>
        <v>54</v>
      </c>
      <c r="Q1729" t="str">
        <f>IF(Orders[[#This Row],[Age]]&gt;=35,"older","young")</f>
        <v>older</v>
      </c>
      <c r="R1729" t="str">
        <f>_xlfn.XLOOKUP(Orders[[#This Row],[ProductID]],Products[ProductID],Products[ProductName])</f>
        <v>IRON</v>
      </c>
      <c r="S1729" t="str">
        <f>_xlfn.XLOOKUP(Orders[[#This Row],[ProductID]],Products!A:A,Products!C:C)</f>
        <v>Electronics</v>
      </c>
    </row>
    <row r="1730" spans="1:19" x14ac:dyDescent="0.2">
      <c r="A1730" s="4" t="s">
        <v>1919</v>
      </c>
      <c r="B1730" s="5">
        <v>46013</v>
      </c>
      <c r="C1730" s="15">
        <f>WEEKNUM(Orders[[#This Row],[OrderDate]])</f>
        <v>52</v>
      </c>
      <c r="D1730" s="4" t="s">
        <v>132</v>
      </c>
      <c r="E1730" s="4" t="s">
        <v>25</v>
      </c>
      <c r="F1730" s="4">
        <v>8</v>
      </c>
      <c r="G1730" s="4">
        <v>6176.5</v>
      </c>
      <c r="H1730">
        <v>5250.0249999999996</v>
      </c>
      <c r="I1730">
        <f>Orders[[#This Row],[Quantity]]*Orders[[#This Row],[Selling Price]]</f>
        <v>49412</v>
      </c>
      <c r="J1730">
        <f>Orders[[#This Row],[Quantity]]*Orders[[#This Row],[Cost Price]]</f>
        <v>42000.2</v>
      </c>
      <c r="K1730">
        <f>Orders[[#This Row],[Revenue]]-Orders[[#This Row],[Expenses]]</f>
        <v>7411.8000000000029</v>
      </c>
      <c r="L1730" t="s">
        <v>2209</v>
      </c>
      <c r="M1730" t="str">
        <f>_xlfn.XLOOKUP(Orders[[#This Row],[CustomerID]],Customers[CustomerID],Customers[City])</f>
        <v>Illinois</v>
      </c>
      <c r="N1730" t="str">
        <f>_xlfn.XLOOKUP(Orders[[#This Row],[CustomerID]],Customers[CustomerID],Customers[CustomerName])</f>
        <v>Emeka Balogun</v>
      </c>
      <c r="O1730" t="str">
        <f>_xlfn.XLOOKUP(Orders[[#This Row],[CustomerID]],Customers[CustomerID],Customers[Gender])</f>
        <v>Male</v>
      </c>
      <c r="P1730">
        <f>_xlfn.XLOOKUP(Orders[[#This Row],[CustomerID]],Customers[CustomerID],Customers[CustomerAge])</f>
        <v>36</v>
      </c>
      <c r="Q1730" t="str">
        <f>IF(Orders[[#This Row],[Age]]&gt;=35,"older","young")</f>
        <v>older</v>
      </c>
      <c r="R1730" t="str">
        <f>_xlfn.XLOOKUP(Orders[[#This Row],[ProductID]],Products[ProductID],Products[ProductName])</f>
        <v>GOLD RINGS</v>
      </c>
      <c r="S1730" t="str">
        <f>_xlfn.XLOOKUP(Orders[[#This Row],[ProductID]],Products!A:A,Products!C:C)</f>
        <v>Accessories</v>
      </c>
    </row>
    <row r="1731" spans="1:19" x14ac:dyDescent="0.2">
      <c r="A1731" s="4" t="s">
        <v>1920</v>
      </c>
      <c r="B1731" s="5">
        <v>46000</v>
      </c>
      <c r="C1731" s="15">
        <f>WEEKNUM(Orders[[#This Row],[OrderDate]])</f>
        <v>50</v>
      </c>
      <c r="D1731" s="4" t="s">
        <v>252</v>
      </c>
      <c r="E1731" s="4" t="s">
        <v>46</v>
      </c>
      <c r="F1731" s="4">
        <v>2</v>
      </c>
      <c r="G1731" s="4">
        <v>4335</v>
      </c>
      <c r="H1731">
        <v>3684.75</v>
      </c>
      <c r="I1731">
        <f>Orders[[#This Row],[Quantity]]*Orders[[#This Row],[Selling Price]]</f>
        <v>8670</v>
      </c>
      <c r="J1731">
        <f>Orders[[#This Row],[Quantity]]*Orders[[#This Row],[Cost Price]]</f>
        <v>7369.5</v>
      </c>
      <c r="K1731">
        <f>Orders[[#This Row],[Revenue]]-Orders[[#This Row],[Expenses]]</f>
        <v>1300.5</v>
      </c>
      <c r="L1731" t="s">
        <v>2196</v>
      </c>
      <c r="M1731" t="str">
        <f>_xlfn.XLOOKUP(Orders[[#This Row],[CustomerID]],Customers[CustomerID],Customers[City])</f>
        <v>Texas</v>
      </c>
      <c r="N1731" t="str">
        <f>_xlfn.XLOOKUP(Orders[[#This Row],[CustomerID]],Customers[CustomerID],Customers[CustomerName])</f>
        <v>Chioma Adeyemi</v>
      </c>
      <c r="O1731" t="str">
        <f>_xlfn.XLOOKUP(Orders[[#This Row],[CustomerID]],Customers[CustomerID],Customers[Gender])</f>
        <v>Female</v>
      </c>
      <c r="P1731">
        <f>_xlfn.XLOOKUP(Orders[[#This Row],[CustomerID]],Customers[CustomerID],Customers[CustomerAge])</f>
        <v>20</v>
      </c>
      <c r="Q1731" t="str">
        <f>IF(Orders[[#This Row],[Age]]&gt;=35,"older","young")</f>
        <v>young</v>
      </c>
      <c r="R1731" t="str">
        <f>_xlfn.XLOOKUP(Orders[[#This Row],[ProductID]],Products[ProductID],Products[ProductName])</f>
        <v>TURTLE NECK</v>
      </c>
      <c r="S1731" t="str">
        <f>_xlfn.XLOOKUP(Orders[[#This Row],[ProductID]],Products!A:A,Products!C:C)</f>
        <v>Clothing</v>
      </c>
    </row>
    <row r="1732" spans="1:19" x14ac:dyDescent="0.2">
      <c r="A1732" s="4" t="s">
        <v>1921</v>
      </c>
      <c r="B1732" s="5">
        <v>45992</v>
      </c>
      <c r="C1732" s="15">
        <f>WEEKNUM(Orders[[#This Row],[OrderDate]])</f>
        <v>49</v>
      </c>
      <c r="D1732" s="4" t="s">
        <v>103</v>
      </c>
      <c r="E1732" s="4" t="s">
        <v>28</v>
      </c>
      <c r="F1732" s="4">
        <v>9</v>
      </c>
      <c r="G1732" s="4">
        <v>8100.5</v>
      </c>
      <c r="H1732">
        <v>6885.4250000000002</v>
      </c>
      <c r="I1732">
        <f>Orders[[#This Row],[Quantity]]*Orders[[#This Row],[Selling Price]]</f>
        <v>72904.5</v>
      </c>
      <c r="J1732">
        <f>Orders[[#This Row],[Quantity]]*Orders[[#This Row],[Cost Price]]</f>
        <v>61968.825000000004</v>
      </c>
      <c r="K1732">
        <f>Orders[[#This Row],[Revenue]]-Orders[[#This Row],[Expenses]]</f>
        <v>10935.674999999996</v>
      </c>
      <c r="L1732" t="s">
        <v>2219</v>
      </c>
      <c r="M1732" t="str">
        <f>_xlfn.XLOOKUP(Orders[[#This Row],[CustomerID]],Customers[CustomerID],Customers[City])</f>
        <v>Georgia</v>
      </c>
      <c r="N1732" t="str">
        <f>_xlfn.XLOOKUP(Orders[[#This Row],[CustomerID]],Customers[CustomerID],Customers[CustomerName])</f>
        <v>Chioma Adeyemi</v>
      </c>
      <c r="O1732" t="str">
        <f>_xlfn.XLOOKUP(Orders[[#This Row],[CustomerID]],Customers[CustomerID],Customers[Gender])</f>
        <v>Female</v>
      </c>
      <c r="P1732">
        <f>_xlfn.XLOOKUP(Orders[[#This Row],[CustomerID]],Customers[CustomerID],Customers[CustomerAge])</f>
        <v>31</v>
      </c>
      <c r="Q1732" t="str">
        <f>IF(Orders[[#This Row],[Age]]&gt;=35,"older","young")</f>
        <v>young</v>
      </c>
      <c r="R1732" t="str">
        <f>_xlfn.XLOOKUP(Orders[[#This Row],[ProductID]],Products[ProductID],Products[ProductName])</f>
        <v>SNEAKERS</v>
      </c>
      <c r="S1732" t="str">
        <f>_xlfn.XLOOKUP(Orders[[#This Row],[ProductID]],Products!A:A,Products!C:C)</f>
        <v>Sports</v>
      </c>
    </row>
    <row r="1733" spans="1:19" x14ac:dyDescent="0.2">
      <c r="A1733" s="4" t="s">
        <v>1922</v>
      </c>
      <c r="B1733" s="5">
        <v>45985</v>
      </c>
      <c r="C1733" s="15">
        <f>WEEKNUM(Orders[[#This Row],[OrderDate]])</f>
        <v>48</v>
      </c>
      <c r="D1733" s="4" t="s">
        <v>564</v>
      </c>
      <c r="E1733" s="4" t="s">
        <v>125</v>
      </c>
      <c r="F1733" s="4">
        <v>9</v>
      </c>
      <c r="G1733" s="4">
        <v>927.90000000000009</v>
      </c>
      <c r="H1733">
        <v>788.71500000000015</v>
      </c>
      <c r="I1733">
        <f>Orders[[#This Row],[Quantity]]*Orders[[#This Row],[Selling Price]]</f>
        <v>8351.1</v>
      </c>
      <c r="J1733">
        <f>Orders[[#This Row],[Quantity]]*Orders[[#This Row],[Cost Price]]</f>
        <v>7098.4350000000013</v>
      </c>
      <c r="K1733">
        <f>Orders[[#This Row],[Revenue]]-Orders[[#This Row],[Expenses]]</f>
        <v>1252.6649999999991</v>
      </c>
      <c r="L1733" t="s">
        <v>2203</v>
      </c>
      <c r="M1733" t="str">
        <f>_xlfn.XLOOKUP(Orders[[#This Row],[CustomerID]],Customers[CustomerID],Customers[City])</f>
        <v>Georgia</v>
      </c>
      <c r="N1733" t="str">
        <f>_xlfn.XLOOKUP(Orders[[#This Row],[CustomerID]],Customers[CustomerID],Customers[CustomerName])</f>
        <v>Blessing Eze</v>
      </c>
      <c r="O1733" t="str">
        <f>_xlfn.XLOOKUP(Orders[[#This Row],[CustomerID]],Customers[CustomerID],Customers[Gender])</f>
        <v>Female</v>
      </c>
      <c r="P1733">
        <f>_xlfn.XLOOKUP(Orders[[#This Row],[CustomerID]],Customers[CustomerID],Customers[CustomerAge])</f>
        <v>19</v>
      </c>
      <c r="Q1733" t="str">
        <f>IF(Orders[[#This Row],[Age]]&gt;=35,"older","young")</f>
        <v>young</v>
      </c>
      <c r="R1733" t="str">
        <f>_xlfn.XLOOKUP(Orders[[#This Row],[ProductID]],Products[ProductID],Products[ProductName])</f>
        <v>EARRINGS</v>
      </c>
      <c r="S1733" t="str">
        <f>_xlfn.XLOOKUP(Orders[[#This Row],[ProductID]],Products!A:A,Products!C:C)</f>
        <v>Accessories</v>
      </c>
    </row>
    <row r="1734" spans="1:19" x14ac:dyDescent="0.2">
      <c r="A1734" s="4" t="s">
        <v>1923</v>
      </c>
      <c r="B1734" s="5">
        <v>45964</v>
      </c>
      <c r="C1734" s="15">
        <f>WEEKNUM(Orders[[#This Row],[OrderDate]])</f>
        <v>45</v>
      </c>
      <c r="D1734" s="4" t="s">
        <v>383</v>
      </c>
      <c r="E1734" s="4" t="s">
        <v>111</v>
      </c>
      <c r="F1734" s="4">
        <v>4</v>
      </c>
      <c r="G1734" s="4">
        <v>10863.3</v>
      </c>
      <c r="H1734">
        <v>9233.8050000000003</v>
      </c>
      <c r="I1734">
        <f>Orders[[#This Row],[Quantity]]*Orders[[#This Row],[Selling Price]]</f>
        <v>43453.2</v>
      </c>
      <c r="J1734">
        <f>Orders[[#This Row],[Quantity]]*Orders[[#This Row],[Cost Price]]</f>
        <v>36935.22</v>
      </c>
      <c r="K1734">
        <f>Orders[[#This Row],[Revenue]]-Orders[[#This Row],[Expenses]]</f>
        <v>6517.9799999999959</v>
      </c>
      <c r="L1734" t="s">
        <v>2197</v>
      </c>
      <c r="M1734" t="str">
        <f>_xlfn.XLOOKUP(Orders[[#This Row],[CustomerID]],Customers[CustomerID],Customers[City])</f>
        <v>Florida</v>
      </c>
      <c r="N1734" t="str">
        <f>_xlfn.XLOOKUP(Orders[[#This Row],[CustomerID]],Customers[CustomerID],Customers[CustomerName])</f>
        <v>Ibrahim Balogun</v>
      </c>
      <c r="O1734" t="str">
        <f>_xlfn.XLOOKUP(Orders[[#This Row],[CustomerID]],Customers[CustomerID],Customers[Gender])</f>
        <v>Male</v>
      </c>
      <c r="P1734">
        <f>_xlfn.XLOOKUP(Orders[[#This Row],[CustomerID]],Customers[CustomerID],Customers[CustomerAge])</f>
        <v>27</v>
      </c>
      <c r="Q1734" t="str">
        <f>IF(Orders[[#This Row],[Age]]&gt;=35,"older","young")</f>
        <v>young</v>
      </c>
      <c r="R1734" t="str">
        <f>_xlfn.XLOOKUP(Orders[[#This Row],[ProductID]],Products[ProductID],Products[ProductName])</f>
        <v>REFRIGERATOR</v>
      </c>
      <c r="S1734" t="str">
        <f>_xlfn.XLOOKUP(Orders[[#This Row],[ProductID]],Products!A:A,Products!C:C)</f>
        <v>Electronics</v>
      </c>
    </row>
    <row r="1735" spans="1:19" x14ac:dyDescent="0.2">
      <c r="A1735" s="4" t="s">
        <v>1924</v>
      </c>
      <c r="B1735" s="5">
        <v>46011</v>
      </c>
      <c r="C1735" s="15">
        <f>WEEKNUM(Orders[[#This Row],[OrderDate]])</f>
        <v>51</v>
      </c>
      <c r="D1735" s="4" t="s">
        <v>426</v>
      </c>
      <c r="E1735" s="4" t="s">
        <v>92</v>
      </c>
      <c r="F1735" s="4">
        <v>7</v>
      </c>
      <c r="G1735" s="4">
        <v>18110.2</v>
      </c>
      <c r="H1735">
        <v>15393.67</v>
      </c>
      <c r="I1735">
        <f>Orders[[#This Row],[Quantity]]*Orders[[#This Row],[Selling Price]]</f>
        <v>126771.40000000001</v>
      </c>
      <c r="J1735">
        <f>Orders[[#This Row],[Quantity]]*Orders[[#This Row],[Cost Price]]</f>
        <v>107755.69</v>
      </c>
      <c r="K1735">
        <f>Orders[[#This Row],[Revenue]]-Orders[[#This Row],[Expenses]]</f>
        <v>19015.710000000006</v>
      </c>
      <c r="L1735" t="s">
        <v>2212</v>
      </c>
      <c r="M1735" t="str">
        <f>_xlfn.XLOOKUP(Orders[[#This Row],[CustomerID]],Customers[CustomerID],Customers[City])</f>
        <v>Washington</v>
      </c>
      <c r="N1735" t="str">
        <f>_xlfn.XLOOKUP(Orders[[#This Row],[CustomerID]],Customers[CustomerID],Customers[CustomerName])</f>
        <v>Chinedu Ojo</v>
      </c>
      <c r="O1735" t="str">
        <f>_xlfn.XLOOKUP(Orders[[#This Row],[CustomerID]],Customers[CustomerID],Customers[Gender])</f>
        <v>Male</v>
      </c>
      <c r="P1735">
        <f>_xlfn.XLOOKUP(Orders[[#This Row],[CustomerID]],Customers[CustomerID],Customers[CustomerAge])</f>
        <v>18</v>
      </c>
      <c r="Q1735" t="str">
        <f>IF(Orders[[#This Row],[Age]]&gt;=35,"older","young")</f>
        <v>young</v>
      </c>
      <c r="R1735" t="str">
        <f>_xlfn.XLOOKUP(Orders[[#This Row],[ProductID]],Products[ProductID],Products[ProductName])</f>
        <v>CHEST EXPANDER</v>
      </c>
      <c r="S1735" t="str">
        <f>_xlfn.XLOOKUP(Orders[[#This Row],[ProductID]],Products!A:A,Products!C:C)</f>
        <v>Gym</v>
      </c>
    </row>
    <row r="1736" spans="1:19" x14ac:dyDescent="0.2">
      <c r="A1736" s="4" t="s">
        <v>1925</v>
      </c>
      <c r="B1736" s="5">
        <v>45955</v>
      </c>
      <c r="C1736" s="15">
        <f>WEEKNUM(Orders[[#This Row],[OrderDate]])</f>
        <v>43</v>
      </c>
      <c r="D1736" s="4" t="s">
        <v>833</v>
      </c>
      <c r="E1736" s="4" t="s">
        <v>151</v>
      </c>
      <c r="F1736" s="4">
        <v>8</v>
      </c>
      <c r="G1736" s="4">
        <v>7613.0999999999995</v>
      </c>
      <c r="H1736">
        <v>6471.1349999999993</v>
      </c>
      <c r="I1736">
        <f>Orders[[#This Row],[Quantity]]*Orders[[#This Row],[Selling Price]]</f>
        <v>60904.799999999996</v>
      </c>
      <c r="J1736">
        <f>Orders[[#This Row],[Quantity]]*Orders[[#This Row],[Cost Price]]</f>
        <v>51769.079999999994</v>
      </c>
      <c r="K1736">
        <f>Orders[[#This Row],[Revenue]]-Orders[[#This Row],[Expenses]]</f>
        <v>9135.7200000000012</v>
      </c>
      <c r="L1736" t="s">
        <v>2210</v>
      </c>
      <c r="M1736" t="str">
        <f>_xlfn.XLOOKUP(Orders[[#This Row],[CustomerID]],Customers[CustomerID],Customers[City])</f>
        <v>Washington</v>
      </c>
      <c r="N1736" t="str">
        <f>_xlfn.XLOOKUP(Orders[[#This Row],[CustomerID]],Customers[CustomerID],Customers[CustomerName])</f>
        <v>Abiola Adeyemi</v>
      </c>
      <c r="O1736" t="str">
        <f>_xlfn.XLOOKUP(Orders[[#This Row],[CustomerID]],Customers[CustomerID],Customers[Gender])</f>
        <v>Male</v>
      </c>
      <c r="P1736">
        <f>_xlfn.XLOOKUP(Orders[[#This Row],[CustomerID]],Customers[CustomerID],Customers[CustomerAge])</f>
        <v>53</v>
      </c>
      <c r="Q1736" t="str">
        <f>IF(Orders[[#This Row],[Age]]&gt;=35,"older","young")</f>
        <v>older</v>
      </c>
      <c r="R1736" t="str">
        <f>_xlfn.XLOOKUP(Orders[[#This Row],[ProductID]],Products[ProductID],Products[ProductName])</f>
        <v>CHECKERS</v>
      </c>
      <c r="S1736" t="str">
        <f>_xlfn.XLOOKUP(Orders[[#This Row],[ProductID]],Products!A:A,Products!C:C)</f>
        <v>Games</v>
      </c>
    </row>
    <row r="1737" spans="1:19" x14ac:dyDescent="0.2">
      <c r="A1737" s="4" t="s">
        <v>1926</v>
      </c>
      <c r="B1737" s="5">
        <v>46001</v>
      </c>
      <c r="C1737" s="15">
        <f>WEEKNUM(Orders[[#This Row],[OrderDate]])</f>
        <v>50</v>
      </c>
      <c r="D1737" s="4" t="s">
        <v>203</v>
      </c>
      <c r="E1737" s="4" t="s">
        <v>34</v>
      </c>
      <c r="F1737" s="4">
        <v>10</v>
      </c>
      <c r="G1737" s="4">
        <v>16479.900000000001</v>
      </c>
      <c r="H1737">
        <v>14007.915000000001</v>
      </c>
      <c r="I1737">
        <f>Orders[[#This Row],[Quantity]]*Orders[[#This Row],[Selling Price]]</f>
        <v>164799</v>
      </c>
      <c r="J1737">
        <f>Orders[[#This Row],[Quantity]]*Orders[[#This Row],[Cost Price]]</f>
        <v>140079.15000000002</v>
      </c>
      <c r="K1737">
        <f>Orders[[#This Row],[Revenue]]-Orders[[#This Row],[Expenses]]</f>
        <v>24719.849999999977</v>
      </c>
      <c r="L1737" t="s">
        <v>2196</v>
      </c>
      <c r="M1737" t="str">
        <f>_xlfn.XLOOKUP(Orders[[#This Row],[CustomerID]],Customers[CustomerID],Customers[City])</f>
        <v>Texas</v>
      </c>
      <c r="N1737" t="str">
        <f>_xlfn.XLOOKUP(Orders[[#This Row],[CustomerID]],Customers[CustomerID],Customers[CustomerName])</f>
        <v>Okon Bello</v>
      </c>
      <c r="O1737" t="str">
        <f>_xlfn.XLOOKUP(Orders[[#This Row],[CustomerID]],Customers[CustomerID],Customers[Gender])</f>
        <v>Male</v>
      </c>
      <c r="P1737">
        <f>_xlfn.XLOOKUP(Orders[[#This Row],[CustomerID]],Customers[CustomerID],Customers[CustomerAge])</f>
        <v>20</v>
      </c>
      <c r="Q1737" t="str">
        <f>IF(Orders[[#This Row],[Age]]&gt;=35,"older","young")</f>
        <v>young</v>
      </c>
      <c r="R1737" t="str">
        <f>_xlfn.XLOOKUP(Orders[[#This Row],[ProductID]],Products[ProductID],Products[ProductName])</f>
        <v>GOLD BRACELETS</v>
      </c>
      <c r="S1737" t="str">
        <f>_xlfn.XLOOKUP(Orders[[#This Row],[ProductID]],Products!A:A,Products!C:C)</f>
        <v>Accessories</v>
      </c>
    </row>
    <row r="1738" spans="1:19" x14ac:dyDescent="0.2">
      <c r="A1738" s="4" t="s">
        <v>1927</v>
      </c>
      <c r="B1738" s="5">
        <v>46009</v>
      </c>
      <c r="C1738" s="15">
        <f>WEEKNUM(Orders[[#This Row],[OrderDate]])</f>
        <v>51</v>
      </c>
      <c r="D1738" s="4" t="s">
        <v>11</v>
      </c>
      <c r="E1738" s="4" t="s">
        <v>34</v>
      </c>
      <c r="F1738" s="4">
        <v>3</v>
      </c>
      <c r="G1738" s="4">
        <v>1324.5</v>
      </c>
      <c r="H1738">
        <v>1125.825</v>
      </c>
      <c r="I1738">
        <f>Orders[[#This Row],[Quantity]]*Orders[[#This Row],[Selling Price]]</f>
        <v>3973.5</v>
      </c>
      <c r="J1738">
        <f>Orders[[#This Row],[Quantity]]*Orders[[#This Row],[Cost Price]]</f>
        <v>3377.4750000000004</v>
      </c>
      <c r="K1738">
        <f>Orders[[#This Row],[Revenue]]-Orders[[#This Row],[Expenses]]</f>
        <v>596.02499999999964</v>
      </c>
      <c r="L1738" t="s">
        <v>2195</v>
      </c>
      <c r="M1738" t="str">
        <f>_xlfn.XLOOKUP(Orders[[#This Row],[CustomerID]],Customers[CustomerID],Customers[City])</f>
        <v>Texas</v>
      </c>
      <c r="N1738" t="str">
        <f>_xlfn.XLOOKUP(Orders[[#This Row],[CustomerID]],Customers[CustomerID],Customers[CustomerName])</f>
        <v>Efe Ojo</v>
      </c>
      <c r="O1738" t="str">
        <f>_xlfn.XLOOKUP(Orders[[#This Row],[CustomerID]],Customers[CustomerID],Customers[Gender])</f>
        <v>Female</v>
      </c>
      <c r="P1738">
        <f>_xlfn.XLOOKUP(Orders[[#This Row],[CustomerID]],Customers[CustomerID],Customers[CustomerAge])</f>
        <v>55</v>
      </c>
      <c r="Q1738" t="str">
        <f>IF(Orders[[#This Row],[Age]]&gt;=35,"older","young")</f>
        <v>older</v>
      </c>
      <c r="R1738" t="str">
        <f>_xlfn.XLOOKUP(Orders[[#This Row],[ProductID]],Products[ProductID],Products[ProductName])</f>
        <v>GOLD BRACELETS</v>
      </c>
      <c r="S1738" t="str">
        <f>_xlfn.XLOOKUP(Orders[[#This Row],[ProductID]],Products!A:A,Products!C:C)</f>
        <v>Accessories</v>
      </c>
    </row>
    <row r="1739" spans="1:19" x14ac:dyDescent="0.2">
      <c r="A1739" s="4" t="s">
        <v>1928</v>
      </c>
      <c r="B1739" s="5">
        <v>45988</v>
      </c>
      <c r="C1739" s="15">
        <f>WEEKNUM(Orders[[#This Row],[OrderDate]])</f>
        <v>48</v>
      </c>
      <c r="D1739" s="4" t="s">
        <v>105</v>
      </c>
      <c r="E1739" s="4" t="s">
        <v>189</v>
      </c>
      <c r="F1739" s="4">
        <v>6</v>
      </c>
      <c r="G1739" s="4">
        <v>15448.4</v>
      </c>
      <c r="H1739">
        <v>13131.14</v>
      </c>
      <c r="I1739">
        <f>Orders[[#This Row],[Quantity]]*Orders[[#This Row],[Selling Price]]</f>
        <v>92690.4</v>
      </c>
      <c r="J1739">
        <f>Orders[[#This Row],[Quantity]]*Orders[[#This Row],[Cost Price]]</f>
        <v>78786.84</v>
      </c>
      <c r="K1739">
        <f>Orders[[#This Row],[Revenue]]-Orders[[#This Row],[Expenses]]</f>
        <v>13903.559999999998</v>
      </c>
      <c r="L1739" t="s">
        <v>2209</v>
      </c>
      <c r="M1739" t="str">
        <f>_xlfn.XLOOKUP(Orders[[#This Row],[CustomerID]],Customers[CustomerID],Customers[City])</f>
        <v>Georgia</v>
      </c>
      <c r="N1739" t="str">
        <f>_xlfn.XLOOKUP(Orders[[#This Row],[CustomerID]],Customers[CustomerID],Customers[CustomerName])</f>
        <v>Folasade Adeyemi</v>
      </c>
      <c r="O1739" t="str">
        <f>_xlfn.XLOOKUP(Orders[[#This Row],[CustomerID]],Customers[CustomerID],Customers[Gender])</f>
        <v>Female</v>
      </c>
      <c r="P1739">
        <f>_xlfn.XLOOKUP(Orders[[#This Row],[CustomerID]],Customers[CustomerID],Customers[CustomerAge])</f>
        <v>42</v>
      </c>
      <c r="Q1739" t="str">
        <f>IF(Orders[[#This Row],[Age]]&gt;=35,"older","young")</f>
        <v>older</v>
      </c>
      <c r="R1739" t="str">
        <f>_xlfn.XLOOKUP(Orders[[#This Row],[ProductID]],Products[ProductID],Products[ProductName])</f>
        <v>SCRABBLE</v>
      </c>
      <c r="S1739" t="str">
        <f>_xlfn.XLOOKUP(Orders[[#This Row],[ProductID]],Products!A:A,Products!C:C)</f>
        <v>Games</v>
      </c>
    </row>
    <row r="1740" spans="1:19" x14ac:dyDescent="0.2">
      <c r="A1740" s="4" t="s">
        <v>1929</v>
      </c>
      <c r="B1740" s="5">
        <v>45984</v>
      </c>
      <c r="C1740" s="15">
        <f>WEEKNUM(Orders[[#This Row],[OrderDate]])</f>
        <v>48</v>
      </c>
      <c r="D1740" s="4" t="s">
        <v>87</v>
      </c>
      <c r="E1740" s="4" t="s">
        <v>34</v>
      </c>
      <c r="F1740" s="4">
        <v>7</v>
      </c>
      <c r="G1740" s="4">
        <v>8704.2999999999993</v>
      </c>
      <c r="H1740">
        <v>7398.6549999999997</v>
      </c>
      <c r="I1740">
        <f>Orders[[#This Row],[Quantity]]*Orders[[#This Row],[Selling Price]]</f>
        <v>60930.099999999991</v>
      </c>
      <c r="J1740">
        <f>Orders[[#This Row],[Quantity]]*Orders[[#This Row],[Cost Price]]</f>
        <v>51790.584999999999</v>
      </c>
      <c r="K1740">
        <f>Orders[[#This Row],[Revenue]]-Orders[[#This Row],[Expenses]]</f>
        <v>9139.5149999999921</v>
      </c>
      <c r="L1740" t="s">
        <v>2192</v>
      </c>
      <c r="M1740" t="str">
        <f>_xlfn.XLOOKUP(Orders[[#This Row],[CustomerID]],Customers[CustomerID],Customers[City])</f>
        <v>Illinois</v>
      </c>
      <c r="N1740" t="str">
        <f>_xlfn.XLOOKUP(Orders[[#This Row],[CustomerID]],Customers[CustomerID],Customers[CustomerName])</f>
        <v>Efe Igwe</v>
      </c>
      <c r="O1740" t="str">
        <f>_xlfn.XLOOKUP(Orders[[#This Row],[CustomerID]],Customers[CustomerID],Customers[Gender])</f>
        <v>Female</v>
      </c>
      <c r="P1740">
        <f>_xlfn.XLOOKUP(Orders[[#This Row],[CustomerID]],Customers[CustomerID],Customers[CustomerAge])</f>
        <v>34</v>
      </c>
      <c r="Q1740" t="str">
        <f>IF(Orders[[#This Row],[Age]]&gt;=35,"older","young")</f>
        <v>young</v>
      </c>
      <c r="R1740" t="str">
        <f>_xlfn.XLOOKUP(Orders[[#This Row],[ProductID]],Products[ProductID],Products[ProductName])</f>
        <v>GOLD BRACELETS</v>
      </c>
      <c r="S1740" t="str">
        <f>_xlfn.XLOOKUP(Orders[[#This Row],[ProductID]],Products!A:A,Products!C:C)</f>
        <v>Accessories</v>
      </c>
    </row>
    <row r="1741" spans="1:19" x14ac:dyDescent="0.2">
      <c r="A1741" s="4" t="s">
        <v>1930</v>
      </c>
      <c r="B1741" s="5">
        <v>45950</v>
      </c>
      <c r="C1741" s="15">
        <f>WEEKNUM(Orders[[#This Row],[OrderDate]])</f>
        <v>43</v>
      </c>
      <c r="D1741" s="4" t="s">
        <v>327</v>
      </c>
      <c r="E1741" s="4" t="s">
        <v>34</v>
      </c>
      <c r="F1741" s="4">
        <v>6</v>
      </c>
      <c r="G1741" s="4">
        <v>3547.9</v>
      </c>
      <c r="H1741">
        <v>3015.7150000000001</v>
      </c>
      <c r="I1741">
        <f>Orders[[#This Row],[Quantity]]*Orders[[#This Row],[Selling Price]]</f>
        <v>21287.4</v>
      </c>
      <c r="J1741">
        <f>Orders[[#This Row],[Quantity]]*Orders[[#This Row],[Cost Price]]</f>
        <v>18094.29</v>
      </c>
      <c r="K1741">
        <f>Orders[[#This Row],[Revenue]]-Orders[[#This Row],[Expenses]]</f>
        <v>3193.1100000000006</v>
      </c>
      <c r="L1741" t="s">
        <v>2206</v>
      </c>
      <c r="M1741" t="str">
        <f>_xlfn.XLOOKUP(Orders[[#This Row],[CustomerID]],Customers[CustomerID],Customers[City])</f>
        <v>Washington</v>
      </c>
      <c r="N1741" t="str">
        <f>_xlfn.XLOOKUP(Orders[[#This Row],[CustomerID]],Customers[CustomerID],Customers[CustomerName])</f>
        <v>Folasade Ojo</v>
      </c>
      <c r="O1741" t="str">
        <f>_xlfn.XLOOKUP(Orders[[#This Row],[CustomerID]],Customers[CustomerID],Customers[Gender])</f>
        <v>Female</v>
      </c>
      <c r="P1741">
        <f>_xlfn.XLOOKUP(Orders[[#This Row],[CustomerID]],Customers[CustomerID],Customers[CustomerAge])</f>
        <v>24</v>
      </c>
      <c r="Q1741" t="str">
        <f>IF(Orders[[#This Row],[Age]]&gt;=35,"older","young")</f>
        <v>young</v>
      </c>
      <c r="R1741" t="str">
        <f>_xlfn.XLOOKUP(Orders[[#This Row],[ProductID]],Products[ProductID],Products[ProductName])</f>
        <v>GOLD BRACELETS</v>
      </c>
      <c r="S1741" t="str">
        <f>_xlfn.XLOOKUP(Orders[[#This Row],[ProductID]],Products!A:A,Products!C:C)</f>
        <v>Accessories</v>
      </c>
    </row>
    <row r="1742" spans="1:19" x14ac:dyDescent="0.2">
      <c r="A1742" s="4" t="s">
        <v>1931</v>
      </c>
      <c r="B1742" s="5">
        <v>46003</v>
      </c>
      <c r="C1742" s="15">
        <f>WEEKNUM(Orders[[#This Row],[OrderDate]])</f>
        <v>50</v>
      </c>
      <c r="D1742" s="4" t="s">
        <v>307</v>
      </c>
      <c r="E1742" s="4" t="s">
        <v>23</v>
      </c>
      <c r="F1742" s="4">
        <v>1</v>
      </c>
      <c r="G1742" s="4">
        <v>13105.1</v>
      </c>
      <c r="H1742">
        <v>11139.335000000001</v>
      </c>
      <c r="I1742">
        <f>Orders[[#This Row],[Quantity]]*Orders[[#This Row],[Selling Price]]</f>
        <v>13105.1</v>
      </c>
      <c r="J1742">
        <f>Orders[[#This Row],[Quantity]]*Orders[[#This Row],[Cost Price]]</f>
        <v>11139.335000000001</v>
      </c>
      <c r="K1742">
        <f>Orders[[#This Row],[Revenue]]-Orders[[#This Row],[Expenses]]</f>
        <v>1965.7649999999994</v>
      </c>
      <c r="L1742" t="s">
        <v>2208</v>
      </c>
      <c r="M1742" t="str">
        <f>_xlfn.XLOOKUP(Orders[[#This Row],[CustomerID]],Customers[CustomerID],Customers[City])</f>
        <v>Illinois</v>
      </c>
      <c r="N1742" t="str">
        <f>_xlfn.XLOOKUP(Orders[[#This Row],[CustomerID]],Customers[CustomerID],Customers[CustomerName])</f>
        <v>Adanma Bello</v>
      </c>
      <c r="O1742" t="str">
        <f>_xlfn.XLOOKUP(Orders[[#This Row],[CustomerID]],Customers[CustomerID],Customers[Gender])</f>
        <v>Female</v>
      </c>
      <c r="P1742">
        <f>_xlfn.XLOOKUP(Orders[[#This Row],[CustomerID]],Customers[CustomerID],Customers[CustomerAge])</f>
        <v>51</v>
      </c>
      <c r="Q1742" t="str">
        <f>IF(Orders[[#This Row],[Age]]&gt;=35,"older","young")</f>
        <v>older</v>
      </c>
      <c r="R1742" t="str">
        <f>_xlfn.XLOOKUP(Orders[[#This Row],[ProductID]],Products[ProductID],Products[ProductName])</f>
        <v>GYM GLOVES</v>
      </c>
      <c r="S1742" t="str">
        <f>_xlfn.XLOOKUP(Orders[[#This Row],[ProductID]],Products!A:A,Products!C:C)</f>
        <v>Gym</v>
      </c>
    </row>
    <row r="1743" spans="1:19" x14ac:dyDescent="0.2">
      <c r="A1743" s="4" t="s">
        <v>1932</v>
      </c>
      <c r="B1743" s="5">
        <v>45948</v>
      </c>
      <c r="C1743" s="15">
        <f>WEEKNUM(Orders[[#This Row],[OrderDate]])</f>
        <v>42</v>
      </c>
      <c r="D1743" s="4" t="s">
        <v>237</v>
      </c>
      <c r="E1743" s="4" t="s">
        <v>66</v>
      </c>
      <c r="F1743" s="4">
        <v>3</v>
      </c>
      <c r="G1743" s="4">
        <v>9276.9000000000015</v>
      </c>
      <c r="H1743">
        <v>7885.3650000000016</v>
      </c>
      <c r="I1743">
        <f>Orders[[#This Row],[Quantity]]*Orders[[#This Row],[Selling Price]]</f>
        <v>27830.700000000004</v>
      </c>
      <c r="J1743">
        <f>Orders[[#This Row],[Quantity]]*Orders[[#This Row],[Cost Price]]</f>
        <v>23656.095000000005</v>
      </c>
      <c r="K1743">
        <f>Orders[[#This Row],[Revenue]]-Orders[[#This Row],[Expenses]]</f>
        <v>4174.6049999999996</v>
      </c>
      <c r="L1743" t="s">
        <v>2204</v>
      </c>
      <c r="M1743" t="str">
        <f>_xlfn.XLOOKUP(Orders[[#This Row],[CustomerID]],Customers[CustomerID],Customers[City])</f>
        <v>Florida</v>
      </c>
      <c r="N1743" t="str">
        <f>_xlfn.XLOOKUP(Orders[[#This Row],[CustomerID]],Customers[CustomerID],Customers[CustomerName])</f>
        <v>Ronke Danladi</v>
      </c>
      <c r="O1743" t="str">
        <f>_xlfn.XLOOKUP(Orders[[#This Row],[CustomerID]],Customers[CustomerID],Customers[Gender])</f>
        <v>Female</v>
      </c>
      <c r="P1743">
        <f>_xlfn.XLOOKUP(Orders[[#This Row],[CustomerID]],Customers[CustomerID],Customers[CustomerAge])</f>
        <v>25</v>
      </c>
      <c r="Q1743" t="str">
        <f>IF(Orders[[#This Row],[Age]]&gt;=35,"older","young")</f>
        <v>young</v>
      </c>
      <c r="R1743" t="str">
        <f>_xlfn.XLOOKUP(Orders[[#This Row],[ProductID]],Products[ProductID],Products[ProductName])</f>
        <v>MICROWAVE</v>
      </c>
      <c r="S1743" t="str">
        <f>_xlfn.XLOOKUP(Orders[[#This Row],[ProductID]],Products!A:A,Products!C:C)</f>
        <v>Electronics</v>
      </c>
    </row>
    <row r="1744" spans="1:19" x14ac:dyDescent="0.2">
      <c r="A1744" s="4" t="s">
        <v>1933</v>
      </c>
      <c r="B1744" s="5">
        <v>45937</v>
      </c>
      <c r="C1744" s="15">
        <f>WEEKNUM(Orders[[#This Row],[OrderDate]])</f>
        <v>41</v>
      </c>
      <c r="D1744" s="4" t="s">
        <v>649</v>
      </c>
      <c r="E1744" s="4" t="s">
        <v>20</v>
      </c>
      <c r="F1744" s="4">
        <v>8</v>
      </c>
      <c r="G1744" s="4">
        <v>13237.2</v>
      </c>
      <c r="H1744">
        <v>11251.62</v>
      </c>
      <c r="I1744">
        <f>Orders[[#This Row],[Quantity]]*Orders[[#This Row],[Selling Price]]</f>
        <v>105897.60000000001</v>
      </c>
      <c r="J1744">
        <f>Orders[[#This Row],[Quantity]]*Orders[[#This Row],[Cost Price]]</f>
        <v>90012.96</v>
      </c>
      <c r="K1744">
        <f>Orders[[#This Row],[Revenue]]-Orders[[#This Row],[Expenses]]</f>
        <v>15884.64</v>
      </c>
      <c r="L1744" t="s">
        <v>2202</v>
      </c>
      <c r="M1744" t="str">
        <f>_xlfn.XLOOKUP(Orders[[#This Row],[CustomerID]],Customers[CustomerID],Customers[City])</f>
        <v>Washington</v>
      </c>
      <c r="N1744" t="str">
        <f>_xlfn.XLOOKUP(Orders[[#This Row],[CustomerID]],Customers[CustomerID],Customers[CustomerName])</f>
        <v>Bisi Abubakar</v>
      </c>
      <c r="O1744" t="str">
        <f>_xlfn.XLOOKUP(Orders[[#This Row],[CustomerID]],Customers[CustomerID],Customers[Gender])</f>
        <v>Female</v>
      </c>
      <c r="P1744">
        <f>_xlfn.XLOOKUP(Orders[[#This Row],[CustomerID]],Customers[CustomerID],Customers[CustomerAge])</f>
        <v>35</v>
      </c>
      <c r="Q1744" t="str">
        <f>IF(Orders[[#This Row],[Age]]&gt;=35,"older","young")</f>
        <v>older</v>
      </c>
      <c r="R1744" t="str">
        <f>_xlfn.XLOOKUP(Orders[[#This Row],[ProductID]],Products[ProductID],Products[ProductName])</f>
        <v>GYM BAG</v>
      </c>
      <c r="S1744" t="str">
        <f>_xlfn.XLOOKUP(Orders[[#This Row],[ProductID]],Products!A:A,Products!C:C)</f>
        <v>Gym</v>
      </c>
    </row>
    <row r="1745" spans="1:19" x14ac:dyDescent="0.2">
      <c r="A1745" s="4" t="s">
        <v>1934</v>
      </c>
      <c r="B1745" s="5">
        <v>45967</v>
      </c>
      <c r="C1745" s="15">
        <f>WEEKNUM(Orders[[#This Row],[OrderDate]])</f>
        <v>45</v>
      </c>
      <c r="D1745" s="4" t="s">
        <v>374</v>
      </c>
      <c r="E1745" s="4" t="s">
        <v>37</v>
      </c>
      <c r="F1745" s="4">
        <v>9</v>
      </c>
      <c r="G1745" s="4">
        <v>17426.099999999999</v>
      </c>
      <c r="H1745">
        <v>14812.184999999999</v>
      </c>
      <c r="I1745">
        <f>Orders[[#This Row],[Quantity]]*Orders[[#This Row],[Selling Price]]</f>
        <v>156834.9</v>
      </c>
      <c r="J1745">
        <f>Orders[[#This Row],[Quantity]]*Orders[[#This Row],[Cost Price]]</f>
        <v>133309.66500000001</v>
      </c>
      <c r="K1745">
        <f>Orders[[#This Row],[Revenue]]-Orders[[#This Row],[Expenses]]</f>
        <v>23525.234999999986</v>
      </c>
      <c r="L1745" t="s">
        <v>2220</v>
      </c>
      <c r="M1745" t="str">
        <f>_xlfn.XLOOKUP(Orders[[#This Row],[CustomerID]],Customers[CustomerID],Customers[City])</f>
        <v>Texas</v>
      </c>
      <c r="N1745" t="str">
        <f>_xlfn.XLOOKUP(Orders[[#This Row],[CustomerID]],Customers[CustomerID],Customers[CustomerName])</f>
        <v>Uche Okonkwo</v>
      </c>
      <c r="O1745" t="str">
        <f>_xlfn.XLOOKUP(Orders[[#This Row],[CustomerID]],Customers[CustomerID],Customers[Gender])</f>
        <v>Male</v>
      </c>
      <c r="P1745">
        <f>_xlfn.XLOOKUP(Orders[[#This Row],[CustomerID]],Customers[CustomerID],Customers[CustomerAge])</f>
        <v>27</v>
      </c>
      <c r="Q1745" t="str">
        <f>IF(Orders[[#This Row],[Age]]&gt;=35,"older","young")</f>
        <v>young</v>
      </c>
      <c r="R1745" t="str">
        <f>_xlfn.XLOOKUP(Orders[[#This Row],[ProductID]],Products[ProductID],Products[ProductName])</f>
        <v>IRON</v>
      </c>
      <c r="S1745" t="str">
        <f>_xlfn.XLOOKUP(Orders[[#This Row],[ProductID]],Products!A:A,Products!C:C)</f>
        <v>Electronics</v>
      </c>
    </row>
    <row r="1746" spans="1:19" x14ac:dyDescent="0.2">
      <c r="A1746" s="4" t="s">
        <v>1935</v>
      </c>
      <c r="B1746" s="5">
        <v>45971</v>
      </c>
      <c r="C1746" s="15">
        <f>WEEKNUM(Orders[[#This Row],[OrderDate]])</f>
        <v>46</v>
      </c>
      <c r="D1746" s="4" t="s">
        <v>94</v>
      </c>
      <c r="E1746" s="4" t="s">
        <v>168</v>
      </c>
      <c r="F1746" s="4">
        <v>1</v>
      </c>
      <c r="G1746" s="4">
        <v>2626.3</v>
      </c>
      <c r="H1746">
        <v>2232.355</v>
      </c>
      <c r="I1746">
        <f>Orders[[#This Row],[Quantity]]*Orders[[#This Row],[Selling Price]]</f>
        <v>2626.3</v>
      </c>
      <c r="J1746">
        <f>Orders[[#This Row],[Quantity]]*Orders[[#This Row],[Cost Price]]</f>
        <v>2232.355</v>
      </c>
      <c r="K1746">
        <f>Orders[[#This Row],[Revenue]]-Orders[[#This Row],[Expenses]]</f>
        <v>393.94500000000016</v>
      </c>
      <c r="L1746" t="s">
        <v>2205</v>
      </c>
      <c r="M1746" t="str">
        <f>_xlfn.XLOOKUP(Orders[[#This Row],[CustomerID]],Customers[CustomerID],Customers[City])</f>
        <v>Texas</v>
      </c>
      <c r="N1746" t="str">
        <f>_xlfn.XLOOKUP(Orders[[#This Row],[CustomerID]],Customers[CustomerID],Customers[CustomerName])</f>
        <v>Uche Abubakar</v>
      </c>
      <c r="O1746" t="str">
        <f>_xlfn.XLOOKUP(Orders[[#This Row],[CustomerID]],Customers[CustomerID],Customers[Gender])</f>
        <v>Male</v>
      </c>
      <c r="P1746">
        <f>_xlfn.XLOOKUP(Orders[[#This Row],[CustomerID]],Customers[CustomerID],Customers[CustomerAge])</f>
        <v>26</v>
      </c>
      <c r="Q1746" t="str">
        <f>IF(Orders[[#This Row],[Age]]&gt;=35,"older","young")</f>
        <v>young</v>
      </c>
      <c r="R1746" t="str">
        <f>_xlfn.XLOOKUP(Orders[[#This Row],[ProductID]],Products[ProductID],Products[ProductName])</f>
        <v>DUMB BELLS</v>
      </c>
      <c r="S1746" t="str">
        <f>_xlfn.XLOOKUP(Orders[[#This Row],[ProductID]],Products!A:A,Products!C:C)</f>
        <v>Gym</v>
      </c>
    </row>
    <row r="1747" spans="1:19" x14ac:dyDescent="0.2">
      <c r="A1747" s="4" t="s">
        <v>1936</v>
      </c>
      <c r="B1747" s="5">
        <v>46013</v>
      </c>
      <c r="C1747" s="15">
        <f>WEEKNUM(Orders[[#This Row],[OrderDate]])</f>
        <v>52</v>
      </c>
      <c r="D1747" s="4" t="s">
        <v>214</v>
      </c>
      <c r="E1747" s="4" t="s">
        <v>70</v>
      </c>
      <c r="F1747" s="4">
        <v>10</v>
      </c>
      <c r="G1747" s="4">
        <v>16608.800000000003</v>
      </c>
      <c r="H1747">
        <v>14117.480000000003</v>
      </c>
      <c r="I1747">
        <f>Orders[[#This Row],[Quantity]]*Orders[[#This Row],[Selling Price]]</f>
        <v>166088.00000000003</v>
      </c>
      <c r="J1747">
        <f>Orders[[#This Row],[Quantity]]*Orders[[#This Row],[Cost Price]]</f>
        <v>141174.80000000005</v>
      </c>
      <c r="K1747">
        <f>Orders[[#This Row],[Revenue]]-Orders[[#This Row],[Expenses]]</f>
        <v>24913.199999999983</v>
      </c>
      <c r="L1747" t="s">
        <v>2220</v>
      </c>
      <c r="M1747" t="str">
        <f>_xlfn.XLOOKUP(Orders[[#This Row],[CustomerID]],Customers[CustomerID],Customers[City])</f>
        <v>California</v>
      </c>
      <c r="N1747" t="str">
        <f>_xlfn.XLOOKUP(Orders[[#This Row],[CustomerID]],Customers[CustomerID],Customers[CustomerName])</f>
        <v>Adanma Okonkwo</v>
      </c>
      <c r="O1747" t="str">
        <f>_xlfn.XLOOKUP(Orders[[#This Row],[CustomerID]],Customers[CustomerID],Customers[Gender])</f>
        <v>Female</v>
      </c>
      <c r="P1747">
        <f>_xlfn.XLOOKUP(Orders[[#This Row],[CustomerID]],Customers[CustomerID],Customers[CustomerAge])</f>
        <v>20</v>
      </c>
      <c r="Q1747" t="str">
        <f>IF(Orders[[#This Row],[Age]]&gt;=35,"older","young")</f>
        <v>young</v>
      </c>
      <c r="R1747" t="str">
        <f>_xlfn.XLOOKUP(Orders[[#This Row],[ProductID]],Products[ProductID],Products[ProductName])</f>
        <v>YOGA MAT</v>
      </c>
      <c r="S1747" t="str">
        <f>_xlfn.XLOOKUP(Orders[[#This Row],[ProductID]],Products!A:A,Products!C:C)</f>
        <v>Gym</v>
      </c>
    </row>
    <row r="1748" spans="1:19" x14ac:dyDescent="0.2">
      <c r="A1748" s="4" t="s">
        <v>1937</v>
      </c>
      <c r="B1748" s="5">
        <v>45944</v>
      </c>
      <c r="C1748" s="15">
        <f>WEEKNUM(Orders[[#This Row],[OrderDate]])</f>
        <v>42</v>
      </c>
      <c r="D1748" s="4" t="s">
        <v>156</v>
      </c>
      <c r="E1748" s="4" t="s">
        <v>111</v>
      </c>
      <c r="F1748" s="4">
        <v>1</v>
      </c>
      <c r="G1748" s="4">
        <v>1943.8999999999999</v>
      </c>
      <c r="H1748">
        <v>1652.3149999999998</v>
      </c>
      <c r="I1748">
        <f>Orders[[#This Row],[Quantity]]*Orders[[#This Row],[Selling Price]]</f>
        <v>1943.8999999999999</v>
      </c>
      <c r="J1748">
        <f>Orders[[#This Row],[Quantity]]*Orders[[#This Row],[Cost Price]]</f>
        <v>1652.3149999999998</v>
      </c>
      <c r="K1748">
        <f>Orders[[#This Row],[Revenue]]-Orders[[#This Row],[Expenses]]</f>
        <v>291.58500000000004</v>
      </c>
      <c r="L1748" t="s">
        <v>2197</v>
      </c>
      <c r="M1748" t="str">
        <f>_xlfn.XLOOKUP(Orders[[#This Row],[CustomerID]],Customers[CustomerID],Customers[City])</f>
        <v>Florida</v>
      </c>
      <c r="N1748" t="str">
        <f>_xlfn.XLOOKUP(Orders[[#This Row],[CustomerID]],Customers[CustomerID],Customers[CustomerName])</f>
        <v>Obi Okonkwo</v>
      </c>
      <c r="O1748" t="str">
        <f>_xlfn.XLOOKUP(Orders[[#This Row],[CustomerID]],Customers[CustomerID],Customers[Gender])</f>
        <v>Male</v>
      </c>
      <c r="P1748">
        <f>_xlfn.XLOOKUP(Orders[[#This Row],[CustomerID]],Customers[CustomerID],Customers[CustomerAge])</f>
        <v>52</v>
      </c>
      <c r="Q1748" t="str">
        <f>IF(Orders[[#This Row],[Age]]&gt;=35,"older","young")</f>
        <v>older</v>
      </c>
      <c r="R1748" t="str">
        <f>_xlfn.XLOOKUP(Orders[[#This Row],[ProductID]],Products[ProductID],Products[ProductName])</f>
        <v>REFRIGERATOR</v>
      </c>
      <c r="S1748" t="str">
        <f>_xlfn.XLOOKUP(Orders[[#This Row],[ProductID]],Products!A:A,Products!C:C)</f>
        <v>Electronics</v>
      </c>
    </row>
    <row r="1749" spans="1:19" x14ac:dyDescent="0.2">
      <c r="A1749" s="4" t="s">
        <v>1938</v>
      </c>
      <c r="B1749" s="5">
        <v>45994</v>
      </c>
      <c r="C1749" s="15">
        <f>WEEKNUM(Orders[[#This Row],[OrderDate]])</f>
        <v>49</v>
      </c>
      <c r="D1749" s="4" t="s">
        <v>546</v>
      </c>
      <c r="E1749" s="4" t="s">
        <v>15</v>
      </c>
      <c r="F1749" s="4">
        <v>9</v>
      </c>
      <c r="G1749" s="4">
        <v>17531.199999999997</v>
      </c>
      <c r="H1749">
        <v>14901.519999999997</v>
      </c>
      <c r="I1749">
        <f>Orders[[#This Row],[Quantity]]*Orders[[#This Row],[Selling Price]]</f>
        <v>157780.79999999999</v>
      </c>
      <c r="J1749">
        <f>Orders[[#This Row],[Quantity]]*Orders[[#This Row],[Cost Price]]</f>
        <v>134113.67999999996</v>
      </c>
      <c r="K1749">
        <f>Orders[[#This Row],[Revenue]]-Orders[[#This Row],[Expenses]]</f>
        <v>23667.120000000024</v>
      </c>
      <c r="L1749" t="s">
        <v>2202</v>
      </c>
      <c r="M1749" t="str">
        <f>_xlfn.XLOOKUP(Orders[[#This Row],[CustomerID]],Customers[CustomerID],Customers[City])</f>
        <v>Texas</v>
      </c>
      <c r="N1749" t="str">
        <f>_xlfn.XLOOKUP(Orders[[#This Row],[CustomerID]],Customers[CustomerID],Customers[CustomerName])</f>
        <v>Bisi Eze</v>
      </c>
      <c r="O1749" t="str">
        <f>_xlfn.XLOOKUP(Orders[[#This Row],[CustomerID]],Customers[CustomerID],Customers[Gender])</f>
        <v>Female</v>
      </c>
      <c r="P1749">
        <f>_xlfn.XLOOKUP(Orders[[#This Row],[CustomerID]],Customers[CustomerID],Customers[CustomerAge])</f>
        <v>32</v>
      </c>
      <c r="Q1749" t="str">
        <f>IF(Orders[[#This Row],[Age]]&gt;=35,"older","young")</f>
        <v>young</v>
      </c>
      <c r="R1749" t="str">
        <f>_xlfn.XLOOKUP(Orders[[#This Row],[ProductID]],Products[ProductID],Products[ProductName])</f>
        <v>MONOPOLY</v>
      </c>
      <c r="S1749" t="str">
        <f>_xlfn.XLOOKUP(Orders[[#This Row],[ProductID]],Products!A:A,Products!C:C)</f>
        <v>Games</v>
      </c>
    </row>
    <row r="1750" spans="1:19" x14ac:dyDescent="0.2">
      <c r="A1750" s="4" t="s">
        <v>1939</v>
      </c>
      <c r="B1750" s="5">
        <v>45999</v>
      </c>
      <c r="C1750" s="15">
        <f>WEEKNUM(Orders[[#This Row],[OrderDate]])</f>
        <v>50</v>
      </c>
      <c r="D1750" s="4" t="s">
        <v>305</v>
      </c>
      <c r="E1750" s="4" t="s">
        <v>168</v>
      </c>
      <c r="F1750" s="4">
        <v>8</v>
      </c>
      <c r="G1750" s="4">
        <v>3644.1000000000004</v>
      </c>
      <c r="H1750">
        <v>3097.4850000000006</v>
      </c>
      <c r="I1750">
        <f>Orders[[#This Row],[Quantity]]*Orders[[#This Row],[Selling Price]]</f>
        <v>29152.800000000003</v>
      </c>
      <c r="J1750">
        <f>Orders[[#This Row],[Quantity]]*Orders[[#This Row],[Cost Price]]</f>
        <v>24779.880000000005</v>
      </c>
      <c r="K1750">
        <f>Orders[[#This Row],[Revenue]]-Orders[[#This Row],[Expenses]]</f>
        <v>4372.9199999999983</v>
      </c>
      <c r="L1750" t="s">
        <v>2208</v>
      </c>
      <c r="M1750" t="str">
        <f>_xlfn.XLOOKUP(Orders[[#This Row],[CustomerID]],Customers[CustomerID],Customers[City])</f>
        <v>California</v>
      </c>
      <c r="N1750" t="str">
        <f>_xlfn.XLOOKUP(Orders[[#This Row],[CustomerID]],Customers[CustomerID],Customers[CustomerName])</f>
        <v>Tunde Danladi</v>
      </c>
      <c r="O1750" t="str">
        <f>_xlfn.XLOOKUP(Orders[[#This Row],[CustomerID]],Customers[CustomerID],Customers[Gender])</f>
        <v>Male</v>
      </c>
      <c r="P1750">
        <f>_xlfn.XLOOKUP(Orders[[#This Row],[CustomerID]],Customers[CustomerID],Customers[CustomerAge])</f>
        <v>40</v>
      </c>
      <c r="Q1750" t="str">
        <f>IF(Orders[[#This Row],[Age]]&gt;=35,"older","young")</f>
        <v>older</v>
      </c>
      <c r="R1750" t="str">
        <f>_xlfn.XLOOKUP(Orders[[#This Row],[ProductID]],Products[ProductID],Products[ProductName])</f>
        <v>DUMB BELLS</v>
      </c>
      <c r="S1750" t="str">
        <f>_xlfn.XLOOKUP(Orders[[#This Row],[ProductID]],Products!A:A,Products!C:C)</f>
        <v>Gym</v>
      </c>
    </row>
    <row r="1751" spans="1:19" x14ac:dyDescent="0.2">
      <c r="A1751" s="4" t="s">
        <v>1940</v>
      </c>
      <c r="B1751" s="5">
        <v>45996</v>
      </c>
      <c r="C1751" s="15">
        <f>WEEKNUM(Orders[[#This Row],[OrderDate]])</f>
        <v>49</v>
      </c>
      <c r="D1751" s="4" t="s">
        <v>14</v>
      </c>
      <c r="E1751" s="4" t="s">
        <v>189</v>
      </c>
      <c r="F1751" s="4">
        <v>5</v>
      </c>
      <c r="G1751" s="4">
        <v>7277.9</v>
      </c>
      <c r="H1751">
        <v>6186.2150000000001</v>
      </c>
      <c r="I1751">
        <f>Orders[[#This Row],[Quantity]]*Orders[[#This Row],[Selling Price]]</f>
        <v>36389.5</v>
      </c>
      <c r="J1751">
        <f>Orders[[#This Row],[Quantity]]*Orders[[#This Row],[Cost Price]]</f>
        <v>30931.075000000001</v>
      </c>
      <c r="K1751">
        <f>Orders[[#This Row],[Revenue]]-Orders[[#This Row],[Expenses]]</f>
        <v>5458.4249999999993</v>
      </c>
      <c r="L1751" t="s">
        <v>2207</v>
      </c>
      <c r="M1751" t="str">
        <f>_xlfn.XLOOKUP(Orders[[#This Row],[CustomerID]],Customers[CustomerID],Customers[City])</f>
        <v>Texas</v>
      </c>
      <c r="N1751" t="str">
        <f>_xlfn.XLOOKUP(Orders[[#This Row],[CustomerID]],Customers[CustomerID],Customers[CustomerName])</f>
        <v>Abiola Igwe</v>
      </c>
      <c r="O1751" t="str">
        <f>_xlfn.XLOOKUP(Orders[[#This Row],[CustomerID]],Customers[CustomerID],Customers[Gender])</f>
        <v>Male</v>
      </c>
      <c r="P1751">
        <f>_xlfn.XLOOKUP(Orders[[#This Row],[CustomerID]],Customers[CustomerID],Customers[CustomerAge])</f>
        <v>39</v>
      </c>
      <c r="Q1751" t="str">
        <f>IF(Orders[[#This Row],[Age]]&gt;=35,"older","young")</f>
        <v>older</v>
      </c>
      <c r="R1751" t="str">
        <f>_xlfn.XLOOKUP(Orders[[#This Row],[ProductID]],Products[ProductID],Products[ProductName])</f>
        <v>SCRABBLE</v>
      </c>
      <c r="S1751" t="str">
        <f>_xlfn.XLOOKUP(Orders[[#This Row],[ProductID]],Products!A:A,Products!C:C)</f>
        <v>Games</v>
      </c>
    </row>
    <row r="1752" spans="1:19" x14ac:dyDescent="0.2">
      <c r="A1752" s="4" t="s">
        <v>1941</v>
      </c>
      <c r="B1752" s="5">
        <v>45996</v>
      </c>
      <c r="C1752" s="15">
        <f>WEEKNUM(Orders[[#This Row],[OrderDate]])</f>
        <v>49</v>
      </c>
      <c r="D1752" s="4" t="s">
        <v>11</v>
      </c>
      <c r="E1752" s="4" t="s">
        <v>15</v>
      </c>
      <c r="F1752" s="4">
        <v>3</v>
      </c>
      <c r="G1752" s="4">
        <v>14565.699999999999</v>
      </c>
      <c r="H1752">
        <v>12380.844999999999</v>
      </c>
      <c r="I1752">
        <f>Orders[[#This Row],[Quantity]]*Orders[[#This Row],[Selling Price]]</f>
        <v>43697.1</v>
      </c>
      <c r="J1752">
        <f>Orders[[#This Row],[Quantity]]*Orders[[#This Row],[Cost Price]]</f>
        <v>37142.534999999996</v>
      </c>
      <c r="K1752">
        <f>Orders[[#This Row],[Revenue]]-Orders[[#This Row],[Expenses]]</f>
        <v>6554.5650000000023</v>
      </c>
      <c r="L1752" t="s">
        <v>2210</v>
      </c>
      <c r="M1752" t="str">
        <f>_xlfn.XLOOKUP(Orders[[#This Row],[CustomerID]],Customers[CustomerID],Customers[City])</f>
        <v>Texas</v>
      </c>
      <c r="N1752" t="str">
        <f>_xlfn.XLOOKUP(Orders[[#This Row],[CustomerID]],Customers[CustomerID],Customers[CustomerName])</f>
        <v>Efe Ojo</v>
      </c>
      <c r="O1752" t="str">
        <f>_xlfn.XLOOKUP(Orders[[#This Row],[CustomerID]],Customers[CustomerID],Customers[Gender])</f>
        <v>Female</v>
      </c>
      <c r="P1752">
        <f>_xlfn.XLOOKUP(Orders[[#This Row],[CustomerID]],Customers[CustomerID],Customers[CustomerAge])</f>
        <v>55</v>
      </c>
      <c r="Q1752" t="str">
        <f>IF(Orders[[#This Row],[Age]]&gt;=35,"older","young")</f>
        <v>older</v>
      </c>
      <c r="R1752" t="str">
        <f>_xlfn.XLOOKUP(Orders[[#This Row],[ProductID]],Products[ProductID],Products[ProductName])</f>
        <v>MONOPOLY</v>
      </c>
      <c r="S1752" t="str">
        <f>_xlfn.XLOOKUP(Orders[[#This Row],[ProductID]],Products!A:A,Products!C:C)</f>
        <v>Games</v>
      </c>
    </row>
    <row r="1753" spans="1:19" x14ac:dyDescent="0.2">
      <c r="A1753" s="4" t="s">
        <v>1942</v>
      </c>
      <c r="B1753" s="5">
        <v>45980</v>
      </c>
      <c r="C1753" s="15">
        <f>WEEKNUM(Orders[[#This Row],[OrderDate]])</f>
        <v>47</v>
      </c>
      <c r="D1753" s="4" t="s">
        <v>295</v>
      </c>
      <c r="E1753" s="4" t="s">
        <v>15</v>
      </c>
      <c r="F1753" s="4">
        <v>9</v>
      </c>
      <c r="G1753" s="4">
        <v>18679</v>
      </c>
      <c r="H1753">
        <v>15877.15</v>
      </c>
      <c r="I1753">
        <f>Orders[[#This Row],[Quantity]]*Orders[[#This Row],[Selling Price]]</f>
        <v>168111</v>
      </c>
      <c r="J1753">
        <f>Orders[[#This Row],[Quantity]]*Orders[[#This Row],[Cost Price]]</f>
        <v>142894.35</v>
      </c>
      <c r="K1753">
        <f>Orders[[#This Row],[Revenue]]-Orders[[#This Row],[Expenses]]</f>
        <v>25216.649999999994</v>
      </c>
      <c r="L1753" t="s">
        <v>2199</v>
      </c>
      <c r="M1753" t="str">
        <f>_xlfn.XLOOKUP(Orders[[#This Row],[CustomerID]],Customers[CustomerID],Customers[City])</f>
        <v>Texas</v>
      </c>
      <c r="N1753" t="str">
        <f>_xlfn.XLOOKUP(Orders[[#This Row],[CustomerID]],Customers[CustomerID],Customers[CustomerName])</f>
        <v>Sani Obi</v>
      </c>
      <c r="O1753" t="str">
        <f>_xlfn.XLOOKUP(Orders[[#This Row],[CustomerID]],Customers[CustomerID],Customers[Gender])</f>
        <v>Male</v>
      </c>
      <c r="P1753">
        <f>_xlfn.XLOOKUP(Orders[[#This Row],[CustomerID]],Customers[CustomerID],Customers[CustomerAge])</f>
        <v>31</v>
      </c>
      <c r="Q1753" t="str">
        <f>IF(Orders[[#This Row],[Age]]&gt;=35,"older","young")</f>
        <v>young</v>
      </c>
      <c r="R1753" t="str">
        <f>_xlfn.XLOOKUP(Orders[[#This Row],[ProductID]],Products[ProductID],Products[ProductName])</f>
        <v>MONOPOLY</v>
      </c>
      <c r="S1753" t="str">
        <f>_xlfn.XLOOKUP(Orders[[#This Row],[ProductID]],Products!A:A,Products!C:C)</f>
        <v>Games</v>
      </c>
    </row>
    <row r="1754" spans="1:19" x14ac:dyDescent="0.2">
      <c r="A1754" s="4" t="s">
        <v>1943</v>
      </c>
      <c r="B1754" s="5">
        <v>45947</v>
      </c>
      <c r="C1754" s="15">
        <f>WEEKNUM(Orders[[#This Row],[OrderDate]])</f>
        <v>42</v>
      </c>
      <c r="D1754" s="4" t="s">
        <v>33</v>
      </c>
      <c r="E1754" s="4" t="s">
        <v>189</v>
      </c>
      <c r="F1754" s="4">
        <v>6</v>
      </c>
      <c r="G1754" s="4">
        <v>13533.199999999999</v>
      </c>
      <c r="H1754">
        <v>11503.22</v>
      </c>
      <c r="I1754">
        <f>Orders[[#This Row],[Quantity]]*Orders[[#This Row],[Selling Price]]</f>
        <v>81199.199999999997</v>
      </c>
      <c r="J1754">
        <f>Orders[[#This Row],[Quantity]]*Orders[[#This Row],[Cost Price]]</f>
        <v>69019.319999999992</v>
      </c>
      <c r="K1754">
        <f>Orders[[#This Row],[Revenue]]-Orders[[#This Row],[Expenses]]</f>
        <v>12179.880000000005</v>
      </c>
      <c r="L1754" t="s">
        <v>2196</v>
      </c>
      <c r="M1754" t="str">
        <f>_xlfn.XLOOKUP(Orders[[#This Row],[CustomerID]],Customers[CustomerID],Customers[City])</f>
        <v>Texas</v>
      </c>
      <c r="N1754" t="str">
        <f>_xlfn.XLOOKUP(Orders[[#This Row],[CustomerID]],Customers[CustomerID],Customers[CustomerName])</f>
        <v>Okon Balogun</v>
      </c>
      <c r="O1754" t="str">
        <f>_xlfn.XLOOKUP(Orders[[#This Row],[CustomerID]],Customers[CustomerID],Customers[Gender])</f>
        <v>Male</v>
      </c>
      <c r="P1754">
        <f>_xlfn.XLOOKUP(Orders[[#This Row],[CustomerID]],Customers[CustomerID],Customers[CustomerAge])</f>
        <v>28</v>
      </c>
      <c r="Q1754" t="str">
        <f>IF(Orders[[#This Row],[Age]]&gt;=35,"older","young")</f>
        <v>young</v>
      </c>
      <c r="R1754" t="str">
        <f>_xlfn.XLOOKUP(Orders[[#This Row],[ProductID]],Products[ProductID],Products[ProductName])</f>
        <v>SCRABBLE</v>
      </c>
      <c r="S1754" t="str">
        <f>_xlfn.XLOOKUP(Orders[[#This Row],[ProductID]],Products!A:A,Products!C:C)</f>
        <v>Games</v>
      </c>
    </row>
    <row r="1755" spans="1:19" x14ac:dyDescent="0.2">
      <c r="A1755" s="4" t="s">
        <v>1944</v>
      </c>
      <c r="B1755" s="5">
        <v>45966</v>
      </c>
      <c r="C1755" s="15">
        <f>WEEKNUM(Orders[[#This Row],[OrderDate]])</f>
        <v>45</v>
      </c>
      <c r="D1755" s="4" t="s">
        <v>156</v>
      </c>
      <c r="E1755" s="4" t="s">
        <v>23</v>
      </c>
      <c r="F1755" s="4">
        <v>7</v>
      </c>
      <c r="G1755" s="4">
        <v>16552.099999999999</v>
      </c>
      <c r="H1755">
        <v>14069.285</v>
      </c>
      <c r="I1755">
        <f>Orders[[#This Row],[Quantity]]*Orders[[#This Row],[Selling Price]]</f>
        <v>115864.69999999998</v>
      </c>
      <c r="J1755">
        <f>Orders[[#This Row],[Quantity]]*Orders[[#This Row],[Cost Price]]</f>
        <v>98484.994999999995</v>
      </c>
      <c r="K1755">
        <f>Orders[[#This Row],[Revenue]]-Orders[[#This Row],[Expenses]]</f>
        <v>17379.704999999987</v>
      </c>
      <c r="L1755" t="s">
        <v>2194</v>
      </c>
      <c r="M1755" t="str">
        <f>_xlfn.XLOOKUP(Orders[[#This Row],[CustomerID]],Customers[CustomerID],Customers[City])</f>
        <v>Florida</v>
      </c>
      <c r="N1755" t="str">
        <f>_xlfn.XLOOKUP(Orders[[#This Row],[CustomerID]],Customers[CustomerID],Customers[CustomerName])</f>
        <v>Obi Okonkwo</v>
      </c>
      <c r="O1755" t="str">
        <f>_xlfn.XLOOKUP(Orders[[#This Row],[CustomerID]],Customers[CustomerID],Customers[Gender])</f>
        <v>Male</v>
      </c>
      <c r="P1755">
        <f>_xlfn.XLOOKUP(Orders[[#This Row],[CustomerID]],Customers[CustomerID],Customers[CustomerAge])</f>
        <v>52</v>
      </c>
      <c r="Q1755" t="str">
        <f>IF(Orders[[#This Row],[Age]]&gt;=35,"older","young")</f>
        <v>older</v>
      </c>
      <c r="R1755" t="str">
        <f>_xlfn.XLOOKUP(Orders[[#This Row],[ProductID]],Products[ProductID],Products[ProductName])</f>
        <v>GYM GLOVES</v>
      </c>
      <c r="S1755" t="str">
        <f>_xlfn.XLOOKUP(Orders[[#This Row],[ProductID]],Products!A:A,Products!C:C)</f>
        <v>Gym</v>
      </c>
    </row>
    <row r="1756" spans="1:19" x14ac:dyDescent="0.2">
      <c r="A1756" s="4" t="s">
        <v>1945</v>
      </c>
      <c r="B1756" s="5">
        <v>45993</v>
      </c>
      <c r="C1756" s="15">
        <f>WEEKNUM(Orders[[#This Row],[OrderDate]])</f>
        <v>49</v>
      </c>
      <c r="D1756" s="4" t="s">
        <v>481</v>
      </c>
      <c r="E1756" s="4" t="s">
        <v>92</v>
      </c>
      <c r="F1756" s="4">
        <v>9</v>
      </c>
      <c r="G1756" s="4">
        <v>1088.5999999999999</v>
      </c>
      <c r="H1756">
        <v>925.31</v>
      </c>
      <c r="I1756">
        <f>Orders[[#This Row],[Quantity]]*Orders[[#This Row],[Selling Price]]</f>
        <v>9797.4</v>
      </c>
      <c r="J1756">
        <f>Orders[[#This Row],[Quantity]]*Orders[[#This Row],[Cost Price]]</f>
        <v>8327.7899999999991</v>
      </c>
      <c r="K1756">
        <f>Orders[[#This Row],[Revenue]]-Orders[[#This Row],[Expenses]]</f>
        <v>1469.6100000000006</v>
      </c>
      <c r="L1756" t="s">
        <v>2197</v>
      </c>
      <c r="M1756" t="str">
        <f>_xlfn.XLOOKUP(Orders[[#This Row],[CustomerID]],Customers[CustomerID],Customers[City])</f>
        <v>Illinois</v>
      </c>
      <c r="N1756" t="str">
        <f>_xlfn.XLOOKUP(Orders[[#This Row],[CustomerID]],Customers[CustomerID],Customers[CustomerName])</f>
        <v>Abiola Bello</v>
      </c>
      <c r="O1756" t="str">
        <f>_xlfn.XLOOKUP(Orders[[#This Row],[CustomerID]],Customers[CustomerID],Customers[Gender])</f>
        <v>Male</v>
      </c>
      <c r="P1756">
        <f>_xlfn.XLOOKUP(Orders[[#This Row],[CustomerID]],Customers[CustomerID],Customers[CustomerAge])</f>
        <v>33</v>
      </c>
      <c r="Q1756" t="str">
        <f>IF(Orders[[#This Row],[Age]]&gt;=35,"older","young")</f>
        <v>young</v>
      </c>
      <c r="R1756" t="str">
        <f>_xlfn.XLOOKUP(Orders[[#This Row],[ProductID]],Products[ProductID],Products[ProductName])</f>
        <v>CHEST EXPANDER</v>
      </c>
      <c r="S1756" t="str">
        <f>_xlfn.XLOOKUP(Orders[[#This Row],[ProductID]],Products!A:A,Products!C:C)</f>
        <v>Gym</v>
      </c>
    </row>
    <row r="1757" spans="1:19" x14ac:dyDescent="0.2">
      <c r="A1757" s="4" t="s">
        <v>1946</v>
      </c>
      <c r="B1757" s="5">
        <v>46015</v>
      </c>
      <c r="C1757" s="15">
        <f>WEEKNUM(Orders[[#This Row],[OrderDate]])</f>
        <v>52</v>
      </c>
      <c r="D1757" s="4" t="s">
        <v>507</v>
      </c>
      <c r="E1757" s="4" t="s">
        <v>353</v>
      </c>
      <c r="F1757" s="4">
        <v>7</v>
      </c>
      <c r="G1757" s="4">
        <v>19405.7</v>
      </c>
      <c r="H1757">
        <v>16494.845000000001</v>
      </c>
      <c r="I1757">
        <f>Orders[[#This Row],[Quantity]]*Orders[[#This Row],[Selling Price]]</f>
        <v>135839.9</v>
      </c>
      <c r="J1757">
        <f>Orders[[#This Row],[Quantity]]*Orders[[#This Row],[Cost Price]]</f>
        <v>115463.91500000001</v>
      </c>
      <c r="K1757">
        <f>Orders[[#This Row],[Revenue]]-Orders[[#This Row],[Expenses]]</f>
        <v>20375.984999999986</v>
      </c>
      <c r="L1757" t="s">
        <v>2212</v>
      </c>
      <c r="M1757" t="str">
        <f>_xlfn.XLOOKUP(Orders[[#This Row],[CustomerID]],Customers[CustomerID],Customers[City])</f>
        <v>Washington</v>
      </c>
      <c r="N1757" t="str">
        <f>_xlfn.XLOOKUP(Orders[[#This Row],[CustomerID]],Customers[CustomerID],Customers[CustomerName])</f>
        <v>Temi Okonkwo</v>
      </c>
      <c r="O1757" t="str">
        <f>_xlfn.XLOOKUP(Orders[[#This Row],[CustomerID]],Customers[CustomerID],Customers[Gender])</f>
        <v>Female</v>
      </c>
      <c r="P1757">
        <f>_xlfn.XLOOKUP(Orders[[#This Row],[CustomerID]],Customers[CustomerID],Customers[CustomerAge])</f>
        <v>35</v>
      </c>
      <c r="Q1757" t="str">
        <f>IF(Orders[[#This Row],[Age]]&gt;=35,"older","young")</f>
        <v>older</v>
      </c>
      <c r="R1757" t="str">
        <f>_xlfn.XLOOKUP(Orders[[#This Row],[ProductID]],Products[ProductID],Products[ProductName])</f>
        <v>SILVER EARRINGS AND NECKLACES</v>
      </c>
      <c r="S1757" t="str">
        <f>_xlfn.XLOOKUP(Orders[[#This Row],[ProductID]],Products!A:A,Products!C:C)</f>
        <v>Accessories</v>
      </c>
    </row>
    <row r="1758" spans="1:19" x14ac:dyDescent="0.2">
      <c r="A1758" s="4" t="s">
        <v>1947</v>
      </c>
      <c r="B1758" s="5">
        <v>45999</v>
      </c>
      <c r="C1758" s="15">
        <f>WEEKNUM(Orders[[#This Row],[OrderDate]])</f>
        <v>50</v>
      </c>
      <c r="D1758" s="4" t="s">
        <v>216</v>
      </c>
      <c r="E1758" s="4" t="s">
        <v>31</v>
      </c>
      <c r="F1758" s="4">
        <v>1</v>
      </c>
      <c r="G1758" s="4">
        <v>5878</v>
      </c>
      <c r="H1758">
        <v>4996.3</v>
      </c>
      <c r="I1758">
        <f>Orders[[#This Row],[Quantity]]*Orders[[#This Row],[Selling Price]]</f>
        <v>5878</v>
      </c>
      <c r="J1758">
        <f>Orders[[#This Row],[Quantity]]*Orders[[#This Row],[Cost Price]]</f>
        <v>4996.3</v>
      </c>
      <c r="K1758">
        <f>Orders[[#This Row],[Revenue]]-Orders[[#This Row],[Expenses]]</f>
        <v>881.69999999999982</v>
      </c>
      <c r="L1758" t="s">
        <v>2217</v>
      </c>
      <c r="M1758" t="str">
        <f>_xlfn.XLOOKUP(Orders[[#This Row],[CustomerID]],Customers[CustomerID],Customers[City])</f>
        <v>California</v>
      </c>
      <c r="N1758" t="str">
        <f>_xlfn.XLOOKUP(Orders[[#This Row],[CustomerID]],Customers[CustomerID],Customers[CustomerName])</f>
        <v>Ngozi Obi</v>
      </c>
      <c r="O1758" t="str">
        <f>_xlfn.XLOOKUP(Orders[[#This Row],[CustomerID]],Customers[CustomerID],Customers[Gender])</f>
        <v>Female</v>
      </c>
      <c r="P1758">
        <f>_xlfn.XLOOKUP(Orders[[#This Row],[CustomerID]],Customers[CustomerID],Customers[CustomerAge])</f>
        <v>54</v>
      </c>
      <c r="Q1758" t="str">
        <f>IF(Orders[[#This Row],[Age]]&gt;=35,"older","young")</f>
        <v>older</v>
      </c>
      <c r="R1758" t="str">
        <f>_xlfn.XLOOKUP(Orders[[#This Row],[ProductID]],Products[ProductID],Products[ProductName])</f>
        <v>KIDS GAMES</v>
      </c>
      <c r="S1758" t="str">
        <f>_xlfn.XLOOKUP(Orders[[#This Row],[ProductID]],Products!A:A,Products!C:C)</f>
        <v>Games</v>
      </c>
    </row>
    <row r="1759" spans="1:19" x14ac:dyDescent="0.2">
      <c r="A1759" s="4" t="s">
        <v>1948</v>
      </c>
      <c r="B1759" s="5">
        <v>45995</v>
      </c>
      <c r="C1759" s="15">
        <f>WEEKNUM(Orders[[#This Row],[OrderDate]])</f>
        <v>49</v>
      </c>
      <c r="D1759" s="4" t="s">
        <v>481</v>
      </c>
      <c r="E1759" s="4" t="s">
        <v>157</v>
      </c>
      <c r="F1759" s="4">
        <v>2</v>
      </c>
      <c r="G1759" s="4">
        <v>13272.2</v>
      </c>
      <c r="H1759">
        <v>11281.37</v>
      </c>
      <c r="I1759">
        <f>Orders[[#This Row],[Quantity]]*Orders[[#This Row],[Selling Price]]</f>
        <v>26544.400000000001</v>
      </c>
      <c r="J1759">
        <f>Orders[[#This Row],[Quantity]]*Orders[[#This Row],[Cost Price]]</f>
        <v>22562.74</v>
      </c>
      <c r="K1759">
        <f>Orders[[#This Row],[Revenue]]-Orders[[#This Row],[Expenses]]</f>
        <v>3981.66</v>
      </c>
      <c r="L1759" t="s">
        <v>2219</v>
      </c>
      <c r="M1759" t="str">
        <f>_xlfn.XLOOKUP(Orders[[#This Row],[CustomerID]],Customers[CustomerID],Customers[City])</f>
        <v>Illinois</v>
      </c>
      <c r="N1759" t="str">
        <f>_xlfn.XLOOKUP(Orders[[#This Row],[CustomerID]],Customers[CustomerID],Customers[CustomerName])</f>
        <v>Abiola Bello</v>
      </c>
      <c r="O1759" t="str">
        <f>_xlfn.XLOOKUP(Orders[[#This Row],[CustomerID]],Customers[CustomerID],Customers[Gender])</f>
        <v>Male</v>
      </c>
      <c r="P1759">
        <f>_xlfn.XLOOKUP(Orders[[#This Row],[CustomerID]],Customers[CustomerID],Customers[CustomerAge])</f>
        <v>33</v>
      </c>
      <c r="Q1759" t="str">
        <f>IF(Orders[[#This Row],[Age]]&gt;=35,"older","young")</f>
        <v>young</v>
      </c>
      <c r="R1759" t="str">
        <f>_xlfn.XLOOKUP(Orders[[#This Row],[ProductID]],Products[ProductID],Products[ProductName])</f>
        <v>FOOTBALL</v>
      </c>
      <c r="S1759" t="str">
        <f>_xlfn.XLOOKUP(Orders[[#This Row],[ProductID]],Products!A:A,Products!C:C)</f>
        <v>Sports</v>
      </c>
    </row>
    <row r="1760" spans="1:19" x14ac:dyDescent="0.2">
      <c r="A1760" s="4" t="s">
        <v>1949</v>
      </c>
      <c r="B1760" s="5">
        <v>45948</v>
      </c>
      <c r="C1760" s="15">
        <f>WEEKNUM(Orders[[#This Row],[OrderDate]])</f>
        <v>42</v>
      </c>
      <c r="D1760" s="4" t="s">
        <v>14</v>
      </c>
      <c r="E1760" s="4" t="s">
        <v>23</v>
      </c>
      <c r="F1760" s="4">
        <v>3</v>
      </c>
      <c r="G1760" s="4">
        <v>6691.5</v>
      </c>
      <c r="H1760">
        <v>5687.7749999999996</v>
      </c>
      <c r="I1760">
        <f>Orders[[#This Row],[Quantity]]*Orders[[#This Row],[Selling Price]]</f>
        <v>20074.5</v>
      </c>
      <c r="J1760">
        <f>Orders[[#This Row],[Quantity]]*Orders[[#This Row],[Cost Price]]</f>
        <v>17063.324999999997</v>
      </c>
      <c r="K1760">
        <f>Orders[[#This Row],[Revenue]]-Orders[[#This Row],[Expenses]]</f>
        <v>3011.1750000000029</v>
      </c>
      <c r="L1760" t="s">
        <v>2211</v>
      </c>
      <c r="M1760" t="str">
        <f>_xlfn.XLOOKUP(Orders[[#This Row],[CustomerID]],Customers[CustomerID],Customers[City])</f>
        <v>Texas</v>
      </c>
      <c r="N1760" t="str">
        <f>_xlfn.XLOOKUP(Orders[[#This Row],[CustomerID]],Customers[CustomerID],Customers[CustomerName])</f>
        <v>Abiola Igwe</v>
      </c>
      <c r="O1760" t="str">
        <f>_xlfn.XLOOKUP(Orders[[#This Row],[CustomerID]],Customers[CustomerID],Customers[Gender])</f>
        <v>Male</v>
      </c>
      <c r="P1760">
        <f>_xlfn.XLOOKUP(Orders[[#This Row],[CustomerID]],Customers[CustomerID],Customers[CustomerAge])</f>
        <v>39</v>
      </c>
      <c r="Q1760" t="str">
        <f>IF(Orders[[#This Row],[Age]]&gt;=35,"older","young")</f>
        <v>older</v>
      </c>
      <c r="R1760" t="str">
        <f>_xlfn.XLOOKUP(Orders[[#This Row],[ProductID]],Products[ProductID],Products[ProductName])</f>
        <v>GYM GLOVES</v>
      </c>
      <c r="S1760" t="str">
        <f>_xlfn.XLOOKUP(Orders[[#This Row],[ProductID]],Products!A:A,Products!C:C)</f>
        <v>Gym</v>
      </c>
    </row>
    <row r="1761" spans="1:19" x14ac:dyDescent="0.2">
      <c r="A1761" s="4" t="s">
        <v>1950</v>
      </c>
      <c r="B1761" s="5">
        <v>45991</v>
      </c>
      <c r="C1761" s="15">
        <f>WEEKNUM(Orders[[#This Row],[OrderDate]])</f>
        <v>49</v>
      </c>
      <c r="D1761" s="4" t="s">
        <v>43</v>
      </c>
      <c r="E1761" s="4" t="s">
        <v>63</v>
      </c>
      <c r="F1761" s="4">
        <v>7</v>
      </c>
      <c r="G1761" s="4">
        <v>8496.6999999999989</v>
      </c>
      <c r="H1761">
        <v>7222.1949999999988</v>
      </c>
      <c r="I1761">
        <f>Orders[[#This Row],[Quantity]]*Orders[[#This Row],[Selling Price]]</f>
        <v>59476.899999999994</v>
      </c>
      <c r="J1761">
        <f>Orders[[#This Row],[Quantity]]*Orders[[#This Row],[Cost Price]]</f>
        <v>50555.364999999991</v>
      </c>
      <c r="K1761">
        <f>Orders[[#This Row],[Revenue]]-Orders[[#This Row],[Expenses]]</f>
        <v>8921.5350000000035</v>
      </c>
      <c r="L1761" t="s">
        <v>2195</v>
      </c>
      <c r="M1761" t="str">
        <f>_xlfn.XLOOKUP(Orders[[#This Row],[CustomerID]],Customers[CustomerID],Customers[City])</f>
        <v>Georgia</v>
      </c>
      <c r="N1761" t="str">
        <f>_xlfn.XLOOKUP(Orders[[#This Row],[CustomerID]],Customers[CustomerID],Customers[CustomerName])</f>
        <v>Mustafa Danladi</v>
      </c>
      <c r="O1761" t="str">
        <f>_xlfn.XLOOKUP(Orders[[#This Row],[CustomerID]],Customers[CustomerID],Customers[Gender])</f>
        <v>Male</v>
      </c>
      <c r="P1761">
        <f>_xlfn.XLOOKUP(Orders[[#This Row],[CustomerID]],Customers[CustomerID],Customers[CustomerAge])</f>
        <v>49</v>
      </c>
      <c r="Q1761" t="str">
        <f>IF(Orders[[#This Row],[Age]]&gt;=35,"older","young")</f>
        <v>older</v>
      </c>
      <c r="R1761" t="str">
        <f>_xlfn.XLOOKUP(Orders[[#This Row],[ProductID]],Products[ProductID],Products[ProductName])</f>
        <v>TENNIS BAT</v>
      </c>
      <c r="S1761" t="str">
        <f>_xlfn.XLOOKUP(Orders[[#This Row],[ProductID]],Products!A:A,Products!C:C)</f>
        <v>Sports</v>
      </c>
    </row>
    <row r="1762" spans="1:19" x14ac:dyDescent="0.2">
      <c r="A1762" s="4" t="s">
        <v>1951</v>
      </c>
      <c r="B1762" s="5">
        <v>45942</v>
      </c>
      <c r="C1762" s="15">
        <f>WEEKNUM(Orders[[#This Row],[OrderDate]])</f>
        <v>42</v>
      </c>
      <c r="D1762" s="4" t="s">
        <v>156</v>
      </c>
      <c r="E1762" s="4" t="s">
        <v>37</v>
      </c>
      <c r="F1762" s="4">
        <v>5</v>
      </c>
      <c r="G1762" s="4">
        <v>6338.5</v>
      </c>
      <c r="H1762">
        <v>5387.7250000000004</v>
      </c>
      <c r="I1762">
        <f>Orders[[#This Row],[Quantity]]*Orders[[#This Row],[Selling Price]]</f>
        <v>31692.5</v>
      </c>
      <c r="J1762">
        <f>Orders[[#This Row],[Quantity]]*Orders[[#This Row],[Cost Price]]</f>
        <v>26938.625</v>
      </c>
      <c r="K1762">
        <f>Orders[[#This Row],[Revenue]]-Orders[[#This Row],[Expenses]]</f>
        <v>4753.875</v>
      </c>
      <c r="L1762" t="s">
        <v>2199</v>
      </c>
      <c r="M1762" t="str">
        <f>_xlfn.XLOOKUP(Orders[[#This Row],[CustomerID]],Customers[CustomerID],Customers[City])</f>
        <v>Florida</v>
      </c>
      <c r="N1762" t="str">
        <f>_xlfn.XLOOKUP(Orders[[#This Row],[CustomerID]],Customers[CustomerID],Customers[CustomerName])</f>
        <v>Obi Okonkwo</v>
      </c>
      <c r="O1762" t="str">
        <f>_xlfn.XLOOKUP(Orders[[#This Row],[CustomerID]],Customers[CustomerID],Customers[Gender])</f>
        <v>Male</v>
      </c>
      <c r="P1762">
        <f>_xlfn.XLOOKUP(Orders[[#This Row],[CustomerID]],Customers[CustomerID],Customers[CustomerAge])</f>
        <v>52</v>
      </c>
      <c r="Q1762" t="str">
        <f>IF(Orders[[#This Row],[Age]]&gt;=35,"older","young")</f>
        <v>older</v>
      </c>
      <c r="R1762" t="str">
        <f>_xlfn.XLOOKUP(Orders[[#This Row],[ProductID]],Products[ProductID],Products[ProductName])</f>
        <v>IRON</v>
      </c>
      <c r="S1762" t="str">
        <f>_xlfn.XLOOKUP(Orders[[#This Row],[ProductID]],Products!A:A,Products!C:C)</f>
        <v>Electronics</v>
      </c>
    </row>
    <row r="1763" spans="1:19" x14ac:dyDescent="0.2">
      <c r="A1763" s="4" t="s">
        <v>1952</v>
      </c>
      <c r="B1763" s="5">
        <v>45961</v>
      </c>
      <c r="C1763" s="15">
        <f>WEEKNUM(Orders[[#This Row],[OrderDate]])</f>
        <v>44</v>
      </c>
      <c r="D1763" s="4" t="s">
        <v>343</v>
      </c>
      <c r="E1763" s="4" t="s">
        <v>57</v>
      </c>
      <c r="F1763" s="4">
        <v>2</v>
      </c>
      <c r="G1763" s="4">
        <v>19507.400000000001</v>
      </c>
      <c r="H1763">
        <v>16581.29</v>
      </c>
      <c r="I1763">
        <f>Orders[[#This Row],[Quantity]]*Orders[[#This Row],[Selling Price]]</f>
        <v>39014.800000000003</v>
      </c>
      <c r="J1763">
        <f>Orders[[#This Row],[Quantity]]*Orders[[#This Row],[Cost Price]]</f>
        <v>33162.58</v>
      </c>
      <c r="K1763">
        <f>Orders[[#This Row],[Revenue]]-Orders[[#This Row],[Expenses]]</f>
        <v>5852.2200000000012</v>
      </c>
      <c r="L1763" t="s">
        <v>2201</v>
      </c>
      <c r="M1763" t="str">
        <f>_xlfn.XLOOKUP(Orders[[#This Row],[CustomerID]],Customers[CustomerID],Customers[City])</f>
        <v>Washington</v>
      </c>
      <c r="N1763" t="str">
        <f>_xlfn.XLOOKUP(Orders[[#This Row],[CustomerID]],Customers[CustomerID],Customers[CustomerName])</f>
        <v>Ronke Obi</v>
      </c>
      <c r="O1763" t="str">
        <f>_xlfn.XLOOKUP(Orders[[#This Row],[CustomerID]],Customers[CustomerID],Customers[Gender])</f>
        <v>Female</v>
      </c>
      <c r="P1763">
        <f>_xlfn.XLOOKUP(Orders[[#This Row],[CustomerID]],Customers[CustomerID],Customers[CustomerAge])</f>
        <v>31</v>
      </c>
      <c r="Q1763" t="str">
        <f>IF(Orders[[#This Row],[Age]]&gt;=35,"older","young")</f>
        <v>young</v>
      </c>
      <c r="R1763" t="str">
        <f>_xlfn.XLOOKUP(Orders[[#This Row],[ProductID]],Products[ProductID],Products[ProductName])</f>
        <v>BADMINTON RACKET</v>
      </c>
      <c r="S1763" t="str">
        <f>_xlfn.XLOOKUP(Orders[[#This Row],[ProductID]],Products!A:A,Products!C:C)</f>
        <v>Sports</v>
      </c>
    </row>
    <row r="1764" spans="1:19" x14ac:dyDescent="0.2">
      <c r="A1764" s="4" t="s">
        <v>1953</v>
      </c>
      <c r="B1764" s="5">
        <v>46022</v>
      </c>
      <c r="C1764" s="15">
        <f>WEEKNUM(Orders[[#This Row],[OrderDate]])</f>
        <v>53</v>
      </c>
      <c r="D1764" s="4" t="s">
        <v>574</v>
      </c>
      <c r="E1764" s="4" t="s">
        <v>130</v>
      </c>
      <c r="F1764" s="4">
        <v>4</v>
      </c>
      <c r="G1764" s="4">
        <v>13948.699999999999</v>
      </c>
      <c r="H1764">
        <v>11856.394999999999</v>
      </c>
      <c r="I1764">
        <f>Orders[[#This Row],[Quantity]]*Orders[[#This Row],[Selling Price]]</f>
        <v>55794.799999999996</v>
      </c>
      <c r="J1764">
        <f>Orders[[#This Row],[Quantity]]*Orders[[#This Row],[Cost Price]]</f>
        <v>47425.579999999994</v>
      </c>
      <c r="K1764">
        <f>Orders[[#This Row],[Revenue]]-Orders[[#This Row],[Expenses]]</f>
        <v>8369.2200000000012</v>
      </c>
      <c r="L1764" t="s">
        <v>2214</v>
      </c>
      <c r="M1764" t="str">
        <f>_xlfn.XLOOKUP(Orders[[#This Row],[CustomerID]],Customers[CustomerID],Customers[City])</f>
        <v>Texas</v>
      </c>
      <c r="N1764" t="str">
        <f>_xlfn.XLOOKUP(Orders[[#This Row],[CustomerID]],Customers[CustomerID],Customers[CustomerName])</f>
        <v>Adanma Obi</v>
      </c>
      <c r="O1764" t="str">
        <f>_xlfn.XLOOKUP(Orders[[#This Row],[CustomerID]],Customers[CustomerID],Customers[Gender])</f>
        <v>Female</v>
      </c>
      <c r="P1764">
        <f>_xlfn.XLOOKUP(Orders[[#This Row],[CustomerID]],Customers[CustomerID],Customers[CustomerAge])</f>
        <v>23</v>
      </c>
      <c r="Q1764" t="str">
        <f>IF(Orders[[#This Row],[Age]]&gt;=35,"older","young")</f>
        <v>young</v>
      </c>
      <c r="R1764" t="str">
        <f>_xlfn.XLOOKUP(Orders[[#This Row],[ProductID]],Products[ProductID],Products[ProductName])</f>
        <v>GOLD EARRINGS AND NECKLACES</v>
      </c>
      <c r="S1764" t="str">
        <f>_xlfn.XLOOKUP(Orders[[#This Row],[ProductID]],Products!A:A,Products!C:C)</f>
        <v>Accessories</v>
      </c>
    </row>
    <row r="1765" spans="1:19" x14ac:dyDescent="0.2">
      <c r="A1765" s="4" t="s">
        <v>1954</v>
      </c>
      <c r="B1765" s="5">
        <v>45969</v>
      </c>
      <c r="C1765" s="15">
        <f>WEEKNUM(Orders[[#This Row],[OrderDate]])</f>
        <v>45</v>
      </c>
      <c r="D1765" s="4" t="s">
        <v>256</v>
      </c>
      <c r="E1765" s="4" t="s">
        <v>253</v>
      </c>
      <c r="F1765" s="4">
        <v>5</v>
      </c>
      <c r="G1765" s="4">
        <v>14214.1</v>
      </c>
      <c r="H1765">
        <v>12081.985000000001</v>
      </c>
      <c r="I1765">
        <f>Orders[[#This Row],[Quantity]]*Orders[[#This Row],[Selling Price]]</f>
        <v>71070.5</v>
      </c>
      <c r="J1765">
        <f>Orders[[#This Row],[Quantity]]*Orders[[#This Row],[Cost Price]]</f>
        <v>60409.925000000003</v>
      </c>
      <c r="K1765">
        <f>Orders[[#This Row],[Revenue]]-Orders[[#This Row],[Expenses]]</f>
        <v>10660.574999999997</v>
      </c>
      <c r="L1765" t="s">
        <v>2197</v>
      </c>
      <c r="M1765" t="str">
        <f>_xlfn.XLOOKUP(Orders[[#This Row],[CustomerID]],Customers[CustomerID],Customers[City])</f>
        <v>Georgia</v>
      </c>
      <c r="N1765" t="str">
        <f>_xlfn.XLOOKUP(Orders[[#This Row],[CustomerID]],Customers[CustomerID],Customers[CustomerName])</f>
        <v>Efe Ojo</v>
      </c>
      <c r="O1765" t="str">
        <f>_xlfn.XLOOKUP(Orders[[#This Row],[CustomerID]],Customers[CustomerID],Customers[Gender])</f>
        <v>Female</v>
      </c>
      <c r="P1765">
        <f>_xlfn.XLOOKUP(Orders[[#This Row],[CustomerID]],Customers[CustomerID],Customers[CustomerAge])</f>
        <v>23</v>
      </c>
      <c r="Q1765" t="str">
        <f>IF(Orders[[#This Row],[Age]]&gt;=35,"older","young")</f>
        <v>young</v>
      </c>
      <c r="R1765" t="str">
        <f>_xlfn.XLOOKUP(Orders[[#This Row],[ProductID]],Products[ProductID],Products[ProductName])</f>
        <v>NOSE RINGS</v>
      </c>
      <c r="S1765" t="str">
        <f>_xlfn.XLOOKUP(Orders[[#This Row],[ProductID]],Products!A:A,Products!C:C)</f>
        <v>Accessories</v>
      </c>
    </row>
    <row r="1766" spans="1:19" x14ac:dyDescent="0.2">
      <c r="A1766" s="4" t="s">
        <v>1955</v>
      </c>
      <c r="B1766" s="5">
        <v>45940</v>
      </c>
      <c r="C1766" s="15">
        <f>WEEKNUM(Orders[[#This Row],[OrderDate]])</f>
        <v>41</v>
      </c>
      <c r="D1766" s="4" t="s">
        <v>605</v>
      </c>
      <c r="E1766" s="4" t="s">
        <v>12</v>
      </c>
      <c r="F1766" s="4">
        <v>3</v>
      </c>
      <c r="G1766" s="4">
        <v>3677.3</v>
      </c>
      <c r="H1766">
        <v>3125.7049999999999</v>
      </c>
      <c r="I1766">
        <f>Orders[[#This Row],[Quantity]]*Orders[[#This Row],[Selling Price]]</f>
        <v>11031.900000000001</v>
      </c>
      <c r="J1766">
        <f>Orders[[#This Row],[Quantity]]*Orders[[#This Row],[Cost Price]]</f>
        <v>9377.1149999999998</v>
      </c>
      <c r="K1766">
        <f>Orders[[#This Row],[Revenue]]-Orders[[#This Row],[Expenses]]</f>
        <v>1654.7850000000017</v>
      </c>
      <c r="L1766" t="s">
        <v>2201</v>
      </c>
      <c r="M1766" t="str">
        <f>_xlfn.XLOOKUP(Orders[[#This Row],[CustomerID]],Customers[CustomerID],Customers[City])</f>
        <v>Texas</v>
      </c>
      <c r="N1766" t="str">
        <f>_xlfn.XLOOKUP(Orders[[#This Row],[CustomerID]],Customers[CustomerID],Customers[CustomerName])</f>
        <v>Blessing Abubakar</v>
      </c>
      <c r="O1766" t="str">
        <f>_xlfn.XLOOKUP(Orders[[#This Row],[CustomerID]],Customers[CustomerID],Customers[Gender])</f>
        <v>Female</v>
      </c>
      <c r="P1766">
        <f>_xlfn.XLOOKUP(Orders[[#This Row],[CustomerID]],Customers[CustomerID],Customers[CustomerAge])</f>
        <v>44</v>
      </c>
      <c r="Q1766" t="str">
        <f>IF(Orders[[#This Row],[Age]]&gt;=35,"older","young")</f>
        <v>older</v>
      </c>
      <c r="R1766" t="str">
        <f>_xlfn.XLOOKUP(Orders[[#This Row],[ProductID]],Products[ProductID],Products[ProductName])</f>
        <v>BOUBOU</v>
      </c>
      <c r="S1766" t="str">
        <f>_xlfn.XLOOKUP(Orders[[#This Row],[ProductID]],Products!A:A,Products!C:C)</f>
        <v>Clothing</v>
      </c>
    </row>
    <row r="1767" spans="1:19" x14ac:dyDescent="0.2">
      <c r="A1767" s="4" t="s">
        <v>1956</v>
      </c>
      <c r="B1767" s="5">
        <v>46003</v>
      </c>
      <c r="C1767" s="15">
        <f>WEEKNUM(Orders[[#This Row],[OrderDate]])</f>
        <v>50</v>
      </c>
      <c r="D1767" s="4" t="s">
        <v>439</v>
      </c>
      <c r="E1767" s="4" t="s">
        <v>253</v>
      </c>
      <c r="F1767" s="4">
        <v>8</v>
      </c>
      <c r="G1767" s="4">
        <v>15971.199999999999</v>
      </c>
      <c r="H1767">
        <v>13575.519999999999</v>
      </c>
      <c r="I1767">
        <f>Orders[[#This Row],[Quantity]]*Orders[[#This Row],[Selling Price]]</f>
        <v>127769.59999999999</v>
      </c>
      <c r="J1767">
        <f>Orders[[#This Row],[Quantity]]*Orders[[#This Row],[Cost Price]]</f>
        <v>108604.15999999999</v>
      </c>
      <c r="K1767">
        <f>Orders[[#This Row],[Revenue]]-Orders[[#This Row],[Expenses]]</f>
        <v>19165.440000000002</v>
      </c>
      <c r="L1767" t="s">
        <v>2210</v>
      </c>
      <c r="M1767" t="str">
        <f>_xlfn.XLOOKUP(Orders[[#This Row],[CustomerID]],Customers[CustomerID],Customers[City])</f>
        <v>Texas</v>
      </c>
      <c r="N1767" t="str">
        <f>_xlfn.XLOOKUP(Orders[[#This Row],[CustomerID]],Customers[CustomerID],Customers[CustomerName])</f>
        <v>Efe Abubakar</v>
      </c>
      <c r="O1767" t="str">
        <f>_xlfn.XLOOKUP(Orders[[#This Row],[CustomerID]],Customers[CustomerID],Customers[Gender])</f>
        <v>Female</v>
      </c>
      <c r="P1767">
        <f>_xlfn.XLOOKUP(Orders[[#This Row],[CustomerID]],Customers[CustomerID],Customers[CustomerAge])</f>
        <v>50</v>
      </c>
      <c r="Q1767" t="str">
        <f>IF(Orders[[#This Row],[Age]]&gt;=35,"older","young")</f>
        <v>older</v>
      </c>
      <c r="R1767" t="str">
        <f>_xlfn.XLOOKUP(Orders[[#This Row],[ProductID]],Products[ProductID],Products[ProductName])</f>
        <v>NOSE RINGS</v>
      </c>
      <c r="S1767" t="str">
        <f>_xlfn.XLOOKUP(Orders[[#This Row],[ProductID]],Products!A:A,Products!C:C)</f>
        <v>Accessories</v>
      </c>
    </row>
    <row r="1768" spans="1:19" x14ac:dyDescent="0.2">
      <c r="A1768" s="4" t="s">
        <v>1957</v>
      </c>
      <c r="B1768" s="5">
        <v>45975</v>
      </c>
      <c r="C1768" s="15">
        <f>WEEKNUM(Orders[[#This Row],[OrderDate]])</f>
        <v>46</v>
      </c>
      <c r="D1768" s="4" t="s">
        <v>223</v>
      </c>
      <c r="E1768" s="4" t="s">
        <v>76</v>
      </c>
      <c r="F1768" s="4">
        <v>9</v>
      </c>
      <c r="G1768" s="4">
        <v>7497.9</v>
      </c>
      <c r="H1768">
        <v>6373.2150000000001</v>
      </c>
      <c r="I1768">
        <f>Orders[[#This Row],[Quantity]]*Orders[[#This Row],[Selling Price]]</f>
        <v>67481.099999999991</v>
      </c>
      <c r="J1768">
        <f>Orders[[#This Row],[Quantity]]*Orders[[#This Row],[Cost Price]]</f>
        <v>57358.934999999998</v>
      </c>
      <c r="K1768">
        <f>Orders[[#This Row],[Revenue]]-Orders[[#This Row],[Expenses]]</f>
        <v>10122.164999999994</v>
      </c>
      <c r="L1768" t="s">
        <v>2203</v>
      </c>
      <c r="M1768" t="str">
        <f>_xlfn.XLOOKUP(Orders[[#This Row],[CustomerID]],Customers[CustomerID],Customers[City])</f>
        <v>Washington</v>
      </c>
      <c r="N1768" t="str">
        <f>_xlfn.XLOOKUP(Orders[[#This Row],[CustomerID]],Customers[CustomerID],Customers[CustomerName])</f>
        <v>Blessing Danladi</v>
      </c>
      <c r="O1768" t="str">
        <f>_xlfn.XLOOKUP(Orders[[#This Row],[CustomerID]],Customers[CustomerID],Customers[Gender])</f>
        <v>Female</v>
      </c>
      <c r="P1768">
        <f>_xlfn.XLOOKUP(Orders[[#This Row],[CustomerID]],Customers[CustomerID],Customers[CustomerAge])</f>
        <v>20</v>
      </c>
      <c r="Q1768" t="str">
        <f>IF(Orders[[#This Row],[Age]]&gt;=35,"older","young")</f>
        <v>young</v>
      </c>
      <c r="R1768" t="str">
        <f>_xlfn.XLOOKUP(Orders[[#This Row],[ProductID]],Products[ProductID],Products[ProductName])</f>
        <v>BLENDER</v>
      </c>
      <c r="S1768" t="str">
        <f>_xlfn.XLOOKUP(Orders[[#This Row],[ProductID]],Products!A:A,Products!C:C)</f>
        <v>Electronics</v>
      </c>
    </row>
    <row r="1769" spans="1:19" x14ac:dyDescent="0.2">
      <c r="A1769" s="4" t="s">
        <v>1958</v>
      </c>
      <c r="B1769" s="5">
        <v>45951</v>
      </c>
      <c r="C1769" s="15">
        <f>WEEKNUM(Orders[[#This Row],[OrderDate]])</f>
        <v>43</v>
      </c>
      <c r="D1769" s="4" t="s">
        <v>507</v>
      </c>
      <c r="E1769" s="4" t="s">
        <v>76</v>
      </c>
      <c r="F1769" s="4">
        <v>5</v>
      </c>
      <c r="G1769" s="4">
        <v>5828.3</v>
      </c>
      <c r="H1769">
        <v>4954.0550000000003</v>
      </c>
      <c r="I1769">
        <f>Orders[[#This Row],[Quantity]]*Orders[[#This Row],[Selling Price]]</f>
        <v>29141.5</v>
      </c>
      <c r="J1769">
        <f>Orders[[#This Row],[Quantity]]*Orders[[#This Row],[Cost Price]]</f>
        <v>24770.275000000001</v>
      </c>
      <c r="K1769">
        <f>Orders[[#This Row],[Revenue]]-Orders[[#This Row],[Expenses]]</f>
        <v>4371.2249999999985</v>
      </c>
      <c r="L1769" t="s">
        <v>2203</v>
      </c>
      <c r="M1769" t="str">
        <f>_xlfn.XLOOKUP(Orders[[#This Row],[CustomerID]],Customers[CustomerID],Customers[City])</f>
        <v>Washington</v>
      </c>
      <c r="N1769" t="str">
        <f>_xlfn.XLOOKUP(Orders[[#This Row],[CustomerID]],Customers[CustomerID],Customers[CustomerName])</f>
        <v>Temi Okonkwo</v>
      </c>
      <c r="O1769" t="str">
        <f>_xlfn.XLOOKUP(Orders[[#This Row],[CustomerID]],Customers[CustomerID],Customers[Gender])</f>
        <v>Female</v>
      </c>
      <c r="P1769">
        <f>_xlfn.XLOOKUP(Orders[[#This Row],[CustomerID]],Customers[CustomerID],Customers[CustomerAge])</f>
        <v>35</v>
      </c>
      <c r="Q1769" t="str">
        <f>IF(Orders[[#This Row],[Age]]&gt;=35,"older","young")</f>
        <v>older</v>
      </c>
      <c r="R1769" t="str">
        <f>_xlfn.XLOOKUP(Orders[[#This Row],[ProductID]],Products[ProductID],Products[ProductName])</f>
        <v>BLENDER</v>
      </c>
      <c r="S1769" t="str">
        <f>_xlfn.XLOOKUP(Orders[[#This Row],[ProductID]],Products!A:A,Products!C:C)</f>
        <v>Electronics</v>
      </c>
    </row>
    <row r="1770" spans="1:19" x14ac:dyDescent="0.2">
      <c r="A1770" s="4" t="s">
        <v>1959</v>
      </c>
      <c r="B1770" s="5">
        <v>45996</v>
      </c>
      <c r="C1770" s="15">
        <f>WEEKNUM(Orders[[#This Row],[OrderDate]])</f>
        <v>49</v>
      </c>
      <c r="D1770" s="4" t="s">
        <v>314</v>
      </c>
      <c r="E1770" s="4" t="s">
        <v>151</v>
      </c>
      <c r="F1770" s="4">
        <v>8</v>
      </c>
      <c r="G1770" s="4">
        <v>17776.199999999997</v>
      </c>
      <c r="H1770">
        <v>15109.769999999997</v>
      </c>
      <c r="I1770">
        <f>Orders[[#This Row],[Quantity]]*Orders[[#This Row],[Selling Price]]</f>
        <v>142209.59999999998</v>
      </c>
      <c r="J1770">
        <f>Orders[[#This Row],[Quantity]]*Orders[[#This Row],[Cost Price]]</f>
        <v>120878.15999999997</v>
      </c>
      <c r="K1770">
        <f>Orders[[#This Row],[Revenue]]-Orders[[#This Row],[Expenses]]</f>
        <v>21331.440000000002</v>
      </c>
      <c r="L1770" t="s">
        <v>2202</v>
      </c>
      <c r="M1770" t="str">
        <f>_xlfn.XLOOKUP(Orders[[#This Row],[CustomerID]],Customers[CustomerID],Customers[City])</f>
        <v>Washington</v>
      </c>
      <c r="N1770" t="str">
        <f>_xlfn.XLOOKUP(Orders[[#This Row],[CustomerID]],Customers[CustomerID],Customers[CustomerName])</f>
        <v>Bisi Ojo</v>
      </c>
      <c r="O1770" t="str">
        <f>_xlfn.XLOOKUP(Orders[[#This Row],[CustomerID]],Customers[CustomerID],Customers[Gender])</f>
        <v>Female</v>
      </c>
      <c r="P1770">
        <f>_xlfn.XLOOKUP(Orders[[#This Row],[CustomerID]],Customers[CustomerID],Customers[CustomerAge])</f>
        <v>18</v>
      </c>
      <c r="Q1770" t="str">
        <f>IF(Orders[[#This Row],[Age]]&gt;=35,"older","young")</f>
        <v>young</v>
      </c>
      <c r="R1770" t="str">
        <f>_xlfn.XLOOKUP(Orders[[#This Row],[ProductID]],Products[ProductID],Products[ProductName])</f>
        <v>CHECKERS</v>
      </c>
      <c r="S1770" t="str">
        <f>_xlfn.XLOOKUP(Orders[[#This Row],[ProductID]],Products!A:A,Products!C:C)</f>
        <v>Games</v>
      </c>
    </row>
    <row r="1771" spans="1:19" x14ac:dyDescent="0.2">
      <c r="A1771" s="4" t="s">
        <v>1960</v>
      </c>
      <c r="B1771" s="5">
        <v>46005</v>
      </c>
      <c r="C1771" s="15">
        <f>WEEKNUM(Orders[[#This Row],[OrderDate]])</f>
        <v>51</v>
      </c>
      <c r="D1771" s="4" t="s">
        <v>101</v>
      </c>
      <c r="E1771" s="4" t="s">
        <v>151</v>
      </c>
      <c r="F1771" s="4">
        <v>7</v>
      </c>
      <c r="G1771" s="4">
        <v>11138.599999999999</v>
      </c>
      <c r="H1771">
        <v>9467.81</v>
      </c>
      <c r="I1771">
        <f>Orders[[#This Row],[Quantity]]*Orders[[#This Row],[Selling Price]]</f>
        <v>77970.199999999983</v>
      </c>
      <c r="J1771">
        <f>Orders[[#This Row],[Quantity]]*Orders[[#This Row],[Cost Price]]</f>
        <v>66274.67</v>
      </c>
      <c r="K1771">
        <f>Orders[[#This Row],[Revenue]]-Orders[[#This Row],[Expenses]]</f>
        <v>11695.529999999984</v>
      </c>
      <c r="L1771" t="s">
        <v>2215</v>
      </c>
      <c r="M1771" t="str">
        <f>_xlfn.XLOOKUP(Orders[[#This Row],[CustomerID]],Customers[CustomerID],Customers[City])</f>
        <v>Texas</v>
      </c>
      <c r="N1771" t="str">
        <f>_xlfn.XLOOKUP(Orders[[#This Row],[CustomerID]],Customers[CustomerID],Customers[CustomerName])</f>
        <v>Blessing Eze</v>
      </c>
      <c r="O1771" t="str">
        <f>_xlfn.XLOOKUP(Orders[[#This Row],[CustomerID]],Customers[CustomerID],Customers[Gender])</f>
        <v>Female</v>
      </c>
      <c r="P1771">
        <f>_xlfn.XLOOKUP(Orders[[#This Row],[CustomerID]],Customers[CustomerID],Customers[CustomerAge])</f>
        <v>55</v>
      </c>
      <c r="Q1771" t="str">
        <f>IF(Orders[[#This Row],[Age]]&gt;=35,"older","young")</f>
        <v>older</v>
      </c>
      <c r="R1771" t="str">
        <f>_xlfn.XLOOKUP(Orders[[#This Row],[ProductID]],Products[ProductID],Products[ProductName])</f>
        <v>CHECKERS</v>
      </c>
      <c r="S1771" t="str">
        <f>_xlfn.XLOOKUP(Orders[[#This Row],[ProductID]],Products!A:A,Products!C:C)</f>
        <v>Games</v>
      </c>
    </row>
    <row r="1772" spans="1:19" x14ac:dyDescent="0.2">
      <c r="A1772" s="4" t="s">
        <v>1961</v>
      </c>
      <c r="B1772" s="5">
        <v>45934</v>
      </c>
      <c r="C1772" s="15">
        <f>WEEKNUM(Orders[[#This Row],[OrderDate]])</f>
        <v>40</v>
      </c>
      <c r="D1772" s="4" t="s">
        <v>320</v>
      </c>
      <c r="E1772" s="4" t="s">
        <v>57</v>
      </c>
      <c r="F1772" s="4">
        <v>5</v>
      </c>
      <c r="G1772" s="4">
        <v>2700</v>
      </c>
      <c r="H1772">
        <v>2295</v>
      </c>
      <c r="I1772">
        <f>Orders[[#This Row],[Quantity]]*Orders[[#This Row],[Selling Price]]</f>
        <v>13500</v>
      </c>
      <c r="J1772">
        <f>Orders[[#This Row],[Quantity]]*Orders[[#This Row],[Cost Price]]</f>
        <v>11475</v>
      </c>
      <c r="K1772">
        <f>Orders[[#This Row],[Revenue]]-Orders[[#This Row],[Expenses]]</f>
        <v>2025</v>
      </c>
      <c r="L1772" t="s">
        <v>2201</v>
      </c>
      <c r="M1772" t="str">
        <f>_xlfn.XLOOKUP(Orders[[#This Row],[CustomerID]],Customers[CustomerID],Customers[City])</f>
        <v>Texas</v>
      </c>
      <c r="N1772" t="str">
        <f>_xlfn.XLOOKUP(Orders[[#This Row],[CustomerID]],Customers[CustomerID],Customers[CustomerName])</f>
        <v>Temi Okonkwo</v>
      </c>
      <c r="O1772" t="str">
        <f>_xlfn.XLOOKUP(Orders[[#This Row],[CustomerID]],Customers[CustomerID],Customers[Gender])</f>
        <v>Female</v>
      </c>
      <c r="P1772">
        <f>_xlfn.XLOOKUP(Orders[[#This Row],[CustomerID]],Customers[CustomerID],Customers[CustomerAge])</f>
        <v>31</v>
      </c>
      <c r="Q1772" t="str">
        <f>IF(Orders[[#This Row],[Age]]&gt;=35,"older","young")</f>
        <v>young</v>
      </c>
      <c r="R1772" t="str">
        <f>_xlfn.XLOOKUP(Orders[[#This Row],[ProductID]],Products[ProductID],Products[ProductName])</f>
        <v>BADMINTON RACKET</v>
      </c>
      <c r="S1772" t="str">
        <f>_xlfn.XLOOKUP(Orders[[#This Row],[ProductID]],Products!A:A,Products!C:C)</f>
        <v>Sports</v>
      </c>
    </row>
    <row r="1773" spans="1:19" x14ac:dyDescent="0.2">
      <c r="A1773" s="4" t="s">
        <v>1962</v>
      </c>
      <c r="B1773" s="5">
        <v>45972</v>
      </c>
      <c r="C1773" s="15">
        <f>WEEKNUM(Orders[[#This Row],[OrderDate]])</f>
        <v>46</v>
      </c>
      <c r="D1773" s="4" t="s">
        <v>146</v>
      </c>
      <c r="E1773" s="4" t="s">
        <v>66</v>
      </c>
      <c r="F1773" s="4">
        <v>3</v>
      </c>
      <c r="G1773" s="4">
        <v>16466.400000000001</v>
      </c>
      <c r="H1773">
        <v>13996.440000000002</v>
      </c>
      <c r="I1773">
        <f>Orders[[#This Row],[Quantity]]*Orders[[#This Row],[Selling Price]]</f>
        <v>49399.200000000004</v>
      </c>
      <c r="J1773">
        <f>Orders[[#This Row],[Quantity]]*Orders[[#This Row],[Cost Price]]</f>
        <v>41989.320000000007</v>
      </c>
      <c r="K1773">
        <f>Orders[[#This Row],[Revenue]]-Orders[[#This Row],[Expenses]]</f>
        <v>7409.8799999999974</v>
      </c>
      <c r="L1773" t="s">
        <v>2192</v>
      </c>
      <c r="M1773" t="str">
        <f>_xlfn.XLOOKUP(Orders[[#This Row],[CustomerID]],Customers[CustomerID],Customers[City])</f>
        <v>Texas</v>
      </c>
      <c r="N1773" t="str">
        <f>_xlfn.XLOOKUP(Orders[[#This Row],[CustomerID]],Customers[CustomerID],Customers[CustomerName])</f>
        <v>Mustafa Igwe</v>
      </c>
      <c r="O1773" t="str">
        <f>_xlfn.XLOOKUP(Orders[[#This Row],[CustomerID]],Customers[CustomerID],Customers[Gender])</f>
        <v>Male</v>
      </c>
      <c r="P1773">
        <f>_xlfn.XLOOKUP(Orders[[#This Row],[CustomerID]],Customers[CustomerID],Customers[CustomerAge])</f>
        <v>27</v>
      </c>
      <c r="Q1773" t="str">
        <f>IF(Orders[[#This Row],[Age]]&gt;=35,"older","young")</f>
        <v>young</v>
      </c>
      <c r="R1773" t="str">
        <f>_xlfn.XLOOKUP(Orders[[#This Row],[ProductID]],Products[ProductID],Products[ProductName])</f>
        <v>MICROWAVE</v>
      </c>
      <c r="S1773" t="str">
        <f>_xlfn.XLOOKUP(Orders[[#This Row],[ProductID]],Products!A:A,Products!C:C)</f>
        <v>Electronics</v>
      </c>
    </row>
    <row r="1774" spans="1:19" x14ac:dyDescent="0.2">
      <c r="A1774" s="4" t="s">
        <v>1963</v>
      </c>
      <c r="B1774" s="5">
        <v>45995</v>
      </c>
      <c r="C1774" s="15">
        <f>WEEKNUM(Orders[[#This Row],[OrderDate]])</f>
        <v>49</v>
      </c>
      <c r="D1774" s="4" t="s">
        <v>103</v>
      </c>
      <c r="E1774" s="4" t="s">
        <v>31</v>
      </c>
      <c r="F1774" s="4">
        <v>5</v>
      </c>
      <c r="G1774" s="4">
        <v>1333.8999999999999</v>
      </c>
      <c r="H1774">
        <v>1133.8149999999998</v>
      </c>
      <c r="I1774">
        <f>Orders[[#This Row],[Quantity]]*Orders[[#This Row],[Selling Price]]</f>
        <v>6669.4999999999991</v>
      </c>
      <c r="J1774">
        <f>Orders[[#This Row],[Quantity]]*Orders[[#This Row],[Cost Price]]</f>
        <v>5669.0749999999989</v>
      </c>
      <c r="K1774">
        <f>Orders[[#This Row],[Revenue]]-Orders[[#This Row],[Expenses]]</f>
        <v>1000.4250000000002</v>
      </c>
      <c r="L1774" t="s">
        <v>2207</v>
      </c>
      <c r="M1774" t="str">
        <f>_xlfn.XLOOKUP(Orders[[#This Row],[CustomerID]],Customers[CustomerID],Customers[City])</f>
        <v>Georgia</v>
      </c>
      <c r="N1774" t="str">
        <f>_xlfn.XLOOKUP(Orders[[#This Row],[CustomerID]],Customers[CustomerID],Customers[CustomerName])</f>
        <v>Chioma Adeyemi</v>
      </c>
      <c r="O1774" t="str">
        <f>_xlfn.XLOOKUP(Orders[[#This Row],[CustomerID]],Customers[CustomerID],Customers[Gender])</f>
        <v>Female</v>
      </c>
      <c r="P1774">
        <f>_xlfn.XLOOKUP(Orders[[#This Row],[CustomerID]],Customers[CustomerID],Customers[CustomerAge])</f>
        <v>31</v>
      </c>
      <c r="Q1774" t="str">
        <f>IF(Orders[[#This Row],[Age]]&gt;=35,"older","young")</f>
        <v>young</v>
      </c>
      <c r="R1774" t="str">
        <f>_xlfn.XLOOKUP(Orders[[#This Row],[ProductID]],Products[ProductID],Products[ProductName])</f>
        <v>KIDS GAMES</v>
      </c>
      <c r="S1774" t="str">
        <f>_xlfn.XLOOKUP(Orders[[#This Row],[ProductID]],Products!A:A,Products!C:C)</f>
        <v>Games</v>
      </c>
    </row>
    <row r="1775" spans="1:19" x14ac:dyDescent="0.2">
      <c r="A1775" s="4" t="s">
        <v>1964</v>
      </c>
      <c r="B1775" s="5">
        <v>45954</v>
      </c>
      <c r="C1775" s="15">
        <f>WEEKNUM(Orders[[#This Row],[OrderDate]])</f>
        <v>43</v>
      </c>
      <c r="D1775" s="4" t="s">
        <v>150</v>
      </c>
      <c r="E1775" s="4" t="s">
        <v>46</v>
      </c>
      <c r="F1775" s="4">
        <v>10</v>
      </c>
      <c r="G1775" s="4">
        <v>1981.5</v>
      </c>
      <c r="H1775">
        <v>1684.2750000000001</v>
      </c>
      <c r="I1775">
        <f>Orders[[#This Row],[Quantity]]*Orders[[#This Row],[Selling Price]]</f>
        <v>19815</v>
      </c>
      <c r="J1775">
        <f>Orders[[#This Row],[Quantity]]*Orders[[#This Row],[Cost Price]]</f>
        <v>16842.75</v>
      </c>
      <c r="K1775">
        <f>Orders[[#This Row],[Revenue]]-Orders[[#This Row],[Expenses]]</f>
        <v>2972.25</v>
      </c>
      <c r="L1775" t="s">
        <v>2203</v>
      </c>
      <c r="M1775" t="str">
        <f>_xlfn.XLOOKUP(Orders[[#This Row],[CustomerID]],Customers[CustomerID],Customers[City])</f>
        <v>Georgia</v>
      </c>
      <c r="N1775" t="str">
        <f>_xlfn.XLOOKUP(Orders[[#This Row],[CustomerID]],Customers[CustomerID],Customers[CustomerName])</f>
        <v>Ronke Eze</v>
      </c>
      <c r="O1775" t="str">
        <f>_xlfn.XLOOKUP(Orders[[#This Row],[CustomerID]],Customers[CustomerID],Customers[Gender])</f>
        <v>Female</v>
      </c>
      <c r="P1775">
        <f>_xlfn.XLOOKUP(Orders[[#This Row],[CustomerID]],Customers[CustomerID],Customers[CustomerAge])</f>
        <v>23</v>
      </c>
      <c r="Q1775" t="str">
        <f>IF(Orders[[#This Row],[Age]]&gt;=35,"older","young")</f>
        <v>young</v>
      </c>
      <c r="R1775" t="str">
        <f>_xlfn.XLOOKUP(Orders[[#This Row],[ProductID]],Products[ProductID],Products[ProductName])</f>
        <v>TURTLE NECK</v>
      </c>
      <c r="S1775" t="str">
        <f>_xlfn.XLOOKUP(Orders[[#This Row],[ProductID]],Products!A:A,Products!C:C)</f>
        <v>Clothing</v>
      </c>
    </row>
    <row r="1776" spans="1:19" x14ac:dyDescent="0.2">
      <c r="A1776" s="4" t="s">
        <v>1965</v>
      </c>
      <c r="B1776" s="5">
        <v>45986</v>
      </c>
      <c r="C1776" s="15">
        <f>WEEKNUM(Orders[[#This Row],[OrderDate]])</f>
        <v>48</v>
      </c>
      <c r="D1776" s="4" t="s">
        <v>320</v>
      </c>
      <c r="E1776" s="4" t="s">
        <v>9</v>
      </c>
      <c r="F1776" s="4">
        <v>6</v>
      </c>
      <c r="G1776" s="4">
        <v>14836.099999999999</v>
      </c>
      <c r="H1776">
        <v>12610.684999999999</v>
      </c>
      <c r="I1776">
        <f>Orders[[#This Row],[Quantity]]*Orders[[#This Row],[Selling Price]]</f>
        <v>89016.599999999991</v>
      </c>
      <c r="J1776">
        <f>Orders[[#This Row],[Quantity]]*Orders[[#This Row],[Cost Price]]</f>
        <v>75664.11</v>
      </c>
      <c r="K1776">
        <f>Orders[[#This Row],[Revenue]]-Orders[[#This Row],[Expenses]]</f>
        <v>13352.489999999991</v>
      </c>
      <c r="L1776" t="s">
        <v>2209</v>
      </c>
      <c r="M1776" t="str">
        <f>_xlfn.XLOOKUP(Orders[[#This Row],[CustomerID]],Customers[CustomerID],Customers[City])</f>
        <v>Texas</v>
      </c>
      <c r="N1776" t="str">
        <f>_xlfn.XLOOKUP(Orders[[#This Row],[CustomerID]],Customers[CustomerID],Customers[CustomerName])</f>
        <v>Temi Okonkwo</v>
      </c>
      <c r="O1776" t="str">
        <f>_xlfn.XLOOKUP(Orders[[#This Row],[CustomerID]],Customers[CustomerID],Customers[Gender])</f>
        <v>Female</v>
      </c>
      <c r="P1776">
        <f>_xlfn.XLOOKUP(Orders[[#This Row],[CustomerID]],Customers[CustomerID],Customers[CustomerAge])</f>
        <v>31</v>
      </c>
      <c r="Q1776" t="str">
        <f>IF(Orders[[#This Row],[Age]]&gt;=35,"older","young")</f>
        <v>young</v>
      </c>
      <c r="R1776" t="str">
        <f>_xlfn.XLOOKUP(Orders[[#This Row],[ProductID]],Products[ProductID],Products[ProductName])</f>
        <v>BEADED EARRINGS AND NECKLACES</v>
      </c>
      <c r="S1776" t="str">
        <f>_xlfn.XLOOKUP(Orders[[#This Row],[ProductID]],Products!A:A,Products!C:C)</f>
        <v>Accessories</v>
      </c>
    </row>
    <row r="1777" spans="1:19" x14ac:dyDescent="0.2">
      <c r="A1777" s="4" t="s">
        <v>1966</v>
      </c>
      <c r="B1777" s="5">
        <v>45970</v>
      </c>
      <c r="C1777" s="15">
        <f>WEEKNUM(Orders[[#This Row],[OrderDate]])</f>
        <v>46</v>
      </c>
      <c r="D1777" s="4" t="s">
        <v>564</v>
      </c>
      <c r="E1777" s="4" t="s">
        <v>53</v>
      </c>
      <c r="F1777" s="4">
        <v>7</v>
      </c>
      <c r="G1777" s="4">
        <v>1143.3</v>
      </c>
      <c r="H1777">
        <v>971.80499999999995</v>
      </c>
      <c r="I1777">
        <f>Orders[[#This Row],[Quantity]]*Orders[[#This Row],[Selling Price]]</f>
        <v>8003.0999999999995</v>
      </c>
      <c r="J1777">
        <f>Orders[[#This Row],[Quantity]]*Orders[[#This Row],[Cost Price]]</f>
        <v>6802.6349999999993</v>
      </c>
      <c r="K1777">
        <f>Orders[[#This Row],[Revenue]]-Orders[[#This Row],[Expenses]]</f>
        <v>1200.4650000000001</v>
      </c>
      <c r="L1777" t="s">
        <v>2195</v>
      </c>
      <c r="M1777" t="str">
        <f>_xlfn.XLOOKUP(Orders[[#This Row],[CustomerID]],Customers[CustomerID],Customers[City])</f>
        <v>Georgia</v>
      </c>
      <c r="N1777" t="str">
        <f>_xlfn.XLOOKUP(Orders[[#This Row],[CustomerID]],Customers[CustomerID],Customers[CustomerName])</f>
        <v>Blessing Eze</v>
      </c>
      <c r="O1777" t="str">
        <f>_xlfn.XLOOKUP(Orders[[#This Row],[CustomerID]],Customers[CustomerID],Customers[Gender])</f>
        <v>Female</v>
      </c>
      <c r="P1777">
        <f>_xlfn.XLOOKUP(Orders[[#This Row],[CustomerID]],Customers[CustomerID],Customers[CustomerAge])</f>
        <v>19</v>
      </c>
      <c r="Q1777" t="str">
        <f>IF(Orders[[#This Row],[Age]]&gt;=35,"older","young")</f>
        <v>young</v>
      </c>
      <c r="R1777" t="str">
        <f>_xlfn.XLOOKUP(Orders[[#This Row],[ProductID]],Products[ProductID],Products[ProductName])</f>
        <v>SILVER BANGLES</v>
      </c>
      <c r="S1777" t="str">
        <f>_xlfn.XLOOKUP(Orders[[#This Row],[ProductID]],Products!A:A,Products!C:C)</f>
        <v>Accessories</v>
      </c>
    </row>
    <row r="1778" spans="1:19" x14ac:dyDescent="0.2">
      <c r="A1778" s="4" t="s">
        <v>1967</v>
      </c>
      <c r="B1778" s="5">
        <v>46020</v>
      </c>
      <c r="C1778" s="15">
        <f>WEEKNUM(Orders[[#This Row],[OrderDate]])</f>
        <v>53</v>
      </c>
      <c r="D1778" s="4" t="s">
        <v>386</v>
      </c>
      <c r="E1778" s="4" t="s">
        <v>66</v>
      </c>
      <c r="F1778" s="4">
        <v>1</v>
      </c>
      <c r="G1778" s="4">
        <v>19724.2</v>
      </c>
      <c r="H1778">
        <v>16765.57</v>
      </c>
      <c r="I1778">
        <f>Orders[[#This Row],[Quantity]]*Orders[[#This Row],[Selling Price]]</f>
        <v>19724.2</v>
      </c>
      <c r="J1778">
        <f>Orders[[#This Row],[Quantity]]*Orders[[#This Row],[Cost Price]]</f>
        <v>16765.57</v>
      </c>
      <c r="K1778">
        <f>Orders[[#This Row],[Revenue]]-Orders[[#This Row],[Expenses]]</f>
        <v>2958.630000000001</v>
      </c>
      <c r="L1778" t="s">
        <v>2216</v>
      </c>
      <c r="M1778" t="str">
        <f>_xlfn.XLOOKUP(Orders[[#This Row],[CustomerID]],Customers[CustomerID],Customers[City])</f>
        <v>Washington</v>
      </c>
      <c r="N1778" t="str">
        <f>_xlfn.XLOOKUP(Orders[[#This Row],[CustomerID]],Customers[CustomerID],Customers[CustomerName])</f>
        <v>Chinedu Eze</v>
      </c>
      <c r="O1778" t="str">
        <f>_xlfn.XLOOKUP(Orders[[#This Row],[CustomerID]],Customers[CustomerID],Customers[Gender])</f>
        <v>Male</v>
      </c>
      <c r="P1778">
        <f>_xlfn.XLOOKUP(Orders[[#This Row],[CustomerID]],Customers[CustomerID],Customers[CustomerAge])</f>
        <v>32</v>
      </c>
      <c r="Q1778" t="str">
        <f>IF(Orders[[#This Row],[Age]]&gt;=35,"older","young")</f>
        <v>young</v>
      </c>
      <c r="R1778" t="str">
        <f>_xlfn.XLOOKUP(Orders[[#This Row],[ProductID]],Products[ProductID],Products[ProductName])</f>
        <v>MICROWAVE</v>
      </c>
      <c r="S1778" t="str">
        <f>_xlfn.XLOOKUP(Orders[[#This Row],[ProductID]],Products!A:A,Products!C:C)</f>
        <v>Electronics</v>
      </c>
    </row>
    <row r="1779" spans="1:19" x14ac:dyDescent="0.2">
      <c r="A1779" s="4" t="s">
        <v>1968</v>
      </c>
      <c r="B1779" s="5">
        <v>45981</v>
      </c>
      <c r="C1779" s="15">
        <f>WEEKNUM(Orders[[#This Row],[OrderDate]])</f>
        <v>47</v>
      </c>
      <c r="D1779" s="4" t="s">
        <v>237</v>
      </c>
      <c r="E1779" s="4" t="s">
        <v>57</v>
      </c>
      <c r="F1779" s="4">
        <v>9</v>
      </c>
      <c r="G1779" s="4">
        <v>11726.800000000001</v>
      </c>
      <c r="H1779">
        <v>9967.7800000000007</v>
      </c>
      <c r="I1779">
        <f>Orders[[#This Row],[Quantity]]*Orders[[#This Row],[Selling Price]]</f>
        <v>105541.20000000001</v>
      </c>
      <c r="J1779">
        <f>Orders[[#This Row],[Quantity]]*Orders[[#This Row],[Cost Price]]</f>
        <v>89710.02</v>
      </c>
      <c r="K1779">
        <f>Orders[[#This Row],[Revenue]]-Orders[[#This Row],[Expenses]]</f>
        <v>15831.180000000008</v>
      </c>
      <c r="L1779" t="s">
        <v>2218</v>
      </c>
      <c r="M1779" t="str">
        <f>_xlfn.XLOOKUP(Orders[[#This Row],[CustomerID]],Customers[CustomerID],Customers[City])</f>
        <v>Florida</v>
      </c>
      <c r="N1779" t="str">
        <f>_xlfn.XLOOKUP(Orders[[#This Row],[CustomerID]],Customers[CustomerID],Customers[CustomerName])</f>
        <v>Ronke Danladi</v>
      </c>
      <c r="O1779" t="str">
        <f>_xlfn.XLOOKUP(Orders[[#This Row],[CustomerID]],Customers[CustomerID],Customers[Gender])</f>
        <v>Female</v>
      </c>
      <c r="P1779">
        <f>_xlfn.XLOOKUP(Orders[[#This Row],[CustomerID]],Customers[CustomerID],Customers[CustomerAge])</f>
        <v>25</v>
      </c>
      <c r="Q1779" t="str">
        <f>IF(Orders[[#This Row],[Age]]&gt;=35,"older","young")</f>
        <v>young</v>
      </c>
      <c r="R1779" t="str">
        <f>_xlfn.XLOOKUP(Orders[[#This Row],[ProductID]],Products[ProductID],Products[ProductName])</f>
        <v>BADMINTON RACKET</v>
      </c>
      <c r="S1779" t="str">
        <f>_xlfn.XLOOKUP(Orders[[#This Row],[ProductID]],Products!A:A,Products!C:C)</f>
        <v>Sports</v>
      </c>
    </row>
    <row r="1780" spans="1:19" x14ac:dyDescent="0.2">
      <c r="A1780" s="4" t="s">
        <v>1969</v>
      </c>
      <c r="B1780" s="5">
        <v>45982</v>
      </c>
      <c r="C1780" s="15">
        <f>WEEKNUM(Orders[[#This Row],[OrderDate]])</f>
        <v>47</v>
      </c>
      <c r="D1780" s="4" t="s">
        <v>418</v>
      </c>
      <c r="E1780" s="4" t="s">
        <v>31</v>
      </c>
      <c r="F1780" s="4">
        <v>9</v>
      </c>
      <c r="G1780" s="4">
        <v>16132.6</v>
      </c>
      <c r="H1780">
        <v>13712.710000000001</v>
      </c>
      <c r="I1780">
        <f>Orders[[#This Row],[Quantity]]*Orders[[#This Row],[Selling Price]]</f>
        <v>145193.4</v>
      </c>
      <c r="J1780">
        <f>Orders[[#This Row],[Quantity]]*Orders[[#This Row],[Cost Price]]</f>
        <v>123414.39000000001</v>
      </c>
      <c r="K1780">
        <f>Orders[[#This Row],[Revenue]]-Orders[[#This Row],[Expenses]]</f>
        <v>21779.00999999998</v>
      </c>
      <c r="L1780" t="s">
        <v>2209</v>
      </c>
      <c r="M1780" t="str">
        <f>_xlfn.XLOOKUP(Orders[[#This Row],[CustomerID]],Customers[CustomerID],Customers[City])</f>
        <v>Illinois</v>
      </c>
      <c r="N1780" t="str">
        <f>_xlfn.XLOOKUP(Orders[[#This Row],[CustomerID]],Customers[CustomerID],Customers[CustomerName])</f>
        <v>Amina Danladi</v>
      </c>
      <c r="O1780" t="str">
        <f>_xlfn.XLOOKUP(Orders[[#This Row],[CustomerID]],Customers[CustomerID],Customers[Gender])</f>
        <v>Female</v>
      </c>
      <c r="P1780">
        <f>_xlfn.XLOOKUP(Orders[[#This Row],[CustomerID]],Customers[CustomerID],Customers[CustomerAge])</f>
        <v>20</v>
      </c>
      <c r="Q1780" t="str">
        <f>IF(Orders[[#This Row],[Age]]&gt;=35,"older","young")</f>
        <v>young</v>
      </c>
      <c r="R1780" t="str">
        <f>_xlfn.XLOOKUP(Orders[[#This Row],[ProductID]],Products[ProductID],Products[ProductName])</f>
        <v>KIDS GAMES</v>
      </c>
      <c r="S1780" t="str">
        <f>_xlfn.XLOOKUP(Orders[[#This Row],[ProductID]],Products!A:A,Products!C:C)</f>
        <v>Games</v>
      </c>
    </row>
    <row r="1781" spans="1:19" x14ac:dyDescent="0.2">
      <c r="A1781" s="4" t="s">
        <v>1970</v>
      </c>
      <c r="B1781" s="5">
        <v>45937</v>
      </c>
      <c r="C1781" s="15">
        <f>WEEKNUM(Orders[[#This Row],[OrderDate]])</f>
        <v>41</v>
      </c>
      <c r="D1781" s="4" t="s">
        <v>176</v>
      </c>
      <c r="E1781" s="4" t="s">
        <v>157</v>
      </c>
      <c r="F1781" s="4">
        <v>3</v>
      </c>
      <c r="G1781" s="4">
        <v>11282.3</v>
      </c>
      <c r="H1781">
        <v>9589.9549999999999</v>
      </c>
      <c r="I1781">
        <f>Orders[[#This Row],[Quantity]]*Orders[[#This Row],[Selling Price]]</f>
        <v>33846.899999999994</v>
      </c>
      <c r="J1781">
        <f>Orders[[#This Row],[Quantity]]*Orders[[#This Row],[Cost Price]]</f>
        <v>28769.864999999998</v>
      </c>
      <c r="K1781">
        <f>Orders[[#This Row],[Revenue]]-Orders[[#This Row],[Expenses]]</f>
        <v>5077.0349999999962</v>
      </c>
      <c r="L1781" t="s">
        <v>2198</v>
      </c>
      <c r="M1781" t="str">
        <f>_xlfn.XLOOKUP(Orders[[#This Row],[CustomerID]],Customers[CustomerID],Customers[City])</f>
        <v>Florida</v>
      </c>
      <c r="N1781" t="str">
        <f>_xlfn.XLOOKUP(Orders[[#This Row],[CustomerID]],Customers[CustomerID],Customers[CustomerName])</f>
        <v>Okon Eze</v>
      </c>
      <c r="O1781" t="str">
        <f>_xlfn.XLOOKUP(Orders[[#This Row],[CustomerID]],Customers[CustomerID],Customers[Gender])</f>
        <v>Male</v>
      </c>
      <c r="P1781">
        <f>_xlfn.XLOOKUP(Orders[[#This Row],[CustomerID]],Customers[CustomerID],Customers[CustomerAge])</f>
        <v>26</v>
      </c>
      <c r="Q1781" t="str">
        <f>IF(Orders[[#This Row],[Age]]&gt;=35,"older","young")</f>
        <v>young</v>
      </c>
      <c r="R1781" t="str">
        <f>_xlfn.XLOOKUP(Orders[[#This Row],[ProductID]],Products[ProductID],Products[ProductName])</f>
        <v>FOOTBALL</v>
      </c>
      <c r="S1781" t="str">
        <f>_xlfn.XLOOKUP(Orders[[#This Row],[ProductID]],Products!A:A,Products!C:C)</f>
        <v>Sports</v>
      </c>
    </row>
    <row r="1782" spans="1:19" x14ac:dyDescent="0.2">
      <c r="A1782" s="4" t="s">
        <v>1971</v>
      </c>
      <c r="B1782" s="5">
        <v>45985</v>
      </c>
      <c r="C1782" s="15">
        <f>WEEKNUM(Orders[[#This Row],[OrderDate]])</f>
        <v>48</v>
      </c>
      <c r="D1782" s="4" t="s">
        <v>136</v>
      </c>
      <c r="E1782" s="4" t="s">
        <v>28</v>
      </c>
      <c r="F1782" s="4">
        <v>8</v>
      </c>
      <c r="G1782" s="4">
        <v>7732</v>
      </c>
      <c r="H1782">
        <v>6572.2</v>
      </c>
      <c r="I1782">
        <f>Orders[[#This Row],[Quantity]]*Orders[[#This Row],[Selling Price]]</f>
        <v>61856</v>
      </c>
      <c r="J1782">
        <f>Orders[[#This Row],[Quantity]]*Orders[[#This Row],[Cost Price]]</f>
        <v>52577.599999999999</v>
      </c>
      <c r="K1782">
        <f>Orders[[#This Row],[Revenue]]-Orders[[#This Row],[Expenses]]</f>
        <v>9278.4000000000015</v>
      </c>
      <c r="L1782" t="s">
        <v>2192</v>
      </c>
      <c r="M1782" t="str">
        <f>_xlfn.XLOOKUP(Orders[[#This Row],[CustomerID]],Customers[CustomerID],Customers[City])</f>
        <v>California</v>
      </c>
      <c r="N1782" t="str">
        <f>_xlfn.XLOOKUP(Orders[[#This Row],[CustomerID]],Customers[CustomerID],Customers[CustomerName])</f>
        <v>Chinedu Obi</v>
      </c>
      <c r="O1782" t="str">
        <f>_xlfn.XLOOKUP(Orders[[#This Row],[CustomerID]],Customers[CustomerID],Customers[Gender])</f>
        <v>Male</v>
      </c>
      <c r="P1782">
        <f>_xlfn.XLOOKUP(Orders[[#This Row],[CustomerID]],Customers[CustomerID],Customers[CustomerAge])</f>
        <v>27</v>
      </c>
      <c r="Q1782" t="str">
        <f>IF(Orders[[#This Row],[Age]]&gt;=35,"older","young")</f>
        <v>young</v>
      </c>
      <c r="R1782" t="str">
        <f>_xlfn.XLOOKUP(Orders[[#This Row],[ProductID]],Products[ProductID],Products[ProductName])</f>
        <v>SNEAKERS</v>
      </c>
      <c r="S1782" t="str">
        <f>_xlfn.XLOOKUP(Orders[[#This Row],[ProductID]],Products!A:A,Products!C:C)</f>
        <v>Sports</v>
      </c>
    </row>
    <row r="1783" spans="1:19" x14ac:dyDescent="0.2">
      <c r="A1783" s="4" t="s">
        <v>1972</v>
      </c>
      <c r="B1783" s="5">
        <v>45969</v>
      </c>
      <c r="C1783" s="15">
        <f>WEEKNUM(Orders[[#This Row],[OrderDate]])</f>
        <v>45</v>
      </c>
      <c r="D1783" s="4" t="s">
        <v>11</v>
      </c>
      <c r="E1783" s="4" t="s">
        <v>111</v>
      </c>
      <c r="F1783" s="4">
        <v>3</v>
      </c>
      <c r="G1783" s="4">
        <v>1582.4</v>
      </c>
      <c r="H1783">
        <v>1345.04</v>
      </c>
      <c r="I1783">
        <f>Orders[[#This Row],[Quantity]]*Orders[[#This Row],[Selling Price]]</f>
        <v>4747.2000000000007</v>
      </c>
      <c r="J1783">
        <f>Orders[[#This Row],[Quantity]]*Orders[[#This Row],[Cost Price]]</f>
        <v>4035.12</v>
      </c>
      <c r="K1783">
        <f>Orders[[#This Row],[Revenue]]-Orders[[#This Row],[Expenses]]</f>
        <v>712.08000000000084</v>
      </c>
      <c r="L1783" t="s">
        <v>2209</v>
      </c>
      <c r="M1783" t="str">
        <f>_xlfn.XLOOKUP(Orders[[#This Row],[CustomerID]],Customers[CustomerID],Customers[City])</f>
        <v>Texas</v>
      </c>
      <c r="N1783" t="str">
        <f>_xlfn.XLOOKUP(Orders[[#This Row],[CustomerID]],Customers[CustomerID],Customers[CustomerName])</f>
        <v>Efe Ojo</v>
      </c>
      <c r="O1783" t="str">
        <f>_xlfn.XLOOKUP(Orders[[#This Row],[CustomerID]],Customers[CustomerID],Customers[Gender])</f>
        <v>Female</v>
      </c>
      <c r="P1783">
        <f>_xlfn.XLOOKUP(Orders[[#This Row],[CustomerID]],Customers[CustomerID],Customers[CustomerAge])</f>
        <v>55</v>
      </c>
      <c r="Q1783" t="str">
        <f>IF(Orders[[#This Row],[Age]]&gt;=35,"older","young")</f>
        <v>older</v>
      </c>
      <c r="R1783" t="str">
        <f>_xlfn.XLOOKUP(Orders[[#This Row],[ProductID]],Products[ProductID],Products[ProductName])</f>
        <v>REFRIGERATOR</v>
      </c>
      <c r="S1783" t="str">
        <f>_xlfn.XLOOKUP(Orders[[#This Row],[ProductID]],Products!A:A,Products!C:C)</f>
        <v>Electronics</v>
      </c>
    </row>
    <row r="1784" spans="1:19" x14ac:dyDescent="0.2">
      <c r="A1784" s="4" t="s">
        <v>1973</v>
      </c>
      <c r="B1784" s="5">
        <v>45951</v>
      </c>
      <c r="C1784" s="15">
        <f>WEEKNUM(Orders[[#This Row],[OrderDate]])</f>
        <v>43</v>
      </c>
      <c r="D1784" s="4" t="s">
        <v>346</v>
      </c>
      <c r="E1784" s="4" t="s">
        <v>31</v>
      </c>
      <c r="F1784" s="4">
        <v>4</v>
      </c>
      <c r="G1784" s="4">
        <v>4613.8999999999996</v>
      </c>
      <c r="H1784">
        <v>3921.8149999999996</v>
      </c>
      <c r="I1784">
        <f>Orders[[#This Row],[Quantity]]*Orders[[#This Row],[Selling Price]]</f>
        <v>18455.599999999999</v>
      </c>
      <c r="J1784">
        <f>Orders[[#This Row],[Quantity]]*Orders[[#This Row],[Cost Price]]</f>
        <v>15687.259999999998</v>
      </c>
      <c r="K1784">
        <f>Orders[[#This Row],[Revenue]]-Orders[[#This Row],[Expenses]]</f>
        <v>2768.34</v>
      </c>
      <c r="L1784" t="s">
        <v>2201</v>
      </c>
      <c r="M1784" t="str">
        <f>_xlfn.XLOOKUP(Orders[[#This Row],[CustomerID]],Customers[CustomerID],Customers[City])</f>
        <v>California</v>
      </c>
      <c r="N1784" t="str">
        <f>_xlfn.XLOOKUP(Orders[[#This Row],[CustomerID]],Customers[CustomerID],Customers[CustomerName])</f>
        <v>Ngozi Danladi</v>
      </c>
      <c r="O1784" t="str">
        <f>_xlfn.XLOOKUP(Orders[[#This Row],[CustomerID]],Customers[CustomerID],Customers[Gender])</f>
        <v>Female</v>
      </c>
      <c r="P1784">
        <f>_xlfn.XLOOKUP(Orders[[#This Row],[CustomerID]],Customers[CustomerID],Customers[CustomerAge])</f>
        <v>30</v>
      </c>
      <c r="Q1784" t="str">
        <f>IF(Orders[[#This Row],[Age]]&gt;=35,"older","young")</f>
        <v>young</v>
      </c>
      <c r="R1784" t="str">
        <f>_xlfn.XLOOKUP(Orders[[#This Row],[ProductID]],Products[ProductID],Products[ProductName])</f>
        <v>KIDS GAMES</v>
      </c>
      <c r="S1784" t="str">
        <f>_xlfn.XLOOKUP(Orders[[#This Row],[ProductID]],Products!A:A,Products!C:C)</f>
        <v>Games</v>
      </c>
    </row>
    <row r="1785" spans="1:19" x14ac:dyDescent="0.2">
      <c r="A1785" s="4" t="s">
        <v>1974</v>
      </c>
      <c r="B1785" s="5">
        <v>46003</v>
      </c>
      <c r="C1785" s="15">
        <f>WEEKNUM(Orders[[#This Row],[OrderDate]])</f>
        <v>50</v>
      </c>
      <c r="D1785" s="4" t="s">
        <v>52</v>
      </c>
      <c r="E1785" s="4" t="s">
        <v>189</v>
      </c>
      <c r="F1785" s="4">
        <v>10</v>
      </c>
      <c r="G1785" s="4">
        <v>6132.7</v>
      </c>
      <c r="H1785">
        <v>5212.7950000000001</v>
      </c>
      <c r="I1785">
        <f>Orders[[#This Row],[Quantity]]*Orders[[#This Row],[Selling Price]]</f>
        <v>61327</v>
      </c>
      <c r="J1785">
        <f>Orders[[#This Row],[Quantity]]*Orders[[#This Row],[Cost Price]]</f>
        <v>52127.95</v>
      </c>
      <c r="K1785">
        <f>Orders[[#This Row],[Revenue]]-Orders[[#This Row],[Expenses]]</f>
        <v>9199.0500000000029</v>
      </c>
      <c r="L1785" t="s">
        <v>2214</v>
      </c>
      <c r="M1785" t="str">
        <f>_xlfn.XLOOKUP(Orders[[#This Row],[CustomerID]],Customers[CustomerID],Customers[City])</f>
        <v>Texas</v>
      </c>
      <c r="N1785" t="str">
        <f>_xlfn.XLOOKUP(Orders[[#This Row],[CustomerID]],Customers[CustomerID],Customers[CustomerName])</f>
        <v>Folasade Ojo</v>
      </c>
      <c r="O1785" t="str">
        <f>_xlfn.XLOOKUP(Orders[[#This Row],[CustomerID]],Customers[CustomerID],Customers[Gender])</f>
        <v>Female</v>
      </c>
      <c r="P1785">
        <f>_xlfn.XLOOKUP(Orders[[#This Row],[CustomerID]],Customers[CustomerID],Customers[CustomerAge])</f>
        <v>29</v>
      </c>
      <c r="Q1785" t="str">
        <f>IF(Orders[[#This Row],[Age]]&gt;=35,"older","young")</f>
        <v>young</v>
      </c>
      <c r="R1785" t="str">
        <f>_xlfn.XLOOKUP(Orders[[#This Row],[ProductID]],Products[ProductID],Products[ProductName])</f>
        <v>SCRABBLE</v>
      </c>
      <c r="S1785" t="str">
        <f>_xlfn.XLOOKUP(Orders[[#This Row],[ProductID]],Products!A:A,Products!C:C)</f>
        <v>Games</v>
      </c>
    </row>
    <row r="1786" spans="1:19" x14ac:dyDescent="0.2">
      <c r="A1786" s="4" t="s">
        <v>1975</v>
      </c>
      <c r="B1786" s="5">
        <v>45998</v>
      </c>
      <c r="C1786" s="15">
        <f>WEEKNUM(Orders[[#This Row],[OrderDate]])</f>
        <v>50</v>
      </c>
      <c r="D1786" s="4" t="s">
        <v>386</v>
      </c>
      <c r="E1786" s="4" t="s">
        <v>15</v>
      </c>
      <c r="F1786" s="4">
        <v>4</v>
      </c>
      <c r="G1786" s="4">
        <v>11724.8</v>
      </c>
      <c r="H1786">
        <v>9966.08</v>
      </c>
      <c r="I1786">
        <f>Orders[[#This Row],[Quantity]]*Orders[[#This Row],[Selling Price]]</f>
        <v>46899.199999999997</v>
      </c>
      <c r="J1786">
        <f>Orders[[#This Row],[Quantity]]*Orders[[#This Row],[Cost Price]]</f>
        <v>39864.32</v>
      </c>
      <c r="K1786">
        <f>Orders[[#This Row],[Revenue]]-Orders[[#This Row],[Expenses]]</f>
        <v>7034.8799999999974</v>
      </c>
      <c r="L1786" t="s">
        <v>2202</v>
      </c>
      <c r="M1786" t="str">
        <f>_xlfn.XLOOKUP(Orders[[#This Row],[CustomerID]],Customers[CustomerID],Customers[City])</f>
        <v>Washington</v>
      </c>
      <c r="N1786" t="str">
        <f>_xlfn.XLOOKUP(Orders[[#This Row],[CustomerID]],Customers[CustomerID],Customers[CustomerName])</f>
        <v>Chinedu Eze</v>
      </c>
      <c r="O1786" t="str">
        <f>_xlfn.XLOOKUP(Orders[[#This Row],[CustomerID]],Customers[CustomerID],Customers[Gender])</f>
        <v>Male</v>
      </c>
      <c r="P1786">
        <f>_xlfn.XLOOKUP(Orders[[#This Row],[CustomerID]],Customers[CustomerID],Customers[CustomerAge])</f>
        <v>32</v>
      </c>
      <c r="Q1786" t="str">
        <f>IF(Orders[[#This Row],[Age]]&gt;=35,"older","young")</f>
        <v>young</v>
      </c>
      <c r="R1786" t="str">
        <f>_xlfn.XLOOKUP(Orders[[#This Row],[ProductID]],Products[ProductID],Products[ProductName])</f>
        <v>MONOPOLY</v>
      </c>
      <c r="S1786" t="str">
        <f>_xlfn.XLOOKUP(Orders[[#This Row],[ProductID]],Products!A:A,Products!C:C)</f>
        <v>Games</v>
      </c>
    </row>
    <row r="1787" spans="1:19" x14ac:dyDescent="0.2">
      <c r="A1787" s="4" t="s">
        <v>1976</v>
      </c>
      <c r="B1787" s="5">
        <v>45966</v>
      </c>
      <c r="C1787" s="15">
        <f>WEEKNUM(Orders[[#This Row],[OrderDate]])</f>
        <v>45</v>
      </c>
      <c r="D1787" s="4" t="s">
        <v>352</v>
      </c>
      <c r="E1787" s="4" t="s">
        <v>31</v>
      </c>
      <c r="F1787" s="4">
        <v>5</v>
      </c>
      <c r="G1787" s="4">
        <v>6084.5</v>
      </c>
      <c r="H1787">
        <v>5171.8249999999998</v>
      </c>
      <c r="I1787">
        <f>Orders[[#This Row],[Quantity]]*Orders[[#This Row],[Selling Price]]</f>
        <v>30422.5</v>
      </c>
      <c r="J1787">
        <f>Orders[[#This Row],[Quantity]]*Orders[[#This Row],[Cost Price]]</f>
        <v>25859.125</v>
      </c>
      <c r="K1787">
        <f>Orders[[#This Row],[Revenue]]-Orders[[#This Row],[Expenses]]</f>
        <v>4563.375</v>
      </c>
      <c r="L1787" t="s">
        <v>2209</v>
      </c>
      <c r="M1787" t="str">
        <f>_xlfn.XLOOKUP(Orders[[#This Row],[CustomerID]],Customers[CustomerID],Customers[City])</f>
        <v>Texas</v>
      </c>
      <c r="N1787" t="str">
        <f>_xlfn.XLOOKUP(Orders[[#This Row],[CustomerID]],Customers[CustomerID],Customers[CustomerName])</f>
        <v>Zainab Eze</v>
      </c>
      <c r="O1787" t="str">
        <f>_xlfn.XLOOKUP(Orders[[#This Row],[CustomerID]],Customers[CustomerID],Customers[Gender])</f>
        <v>Female</v>
      </c>
      <c r="P1787">
        <f>_xlfn.XLOOKUP(Orders[[#This Row],[CustomerID]],Customers[CustomerID],Customers[CustomerAge])</f>
        <v>40</v>
      </c>
      <c r="Q1787" t="str">
        <f>IF(Orders[[#This Row],[Age]]&gt;=35,"older","young")</f>
        <v>older</v>
      </c>
      <c r="R1787" t="str">
        <f>_xlfn.XLOOKUP(Orders[[#This Row],[ProductID]],Products[ProductID],Products[ProductName])</f>
        <v>KIDS GAMES</v>
      </c>
      <c r="S1787" t="str">
        <f>_xlfn.XLOOKUP(Orders[[#This Row],[ProductID]],Products!A:A,Products!C:C)</f>
        <v>Games</v>
      </c>
    </row>
    <row r="1788" spans="1:19" x14ac:dyDescent="0.2">
      <c r="A1788" s="4" t="s">
        <v>1977</v>
      </c>
      <c r="B1788" s="5">
        <v>45955</v>
      </c>
      <c r="C1788" s="15">
        <f>WEEKNUM(Orders[[#This Row],[OrderDate]])</f>
        <v>43</v>
      </c>
      <c r="D1788" s="4" t="s">
        <v>180</v>
      </c>
      <c r="E1788" s="4" t="s">
        <v>120</v>
      </c>
      <c r="F1788" s="4">
        <v>6</v>
      </c>
      <c r="G1788" s="4">
        <v>6050</v>
      </c>
      <c r="H1788">
        <v>5142.5</v>
      </c>
      <c r="I1788">
        <f>Orders[[#This Row],[Quantity]]*Orders[[#This Row],[Selling Price]]</f>
        <v>36300</v>
      </c>
      <c r="J1788">
        <f>Orders[[#This Row],[Quantity]]*Orders[[#This Row],[Cost Price]]</f>
        <v>30855</v>
      </c>
      <c r="K1788">
        <f>Orders[[#This Row],[Revenue]]-Orders[[#This Row],[Expenses]]</f>
        <v>5445</v>
      </c>
      <c r="L1788" t="s">
        <v>2212</v>
      </c>
      <c r="M1788" t="str">
        <f>_xlfn.XLOOKUP(Orders[[#This Row],[CustomerID]],Customers[CustomerID],Customers[City])</f>
        <v>Texas</v>
      </c>
      <c r="N1788" t="str">
        <f>_xlfn.XLOOKUP(Orders[[#This Row],[CustomerID]],Customers[CustomerID],Customers[CustomerName])</f>
        <v>Jide Okonkwo</v>
      </c>
      <c r="O1788" t="str">
        <f>_xlfn.XLOOKUP(Orders[[#This Row],[CustomerID]],Customers[CustomerID],Customers[Gender])</f>
        <v>Male</v>
      </c>
      <c r="P1788">
        <f>_xlfn.XLOOKUP(Orders[[#This Row],[CustomerID]],Customers[CustomerID],Customers[CustomerAge])</f>
        <v>25</v>
      </c>
      <c r="Q1788" t="str">
        <f>IF(Orders[[#This Row],[Age]]&gt;=35,"older","young")</f>
        <v>young</v>
      </c>
      <c r="R1788" t="str">
        <f>_xlfn.XLOOKUP(Orders[[#This Row],[ProductID]],Products[ProductID],Products[ProductName])</f>
        <v>CHESS</v>
      </c>
      <c r="S1788" t="str">
        <f>_xlfn.XLOOKUP(Orders[[#This Row],[ProductID]],Products!A:A,Products!C:C)</f>
        <v>Games</v>
      </c>
    </row>
    <row r="1789" spans="1:19" x14ac:dyDescent="0.2">
      <c r="A1789" s="4" t="s">
        <v>1978</v>
      </c>
      <c r="B1789" s="5">
        <v>45935</v>
      </c>
      <c r="C1789" s="15">
        <f>WEEKNUM(Orders[[#This Row],[OrderDate]])</f>
        <v>41</v>
      </c>
      <c r="D1789" s="4" t="s">
        <v>757</v>
      </c>
      <c r="E1789" s="4" t="s">
        <v>60</v>
      </c>
      <c r="F1789" s="4">
        <v>4</v>
      </c>
      <c r="G1789" s="4">
        <v>2733.5</v>
      </c>
      <c r="H1789">
        <v>2323.4749999999999</v>
      </c>
      <c r="I1789">
        <f>Orders[[#This Row],[Quantity]]*Orders[[#This Row],[Selling Price]]</f>
        <v>10934</v>
      </c>
      <c r="J1789">
        <f>Orders[[#This Row],[Quantity]]*Orders[[#This Row],[Cost Price]]</f>
        <v>9293.9</v>
      </c>
      <c r="K1789">
        <f>Orders[[#This Row],[Revenue]]-Orders[[#This Row],[Expenses]]</f>
        <v>1640.1000000000004</v>
      </c>
      <c r="L1789" t="s">
        <v>2217</v>
      </c>
      <c r="M1789" t="str">
        <f>_xlfn.XLOOKUP(Orders[[#This Row],[CustomerID]],Customers[CustomerID],Customers[City])</f>
        <v>Texas</v>
      </c>
      <c r="N1789" t="str">
        <f>_xlfn.XLOOKUP(Orders[[#This Row],[CustomerID]],Customers[CustomerID],Customers[CustomerName])</f>
        <v>Okon Balogun</v>
      </c>
      <c r="O1789" t="str">
        <f>_xlfn.XLOOKUP(Orders[[#This Row],[CustomerID]],Customers[CustomerID],Customers[Gender])</f>
        <v>Male</v>
      </c>
      <c r="P1789">
        <f>_xlfn.XLOOKUP(Orders[[#This Row],[CustomerID]],Customers[CustomerID],Customers[CustomerAge])</f>
        <v>20</v>
      </c>
      <c r="Q1789" t="str">
        <f>IF(Orders[[#This Row],[Age]]&gt;=35,"older","young")</f>
        <v>young</v>
      </c>
      <c r="R1789" t="str">
        <f>_xlfn.XLOOKUP(Orders[[#This Row],[ProductID]],Products[ProductID],Products[ProductName])</f>
        <v>SILVER RINGS</v>
      </c>
      <c r="S1789" t="str">
        <f>_xlfn.XLOOKUP(Orders[[#This Row],[ProductID]],Products!A:A,Products!C:C)</f>
        <v>Accessories</v>
      </c>
    </row>
    <row r="1790" spans="1:19" x14ac:dyDescent="0.2">
      <c r="A1790" s="4" t="s">
        <v>1979</v>
      </c>
      <c r="B1790" s="5">
        <v>45982</v>
      </c>
      <c r="C1790" s="15">
        <f>WEEKNUM(Orders[[#This Row],[OrderDate]])</f>
        <v>47</v>
      </c>
      <c r="D1790" s="4" t="s">
        <v>45</v>
      </c>
      <c r="E1790" s="4" t="s">
        <v>111</v>
      </c>
      <c r="F1790" s="4">
        <v>7</v>
      </c>
      <c r="G1790" s="4">
        <v>19395</v>
      </c>
      <c r="H1790">
        <v>16485.75</v>
      </c>
      <c r="I1790">
        <f>Orders[[#This Row],[Quantity]]*Orders[[#This Row],[Selling Price]]</f>
        <v>135765</v>
      </c>
      <c r="J1790">
        <f>Orders[[#This Row],[Quantity]]*Orders[[#This Row],[Cost Price]]</f>
        <v>115400.25</v>
      </c>
      <c r="K1790">
        <f>Orders[[#This Row],[Revenue]]-Orders[[#This Row],[Expenses]]</f>
        <v>20364.75</v>
      </c>
      <c r="L1790" t="s">
        <v>2198</v>
      </c>
      <c r="M1790" t="str">
        <f>_xlfn.XLOOKUP(Orders[[#This Row],[CustomerID]],Customers[CustomerID],Customers[City])</f>
        <v>Florida</v>
      </c>
      <c r="N1790" t="str">
        <f>_xlfn.XLOOKUP(Orders[[#This Row],[CustomerID]],Customers[CustomerID],Customers[CustomerName])</f>
        <v>Abiola Abubakar</v>
      </c>
      <c r="O1790" t="str">
        <f>_xlfn.XLOOKUP(Orders[[#This Row],[CustomerID]],Customers[CustomerID],Customers[Gender])</f>
        <v>Male</v>
      </c>
      <c r="P1790">
        <f>_xlfn.XLOOKUP(Orders[[#This Row],[CustomerID]],Customers[CustomerID],Customers[CustomerAge])</f>
        <v>26</v>
      </c>
      <c r="Q1790" t="str">
        <f>IF(Orders[[#This Row],[Age]]&gt;=35,"older","young")</f>
        <v>young</v>
      </c>
      <c r="R1790" t="str">
        <f>_xlfn.XLOOKUP(Orders[[#This Row],[ProductID]],Products[ProductID],Products[ProductName])</f>
        <v>REFRIGERATOR</v>
      </c>
      <c r="S1790" t="str">
        <f>_xlfn.XLOOKUP(Orders[[#This Row],[ProductID]],Products!A:A,Products!C:C)</f>
        <v>Electronics</v>
      </c>
    </row>
    <row r="1791" spans="1:19" x14ac:dyDescent="0.2">
      <c r="A1791" s="4" t="s">
        <v>1980</v>
      </c>
      <c r="B1791" s="5">
        <v>46021</v>
      </c>
      <c r="C1791" s="15">
        <f>WEEKNUM(Orders[[#This Row],[OrderDate]])</f>
        <v>53</v>
      </c>
      <c r="D1791" s="4" t="s">
        <v>87</v>
      </c>
      <c r="E1791" s="4" t="s">
        <v>9</v>
      </c>
      <c r="F1791" s="4">
        <v>1</v>
      </c>
      <c r="G1791" s="4">
        <v>9789.2999999999993</v>
      </c>
      <c r="H1791">
        <v>8320.9049999999988</v>
      </c>
      <c r="I1791">
        <f>Orders[[#This Row],[Quantity]]*Orders[[#This Row],[Selling Price]]</f>
        <v>9789.2999999999993</v>
      </c>
      <c r="J1791">
        <f>Orders[[#This Row],[Quantity]]*Orders[[#This Row],[Cost Price]]</f>
        <v>8320.9049999999988</v>
      </c>
      <c r="K1791">
        <f>Orders[[#This Row],[Revenue]]-Orders[[#This Row],[Expenses]]</f>
        <v>1468.3950000000004</v>
      </c>
      <c r="L1791" t="s">
        <v>2220</v>
      </c>
      <c r="M1791" t="str">
        <f>_xlfn.XLOOKUP(Orders[[#This Row],[CustomerID]],Customers[CustomerID],Customers[City])</f>
        <v>Illinois</v>
      </c>
      <c r="N1791" t="str">
        <f>_xlfn.XLOOKUP(Orders[[#This Row],[CustomerID]],Customers[CustomerID],Customers[CustomerName])</f>
        <v>Efe Igwe</v>
      </c>
      <c r="O1791" t="str">
        <f>_xlfn.XLOOKUP(Orders[[#This Row],[CustomerID]],Customers[CustomerID],Customers[Gender])</f>
        <v>Female</v>
      </c>
      <c r="P1791">
        <f>_xlfn.XLOOKUP(Orders[[#This Row],[CustomerID]],Customers[CustomerID],Customers[CustomerAge])</f>
        <v>34</v>
      </c>
      <c r="Q1791" t="str">
        <f>IF(Orders[[#This Row],[Age]]&gt;=35,"older","young")</f>
        <v>young</v>
      </c>
      <c r="R1791" t="str">
        <f>_xlfn.XLOOKUP(Orders[[#This Row],[ProductID]],Products[ProductID],Products[ProductName])</f>
        <v>BEADED EARRINGS AND NECKLACES</v>
      </c>
      <c r="S1791" t="str">
        <f>_xlfn.XLOOKUP(Orders[[#This Row],[ProductID]],Products!A:A,Products!C:C)</f>
        <v>Accessories</v>
      </c>
    </row>
    <row r="1792" spans="1:19" x14ac:dyDescent="0.2">
      <c r="A1792" s="4" t="s">
        <v>1981</v>
      </c>
      <c r="B1792" s="5">
        <v>45945</v>
      </c>
      <c r="C1792" s="15">
        <f>WEEKNUM(Orders[[#This Row],[OrderDate]])</f>
        <v>42</v>
      </c>
      <c r="D1792" s="4" t="s">
        <v>68</v>
      </c>
      <c r="E1792" s="4" t="s">
        <v>15</v>
      </c>
      <c r="F1792" s="4">
        <v>1</v>
      </c>
      <c r="G1792" s="4">
        <v>2943</v>
      </c>
      <c r="H1792">
        <v>2501.5500000000002</v>
      </c>
      <c r="I1792">
        <f>Orders[[#This Row],[Quantity]]*Orders[[#This Row],[Selling Price]]</f>
        <v>2943</v>
      </c>
      <c r="J1792">
        <f>Orders[[#This Row],[Quantity]]*Orders[[#This Row],[Cost Price]]</f>
        <v>2501.5500000000002</v>
      </c>
      <c r="K1792">
        <f>Orders[[#This Row],[Revenue]]-Orders[[#This Row],[Expenses]]</f>
        <v>441.44999999999982</v>
      </c>
      <c r="L1792" t="s">
        <v>2193</v>
      </c>
      <c r="M1792" t="str">
        <f>_xlfn.XLOOKUP(Orders[[#This Row],[CustomerID]],Customers[CustomerID],Customers[City])</f>
        <v>Texas</v>
      </c>
      <c r="N1792" t="str">
        <f>_xlfn.XLOOKUP(Orders[[#This Row],[CustomerID]],Customers[CustomerID],Customers[CustomerName])</f>
        <v>Abiola Balogun</v>
      </c>
      <c r="O1792" t="str">
        <f>_xlfn.XLOOKUP(Orders[[#This Row],[CustomerID]],Customers[CustomerID],Customers[Gender])</f>
        <v>Male</v>
      </c>
      <c r="P1792">
        <f>_xlfn.XLOOKUP(Orders[[#This Row],[CustomerID]],Customers[CustomerID],Customers[CustomerAge])</f>
        <v>29</v>
      </c>
      <c r="Q1792" t="str">
        <f>IF(Orders[[#This Row],[Age]]&gt;=35,"older","young")</f>
        <v>young</v>
      </c>
      <c r="R1792" t="str">
        <f>_xlfn.XLOOKUP(Orders[[#This Row],[ProductID]],Products[ProductID],Products[ProductName])</f>
        <v>MONOPOLY</v>
      </c>
      <c r="S1792" t="str">
        <f>_xlfn.XLOOKUP(Orders[[#This Row],[ProductID]],Products!A:A,Products!C:C)</f>
        <v>Games</v>
      </c>
    </row>
    <row r="1793" spans="1:19" x14ac:dyDescent="0.2">
      <c r="A1793" s="4" t="s">
        <v>1982</v>
      </c>
      <c r="B1793" s="5">
        <v>45993</v>
      </c>
      <c r="C1793" s="15">
        <f>WEEKNUM(Orders[[#This Row],[OrderDate]])</f>
        <v>49</v>
      </c>
      <c r="D1793" s="4" t="s">
        <v>19</v>
      </c>
      <c r="E1793" s="4" t="s">
        <v>66</v>
      </c>
      <c r="F1793" s="4">
        <v>5</v>
      </c>
      <c r="G1793" s="4">
        <v>680.19999999999993</v>
      </c>
      <c r="H1793">
        <v>578.16999999999996</v>
      </c>
      <c r="I1793">
        <f>Orders[[#This Row],[Quantity]]*Orders[[#This Row],[Selling Price]]</f>
        <v>3400.9999999999995</v>
      </c>
      <c r="J1793">
        <f>Orders[[#This Row],[Quantity]]*Orders[[#This Row],[Cost Price]]</f>
        <v>2890.85</v>
      </c>
      <c r="K1793">
        <f>Orders[[#This Row],[Revenue]]-Orders[[#This Row],[Expenses]]</f>
        <v>510.14999999999964</v>
      </c>
      <c r="L1793" t="s">
        <v>2208</v>
      </c>
      <c r="M1793" t="str">
        <f>_xlfn.XLOOKUP(Orders[[#This Row],[CustomerID]],Customers[CustomerID],Customers[City])</f>
        <v>California</v>
      </c>
      <c r="N1793" t="str">
        <f>_xlfn.XLOOKUP(Orders[[#This Row],[CustomerID]],Customers[CustomerID],Customers[CustomerName])</f>
        <v>Obi Adeyemi</v>
      </c>
      <c r="O1793" t="str">
        <f>_xlfn.XLOOKUP(Orders[[#This Row],[CustomerID]],Customers[CustomerID],Customers[Gender])</f>
        <v>Male</v>
      </c>
      <c r="P1793">
        <f>_xlfn.XLOOKUP(Orders[[#This Row],[CustomerID]],Customers[CustomerID],Customers[CustomerAge])</f>
        <v>24</v>
      </c>
      <c r="Q1793" t="str">
        <f>IF(Orders[[#This Row],[Age]]&gt;=35,"older","young")</f>
        <v>young</v>
      </c>
      <c r="R1793" t="str">
        <f>_xlfn.XLOOKUP(Orders[[#This Row],[ProductID]],Products[ProductID],Products[ProductName])</f>
        <v>MICROWAVE</v>
      </c>
      <c r="S1793" t="str">
        <f>_xlfn.XLOOKUP(Orders[[#This Row],[ProductID]],Products!A:A,Products!C:C)</f>
        <v>Electronics</v>
      </c>
    </row>
    <row r="1794" spans="1:19" x14ac:dyDescent="0.2">
      <c r="A1794" s="4" t="s">
        <v>1983</v>
      </c>
      <c r="B1794" s="5">
        <v>45956</v>
      </c>
      <c r="C1794" s="15">
        <f>WEEKNUM(Orders[[#This Row],[OrderDate]])</f>
        <v>44</v>
      </c>
      <c r="D1794" s="4" t="s">
        <v>83</v>
      </c>
      <c r="E1794" s="4" t="s">
        <v>20</v>
      </c>
      <c r="F1794" s="4">
        <v>3</v>
      </c>
      <c r="G1794" s="4">
        <v>4022.7</v>
      </c>
      <c r="H1794">
        <v>3419.2950000000001</v>
      </c>
      <c r="I1794">
        <f>Orders[[#This Row],[Quantity]]*Orders[[#This Row],[Selling Price]]</f>
        <v>12068.099999999999</v>
      </c>
      <c r="J1794">
        <f>Orders[[#This Row],[Quantity]]*Orders[[#This Row],[Cost Price]]</f>
        <v>10257.885</v>
      </c>
      <c r="K1794">
        <f>Orders[[#This Row],[Revenue]]-Orders[[#This Row],[Expenses]]</f>
        <v>1810.2149999999983</v>
      </c>
      <c r="L1794" t="s">
        <v>2196</v>
      </c>
      <c r="M1794" t="str">
        <f>_xlfn.XLOOKUP(Orders[[#This Row],[CustomerID]],Customers[CustomerID],Customers[City])</f>
        <v>Florida</v>
      </c>
      <c r="N1794" t="str">
        <f>_xlfn.XLOOKUP(Orders[[#This Row],[CustomerID]],Customers[CustomerID],Customers[CustomerName])</f>
        <v>Funke Danladi</v>
      </c>
      <c r="O1794" t="str">
        <f>_xlfn.XLOOKUP(Orders[[#This Row],[CustomerID]],Customers[CustomerID],Customers[Gender])</f>
        <v>Female</v>
      </c>
      <c r="P1794">
        <f>_xlfn.XLOOKUP(Orders[[#This Row],[CustomerID]],Customers[CustomerID],Customers[CustomerAge])</f>
        <v>26</v>
      </c>
      <c r="Q1794" t="str">
        <f>IF(Orders[[#This Row],[Age]]&gt;=35,"older","young")</f>
        <v>young</v>
      </c>
      <c r="R1794" t="str">
        <f>_xlfn.XLOOKUP(Orders[[#This Row],[ProductID]],Products[ProductID],Products[ProductName])</f>
        <v>GYM BAG</v>
      </c>
      <c r="S1794" t="str">
        <f>_xlfn.XLOOKUP(Orders[[#This Row],[ProductID]],Products!A:A,Products!C:C)</f>
        <v>Gym</v>
      </c>
    </row>
    <row r="1795" spans="1:19" x14ac:dyDescent="0.2">
      <c r="A1795" s="4" t="s">
        <v>1984</v>
      </c>
      <c r="B1795" s="5">
        <v>46012</v>
      </c>
      <c r="C1795" s="15">
        <f>WEEKNUM(Orders[[#This Row],[OrderDate]])</f>
        <v>52</v>
      </c>
      <c r="D1795" s="4" t="s">
        <v>264</v>
      </c>
      <c r="E1795" s="4" t="s">
        <v>37</v>
      </c>
      <c r="F1795" s="4">
        <v>10</v>
      </c>
      <c r="G1795" s="4">
        <v>5967.3</v>
      </c>
      <c r="H1795">
        <v>5072.2049999999999</v>
      </c>
      <c r="I1795">
        <f>Orders[[#This Row],[Quantity]]*Orders[[#This Row],[Selling Price]]</f>
        <v>59673</v>
      </c>
      <c r="J1795">
        <f>Orders[[#This Row],[Quantity]]*Orders[[#This Row],[Cost Price]]</f>
        <v>50722.05</v>
      </c>
      <c r="K1795">
        <f>Orders[[#This Row],[Revenue]]-Orders[[#This Row],[Expenses]]</f>
        <v>8950.9499999999971</v>
      </c>
      <c r="L1795" t="s">
        <v>2219</v>
      </c>
      <c r="M1795" t="str">
        <f>_xlfn.XLOOKUP(Orders[[#This Row],[CustomerID]],Customers[CustomerID],Customers[City])</f>
        <v>Georgia</v>
      </c>
      <c r="N1795" t="str">
        <f>_xlfn.XLOOKUP(Orders[[#This Row],[CustomerID]],Customers[CustomerID],Customers[CustomerName])</f>
        <v>Ronke Adeyemi</v>
      </c>
      <c r="O1795" t="str">
        <f>_xlfn.XLOOKUP(Orders[[#This Row],[CustomerID]],Customers[CustomerID],Customers[Gender])</f>
        <v>Female</v>
      </c>
      <c r="P1795">
        <f>_xlfn.XLOOKUP(Orders[[#This Row],[CustomerID]],Customers[CustomerID],Customers[CustomerAge])</f>
        <v>19</v>
      </c>
      <c r="Q1795" t="str">
        <f>IF(Orders[[#This Row],[Age]]&gt;=35,"older","young")</f>
        <v>young</v>
      </c>
      <c r="R1795" t="str">
        <f>_xlfn.XLOOKUP(Orders[[#This Row],[ProductID]],Products[ProductID],Products[ProductName])</f>
        <v>IRON</v>
      </c>
      <c r="S1795" t="str">
        <f>_xlfn.XLOOKUP(Orders[[#This Row],[ProductID]],Products!A:A,Products!C:C)</f>
        <v>Electronics</v>
      </c>
    </row>
    <row r="1796" spans="1:19" x14ac:dyDescent="0.2">
      <c r="A1796" s="4" t="s">
        <v>1985</v>
      </c>
      <c r="B1796" s="5">
        <v>46017</v>
      </c>
      <c r="C1796" s="15">
        <f>WEEKNUM(Orders[[#This Row],[OrderDate]])</f>
        <v>52</v>
      </c>
      <c r="D1796" s="4" t="s">
        <v>186</v>
      </c>
      <c r="E1796" s="4" t="s">
        <v>84</v>
      </c>
      <c r="F1796" s="4">
        <v>4</v>
      </c>
      <c r="G1796" s="4">
        <v>3908.8999999999996</v>
      </c>
      <c r="H1796">
        <v>3322.5649999999996</v>
      </c>
      <c r="I1796">
        <f>Orders[[#This Row],[Quantity]]*Orders[[#This Row],[Selling Price]]</f>
        <v>15635.599999999999</v>
      </c>
      <c r="J1796">
        <f>Orders[[#This Row],[Quantity]]*Orders[[#This Row],[Cost Price]]</f>
        <v>13290.259999999998</v>
      </c>
      <c r="K1796">
        <f>Orders[[#This Row],[Revenue]]-Orders[[#This Row],[Expenses]]</f>
        <v>2345.34</v>
      </c>
      <c r="L1796" t="s">
        <v>2201</v>
      </c>
      <c r="M1796" t="str">
        <f>_xlfn.XLOOKUP(Orders[[#This Row],[CustomerID]],Customers[CustomerID],Customers[City])</f>
        <v>Texas</v>
      </c>
      <c r="N1796" t="str">
        <f>_xlfn.XLOOKUP(Orders[[#This Row],[CustomerID]],Customers[CustomerID],Customers[CustomerName])</f>
        <v>Ronke Eze</v>
      </c>
      <c r="O1796" t="str">
        <f>_xlfn.XLOOKUP(Orders[[#This Row],[CustomerID]],Customers[CustomerID],Customers[Gender])</f>
        <v>Female</v>
      </c>
      <c r="P1796">
        <f>_xlfn.XLOOKUP(Orders[[#This Row],[CustomerID]],Customers[CustomerID],Customers[CustomerAge])</f>
        <v>37</v>
      </c>
      <c r="Q1796" t="str">
        <f>IF(Orders[[#This Row],[Age]]&gt;=35,"older","young")</f>
        <v>older</v>
      </c>
      <c r="R1796" t="str">
        <f>_xlfn.XLOOKUP(Orders[[#This Row],[ProductID]],Products[ProductID],Products[ProductName])</f>
        <v>GYM WEARS</v>
      </c>
      <c r="S1796" t="str">
        <f>_xlfn.XLOOKUP(Orders[[#This Row],[ProductID]],Products!A:A,Products!C:C)</f>
        <v>Clothing</v>
      </c>
    </row>
    <row r="1797" spans="1:19" x14ac:dyDescent="0.2">
      <c r="A1797" s="4" t="s">
        <v>1986</v>
      </c>
      <c r="B1797" s="5">
        <v>46011</v>
      </c>
      <c r="C1797" s="15">
        <f>WEEKNUM(Orders[[#This Row],[OrderDate]])</f>
        <v>51</v>
      </c>
      <c r="D1797" s="4" t="s">
        <v>116</v>
      </c>
      <c r="E1797" s="4" t="s">
        <v>84</v>
      </c>
      <c r="F1797" s="4">
        <v>8</v>
      </c>
      <c r="G1797" s="4">
        <v>4588.8999999999996</v>
      </c>
      <c r="H1797">
        <v>3900.5649999999996</v>
      </c>
      <c r="I1797">
        <f>Orders[[#This Row],[Quantity]]*Orders[[#This Row],[Selling Price]]</f>
        <v>36711.199999999997</v>
      </c>
      <c r="J1797">
        <f>Orders[[#This Row],[Quantity]]*Orders[[#This Row],[Cost Price]]</f>
        <v>31204.519999999997</v>
      </c>
      <c r="K1797">
        <f>Orders[[#This Row],[Revenue]]-Orders[[#This Row],[Expenses]]</f>
        <v>5506.68</v>
      </c>
      <c r="L1797" t="s">
        <v>2213</v>
      </c>
      <c r="M1797" t="str">
        <f>_xlfn.XLOOKUP(Orders[[#This Row],[CustomerID]],Customers[CustomerID],Customers[City])</f>
        <v>Texas</v>
      </c>
      <c r="N1797" t="str">
        <f>_xlfn.XLOOKUP(Orders[[#This Row],[CustomerID]],Customers[CustomerID],Customers[CustomerName])</f>
        <v>Uche Bello</v>
      </c>
      <c r="O1797" t="str">
        <f>_xlfn.XLOOKUP(Orders[[#This Row],[CustomerID]],Customers[CustomerID],Customers[Gender])</f>
        <v>Male</v>
      </c>
      <c r="P1797">
        <f>_xlfn.XLOOKUP(Orders[[#This Row],[CustomerID]],Customers[CustomerID],Customers[CustomerAge])</f>
        <v>21</v>
      </c>
      <c r="Q1797" t="str">
        <f>IF(Orders[[#This Row],[Age]]&gt;=35,"older","young")</f>
        <v>young</v>
      </c>
      <c r="R1797" t="str">
        <f>_xlfn.XLOOKUP(Orders[[#This Row],[ProductID]],Products[ProductID],Products[ProductName])</f>
        <v>GYM WEARS</v>
      </c>
      <c r="S1797" t="str">
        <f>_xlfn.XLOOKUP(Orders[[#This Row],[ProductID]],Products!A:A,Products!C:C)</f>
        <v>Clothing</v>
      </c>
    </row>
    <row r="1798" spans="1:19" x14ac:dyDescent="0.2">
      <c r="A1798" s="4" t="s">
        <v>1987</v>
      </c>
      <c r="B1798" s="5">
        <v>45939</v>
      </c>
      <c r="C1798" s="15">
        <f>WEEKNUM(Orders[[#This Row],[OrderDate]])</f>
        <v>41</v>
      </c>
      <c r="D1798" s="4" t="s">
        <v>400</v>
      </c>
      <c r="E1798" s="4" t="s">
        <v>28</v>
      </c>
      <c r="F1798" s="4">
        <v>5</v>
      </c>
      <c r="G1798" s="4">
        <v>9785.9</v>
      </c>
      <c r="H1798">
        <v>8318.0149999999994</v>
      </c>
      <c r="I1798">
        <f>Orders[[#This Row],[Quantity]]*Orders[[#This Row],[Selling Price]]</f>
        <v>48929.5</v>
      </c>
      <c r="J1798">
        <f>Orders[[#This Row],[Quantity]]*Orders[[#This Row],[Cost Price]]</f>
        <v>41590.074999999997</v>
      </c>
      <c r="K1798">
        <f>Orders[[#This Row],[Revenue]]-Orders[[#This Row],[Expenses]]</f>
        <v>7339.4250000000029</v>
      </c>
      <c r="L1798" t="s">
        <v>2194</v>
      </c>
      <c r="M1798" t="str">
        <f>_xlfn.XLOOKUP(Orders[[#This Row],[CustomerID]],Customers[CustomerID],Customers[City])</f>
        <v>Florida</v>
      </c>
      <c r="N1798" t="str">
        <f>_xlfn.XLOOKUP(Orders[[#This Row],[CustomerID]],Customers[CustomerID],Customers[CustomerName])</f>
        <v>Obi Igwe</v>
      </c>
      <c r="O1798" t="str">
        <f>_xlfn.XLOOKUP(Orders[[#This Row],[CustomerID]],Customers[CustomerID],Customers[Gender])</f>
        <v>Male</v>
      </c>
      <c r="P1798">
        <f>_xlfn.XLOOKUP(Orders[[#This Row],[CustomerID]],Customers[CustomerID],Customers[CustomerAge])</f>
        <v>35</v>
      </c>
      <c r="Q1798" t="str">
        <f>IF(Orders[[#This Row],[Age]]&gt;=35,"older","young")</f>
        <v>older</v>
      </c>
      <c r="R1798" t="str">
        <f>_xlfn.XLOOKUP(Orders[[#This Row],[ProductID]],Products[ProductID],Products[ProductName])</f>
        <v>SNEAKERS</v>
      </c>
      <c r="S1798" t="str">
        <f>_xlfn.XLOOKUP(Orders[[#This Row],[ProductID]],Products!A:A,Products!C:C)</f>
        <v>Sports</v>
      </c>
    </row>
    <row r="1799" spans="1:19" x14ac:dyDescent="0.2">
      <c r="A1799" s="4" t="s">
        <v>1988</v>
      </c>
      <c r="B1799" s="5">
        <v>45936</v>
      </c>
      <c r="C1799" s="15">
        <f>WEEKNUM(Orders[[#This Row],[OrderDate]])</f>
        <v>41</v>
      </c>
      <c r="D1799" s="4" t="s">
        <v>311</v>
      </c>
      <c r="E1799" s="4" t="s">
        <v>111</v>
      </c>
      <c r="F1799" s="4">
        <v>1</v>
      </c>
      <c r="G1799" s="4">
        <v>8986.9000000000015</v>
      </c>
      <c r="H1799">
        <v>7638.8650000000016</v>
      </c>
      <c r="I1799">
        <f>Orders[[#This Row],[Quantity]]*Orders[[#This Row],[Selling Price]]</f>
        <v>8986.9000000000015</v>
      </c>
      <c r="J1799">
        <f>Orders[[#This Row],[Quantity]]*Orders[[#This Row],[Cost Price]]</f>
        <v>7638.8650000000016</v>
      </c>
      <c r="K1799">
        <f>Orders[[#This Row],[Revenue]]-Orders[[#This Row],[Expenses]]</f>
        <v>1348.0349999999999</v>
      </c>
      <c r="L1799" t="s">
        <v>2220</v>
      </c>
      <c r="M1799" t="str">
        <f>_xlfn.XLOOKUP(Orders[[#This Row],[CustomerID]],Customers[CustomerID],Customers[City])</f>
        <v>Georgia</v>
      </c>
      <c r="N1799" t="str">
        <f>_xlfn.XLOOKUP(Orders[[#This Row],[CustomerID]],Customers[CustomerID],Customers[CustomerName])</f>
        <v>Bisi Bello</v>
      </c>
      <c r="O1799" t="str">
        <f>_xlfn.XLOOKUP(Orders[[#This Row],[CustomerID]],Customers[CustomerID],Customers[Gender])</f>
        <v>Female</v>
      </c>
      <c r="P1799">
        <f>_xlfn.XLOOKUP(Orders[[#This Row],[CustomerID]],Customers[CustomerID],Customers[CustomerAge])</f>
        <v>31</v>
      </c>
      <c r="Q1799" t="str">
        <f>IF(Orders[[#This Row],[Age]]&gt;=35,"older","young")</f>
        <v>young</v>
      </c>
      <c r="R1799" t="str">
        <f>_xlfn.XLOOKUP(Orders[[#This Row],[ProductID]],Products[ProductID],Products[ProductName])</f>
        <v>REFRIGERATOR</v>
      </c>
      <c r="S1799" t="str">
        <f>_xlfn.XLOOKUP(Orders[[#This Row],[ProductID]],Products!A:A,Products!C:C)</f>
        <v>Electronics</v>
      </c>
    </row>
    <row r="1800" spans="1:19" x14ac:dyDescent="0.2">
      <c r="A1800" s="4" t="s">
        <v>1989</v>
      </c>
      <c r="B1800" s="5">
        <v>45958</v>
      </c>
      <c r="C1800" s="15">
        <f>WEEKNUM(Orders[[#This Row],[OrderDate]])</f>
        <v>44</v>
      </c>
      <c r="D1800" s="4" t="s">
        <v>150</v>
      </c>
      <c r="E1800" s="4" t="s">
        <v>57</v>
      </c>
      <c r="F1800" s="4">
        <v>6</v>
      </c>
      <c r="G1800" s="4">
        <v>8627.5</v>
      </c>
      <c r="H1800">
        <v>7333.375</v>
      </c>
      <c r="I1800">
        <f>Orders[[#This Row],[Quantity]]*Orders[[#This Row],[Selling Price]]</f>
        <v>51765</v>
      </c>
      <c r="J1800">
        <f>Orders[[#This Row],[Quantity]]*Orders[[#This Row],[Cost Price]]</f>
        <v>44000.25</v>
      </c>
      <c r="K1800">
        <f>Orders[[#This Row],[Revenue]]-Orders[[#This Row],[Expenses]]</f>
        <v>7764.75</v>
      </c>
      <c r="L1800" t="s">
        <v>2201</v>
      </c>
      <c r="M1800" t="str">
        <f>_xlfn.XLOOKUP(Orders[[#This Row],[CustomerID]],Customers[CustomerID],Customers[City])</f>
        <v>Georgia</v>
      </c>
      <c r="N1800" t="str">
        <f>_xlfn.XLOOKUP(Orders[[#This Row],[CustomerID]],Customers[CustomerID],Customers[CustomerName])</f>
        <v>Ronke Eze</v>
      </c>
      <c r="O1800" t="str">
        <f>_xlfn.XLOOKUP(Orders[[#This Row],[CustomerID]],Customers[CustomerID],Customers[Gender])</f>
        <v>Female</v>
      </c>
      <c r="P1800">
        <f>_xlfn.XLOOKUP(Orders[[#This Row],[CustomerID]],Customers[CustomerID],Customers[CustomerAge])</f>
        <v>23</v>
      </c>
      <c r="Q1800" t="str">
        <f>IF(Orders[[#This Row],[Age]]&gt;=35,"older","young")</f>
        <v>young</v>
      </c>
      <c r="R1800" t="str">
        <f>_xlfn.XLOOKUP(Orders[[#This Row],[ProductID]],Products[ProductID],Products[ProductName])</f>
        <v>BADMINTON RACKET</v>
      </c>
      <c r="S1800" t="str">
        <f>_xlfn.XLOOKUP(Orders[[#This Row],[ProductID]],Products!A:A,Products!C:C)</f>
        <v>Sports</v>
      </c>
    </row>
    <row r="1801" spans="1:19" x14ac:dyDescent="0.2">
      <c r="A1801" s="4" t="s">
        <v>1990</v>
      </c>
      <c r="B1801" s="5">
        <v>45999</v>
      </c>
      <c r="C1801" s="15">
        <f>WEEKNUM(Orders[[#This Row],[OrderDate]])</f>
        <v>50</v>
      </c>
      <c r="D1801" s="4" t="s">
        <v>43</v>
      </c>
      <c r="E1801" s="4" t="s">
        <v>28</v>
      </c>
      <c r="F1801" s="4">
        <v>5</v>
      </c>
      <c r="G1801" s="4">
        <v>7773.6</v>
      </c>
      <c r="H1801">
        <v>6607.56</v>
      </c>
      <c r="I1801">
        <f>Orders[[#This Row],[Quantity]]*Orders[[#This Row],[Selling Price]]</f>
        <v>38868</v>
      </c>
      <c r="J1801">
        <f>Orders[[#This Row],[Quantity]]*Orders[[#This Row],[Cost Price]]</f>
        <v>33037.800000000003</v>
      </c>
      <c r="K1801">
        <f>Orders[[#This Row],[Revenue]]-Orders[[#This Row],[Expenses]]</f>
        <v>5830.1999999999971</v>
      </c>
      <c r="L1801" t="s">
        <v>2195</v>
      </c>
      <c r="M1801" t="str">
        <f>_xlfn.XLOOKUP(Orders[[#This Row],[CustomerID]],Customers[CustomerID],Customers[City])</f>
        <v>Georgia</v>
      </c>
      <c r="N1801" t="str">
        <f>_xlfn.XLOOKUP(Orders[[#This Row],[CustomerID]],Customers[CustomerID],Customers[CustomerName])</f>
        <v>Mustafa Danladi</v>
      </c>
      <c r="O1801" t="str">
        <f>_xlfn.XLOOKUP(Orders[[#This Row],[CustomerID]],Customers[CustomerID],Customers[Gender])</f>
        <v>Male</v>
      </c>
      <c r="P1801">
        <f>_xlfn.XLOOKUP(Orders[[#This Row],[CustomerID]],Customers[CustomerID],Customers[CustomerAge])</f>
        <v>49</v>
      </c>
      <c r="Q1801" t="str">
        <f>IF(Orders[[#This Row],[Age]]&gt;=35,"older","young")</f>
        <v>older</v>
      </c>
      <c r="R1801" t="str">
        <f>_xlfn.XLOOKUP(Orders[[#This Row],[ProductID]],Products[ProductID],Products[ProductName])</f>
        <v>SNEAKERS</v>
      </c>
      <c r="S1801" t="str">
        <f>_xlfn.XLOOKUP(Orders[[#This Row],[ProductID]],Products!A:A,Products!C:C)</f>
        <v>Sports</v>
      </c>
    </row>
    <row r="1802" spans="1:19" x14ac:dyDescent="0.2">
      <c r="A1802" s="4" t="s">
        <v>1991</v>
      </c>
      <c r="B1802" s="5">
        <v>45955</v>
      </c>
      <c r="C1802" s="15">
        <f>WEEKNUM(Orders[[#This Row],[OrderDate]])</f>
        <v>43</v>
      </c>
      <c r="D1802" s="4" t="s">
        <v>73</v>
      </c>
      <c r="E1802" s="4" t="s">
        <v>57</v>
      </c>
      <c r="F1802" s="4">
        <v>9</v>
      </c>
      <c r="G1802" s="4">
        <v>3251.2</v>
      </c>
      <c r="H1802">
        <v>2763.52</v>
      </c>
      <c r="I1802">
        <f>Orders[[#This Row],[Quantity]]*Orders[[#This Row],[Selling Price]]</f>
        <v>29260.799999999999</v>
      </c>
      <c r="J1802">
        <f>Orders[[#This Row],[Quantity]]*Orders[[#This Row],[Cost Price]]</f>
        <v>24871.68</v>
      </c>
      <c r="K1802">
        <f>Orders[[#This Row],[Revenue]]-Orders[[#This Row],[Expenses]]</f>
        <v>4389.119999999999</v>
      </c>
      <c r="L1802" t="s">
        <v>2214</v>
      </c>
      <c r="M1802" t="str">
        <f>_xlfn.XLOOKUP(Orders[[#This Row],[CustomerID]],Customers[CustomerID],Customers[City])</f>
        <v>California</v>
      </c>
      <c r="N1802" t="str">
        <f>_xlfn.XLOOKUP(Orders[[#This Row],[CustomerID]],Customers[CustomerID],Customers[CustomerName])</f>
        <v>Ronke Okonkwo</v>
      </c>
      <c r="O1802" t="str">
        <f>_xlfn.XLOOKUP(Orders[[#This Row],[CustomerID]],Customers[CustomerID],Customers[Gender])</f>
        <v>Female</v>
      </c>
      <c r="P1802">
        <f>_xlfn.XLOOKUP(Orders[[#This Row],[CustomerID]],Customers[CustomerID],Customers[CustomerAge])</f>
        <v>20</v>
      </c>
      <c r="Q1802" t="str">
        <f>IF(Orders[[#This Row],[Age]]&gt;=35,"older","young")</f>
        <v>young</v>
      </c>
      <c r="R1802" t="str">
        <f>_xlfn.XLOOKUP(Orders[[#This Row],[ProductID]],Products[ProductID],Products[ProductName])</f>
        <v>BADMINTON RACKET</v>
      </c>
      <c r="S1802" t="str">
        <f>_xlfn.XLOOKUP(Orders[[#This Row],[ProductID]],Products!A:A,Products!C:C)</f>
        <v>Sports</v>
      </c>
    </row>
    <row r="1803" spans="1:19" x14ac:dyDescent="0.2">
      <c r="A1803" s="4" t="s">
        <v>1992</v>
      </c>
      <c r="B1803" s="5">
        <v>46001</v>
      </c>
      <c r="C1803" s="15">
        <f>WEEKNUM(Orders[[#This Row],[OrderDate]])</f>
        <v>50</v>
      </c>
      <c r="D1803" s="4" t="s">
        <v>388</v>
      </c>
      <c r="E1803" s="4" t="s">
        <v>23</v>
      </c>
      <c r="F1803" s="4">
        <v>4</v>
      </c>
      <c r="G1803" s="4">
        <v>8476.7999999999993</v>
      </c>
      <c r="H1803">
        <v>7205.28</v>
      </c>
      <c r="I1803">
        <f>Orders[[#This Row],[Quantity]]*Orders[[#This Row],[Selling Price]]</f>
        <v>33907.199999999997</v>
      </c>
      <c r="J1803">
        <f>Orders[[#This Row],[Quantity]]*Orders[[#This Row],[Cost Price]]</f>
        <v>28821.119999999999</v>
      </c>
      <c r="K1803">
        <f>Orders[[#This Row],[Revenue]]-Orders[[#This Row],[Expenses]]</f>
        <v>5086.0799999999981</v>
      </c>
      <c r="L1803" t="s">
        <v>2206</v>
      </c>
      <c r="M1803" t="str">
        <f>_xlfn.XLOOKUP(Orders[[#This Row],[CustomerID]],Customers[CustomerID],Customers[City])</f>
        <v>Washington</v>
      </c>
      <c r="N1803" t="str">
        <f>_xlfn.XLOOKUP(Orders[[#This Row],[CustomerID]],Customers[CustomerID],Customers[CustomerName])</f>
        <v>Folasade Okonkwo</v>
      </c>
      <c r="O1803" t="str">
        <f>_xlfn.XLOOKUP(Orders[[#This Row],[CustomerID]],Customers[CustomerID],Customers[Gender])</f>
        <v>Female</v>
      </c>
      <c r="P1803">
        <f>_xlfn.XLOOKUP(Orders[[#This Row],[CustomerID]],Customers[CustomerID],Customers[CustomerAge])</f>
        <v>52</v>
      </c>
      <c r="Q1803" t="str">
        <f>IF(Orders[[#This Row],[Age]]&gt;=35,"older","young")</f>
        <v>older</v>
      </c>
      <c r="R1803" t="str">
        <f>_xlfn.XLOOKUP(Orders[[#This Row],[ProductID]],Products[ProductID],Products[ProductName])</f>
        <v>GYM GLOVES</v>
      </c>
      <c r="S1803" t="str">
        <f>_xlfn.XLOOKUP(Orders[[#This Row],[ProductID]],Products!A:A,Products!C:C)</f>
        <v>Gym</v>
      </c>
    </row>
    <row r="1804" spans="1:19" x14ac:dyDescent="0.2">
      <c r="A1804" s="4" t="s">
        <v>1993</v>
      </c>
      <c r="B1804" s="5">
        <v>46019</v>
      </c>
      <c r="C1804" s="15">
        <f>WEEKNUM(Orders[[#This Row],[OrderDate]])</f>
        <v>53</v>
      </c>
      <c r="D1804" s="4" t="s">
        <v>163</v>
      </c>
      <c r="E1804" s="4" t="s">
        <v>127</v>
      </c>
      <c r="F1804" s="4">
        <v>8</v>
      </c>
      <c r="G1804" s="4">
        <v>15481.5</v>
      </c>
      <c r="H1804">
        <v>13159.275</v>
      </c>
      <c r="I1804">
        <f>Orders[[#This Row],[Quantity]]*Orders[[#This Row],[Selling Price]]</f>
        <v>123852</v>
      </c>
      <c r="J1804">
        <f>Orders[[#This Row],[Quantity]]*Orders[[#This Row],[Cost Price]]</f>
        <v>105274.2</v>
      </c>
      <c r="K1804">
        <f>Orders[[#This Row],[Revenue]]-Orders[[#This Row],[Expenses]]</f>
        <v>18577.800000000003</v>
      </c>
      <c r="L1804" t="s">
        <v>2215</v>
      </c>
      <c r="M1804" t="str">
        <f>_xlfn.XLOOKUP(Orders[[#This Row],[CustomerID]],Customers[CustomerID],Customers[City])</f>
        <v>Texas</v>
      </c>
      <c r="N1804" t="str">
        <f>_xlfn.XLOOKUP(Orders[[#This Row],[CustomerID]],Customers[CustomerID],Customers[CustomerName])</f>
        <v>Folasade Danladi</v>
      </c>
      <c r="O1804" t="str">
        <f>_xlfn.XLOOKUP(Orders[[#This Row],[CustomerID]],Customers[CustomerID],Customers[Gender])</f>
        <v>Female</v>
      </c>
      <c r="P1804">
        <f>_xlfn.XLOOKUP(Orders[[#This Row],[CustomerID]],Customers[CustomerID],Customers[CustomerAge])</f>
        <v>32</v>
      </c>
      <c r="Q1804" t="str">
        <f>IF(Orders[[#This Row],[Age]]&gt;=35,"older","young")</f>
        <v>young</v>
      </c>
      <c r="R1804" t="str">
        <f>_xlfn.XLOOKUP(Orders[[#This Row],[ProductID]],Products[ProductID],Products[ProductName])</f>
        <v>TOPS</v>
      </c>
      <c r="S1804" t="str">
        <f>_xlfn.XLOOKUP(Orders[[#This Row],[ProductID]],Products!A:A,Products!C:C)</f>
        <v>Clothing</v>
      </c>
    </row>
    <row r="1805" spans="1:19" x14ac:dyDescent="0.2">
      <c r="A1805" s="4" t="s">
        <v>1994</v>
      </c>
      <c r="B1805" s="5">
        <v>46014</v>
      </c>
      <c r="C1805" s="15">
        <f>WEEKNUM(Orders[[#This Row],[OrderDate]])</f>
        <v>52</v>
      </c>
      <c r="D1805" s="4" t="s">
        <v>282</v>
      </c>
      <c r="E1805" s="4" t="s">
        <v>84</v>
      </c>
      <c r="F1805" s="4">
        <v>1</v>
      </c>
      <c r="G1805" s="4">
        <v>15793.5</v>
      </c>
      <c r="H1805">
        <v>13424.475</v>
      </c>
      <c r="I1805">
        <f>Orders[[#This Row],[Quantity]]*Orders[[#This Row],[Selling Price]]</f>
        <v>15793.5</v>
      </c>
      <c r="J1805">
        <f>Orders[[#This Row],[Quantity]]*Orders[[#This Row],[Cost Price]]</f>
        <v>13424.475</v>
      </c>
      <c r="K1805">
        <f>Orders[[#This Row],[Revenue]]-Orders[[#This Row],[Expenses]]</f>
        <v>2369.0249999999996</v>
      </c>
      <c r="L1805" t="s">
        <v>2198</v>
      </c>
      <c r="M1805" t="str">
        <f>_xlfn.XLOOKUP(Orders[[#This Row],[CustomerID]],Customers[CustomerID],Customers[City])</f>
        <v>Texas</v>
      </c>
      <c r="N1805" t="str">
        <f>_xlfn.XLOOKUP(Orders[[#This Row],[CustomerID]],Customers[CustomerID],Customers[CustomerName])</f>
        <v>Bisi Ojo</v>
      </c>
      <c r="O1805" t="str">
        <f>_xlfn.XLOOKUP(Orders[[#This Row],[CustomerID]],Customers[CustomerID],Customers[Gender])</f>
        <v>Female</v>
      </c>
      <c r="P1805">
        <f>_xlfn.XLOOKUP(Orders[[#This Row],[CustomerID]],Customers[CustomerID],Customers[CustomerAge])</f>
        <v>26</v>
      </c>
      <c r="Q1805" t="str">
        <f>IF(Orders[[#This Row],[Age]]&gt;=35,"older","young")</f>
        <v>young</v>
      </c>
      <c r="R1805" t="str">
        <f>_xlfn.XLOOKUP(Orders[[#This Row],[ProductID]],Products[ProductID],Products[ProductName])</f>
        <v>GYM WEARS</v>
      </c>
      <c r="S1805" t="str">
        <f>_xlfn.XLOOKUP(Orders[[#This Row],[ProductID]],Products!A:A,Products!C:C)</f>
        <v>Clothing</v>
      </c>
    </row>
    <row r="1806" spans="1:19" x14ac:dyDescent="0.2">
      <c r="A1806" s="4" t="s">
        <v>1995</v>
      </c>
      <c r="B1806" s="5">
        <v>45997</v>
      </c>
      <c r="C1806" s="15">
        <f>WEEKNUM(Orders[[#This Row],[OrderDate]])</f>
        <v>49</v>
      </c>
      <c r="D1806" s="4" t="s">
        <v>444</v>
      </c>
      <c r="E1806" s="4" t="s">
        <v>125</v>
      </c>
      <c r="F1806" s="4">
        <v>4</v>
      </c>
      <c r="G1806" s="4">
        <v>6742.3</v>
      </c>
      <c r="H1806">
        <v>5730.9549999999999</v>
      </c>
      <c r="I1806">
        <f>Orders[[#This Row],[Quantity]]*Orders[[#This Row],[Selling Price]]</f>
        <v>26969.200000000001</v>
      </c>
      <c r="J1806">
        <f>Orders[[#This Row],[Quantity]]*Orders[[#This Row],[Cost Price]]</f>
        <v>22923.82</v>
      </c>
      <c r="K1806">
        <f>Orders[[#This Row],[Revenue]]-Orders[[#This Row],[Expenses]]</f>
        <v>4045.380000000001</v>
      </c>
      <c r="L1806" t="s">
        <v>2211</v>
      </c>
      <c r="M1806" t="str">
        <f>_xlfn.XLOOKUP(Orders[[#This Row],[CustomerID]],Customers[CustomerID],Customers[City])</f>
        <v>Texas</v>
      </c>
      <c r="N1806" t="str">
        <f>_xlfn.XLOOKUP(Orders[[#This Row],[CustomerID]],Customers[CustomerID],Customers[CustomerName])</f>
        <v>Blessing Eze</v>
      </c>
      <c r="O1806" t="str">
        <f>_xlfn.XLOOKUP(Orders[[#This Row],[CustomerID]],Customers[CustomerID],Customers[Gender])</f>
        <v>Female</v>
      </c>
      <c r="P1806">
        <f>_xlfn.XLOOKUP(Orders[[#This Row],[CustomerID]],Customers[CustomerID],Customers[CustomerAge])</f>
        <v>24</v>
      </c>
      <c r="Q1806" t="str">
        <f>IF(Orders[[#This Row],[Age]]&gt;=35,"older","young")</f>
        <v>young</v>
      </c>
      <c r="R1806" t="str">
        <f>_xlfn.XLOOKUP(Orders[[#This Row],[ProductID]],Products[ProductID],Products[ProductName])</f>
        <v>EARRINGS</v>
      </c>
      <c r="S1806" t="str">
        <f>_xlfn.XLOOKUP(Orders[[#This Row],[ProductID]],Products!A:A,Products!C:C)</f>
        <v>Accessories</v>
      </c>
    </row>
    <row r="1807" spans="1:19" x14ac:dyDescent="0.2">
      <c r="A1807" s="4" t="s">
        <v>1996</v>
      </c>
      <c r="B1807" s="5">
        <v>45938</v>
      </c>
      <c r="C1807" s="15">
        <f>WEEKNUM(Orders[[#This Row],[OrderDate]])</f>
        <v>41</v>
      </c>
      <c r="D1807" s="4" t="s">
        <v>201</v>
      </c>
      <c r="E1807" s="4" t="s">
        <v>28</v>
      </c>
      <c r="F1807" s="4">
        <v>2</v>
      </c>
      <c r="G1807" s="4">
        <v>8047.6</v>
      </c>
      <c r="H1807">
        <v>6840.46</v>
      </c>
      <c r="I1807">
        <f>Orders[[#This Row],[Quantity]]*Orders[[#This Row],[Selling Price]]</f>
        <v>16095.2</v>
      </c>
      <c r="J1807">
        <f>Orders[[#This Row],[Quantity]]*Orders[[#This Row],[Cost Price]]</f>
        <v>13680.92</v>
      </c>
      <c r="K1807">
        <f>Orders[[#This Row],[Revenue]]-Orders[[#This Row],[Expenses]]</f>
        <v>2414.2800000000007</v>
      </c>
      <c r="L1807" t="s">
        <v>2219</v>
      </c>
      <c r="M1807" t="str">
        <f>_xlfn.XLOOKUP(Orders[[#This Row],[CustomerID]],Customers[CustomerID],Customers[City])</f>
        <v>Georgia</v>
      </c>
      <c r="N1807" t="str">
        <f>_xlfn.XLOOKUP(Orders[[#This Row],[CustomerID]],Customers[CustomerID],Customers[CustomerName])</f>
        <v>Sani Igwe</v>
      </c>
      <c r="O1807" t="str">
        <f>_xlfn.XLOOKUP(Orders[[#This Row],[CustomerID]],Customers[CustomerID],Customers[Gender])</f>
        <v>Male</v>
      </c>
      <c r="P1807">
        <f>_xlfn.XLOOKUP(Orders[[#This Row],[CustomerID]],Customers[CustomerID],Customers[CustomerAge])</f>
        <v>20</v>
      </c>
      <c r="Q1807" t="str">
        <f>IF(Orders[[#This Row],[Age]]&gt;=35,"older","young")</f>
        <v>young</v>
      </c>
      <c r="R1807" t="str">
        <f>_xlfn.XLOOKUP(Orders[[#This Row],[ProductID]],Products[ProductID],Products[ProductName])</f>
        <v>SNEAKERS</v>
      </c>
      <c r="S1807" t="str">
        <f>_xlfn.XLOOKUP(Orders[[#This Row],[ProductID]],Products!A:A,Products!C:C)</f>
        <v>Sports</v>
      </c>
    </row>
    <row r="1808" spans="1:19" x14ac:dyDescent="0.2">
      <c r="A1808" s="4" t="s">
        <v>1997</v>
      </c>
      <c r="B1808" s="5">
        <v>45986</v>
      </c>
      <c r="C1808" s="15">
        <f>WEEKNUM(Orders[[#This Row],[OrderDate]])</f>
        <v>48</v>
      </c>
      <c r="D1808" s="4" t="s">
        <v>87</v>
      </c>
      <c r="E1808" s="4" t="s">
        <v>15</v>
      </c>
      <c r="F1808" s="4">
        <v>10</v>
      </c>
      <c r="G1808" s="4">
        <v>4187.5</v>
      </c>
      <c r="H1808">
        <v>3559.375</v>
      </c>
      <c r="I1808">
        <f>Orders[[#This Row],[Quantity]]*Orders[[#This Row],[Selling Price]]</f>
        <v>41875</v>
      </c>
      <c r="J1808">
        <f>Orders[[#This Row],[Quantity]]*Orders[[#This Row],[Cost Price]]</f>
        <v>35593.75</v>
      </c>
      <c r="K1808">
        <f>Orders[[#This Row],[Revenue]]-Orders[[#This Row],[Expenses]]</f>
        <v>6281.25</v>
      </c>
      <c r="L1808" t="s">
        <v>2200</v>
      </c>
      <c r="M1808" t="str">
        <f>_xlfn.XLOOKUP(Orders[[#This Row],[CustomerID]],Customers[CustomerID],Customers[City])</f>
        <v>Illinois</v>
      </c>
      <c r="N1808" t="str">
        <f>_xlfn.XLOOKUP(Orders[[#This Row],[CustomerID]],Customers[CustomerID],Customers[CustomerName])</f>
        <v>Efe Igwe</v>
      </c>
      <c r="O1808" t="str">
        <f>_xlfn.XLOOKUP(Orders[[#This Row],[CustomerID]],Customers[CustomerID],Customers[Gender])</f>
        <v>Female</v>
      </c>
      <c r="P1808">
        <f>_xlfn.XLOOKUP(Orders[[#This Row],[CustomerID]],Customers[CustomerID],Customers[CustomerAge])</f>
        <v>34</v>
      </c>
      <c r="Q1808" t="str">
        <f>IF(Orders[[#This Row],[Age]]&gt;=35,"older","young")</f>
        <v>young</v>
      </c>
      <c r="R1808" t="str">
        <f>_xlfn.XLOOKUP(Orders[[#This Row],[ProductID]],Products[ProductID],Products[ProductName])</f>
        <v>MONOPOLY</v>
      </c>
      <c r="S1808" t="str">
        <f>_xlfn.XLOOKUP(Orders[[#This Row],[ProductID]],Products!A:A,Products!C:C)</f>
        <v>Games</v>
      </c>
    </row>
    <row r="1809" spans="1:19" x14ac:dyDescent="0.2">
      <c r="A1809" s="4" t="s">
        <v>1998</v>
      </c>
      <c r="B1809" s="5">
        <v>45968</v>
      </c>
      <c r="C1809" s="15">
        <f>WEEKNUM(Orders[[#This Row],[OrderDate]])</f>
        <v>45</v>
      </c>
      <c r="D1809" s="4" t="s">
        <v>96</v>
      </c>
      <c r="E1809" s="4" t="s">
        <v>34</v>
      </c>
      <c r="F1809" s="4">
        <v>1</v>
      </c>
      <c r="G1809" s="4">
        <v>4498</v>
      </c>
      <c r="H1809">
        <v>3823.3</v>
      </c>
      <c r="I1809">
        <f>Orders[[#This Row],[Quantity]]*Orders[[#This Row],[Selling Price]]</f>
        <v>4498</v>
      </c>
      <c r="J1809">
        <f>Orders[[#This Row],[Quantity]]*Orders[[#This Row],[Cost Price]]</f>
        <v>3823.3</v>
      </c>
      <c r="K1809">
        <f>Orders[[#This Row],[Revenue]]-Orders[[#This Row],[Expenses]]</f>
        <v>674.69999999999982</v>
      </c>
      <c r="L1809" t="s">
        <v>2210</v>
      </c>
      <c r="M1809" t="str">
        <f>_xlfn.XLOOKUP(Orders[[#This Row],[CustomerID]],Customers[CustomerID],Customers[City])</f>
        <v>Texas</v>
      </c>
      <c r="N1809" t="str">
        <f>_xlfn.XLOOKUP(Orders[[#This Row],[CustomerID]],Customers[CustomerID],Customers[CustomerName])</f>
        <v>Amina Abubakar</v>
      </c>
      <c r="O1809" t="str">
        <f>_xlfn.XLOOKUP(Orders[[#This Row],[CustomerID]],Customers[CustomerID],Customers[Gender])</f>
        <v>Female</v>
      </c>
      <c r="P1809">
        <f>_xlfn.XLOOKUP(Orders[[#This Row],[CustomerID]],Customers[CustomerID],Customers[CustomerAge])</f>
        <v>35</v>
      </c>
      <c r="Q1809" t="str">
        <f>IF(Orders[[#This Row],[Age]]&gt;=35,"older","young")</f>
        <v>older</v>
      </c>
      <c r="R1809" t="str">
        <f>_xlfn.XLOOKUP(Orders[[#This Row],[ProductID]],Products[ProductID],Products[ProductName])</f>
        <v>GOLD BRACELETS</v>
      </c>
      <c r="S1809" t="str">
        <f>_xlfn.XLOOKUP(Orders[[#This Row],[ProductID]],Products!A:A,Products!C:C)</f>
        <v>Accessories</v>
      </c>
    </row>
    <row r="1810" spans="1:19" x14ac:dyDescent="0.2">
      <c r="A1810" s="4" t="s">
        <v>1999</v>
      </c>
      <c r="B1810" s="5">
        <v>45931</v>
      </c>
      <c r="C1810" s="15">
        <f>WEEKNUM(Orders[[#This Row],[OrderDate]])</f>
        <v>40</v>
      </c>
      <c r="D1810" s="4" t="s">
        <v>91</v>
      </c>
      <c r="E1810" s="4" t="s">
        <v>25</v>
      </c>
      <c r="F1810" s="4">
        <v>6</v>
      </c>
      <c r="G1810" s="4">
        <v>2045.6</v>
      </c>
      <c r="H1810">
        <v>1738.76</v>
      </c>
      <c r="I1810">
        <f>Orders[[#This Row],[Quantity]]*Orders[[#This Row],[Selling Price]]</f>
        <v>12273.599999999999</v>
      </c>
      <c r="J1810">
        <f>Orders[[#This Row],[Quantity]]*Orders[[#This Row],[Cost Price]]</f>
        <v>10432.56</v>
      </c>
      <c r="K1810">
        <f>Orders[[#This Row],[Revenue]]-Orders[[#This Row],[Expenses]]</f>
        <v>1841.0399999999991</v>
      </c>
      <c r="L1810" t="s">
        <v>2196</v>
      </c>
      <c r="M1810" t="str">
        <f>_xlfn.XLOOKUP(Orders[[#This Row],[CustomerID]],Customers[CustomerID],Customers[City])</f>
        <v>Florida</v>
      </c>
      <c r="N1810" t="str">
        <f>_xlfn.XLOOKUP(Orders[[#This Row],[CustomerID]],Customers[CustomerID],Customers[CustomerName])</f>
        <v>Uche Abubakar</v>
      </c>
      <c r="O1810" t="str">
        <f>_xlfn.XLOOKUP(Orders[[#This Row],[CustomerID]],Customers[CustomerID],Customers[Gender])</f>
        <v>Male</v>
      </c>
      <c r="P1810">
        <f>_xlfn.XLOOKUP(Orders[[#This Row],[CustomerID]],Customers[CustomerID],Customers[CustomerAge])</f>
        <v>28</v>
      </c>
      <c r="Q1810" t="str">
        <f>IF(Orders[[#This Row],[Age]]&gt;=35,"older","young")</f>
        <v>young</v>
      </c>
      <c r="R1810" t="str">
        <f>_xlfn.XLOOKUP(Orders[[#This Row],[ProductID]],Products[ProductID],Products[ProductName])</f>
        <v>GOLD RINGS</v>
      </c>
      <c r="S1810" t="str">
        <f>_xlfn.XLOOKUP(Orders[[#This Row],[ProductID]],Products!A:A,Products!C:C)</f>
        <v>Accessories</v>
      </c>
    </row>
    <row r="1811" spans="1:19" x14ac:dyDescent="0.2">
      <c r="A1811" s="4" t="s">
        <v>2000</v>
      </c>
      <c r="B1811" s="5">
        <v>45939</v>
      </c>
      <c r="C1811" s="15">
        <f>WEEKNUM(Orders[[#This Row],[OrderDate]])</f>
        <v>41</v>
      </c>
      <c r="D1811" s="4" t="s">
        <v>150</v>
      </c>
      <c r="E1811" s="4" t="s">
        <v>208</v>
      </c>
      <c r="F1811" s="4">
        <v>2</v>
      </c>
      <c r="G1811" s="4">
        <v>19719.2</v>
      </c>
      <c r="H1811">
        <v>16761.32</v>
      </c>
      <c r="I1811">
        <f>Orders[[#This Row],[Quantity]]*Orders[[#This Row],[Selling Price]]</f>
        <v>39438.400000000001</v>
      </c>
      <c r="J1811">
        <f>Orders[[#This Row],[Quantity]]*Orders[[#This Row],[Cost Price]]</f>
        <v>33522.639999999999</v>
      </c>
      <c r="K1811">
        <f>Orders[[#This Row],[Revenue]]-Orders[[#This Row],[Expenses]]</f>
        <v>5915.760000000002</v>
      </c>
      <c r="L1811" t="s">
        <v>2203</v>
      </c>
      <c r="M1811" t="str">
        <f>_xlfn.XLOOKUP(Orders[[#This Row],[CustomerID]],Customers[CustomerID],Customers[City])</f>
        <v>Georgia</v>
      </c>
      <c r="N1811" t="str">
        <f>_xlfn.XLOOKUP(Orders[[#This Row],[CustomerID]],Customers[CustomerID],Customers[CustomerName])</f>
        <v>Ronke Eze</v>
      </c>
      <c r="O1811" t="str">
        <f>_xlfn.XLOOKUP(Orders[[#This Row],[CustomerID]],Customers[CustomerID],Customers[Gender])</f>
        <v>Female</v>
      </c>
      <c r="P1811">
        <f>_xlfn.XLOOKUP(Orders[[#This Row],[CustomerID]],Customers[CustomerID],Customers[CustomerAge])</f>
        <v>23</v>
      </c>
      <c r="Q1811" t="str">
        <f>IF(Orders[[#This Row],[Age]]&gt;=35,"older","young")</f>
        <v>young</v>
      </c>
      <c r="R1811" t="str">
        <f>_xlfn.XLOOKUP(Orders[[#This Row],[ProductID]],Products[ProductID],Products[ProductName])</f>
        <v>SKIPPING ROPE</v>
      </c>
      <c r="S1811" t="str">
        <f>_xlfn.XLOOKUP(Orders[[#This Row],[ProductID]],Products!A:A,Products!C:C)</f>
        <v>Sports</v>
      </c>
    </row>
    <row r="1812" spans="1:19" x14ac:dyDescent="0.2">
      <c r="A1812" s="4" t="s">
        <v>2001</v>
      </c>
      <c r="B1812" s="5">
        <v>45952</v>
      </c>
      <c r="C1812" s="15">
        <f>WEEKNUM(Orders[[#This Row],[OrderDate]])</f>
        <v>43</v>
      </c>
      <c r="D1812" s="4" t="s">
        <v>517</v>
      </c>
      <c r="E1812" s="4" t="s">
        <v>353</v>
      </c>
      <c r="F1812" s="4">
        <v>9</v>
      </c>
      <c r="G1812" s="4">
        <v>2694.4</v>
      </c>
      <c r="H1812">
        <v>2290.2400000000002</v>
      </c>
      <c r="I1812">
        <f>Orders[[#This Row],[Quantity]]*Orders[[#This Row],[Selling Price]]</f>
        <v>24249.600000000002</v>
      </c>
      <c r="J1812">
        <f>Orders[[#This Row],[Quantity]]*Orders[[#This Row],[Cost Price]]</f>
        <v>20612.160000000003</v>
      </c>
      <c r="K1812">
        <f>Orders[[#This Row],[Revenue]]-Orders[[#This Row],[Expenses]]</f>
        <v>3637.4399999999987</v>
      </c>
      <c r="L1812" t="s">
        <v>2219</v>
      </c>
      <c r="M1812" t="str">
        <f>_xlfn.XLOOKUP(Orders[[#This Row],[CustomerID]],Customers[CustomerID],Customers[City])</f>
        <v>Florida</v>
      </c>
      <c r="N1812" t="str">
        <f>_xlfn.XLOOKUP(Orders[[#This Row],[CustomerID]],Customers[CustomerID],Customers[CustomerName])</f>
        <v>Efe Adeyemi</v>
      </c>
      <c r="O1812" t="str">
        <f>_xlfn.XLOOKUP(Orders[[#This Row],[CustomerID]],Customers[CustomerID],Customers[Gender])</f>
        <v>Female</v>
      </c>
      <c r="P1812">
        <f>_xlfn.XLOOKUP(Orders[[#This Row],[CustomerID]],Customers[CustomerID],Customers[CustomerAge])</f>
        <v>25</v>
      </c>
      <c r="Q1812" t="str">
        <f>IF(Orders[[#This Row],[Age]]&gt;=35,"older","young")</f>
        <v>young</v>
      </c>
      <c r="R1812" t="str">
        <f>_xlfn.XLOOKUP(Orders[[#This Row],[ProductID]],Products[ProductID],Products[ProductName])</f>
        <v>SILVER EARRINGS AND NECKLACES</v>
      </c>
      <c r="S1812" t="str">
        <f>_xlfn.XLOOKUP(Orders[[#This Row],[ProductID]],Products!A:A,Products!C:C)</f>
        <v>Accessories</v>
      </c>
    </row>
    <row r="1813" spans="1:19" x14ac:dyDescent="0.2">
      <c r="A1813" s="4" t="s">
        <v>2002</v>
      </c>
      <c r="B1813" s="5">
        <v>45994</v>
      </c>
      <c r="C1813" s="15">
        <f>WEEKNUM(Orders[[#This Row],[OrderDate]])</f>
        <v>49</v>
      </c>
      <c r="D1813" s="4" t="s">
        <v>295</v>
      </c>
      <c r="E1813" s="4" t="s">
        <v>46</v>
      </c>
      <c r="F1813" s="4">
        <v>1</v>
      </c>
      <c r="G1813" s="4">
        <v>5800.4</v>
      </c>
      <c r="H1813">
        <v>4930.34</v>
      </c>
      <c r="I1813">
        <f>Orders[[#This Row],[Quantity]]*Orders[[#This Row],[Selling Price]]</f>
        <v>5800.4</v>
      </c>
      <c r="J1813">
        <f>Orders[[#This Row],[Quantity]]*Orders[[#This Row],[Cost Price]]</f>
        <v>4930.34</v>
      </c>
      <c r="K1813">
        <f>Orders[[#This Row],[Revenue]]-Orders[[#This Row],[Expenses]]</f>
        <v>870.05999999999949</v>
      </c>
      <c r="L1813" t="s">
        <v>2193</v>
      </c>
      <c r="M1813" t="str">
        <f>_xlfn.XLOOKUP(Orders[[#This Row],[CustomerID]],Customers[CustomerID],Customers[City])</f>
        <v>Texas</v>
      </c>
      <c r="N1813" t="str">
        <f>_xlfn.XLOOKUP(Orders[[#This Row],[CustomerID]],Customers[CustomerID],Customers[CustomerName])</f>
        <v>Sani Obi</v>
      </c>
      <c r="O1813" t="str">
        <f>_xlfn.XLOOKUP(Orders[[#This Row],[CustomerID]],Customers[CustomerID],Customers[Gender])</f>
        <v>Male</v>
      </c>
      <c r="P1813">
        <f>_xlfn.XLOOKUP(Orders[[#This Row],[CustomerID]],Customers[CustomerID],Customers[CustomerAge])</f>
        <v>31</v>
      </c>
      <c r="Q1813" t="str">
        <f>IF(Orders[[#This Row],[Age]]&gt;=35,"older","young")</f>
        <v>young</v>
      </c>
      <c r="R1813" t="str">
        <f>_xlfn.XLOOKUP(Orders[[#This Row],[ProductID]],Products[ProductID],Products[ProductName])</f>
        <v>TURTLE NECK</v>
      </c>
      <c r="S1813" t="str">
        <f>_xlfn.XLOOKUP(Orders[[#This Row],[ProductID]],Products!A:A,Products!C:C)</f>
        <v>Clothing</v>
      </c>
    </row>
    <row r="1814" spans="1:19" x14ac:dyDescent="0.2">
      <c r="A1814" s="4" t="s">
        <v>2003</v>
      </c>
      <c r="B1814" s="5">
        <v>45994</v>
      </c>
      <c r="C1814" s="15">
        <f>WEEKNUM(Orders[[#This Row],[OrderDate]])</f>
        <v>49</v>
      </c>
      <c r="D1814" s="4" t="s">
        <v>205</v>
      </c>
      <c r="E1814" s="4" t="s">
        <v>157</v>
      </c>
      <c r="F1814" s="4">
        <v>6</v>
      </c>
      <c r="G1814" s="4">
        <v>13454.6</v>
      </c>
      <c r="H1814">
        <v>11436.41</v>
      </c>
      <c r="I1814">
        <f>Orders[[#This Row],[Quantity]]*Orders[[#This Row],[Selling Price]]</f>
        <v>80727.600000000006</v>
      </c>
      <c r="J1814">
        <f>Orders[[#This Row],[Quantity]]*Orders[[#This Row],[Cost Price]]</f>
        <v>68618.459999999992</v>
      </c>
      <c r="K1814">
        <f>Orders[[#This Row],[Revenue]]-Orders[[#This Row],[Expenses]]</f>
        <v>12109.140000000014</v>
      </c>
      <c r="L1814" t="s">
        <v>2198</v>
      </c>
      <c r="M1814" t="str">
        <f>_xlfn.XLOOKUP(Orders[[#This Row],[CustomerID]],Customers[CustomerID],Customers[City])</f>
        <v>Washington</v>
      </c>
      <c r="N1814" t="str">
        <f>_xlfn.XLOOKUP(Orders[[#This Row],[CustomerID]],Customers[CustomerID],Customers[CustomerName])</f>
        <v>Jide Adeyemi</v>
      </c>
      <c r="O1814" t="str">
        <f>_xlfn.XLOOKUP(Orders[[#This Row],[CustomerID]],Customers[CustomerID],Customers[Gender])</f>
        <v>Male</v>
      </c>
      <c r="P1814">
        <f>_xlfn.XLOOKUP(Orders[[#This Row],[CustomerID]],Customers[CustomerID],Customers[CustomerAge])</f>
        <v>19</v>
      </c>
      <c r="Q1814" t="str">
        <f>IF(Orders[[#This Row],[Age]]&gt;=35,"older","young")</f>
        <v>young</v>
      </c>
      <c r="R1814" t="str">
        <f>_xlfn.XLOOKUP(Orders[[#This Row],[ProductID]],Products[ProductID],Products[ProductName])</f>
        <v>FOOTBALL</v>
      </c>
      <c r="S1814" t="str">
        <f>_xlfn.XLOOKUP(Orders[[#This Row],[ProductID]],Products!A:A,Products!C:C)</f>
        <v>Sports</v>
      </c>
    </row>
    <row r="1815" spans="1:19" x14ac:dyDescent="0.2">
      <c r="A1815" s="4" t="s">
        <v>2004</v>
      </c>
      <c r="B1815" s="5">
        <v>45970</v>
      </c>
      <c r="C1815" s="15">
        <f>WEEKNUM(Orders[[#This Row],[OrderDate]])</f>
        <v>46</v>
      </c>
      <c r="D1815" s="4" t="s">
        <v>374</v>
      </c>
      <c r="E1815" s="4" t="s">
        <v>60</v>
      </c>
      <c r="F1815" s="4">
        <v>2</v>
      </c>
      <c r="G1815" s="4">
        <v>15255.1</v>
      </c>
      <c r="H1815">
        <v>12966.835000000001</v>
      </c>
      <c r="I1815">
        <f>Orders[[#This Row],[Quantity]]*Orders[[#This Row],[Selling Price]]</f>
        <v>30510.2</v>
      </c>
      <c r="J1815">
        <f>Orders[[#This Row],[Quantity]]*Orders[[#This Row],[Cost Price]]</f>
        <v>25933.670000000002</v>
      </c>
      <c r="K1815">
        <f>Orders[[#This Row],[Revenue]]-Orders[[#This Row],[Expenses]]</f>
        <v>4576.5299999999988</v>
      </c>
      <c r="L1815" t="s">
        <v>2208</v>
      </c>
      <c r="M1815" t="str">
        <f>_xlfn.XLOOKUP(Orders[[#This Row],[CustomerID]],Customers[CustomerID],Customers[City])</f>
        <v>Texas</v>
      </c>
      <c r="N1815" t="str">
        <f>_xlfn.XLOOKUP(Orders[[#This Row],[CustomerID]],Customers[CustomerID],Customers[CustomerName])</f>
        <v>Uche Okonkwo</v>
      </c>
      <c r="O1815" t="str">
        <f>_xlfn.XLOOKUP(Orders[[#This Row],[CustomerID]],Customers[CustomerID],Customers[Gender])</f>
        <v>Male</v>
      </c>
      <c r="P1815">
        <f>_xlfn.XLOOKUP(Orders[[#This Row],[CustomerID]],Customers[CustomerID],Customers[CustomerAge])</f>
        <v>27</v>
      </c>
      <c r="Q1815" t="str">
        <f>IF(Orders[[#This Row],[Age]]&gt;=35,"older","young")</f>
        <v>young</v>
      </c>
      <c r="R1815" t="str">
        <f>_xlfn.XLOOKUP(Orders[[#This Row],[ProductID]],Products[ProductID],Products[ProductName])</f>
        <v>SILVER RINGS</v>
      </c>
      <c r="S1815" t="str">
        <f>_xlfn.XLOOKUP(Orders[[#This Row],[ProductID]],Products!A:A,Products!C:C)</f>
        <v>Accessories</v>
      </c>
    </row>
    <row r="1816" spans="1:19" x14ac:dyDescent="0.2">
      <c r="A1816" s="4" t="s">
        <v>2005</v>
      </c>
      <c r="B1816" s="5">
        <v>46010</v>
      </c>
      <c r="C1816" s="15">
        <f>WEEKNUM(Orders[[#This Row],[OrderDate]])</f>
        <v>51</v>
      </c>
      <c r="D1816" s="4" t="s">
        <v>41</v>
      </c>
      <c r="E1816" s="4" t="s">
        <v>57</v>
      </c>
      <c r="F1816" s="4">
        <v>3</v>
      </c>
      <c r="G1816" s="4">
        <v>16229.6</v>
      </c>
      <c r="H1816">
        <v>13795.16</v>
      </c>
      <c r="I1816">
        <f>Orders[[#This Row],[Quantity]]*Orders[[#This Row],[Selling Price]]</f>
        <v>48688.800000000003</v>
      </c>
      <c r="J1816">
        <f>Orders[[#This Row],[Quantity]]*Orders[[#This Row],[Cost Price]]</f>
        <v>41385.479999999996</v>
      </c>
      <c r="K1816">
        <f>Orders[[#This Row],[Revenue]]-Orders[[#This Row],[Expenses]]</f>
        <v>7303.320000000007</v>
      </c>
      <c r="L1816" t="s">
        <v>2218</v>
      </c>
      <c r="M1816" t="str">
        <f>_xlfn.XLOOKUP(Orders[[#This Row],[CustomerID]],Customers[CustomerID],Customers[City])</f>
        <v>Texas</v>
      </c>
      <c r="N1816" t="str">
        <f>_xlfn.XLOOKUP(Orders[[#This Row],[CustomerID]],Customers[CustomerID],Customers[CustomerName])</f>
        <v>Mustafa Balogun</v>
      </c>
      <c r="O1816" t="str">
        <f>_xlfn.XLOOKUP(Orders[[#This Row],[CustomerID]],Customers[CustomerID],Customers[Gender])</f>
        <v>Male</v>
      </c>
      <c r="P1816">
        <f>_xlfn.XLOOKUP(Orders[[#This Row],[CustomerID]],Customers[CustomerID],Customers[CustomerAge])</f>
        <v>40</v>
      </c>
      <c r="Q1816" t="str">
        <f>IF(Orders[[#This Row],[Age]]&gt;=35,"older","young")</f>
        <v>older</v>
      </c>
      <c r="R1816" t="str">
        <f>_xlfn.XLOOKUP(Orders[[#This Row],[ProductID]],Products[ProductID],Products[ProductName])</f>
        <v>BADMINTON RACKET</v>
      </c>
      <c r="S1816" t="str">
        <f>_xlfn.XLOOKUP(Orders[[#This Row],[ProductID]],Products!A:A,Products!C:C)</f>
        <v>Sports</v>
      </c>
    </row>
    <row r="1817" spans="1:19" x14ac:dyDescent="0.2">
      <c r="A1817" s="4" t="s">
        <v>2006</v>
      </c>
      <c r="B1817" s="5">
        <v>46021</v>
      </c>
      <c r="C1817" s="15">
        <f>WEEKNUM(Orders[[#This Row],[OrderDate]])</f>
        <v>53</v>
      </c>
      <c r="D1817" s="4" t="s">
        <v>30</v>
      </c>
      <c r="E1817" s="4" t="s">
        <v>353</v>
      </c>
      <c r="F1817" s="4">
        <v>4</v>
      </c>
      <c r="G1817" s="4">
        <v>13582.4</v>
      </c>
      <c r="H1817">
        <v>11545.039999999999</v>
      </c>
      <c r="I1817">
        <f>Orders[[#This Row],[Quantity]]*Orders[[#This Row],[Selling Price]]</f>
        <v>54329.599999999999</v>
      </c>
      <c r="J1817">
        <f>Orders[[#This Row],[Quantity]]*Orders[[#This Row],[Cost Price]]</f>
        <v>46180.159999999996</v>
      </c>
      <c r="K1817">
        <f>Orders[[#This Row],[Revenue]]-Orders[[#This Row],[Expenses]]</f>
        <v>8149.4400000000023</v>
      </c>
      <c r="L1817" t="s">
        <v>2194</v>
      </c>
      <c r="M1817" t="str">
        <f>_xlfn.XLOOKUP(Orders[[#This Row],[CustomerID]],Customers[CustomerID],Customers[City])</f>
        <v>Florida</v>
      </c>
      <c r="N1817" t="str">
        <f>_xlfn.XLOOKUP(Orders[[#This Row],[CustomerID]],Customers[CustomerID],Customers[CustomerName])</f>
        <v>Amina Danladi</v>
      </c>
      <c r="O1817" t="str">
        <f>_xlfn.XLOOKUP(Orders[[#This Row],[CustomerID]],Customers[CustomerID],Customers[Gender])</f>
        <v>Female</v>
      </c>
      <c r="P1817">
        <f>_xlfn.XLOOKUP(Orders[[#This Row],[CustomerID]],Customers[CustomerID],Customers[CustomerAge])</f>
        <v>42</v>
      </c>
      <c r="Q1817" t="str">
        <f>IF(Orders[[#This Row],[Age]]&gt;=35,"older","young")</f>
        <v>older</v>
      </c>
      <c r="R1817" t="str">
        <f>_xlfn.XLOOKUP(Orders[[#This Row],[ProductID]],Products[ProductID],Products[ProductName])</f>
        <v>SILVER EARRINGS AND NECKLACES</v>
      </c>
      <c r="S1817" t="str">
        <f>_xlfn.XLOOKUP(Orders[[#This Row],[ProductID]],Products!A:A,Products!C:C)</f>
        <v>Accessories</v>
      </c>
    </row>
    <row r="1818" spans="1:19" x14ac:dyDescent="0.2">
      <c r="A1818" s="4" t="s">
        <v>2007</v>
      </c>
      <c r="B1818" s="5">
        <v>45954</v>
      </c>
      <c r="C1818" s="15">
        <f>WEEKNUM(Orders[[#This Row],[OrderDate]])</f>
        <v>43</v>
      </c>
      <c r="D1818" s="4" t="s">
        <v>174</v>
      </c>
      <c r="E1818" s="4" t="s">
        <v>151</v>
      </c>
      <c r="F1818" s="4">
        <v>7</v>
      </c>
      <c r="G1818" s="4">
        <v>2542.1</v>
      </c>
      <c r="H1818">
        <v>2160.7849999999999</v>
      </c>
      <c r="I1818">
        <f>Orders[[#This Row],[Quantity]]*Orders[[#This Row],[Selling Price]]</f>
        <v>17794.7</v>
      </c>
      <c r="J1818">
        <f>Orders[[#This Row],[Quantity]]*Orders[[#This Row],[Cost Price]]</f>
        <v>15125.494999999999</v>
      </c>
      <c r="K1818">
        <f>Orders[[#This Row],[Revenue]]-Orders[[#This Row],[Expenses]]</f>
        <v>2669.2050000000017</v>
      </c>
      <c r="L1818" t="s">
        <v>2192</v>
      </c>
      <c r="M1818" t="str">
        <f>_xlfn.XLOOKUP(Orders[[#This Row],[CustomerID]],Customers[CustomerID],Customers[City])</f>
        <v>California</v>
      </c>
      <c r="N1818" t="str">
        <f>_xlfn.XLOOKUP(Orders[[#This Row],[CustomerID]],Customers[CustomerID],Customers[CustomerName])</f>
        <v>Zainab Obi</v>
      </c>
      <c r="O1818" t="str">
        <f>_xlfn.XLOOKUP(Orders[[#This Row],[CustomerID]],Customers[CustomerID],Customers[Gender])</f>
        <v>Female</v>
      </c>
      <c r="P1818">
        <f>_xlfn.XLOOKUP(Orders[[#This Row],[CustomerID]],Customers[CustomerID],Customers[CustomerAge])</f>
        <v>18</v>
      </c>
      <c r="Q1818" t="str">
        <f>IF(Orders[[#This Row],[Age]]&gt;=35,"older","young")</f>
        <v>young</v>
      </c>
      <c r="R1818" t="str">
        <f>_xlfn.XLOOKUP(Orders[[#This Row],[ProductID]],Products[ProductID],Products[ProductName])</f>
        <v>CHECKERS</v>
      </c>
      <c r="S1818" t="str">
        <f>_xlfn.XLOOKUP(Orders[[#This Row],[ProductID]],Products!A:A,Products!C:C)</f>
        <v>Games</v>
      </c>
    </row>
    <row r="1819" spans="1:19" x14ac:dyDescent="0.2">
      <c r="A1819" s="4" t="s">
        <v>2008</v>
      </c>
      <c r="B1819" s="5">
        <v>45974</v>
      </c>
      <c r="C1819" s="15">
        <f>WEEKNUM(Orders[[#This Row],[OrderDate]])</f>
        <v>46</v>
      </c>
      <c r="D1819" s="4" t="s">
        <v>346</v>
      </c>
      <c r="E1819" s="4" t="s">
        <v>23</v>
      </c>
      <c r="F1819" s="4">
        <v>4</v>
      </c>
      <c r="G1819" s="4">
        <v>596.70000000000005</v>
      </c>
      <c r="H1819">
        <v>507.19500000000005</v>
      </c>
      <c r="I1819">
        <f>Orders[[#This Row],[Quantity]]*Orders[[#This Row],[Selling Price]]</f>
        <v>2386.8000000000002</v>
      </c>
      <c r="J1819">
        <f>Orders[[#This Row],[Quantity]]*Orders[[#This Row],[Cost Price]]</f>
        <v>2028.7800000000002</v>
      </c>
      <c r="K1819">
        <f>Orders[[#This Row],[Revenue]]-Orders[[#This Row],[Expenses]]</f>
        <v>358.02</v>
      </c>
      <c r="L1819" t="s">
        <v>2201</v>
      </c>
      <c r="M1819" t="str">
        <f>_xlfn.XLOOKUP(Orders[[#This Row],[CustomerID]],Customers[CustomerID],Customers[City])</f>
        <v>California</v>
      </c>
      <c r="N1819" t="str">
        <f>_xlfn.XLOOKUP(Orders[[#This Row],[CustomerID]],Customers[CustomerID],Customers[CustomerName])</f>
        <v>Ngozi Danladi</v>
      </c>
      <c r="O1819" t="str">
        <f>_xlfn.XLOOKUP(Orders[[#This Row],[CustomerID]],Customers[CustomerID],Customers[Gender])</f>
        <v>Female</v>
      </c>
      <c r="P1819">
        <f>_xlfn.XLOOKUP(Orders[[#This Row],[CustomerID]],Customers[CustomerID],Customers[CustomerAge])</f>
        <v>30</v>
      </c>
      <c r="Q1819" t="str">
        <f>IF(Orders[[#This Row],[Age]]&gt;=35,"older","young")</f>
        <v>young</v>
      </c>
      <c r="R1819" t="str">
        <f>_xlfn.XLOOKUP(Orders[[#This Row],[ProductID]],Products[ProductID],Products[ProductName])</f>
        <v>GYM GLOVES</v>
      </c>
      <c r="S1819" t="str">
        <f>_xlfn.XLOOKUP(Orders[[#This Row],[ProductID]],Products!A:A,Products!C:C)</f>
        <v>Gym</v>
      </c>
    </row>
    <row r="1820" spans="1:19" x14ac:dyDescent="0.2">
      <c r="A1820" s="4" t="s">
        <v>2009</v>
      </c>
      <c r="B1820" s="5">
        <v>45969</v>
      </c>
      <c r="C1820" s="15">
        <f>WEEKNUM(Orders[[#This Row],[OrderDate]])</f>
        <v>45</v>
      </c>
      <c r="D1820" s="4" t="s">
        <v>48</v>
      </c>
      <c r="E1820" s="4" t="s">
        <v>46</v>
      </c>
      <c r="F1820" s="4">
        <v>1</v>
      </c>
      <c r="G1820" s="4">
        <v>15025.9</v>
      </c>
      <c r="H1820">
        <v>12772.014999999999</v>
      </c>
      <c r="I1820">
        <f>Orders[[#This Row],[Quantity]]*Orders[[#This Row],[Selling Price]]</f>
        <v>15025.9</v>
      </c>
      <c r="J1820">
        <f>Orders[[#This Row],[Quantity]]*Orders[[#This Row],[Cost Price]]</f>
        <v>12772.014999999999</v>
      </c>
      <c r="K1820">
        <f>Orders[[#This Row],[Revenue]]-Orders[[#This Row],[Expenses]]</f>
        <v>2253.8850000000002</v>
      </c>
      <c r="L1820" t="s">
        <v>2193</v>
      </c>
      <c r="M1820" t="str">
        <f>_xlfn.XLOOKUP(Orders[[#This Row],[CustomerID]],Customers[CustomerID],Customers[City])</f>
        <v>California</v>
      </c>
      <c r="N1820" t="str">
        <f>_xlfn.XLOOKUP(Orders[[#This Row],[CustomerID]],Customers[CustomerID],Customers[CustomerName])</f>
        <v>Mustafa Obi</v>
      </c>
      <c r="O1820" t="str">
        <f>_xlfn.XLOOKUP(Orders[[#This Row],[CustomerID]],Customers[CustomerID],Customers[Gender])</f>
        <v>Male</v>
      </c>
      <c r="P1820">
        <f>_xlfn.XLOOKUP(Orders[[#This Row],[CustomerID]],Customers[CustomerID],Customers[CustomerAge])</f>
        <v>23</v>
      </c>
      <c r="Q1820" t="str">
        <f>IF(Orders[[#This Row],[Age]]&gt;=35,"older","young")</f>
        <v>young</v>
      </c>
      <c r="R1820" t="str">
        <f>_xlfn.XLOOKUP(Orders[[#This Row],[ProductID]],Products[ProductID],Products[ProductName])</f>
        <v>TURTLE NECK</v>
      </c>
      <c r="S1820" t="str">
        <f>_xlfn.XLOOKUP(Orders[[#This Row],[ProductID]],Products!A:A,Products!C:C)</f>
        <v>Clothing</v>
      </c>
    </row>
    <row r="1821" spans="1:19" x14ac:dyDescent="0.2">
      <c r="A1821" s="4" t="s">
        <v>2010</v>
      </c>
      <c r="B1821" s="5">
        <v>45947</v>
      </c>
      <c r="C1821" s="15">
        <f>WEEKNUM(Orders[[#This Row],[OrderDate]])</f>
        <v>42</v>
      </c>
      <c r="D1821" s="4" t="s">
        <v>75</v>
      </c>
      <c r="E1821" s="4" t="s">
        <v>34</v>
      </c>
      <c r="F1821" s="4">
        <v>7</v>
      </c>
      <c r="G1821" s="4">
        <v>4592.6000000000004</v>
      </c>
      <c r="H1821">
        <v>3903.7100000000005</v>
      </c>
      <c r="I1821">
        <f>Orders[[#This Row],[Quantity]]*Orders[[#This Row],[Selling Price]]</f>
        <v>32148.200000000004</v>
      </c>
      <c r="J1821">
        <f>Orders[[#This Row],[Quantity]]*Orders[[#This Row],[Cost Price]]</f>
        <v>27325.970000000005</v>
      </c>
      <c r="K1821">
        <f>Orders[[#This Row],[Revenue]]-Orders[[#This Row],[Expenses]]</f>
        <v>4822.2299999999996</v>
      </c>
      <c r="L1821" t="s">
        <v>2206</v>
      </c>
      <c r="M1821" t="str">
        <f>_xlfn.XLOOKUP(Orders[[#This Row],[CustomerID]],Customers[CustomerID],Customers[City])</f>
        <v>Texas</v>
      </c>
      <c r="N1821" t="str">
        <f>_xlfn.XLOOKUP(Orders[[#This Row],[CustomerID]],Customers[CustomerID],Customers[CustomerName])</f>
        <v>Tunde Danladi</v>
      </c>
      <c r="O1821" t="str">
        <f>_xlfn.XLOOKUP(Orders[[#This Row],[CustomerID]],Customers[CustomerID],Customers[Gender])</f>
        <v>Male</v>
      </c>
      <c r="P1821">
        <f>_xlfn.XLOOKUP(Orders[[#This Row],[CustomerID]],Customers[CustomerID],Customers[CustomerAge])</f>
        <v>47</v>
      </c>
      <c r="Q1821" t="str">
        <f>IF(Orders[[#This Row],[Age]]&gt;=35,"older","young")</f>
        <v>older</v>
      </c>
      <c r="R1821" t="str">
        <f>_xlfn.XLOOKUP(Orders[[#This Row],[ProductID]],Products[ProductID],Products[ProductName])</f>
        <v>GOLD BRACELETS</v>
      </c>
      <c r="S1821" t="str">
        <f>_xlfn.XLOOKUP(Orders[[#This Row],[ProductID]],Products!A:A,Products!C:C)</f>
        <v>Accessories</v>
      </c>
    </row>
    <row r="1822" spans="1:19" x14ac:dyDescent="0.2">
      <c r="A1822" s="4" t="s">
        <v>2011</v>
      </c>
      <c r="B1822" s="5">
        <v>45963</v>
      </c>
      <c r="C1822" s="15">
        <f>WEEKNUM(Orders[[#This Row],[OrderDate]])</f>
        <v>45</v>
      </c>
      <c r="D1822" s="4" t="s">
        <v>59</v>
      </c>
      <c r="E1822" s="4" t="s">
        <v>120</v>
      </c>
      <c r="F1822" s="4">
        <v>1</v>
      </c>
      <c r="G1822" s="4">
        <v>8259.1</v>
      </c>
      <c r="H1822">
        <v>7020.2350000000006</v>
      </c>
      <c r="I1822">
        <f>Orders[[#This Row],[Quantity]]*Orders[[#This Row],[Selling Price]]</f>
        <v>8259.1</v>
      </c>
      <c r="J1822">
        <f>Orders[[#This Row],[Quantity]]*Orders[[#This Row],[Cost Price]]</f>
        <v>7020.2350000000006</v>
      </c>
      <c r="K1822">
        <f>Orders[[#This Row],[Revenue]]-Orders[[#This Row],[Expenses]]</f>
        <v>1238.8649999999998</v>
      </c>
      <c r="L1822" t="s">
        <v>2204</v>
      </c>
      <c r="M1822" t="str">
        <f>_xlfn.XLOOKUP(Orders[[#This Row],[CustomerID]],Customers[CustomerID],Customers[City])</f>
        <v>Texas</v>
      </c>
      <c r="N1822" t="str">
        <f>_xlfn.XLOOKUP(Orders[[#This Row],[CustomerID]],Customers[CustomerID],Customers[CustomerName])</f>
        <v>Adanma Danladi</v>
      </c>
      <c r="O1822" t="str">
        <f>_xlfn.XLOOKUP(Orders[[#This Row],[CustomerID]],Customers[CustomerID],Customers[Gender])</f>
        <v>Female</v>
      </c>
      <c r="P1822">
        <f>_xlfn.XLOOKUP(Orders[[#This Row],[CustomerID]],Customers[CustomerID],Customers[CustomerAge])</f>
        <v>24</v>
      </c>
      <c r="Q1822" t="str">
        <f>IF(Orders[[#This Row],[Age]]&gt;=35,"older","young")</f>
        <v>young</v>
      </c>
      <c r="R1822" t="str">
        <f>_xlfn.XLOOKUP(Orders[[#This Row],[ProductID]],Products[ProductID],Products[ProductName])</f>
        <v>CHESS</v>
      </c>
      <c r="S1822" t="str">
        <f>_xlfn.XLOOKUP(Orders[[#This Row],[ProductID]],Products!A:A,Products!C:C)</f>
        <v>Games</v>
      </c>
    </row>
    <row r="1823" spans="1:19" x14ac:dyDescent="0.2">
      <c r="A1823" s="4" t="s">
        <v>2012</v>
      </c>
      <c r="B1823" s="5">
        <v>45997</v>
      </c>
      <c r="C1823" s="15">
        <f>WEEKNUM(Orders[[#This Row],[OrderDate]])</f>
        <v>49</v>
      </c>
      <c r="D1823" s="4" t="s">
        <v>116</v>
      </c>
      <c r="E1823" s="4" t="s">
        <v>84</v>
      </c>
      <c r="F1823" s="4">
        <v>9</v>
      </c>
      <c r="G1823" s="4">
        <v>7929.2</v>
      </c>
      <c r="H1823">
        <v>6739.82</v>
      </c>
      <c r="I1823">
        <f>Orders[[#This Row],[Quantity]]*Orders[[#This Row],[Selling Price]]</f>
        <v>71362.8</v>
      </c>
      <c r="J1823">
        <f>Orders[[#This Row],[Quantity]]*Orders[[#This Row],[Cost Price]]</f>
        <v>60658.38</v>
      </c>
      <c r="K1823">
        <f>Orders[[#This Row],[Revenue]]-Orders[[#This Row],[Expenses]]</f>
        <v>10704.420000000006</v>
      </c>
      <c r="L1823" t="s">
        <v>2204</v>
      </c>
      <c r="M1823" t="str">
        <f>_xlfn.XLOOKUP(Orders[[#This Row],[CustomerID]],Customers[CustomerID],Customers[City])</f>
        <v>Texas</v>
      </c>
      <c r="N1823" t="str">
        <f>_xlfn.XLOOKUP(Orders[[#This Row],[CustomerID]],Customers[CustomerID],Customers[CustomerName])</f>
        <v>Uche Bello</v>
      </c>
      <c r="O1823" t="str">
        <f>_xlfn.XLOOKUP(Orders[[#This Row],[CustomerID]],Customers[CustomerID],Customers[Gender])</f>
        <v>Male</v>
      </c>
      <c r="P1823">
        <f>_xlfn.XLOOKUP(Orders[[#This Row],[CustomerID]],Customers[CustomerID],Customers[CustomerAge])</f>
        <v>21</v>
      </c>
      <c r="Q1823" t="str">
        <f>IF(Orders[[#This Row],[Age]]&gt;=35,"older","young")</f>
        <v>young</v>
      </c>
      <c r="R1823" t="str">
        <f>_xlfn.XLOOKUP(Orders[[#This Row],[ProductID]],Products[ProductID],Products[ProductName])</f>
        <v>GYM WEARS</v>
      </c>
      <c r="S1823" t="str">
        <f>_xlfn.XLOOKUP(Orders[[#This Row],[ProductID]],Products!A:A,Products!C:C)</f>
        <v>Clothing</v>
      </c>
    </row>
    <row r="1824" spans="1:19" x14ac:dyDescent="0.2">
      <c r="A1824" s="4" t="s">
        <v>2013</v>
      </c>
      <c r="B1824" s="5">
        <v>45984</v>
      </c>
      <c r="C1824" s="15">
        <f>WEEKNUM(Orders[[#This Row],[OrderDate]])</f>
        <v>48</v>
      </c>
      <c r="D1824" s="4" t="s">
        <v>52</v>
      </c>
      <c r="E1824" s="4" t="s">
        <v>76</v>
      </c>
      <c r="F1824" s="4">
        <v>9</v>
      </c>
      <c r="G1824" s="4">
        <v>2598.2999999999997</v>
      </c>
      <c r="H1824">
        <v>2208.5549999999998</v>
      </c>
      <c r="I1824">
        <f>Orders[[#This Row],[Quantity]]*Orders[[#This Row],[Selling Price]]</f>
        <v>23384.699999999997</v>
      </c>
      <c r="J1824">
        <f>Orders[[#This Row],[Quantity]]*Orders[[#This Row],[Cost Price]]</f>
        <v>19876.994999999999</v>
      </c>
      <c r="K1824">
        <f>Orders[[#This Row],[Revenue]]-Orders[[#This Row],[Expenses]]</f>
        <v>3507.7049999999981</v>
      </c>
      <c r="L1824" t="s">
        <v>2204</v>
      </c>
      <c r="M1824" t="str">
        <f>_xlfn.XLOOKUP(Orders[[#This Row],[CustomerID]],Customers[CustomerID],Customers[City])</f>
        <v>Texas</v>
      </c>
      <c r="N1824" t="str">
        <f>_xlfn.XLOOKUP(Orders[[#This Row],[CustomerID]],Customers[CustomerID],Customers[CustomerName])</f>
        <v>Folasade Ojo</v>
      </c>
      <c r="O1824" t="str">
        <f>_xlfn.XLOOKUP(Orders[[#This Row],[CustomerID]],Customers[CustomerID],Customers[Gender])</f>
        <v>Female</v>
      </c>
      <c r="P1824">
        <f>_xlfn.XLOOKUP(Orders[[#This Row],[CustomerID]],Customers[CustomerID],Customers[CustomerAge])</f>
        <v>29</v>
      </c>
      <c r="Q1824" t="str">
        <f>IF(Orders[[#This Row],[Age]]&gt;=35,"older","young")</f>
        <v>young</v>
      </c>
      <c r="R1824" t="str">
        <f>_xlfn.XLOOKUP(Orders[[#This Row],[ProductID]],Products[ProductID],Products[ProductName])</f>
        <v>BLENDER</v>
      </c>
      <c r="S1824" t="str">
        <f>_xlfn.XLOOKUP(Orders[[#This Row],[ProductID]],Products!A:A,Products!C:C)</f>
        <v>Electronics</v>
      </c>
    </row>
    <row r="1825" spans="1:19" x14ac:dyDescent="0.2">
      <c r="A1825" s="4" t="s">
        <v>2014</v>
      </c>
      <c r="B1825" s="5">
        <v>45949</v>
      </c>
      <c r="C1825" s="15">
        <f>WEEKNUM(Orders[[#This Row],[OrderDate]])</f>
        <v>43</v>
      </c>
      <c r="D1825" s="4" t="s">
        <v>416</v>
      </c>
      <c r="E1825" s="4" t="s">
        <v>84</v>
      </c>
      <c r="F1825" s="4">
        <v>9</v>
      </c>
      <c r="G1825" s="4">
        <v>11035.9</v>
      </c>
      <c r="H1825">
        <v>9380.5149999999994</v>
      </c>
      <c r="I1825">
        <f>Orders[[#This Row],[Quantity]]*Orders[[#This Row],[Selling Price]]</f>
        <v>99323.099999999991</v>
      </c>
      <c r="J1825">
        <f>Orders[[#This Row],[Quantity]]*Orders[[#This Row],[Cost Price]]</f>
        <v>84424.634999999995</v>
      </c>
      <c r="K1825">
        <f>Orders[[#This Row],[Revenue]]-Orders[[#This Row],[Expenses]]</f>
        <v>14898.464999999997</v>
      </c>
      <c r="L1825" t="s">
        <v>2194</v>
      </c>
      <c r="M1825" t="str">
        <f>_xlfn.XLOOKUP(Orders[[#This Row],[CustomerID]],Customers[CustomerID],Customers[City])</f>
        <v>Texas</v>
      </c>
      <c r="N1825" t="str">
        <f>_xlfn.XLOOKUP(Orders[[#This Row],[CustomerID]],Customers[CustomerID],Customers[CustomerName])</f>
        <v>Chinedu Igwe</v>
      </c>
      <c r="O1825" t="str">
        <f>_xlfn.XLOOKUP(Orders[[#This Row],[CustomerID]],Customers[CustomerID],Customers[Gender])</f>
        <v>Male</v>
      </c>
      <c r="P1825">
        <f>_xlfn.XLOOKUP(Orders[[#This Row],[CustomerID]],Customers[CustomerID],Customers[CustomerAge])</f>
        <v>26</v>
      </c>
      <c r="Q1825" t="str">
        <f>IF(Orders[[#This Row],[Age]]&gt;=35,"older","young")</f>
        <v>young</v>
      </c>
      <c r="R1825" t="str">
        <f>_xlfn.XLOOKUP(Orders[[#This Row],[ProductID]],Products[ProductID],Products[ProductName])</f>
        <v>GYM WEARS</v>
      </c>
      <c r="S1825" t="str">
        <f>_xlfn.XLOOKUP(Orders[[#This Row],[ProductID]],Products!A:A,Products!C:C)</f>
        <v>Clothing</v>
      </c>
    </row>
    <row r="1826" spans="1:19" x14ac:dyDescent="0.2">
      <c r="A1826" s="4" t="s">
        <v>2015</v>
      </c>
      <c r="B1826" s="5">
        <v>45948</v>
      </c>
      <c r="C1826" s="15">
        <f>WEEKNUM(Orders[[#This Row],[OrderDate]])</f>
        <v>42</v>
      </c>
      <c r="D1826" s="4" t="s">
        <v>426</v>
      </c>
      <c r="E1826" s="4" t="s">
        <v>63</v>
      </c>
      <c r="F1826" s="4">
        <v>9</v>
      </c>
      <c r="G1826" s="4">
        <v>14402.7</v>
      </c>
      <c r="H1826">
        <v>12242.295</v>
      </c>
      <c r="I1826">
        <f>Orders[[#This Row],[Quantity]]*Orders[[#This Row],[Selling Price]]</f>
        <v>129624.3</v>
      </c>
      <c r="J1826">
        <f>Orders[[#This Row],[Quantity]]*Orders[[#This Row],[Cost Price]]</f>
        <v>110180.655</v>
      </c>
      <c r="K1826">
        <f>Orders[[#This Row],[Revenue]]-Orders[[#This Row],[Expenses]]</f>
        <v>19443.645000000004</v>
      </c>
      <c r="L1826" t="s">
        <v>2198</v>
      </c>
      <c r="M1826" t="str">
        <f>_xlfn.XLOOKUP(Orders[[#This Row],[CustomerID]],Customers[CustomerID],Customers[City])</f>
        <v>Washington</v>
      </c>
      <c r="N1826" t="str">
        <f>_xlfn.XLOOKUP(Orders[[#This Row],[CustomerID]],Customers[CustomerID],Customers[CustomerName])</f>
        <v>Chinedu Ojo</v>
      </c>
      <c r="O1826" t="str">
        <f>_xlfn.XLOOKUP(Orders[[#This Row],[CustomerID]],Customers[CustomerID],Customers[Gender])</f>
        <v>Male</v>
      </c>
      <c r="P1826">
        <f>_xlfn.XLOOKUP(Orders[[#This Row],[CustomerID]],Customers[CustomerID],Customers[CustomerAge])</f>
        <v>18</v>
      </c>
      <c r="Q1826" t="str">
        <f>IF(Orders[[#This Row],[Age]]&gt;=35,"older","young")</f>
        <v>young</v>
      </c>
      <c r="R1826" t="str">
        <f>_xlfn.XLOOKUP(Orders[[#This Row],[ProductID]],Products[ProductID],Products[ProductName])</f>
        <v>TENNIS BAT</v>
      </c>
      <c r="S1826" t="str">
        <f>_xlfn.XLOOKUP(Orders[[#This Row],[ProductID]],Products!A:A,Products!C:C)</f>
        <v>Sports</v>
      </c>
    </row>
    <row r="1827" spans="1:19" x14ac:dyDescent="0.2">
      <c r="A1827" s="4" t="s">
        <v>2016</v>
      </c>
      <c r="B1827" s="5">
        <v>45968</v>
      </c>
      <c r="C1827" s="15">
        <f>WEEKNUM(Orders[[#This Row],[OrderDate]])</f>
        <v>45</v>
      </c>
      <c r="D1827" s="4" t="s">
        <v>546</v>
      </c>
      <c r="E1827" s="4" t="s">
        <v>353</v>
      </c>
      <c r="F1827" s="4">
        <v>10</v>
      </c>
      <c r="G1827" s="4">
        <v>10520</v>
      </c>
      <c r="H1827">
        <v>8942</v>
      </c>
      <c r="I1827">
        <f>Orders[[#This Row],[Quantity]]*Orders[[#This Row],[Selling Price]]</f>
        <v>105200</v>
      </c>
      <c r="J1827">
        <f>Orders[[#This Row],[Quantity]]*Orders[[#This Row],[Cost Price]]</f>
        <v>89420</v>
      </c>
      <c r="K1827">
        <f>Orders[[#This Row],[Revenue]]-Orders[[#This Row],[Expenses]]</f>
        <v>15780</v>
      </c>
      <c r="L1827" t="s">
        <v>2214</v>
      </c>
      <c r="M1827" t="str">
        <f>_xlfn.XLOOKUP(Orders[[#This Row],[CustomerID]],Customers[CustomerID],Customers[City])</f>
        <v>Texas</v>
      </c>
      <c r="N1827" t="str">
        <f>_xlfn.XLOOKUP(Orders[[#This Row],[CustomerID]],Customers[CustomerID],Customers[CustomerName])</f>
        <v>Bisi Eze</v>
      </c>
      <c r="O1827" t="str">
        <f>_xlfn.XLOOKUP(Orders[[#This Row],[CustomerID]],Customers[CustomerID],Customers[Gender])</f>
        <v>Female</v>
      </c>
      <c r="P1827">
        <f>_xlfn.XLOOKUP(Orders[[#This Row],[CustomerID]],Customers[CustomerID],Customers[CustomerAge])</f>
        <v>32</v>
      </c>
      <c r="Q1827" t="str">
        <f>IF(Orders[[#This Row],[Age]]&gt;=35,"older","young")</f>
        <v>young</v>
      </c>
      <c r="R1827" t="str">
        <f>_xlfn.XLOOKUP(Orders[[#This Row],[ProductID]],Products[ProductID],Products[ProductName])</f>
        <v>SILVER EARRINGS AND NECKLACES</v>
      </c>
      <c r="S1827" t="str">
        <f>_xlfn.XLOOKUP(Orders[[#This Row],[ProductID]],Products!A:A,Products!C:C)</f>
        <v>Accessories</v>
      </c>
    </row>
    <row r="1828" spans="1:19" x14ac:dyDescent="0.2">
      <c r="A1828" s="4" t="s">
        <v>2017</v>
      </c>
      <c r="B1828" s="5">
        <v>45963</v>
      </c>
      <c r="C1828" s="15">
        <f>WEEKNUM(Orders[[#This Row],[OrderDate]])</f>
        <v>45</v>
      </c>
      <c r="D1828" s="4" t="s">
        <v>221</v>
      </c>
      <c r="E1828" s="4" t="s">
        <v>151</v>
      </c>
      <c r="F1828" s="4">
        <v>10</v>
      </c>
      <c r="G1828" s="4">
        <v>632.4</v>
      </c>
      <c r="H1828">
        <v>537.54</v>
      </c>
      <c r="I1828">
        <f>Orders[[#This Row],[Quantity]]*Orders[[#This Row],[Selling Price]]</f>
        <v>6324</v>
      </c>
      <c r="J1828">
        <f>Orders[[#This Row],[Quantity]]*Orders[[#This Row],[Cost Price]]</f>
        <v>5375.4</v>
      </c>
      <c r="K1828">
        <f>Orders[[#This Row],[Revenue]]-Orders[[#This Row],[Expenses]]</f>
        <v>948.60000000000036</v>
      </c>
      <c r="L1828" t="s">
        <v>2202</v>
      </c>
      <c r="M1828" t="str">
        <f>_xlfn.XLOOKUP(Orders[[#This Row],[CustomerID]],Customers[CustomerID],Customers[City])</f>
        <v>Texas</v>
      </c>
      <c r="N1828" t="str">
        <f>_xlfn.XLOOKUP(Orders[[#This Row],[CustomerID]],Customers[CustomerID],Customers[CustomerName])</f>
        <v>Obi Bello</v>
      </c>
      <c r="O1828" t="str">
        <f>_xlfn.XLOOKUP(Orders[[#This Row],[CustomerID]],Customers[CustomerID],Customers[Gender])</f>
        <v>Male</v>
      </c>
      <c r="P1828">
        <f>_xlfn.XLOOKUP(Orders[[#This Row],[CustomerID]],Customers[CustomerID],Customers[CustomerAge])</f>
        <v>18</v>
      </c>
      <c r="Q1828" t="str">
        <f>IF(Orders[[#This Row],[Age]]&gt;=35,"older","young")</f>
        <v>young</v>
      </c>
      <c r="R1828" t="str">
        <f>_xlfn.XLOOKUP(Orders[[#This Row],[ProductID]],Products[ProductID],Products[ProductName])</f>
        <v>CHECKERS</v>
      </c>
      <c r="S1828" t="str">
        <f>_xlfn.XLOOKUP(Orders[[#This Row],[ProductID]],Products!A:A,Products!C:C)</f>
        <v>Games</v>
      </c>
    </row>
    <row r="1829" spans="1:19" x14ac:dyDescent="0.2">
      <c r="A1829" s="4" t="s">
        <v>2018</v>
      </c>
      <c r="B1829" s="5">
        <v>45983</v>
      </c>
      <c r="C1829" s="15">
        <f>WEEKNUM(Orders[[#This Row],[OrderDate]])</f>
        <v>47</v>
      </c>
      <c r="D1829" s="4" t="s">
        <v>507</v>
      </c>
      <c r="E1829" s="4" t="s">
        <v>9</v>
      </c>
      <c r="F1829" s="4">
        <v>6</v>
      </c>
      <c r="G1829" s="4">
        <v>6269.5</v>
      </c>
      <c r="H1829">
        <v>5329.0749999999998</v>
      </c>
      <c r="I1829">
        <f>Orders[[#This Row],[Quantity]]*Orders[[#This Row],[Selling Price]]</f>
        <v>37617</v>
      </c>
      <c r="J1829">
        <f>Orders[[#This Row],[Quantity]]*Orders[[#This Row],[Cost Price]]</f>
        <v>31974.449999999997</v>
      </c>
      <c r="K1829">
        <f>Orders[[#This Row],[Revenue]]-Orders[[#This Row],[Expenses]]</f>
        <v>5642.5500000000029</v>
      </c>
      <c r="L1829" t="s">
        <v>2217</v>
      </c>
      <c r="M1829" t="str">
        <f>_xlfn.XLOOKUP(Orders[[#This Row],[CustomerID]],Customers[CustomerID],Customers[City])</f>
        <v>Washington</v>
      </c>
      <c r="N1829" t="str">
        <f>_xlfn.XLOOKUP(Orders[[#This Row],[CustomerID]],Customers[CustomerID],Customers[CustomerName])</f>
        <v>Temi Okonkwo</v>
      </c>
      <c r="O1829" t="str">
        <f>_xlfn.XLOOKUP(Orders[[#This Row],[CustomerID]],Customers[CustomerID],Customers[Gender])</f>
        <v>Female</v>
      </c>
      <c r="P1829">
        <f>_xlfn.XLOOKUP(Orders[[#This Row],[CustomerID]],Customers[CustomerID],Customers[CustomerAge])</f>
        <v>35</v>
      </c>
      <c r="Q1829" t="str">
        <f>IF(Orders[[#This Row],[Age]]&gt;=35,"older","young")</f>
        <v>older</v>
      </c>
      <c r="R1829" t="str">
        <f>_xlfn.XLOOKUP(Orders[[#This Row],[ProductID]],Products[ProductID],Products[ProductName])</f>
        <v>BEADED EARRINGS AND NECKLACES</v>
      </c>
      <c r="S1829" t="str">
        <f>_xlfn.XLOOKUP(Orders[[#This Row],[ProductID]],Products!A:A,Products!C:C)</f>
        <v>Accessories</v>
      </c>
    </row>
    <row r="1830" spans="1:19" x14ac:dyDescent="0.2">
      <c r="A1830" s="4" t="s">
        <v>2019</v>
      </c>
      <c r="B1830" s="5">
        <v>45935</v>
      </c>
      <c r="C1830" s="15">
        <f>WEEKNUM(Orders[[#This Row],[OrderDate]])</f>
        <v>41</v>
      </c>
      <c r="D1830" s="4" t="s">
        <v>324</v>
      </c>
      <c r="E1830" s="4" t="s">
        <v>168</v>
      </c>
      <c r="F1830" s="4">
        <v>2</v>
      </c>
      <c r="G1830" s="4">
        <v>19009.400000000001</v>
      </c>
      <c r="H1830">
        <v>16157.990000000002</v>
      </c>
      <c r="I1830">
        <f>Orders[[#This Row],[Quantity]]*Orders[[#This Row],[Selling Price]]</f>
        <v>38018.800000000003</v>
      </c>
      <c r="J1830">
        <f>Orders[[#This Row],[Quantity]]*Orders[[#This Row],[Cost Price]]</f>
        <v>32315.980000000003</v>
      </c>
      <c r="K1830">
        <f>Orders[[#This Row],[Revenue]]-Orders[[#This Row],[Expenses]]</f>
        <v>5702.82</v>
      </c>
      <c r="L1830" t="s">
        <v>2207</v>
      </c>
      <c r="M1830" t="str">
        <f>_xlfn.XLOOKUP(Orders[[#This Row],[CustomerID]],Customers[CustomerID],Customers[City])</f>
        <v>Texas</v>
      </c>
      <c r="N1830" t="str">
        <f>_xlfn.XLOOKUP(Orders[[#This Row],[CustomerID]],Customers[CustomerID],Customers[CustomerName])</f>
        <v>Tunde Okonkwo</v>
      </c>
      <c r="O1830" t="str">
        <f>_xlfn.XLOOKUP(Orders[[#This Row],[CustomerID]],Customers[CustomerID],Customers[Gender])</f>
        <v>Male</v>
      </c>
      <c r="P1830">
        <f>_xlfn.XLOOKUP(Orders[[#This Row],[CustomerID]],Customers[CustomerID],Customers[CustomerAge])</f>
        <v>25</v>
      </c>
      <c r="Q1830" t="str">
        <f>IF(Orders[[#This Row],[Age]]&gt;=35,"older","young")</f>
        <v>young</v>
      </c>
      <c r="R1830" t="str">
        <f>_xlfn.XLOOKUP(Orders[[#This Row],[ProductID]],Products[ProductID],Products[ProductName])</f>
        <v>DUMB BELLS</v>
      </c>
      <c r="S1830" t="str">
        <f>_xlfn.XLOOKUP(Orders[[#This Row],[ProductID]],Products!A:A,Products!C:C)</f>
        <v>Gym</v>
      </c>
    </row>
    <row r="1831" spans="1:19" x14ac:dyDescent="0.2">
      <c r="A1831" s="4" t="s">
        <v>2020</v>
      </c>
      <c r="B1831" s="5">
        <v>45990</v>
      </c>
      <c r="C1831" s="15">
        <f>WEEKNUM(Orders[[#This Row],[OrderDate]])</f>
        <v>48</v>
      </c>
      <c r="D1831" s="4" t="s">
        <v>333</v>
      </c>
      <c r="E1831" s="4" t="s">
        <v>92</v>
      </c>
      <c r="F1831" s="4">
        <v>10</v>
      </c>
      <c r="G1831" s="4">
        <v>6514.2999999999993</v>
      </c>
      <c r="H1831">
        <v>5537.1549999999997</v>
      </c>
      <c r="I1831">
        <f>Orders[[#This Row],[Quantity]]*Orders[[#This Row],[Selling Price]]</f>
        <v>65142.999999999993</v>
      </c>
      <c r="J1831">
        <f>Orders[[#This Row],[Quantity]]*Orders[[#This Row],[Cost Price]]</f>
        <v>55371.549999999996</v>
      </c>
      <c r="K1831">
        <f>Orders[[#This Row],[Revenue]]-Orders[[#This Row],[Expenses]]</f>
        <v>9771.4499999999971</v>
      </c>
      <c r="L1831" t="s">
        <v>2192</v>
      </c>
      <c r="M1831" t="str">
        <f>_xlfn.XLOOKUP(Orders[[#This Row],[CustomerID]],Customers[CustomerID],Customers[City])</f>
        <v>Washington</v>
      </c>
      <c r="N1831" t="str">
        <f>_xlfn.XLOOKUP(Orders[[#This Row],[CustomerID]],Customers[CustomerID],Customers[CustomerName])</f>
        <v>Emeka Obi</v>
      </c>
      <c r="O1831" t="str">
        <f>_xlfn.XLOOKUP(Orders[[#This Row],[CustomerID]],Customers[CustomerID],Customers[Gender])</f>
        <v>Male</v>
      </c>
      <c r="P1831">
        <f>_xlfn.XLOOKUP(Orders[[#This Row],[CustomerID]],Customers[CustomerID],Customers[CustomerAge])</f>
        <v>44</v>
      </c>
      <c r="Q1831" t="str">
        <f>IF(Orders[[#This Row],[Age]]&gt;=35,"older","young")</f>
        <v>older</v>
      </c>
      <c r="R1831" t="str">
        <f>_xlfn.XLOOKUP(Orders[[#This Row],[ProductID]],Products[ProductID],Products[ProductName])</f>
        <v>CHEST EXPANDER</v>
      </c>
      <c r="S1831" t="str">
        <f>_xlfn.XLOOKUP(Orders[[#This Row],[ProductID]],Products!A:A,Products!C:C)</f>
        <v>Gym</v>
      </c>
    </row>
    <row r="1832" spans="1:19" x14ac:dyDescent="0.2">
      <c r="A1832" s="4" t="s">
        <v>2021</v>
      </c>
      <c r="B1832" s="5">
        <v>45973</v>
      </c>
      <c r="C1832" s="15">
        <f>WEEKNUM(Orders[[#This Row],[OrderDate]])</f>
        <v>46</v>
      </c>
      <c r="D1832" s="4" t="s">
        <v>148</v>
      </c>
      <c r="E1832" s="4" t="s">
        <v>66</v>
      </c>
      <c r="F1832" s="4">
        <v>9</v>
      </c>
      <c r="G1832" s="4">
        <v>5381.1</v>
      </c>
      <c r="H1832">
        <v>4573.9350000000004</v>
      </c>
      <c r="I1832">
        <f>Orders[[#This Row],[Quantity]]*Orders[[#This Row],[Selling Price]]</f>
        <v>48429.9</v>
      </c>
      <c r="J1832">
        <f>Orders[[#This Row],[Quantity]]*Orders[[#This Row],[Cost Price]]</f>
        <v>41165.415000000001</v>
      </c>
      <c r="K1832">
        <f>Orders[[#This Row],[Revenue]]-Orders[[#This Row],[Expenses]]</f>
        <v>7264.4850000000006</v>
      </c>
      <c r="L1832" t="s">
        <v>2195</v>
      </c>
      <c r="M1832" t="str">
        <f>_xlfn.XLOOKUP(Orders[[#This Row],[CustomerID]],Customers[CustomerID],Customers[City])</f>
        <v>Florida</v>
      </c>
      <c r="N1832" t="str">
        <f>_xlfn.XLOOKUP(Orders[[#This Row],[CustomerID]],Customers[CustomerID],Customers[CustomerName])</f>
        <v>Zainab Abubakar</v>
      </c>
      <c r="O1832" t="str">
        <f>_xlfn.XLOOKUP(Orders[[#This Row],[CustomerID]],Customers[CustomerID],Customers[Gender])</f>
        <v>Female</v>
      </c>
      <c r="P1832">
        <f>_xlfn.XLOOKUP(Orders[[#This Row],[CustomerID]],Customers[CustomerID],Customers[CustomerAge])</f>
        <v>29</v>
      </c>
      <c r="Q1832" t="str">
        <f>IF(Orders[[#This Row],[Age]]&gt;=35,"older","young")</f>
        <v>young</v>
      </c>
      <c r="R1832" t="str">
        <f>_xlfn.XLOOKUP(Orders[[#This Row],[ProductID]],Products[ProductID],Products[ProductName])</f>
        <v>MICROWAVE</v>
      </c>
      <c r="S1832" t="str">
        <f>_xlfn.XLOOKUP(Orders[[#This Row],[ProductID]],Products!A:A,Products!C:C)</f>
        <v>Electronics</v>
      </c>
    </row>
    <row r="1833" spans="1:19" x14ac:dyDescent="0.2">
      <c r="A1833" s="4" t="s">
        <v>2022</v>
      </c>
      <c r="B1833" s="5">
        <v>45936</v>
      </c>
      <c r="C1833" s="15">
        <f>WEEKNUM(Orders[[#This Row],[OrderDate]])</f>
        <v>41</v>
      </c>
      <c r="D1833" s="4" t="s">
        <v>103</v>
      </c>
      <c r="E1833" s="4" t="s">
        <v>31</v>
      </c>
      <c r="F1833" s="4">
        <v>7</v>
      </c>
      <c r="G1833" s="4">
        <v>13148.800000000001</v>
      </c>
      <c r="H1833">
        <v>11176.480000000001</v>
      </c>
      <c r="I1833">
        <f>Orders[[#This Row],[Quantity]]*Orders[[#This Row],[Selling Price]]</f>
        <v>92041.600000000006</v>
      </c>
      <c r="J1833">
        <f>Orders[[#This Row],[Quantity]]*Orders[[#This Row],[Cost Price]]</f>
        <v>78235.360000000015</v>
      </c>
      <c r="K1833">
        <f>Orders[[#This Row],[Revenue]]-Orders[[#This Row],[Expenses]]</f>
        <v>13806.239999999991</v>
      </c>
      <c r="L1833" t="s">
        <v>2203</v>
      </c>
      <c r="M1833" t="str">
        <f>_xlfn.XLOOKUP(Orders[[#This Row],[CustomerID]],Customers[CustomerID],Customers[City])</f>
        <v>Georgia</v>
      </c>
      <c r="N1833" t="str">
        <f>_xlfn.XLOOKUP(Orders[[#This Row],[CustomerID]],Customers[CustomerID],Customers[CustomerName])</f>
        <v>Chioma Adeyemi</v>
      </c>
      <c r="O1833" t="str">
        <f>_xlfn.XLOOKUP(Orders[[#This Row],[CustomerID]],Customers[CustomerID],Customers[Gender])</f>
        <v>Female</v>
      </c>
      <c r="P1833">
        <f>_xlfn.XLOOKUP(Orders[[#This Row],[CustomerID]],Customers[CustomerID],Customers[CustomerAge])</f>
        <v>31</v>
      </c>
      <c r="Q1833" t="str">
        <f>IF(Orders[[#This Row],[Age]]&gt;=35,"older","young")</f>
        <v>young</v>
      </c>
      <c r="R1833" t="str">
        <f>_xlfn.XLOOKUP(Orders[[#This Row],[ProductID]],Products[ProductID],Products[ProductName])</f>
        <v>KIDS GAMES</v>
      </c>
      <c r="S1833" t="str">
        <f>_xlfn.XLOOKUP(Orders[[#This Row],[ProductID]],Products!A:A,Products!C:C)</f>
        <v>Games</v>
      </c>
    </row>
    <row r="1834" spans="1:19" x14ac:dyDescent="0.2">
      <c r="A1834" s="4" t="s">
        <v>2023</v>
      </c>
      <c r="B1834" s="5">
        <v>45936</v>
      </c>
      <c r="C1834" s="15">
        <f>WEEKNUM(Orders[[#This Row],[OrderDate]])</f>
        <v>41</v>
      </c>
      <c r="D1834" s="4" t="s">
        <v>605</v>
      </c>
      <c r="E1834" s="4" t="s">
        <v>60</v>
      </c>
      <c r="F1834" s="4">
        <v>1</v>
      </c>
      <c r="G1834" s="4">
        <v>17144.5</v>
      </c>
      <c r="H1834">
        <v>14572.825000000001</v>
      </c>
      <c r="I1834">
        <f>Orders[[#This Row],[Quantity]]*Orders[[#This Row],[Selling Price]]</f>
        <v>17144.5</v>
      </c>
      <c r="J1834">
        <f>Orders[[#This Row],[Quantity]]*Orders[[#This Row],[Cost Price]]</f>
        <v>14572.825000000001</v>
      </c>
      <c r="K1834">
        <f>Orders[[#This Row],[Revenue]]-Orders[[#This Row],[Expenses]]</f>
        <v>2571.6749999999993</v>
      </c>
      <c r="L1834" t="s">
        <v>2192</v>
      </c>
      <c r="M1834" t="str">
        <f>_xlfn.XLOOKUP(Orders[[#This Row],[CustomerID]],Customers[CustomerID],Customers[City])</f>
        <v>Texas</v>
      </c>
      <c r="N1834" t="str">
        <f>_xlfn.XLOOKUP(Orders[[#This Row],[CustomerID]],Customers[CustomerID],Customers[CustomerName])</f>
        <v>Blessing Abubakar</v>
      </c>
      <c r="O1834" t="str">
        <f>_xlfn.XLOOKUP(Orders[[#This Row],[CustomerID]],Customers[CustomerID],Customers[Gender])</f>
        <v>Female</v>
      </c>
      <c r="P1834">
        <f>_xlfn.XLOOKUP(Orders[[#This Row],[CustomerID]],Customers[CustomerID],Customers[CustomerAge])</f>
        <v>44</v>
      </c>
      <c r="Q1834" t="str">
        <f>IF(Orders[[#This Row],[Age]]&gt;=35,"older","young")</f>
        <v>older</v>
      </c>
      <c r="R1834" t="str">
        <f>_xlfn.XLOOKUP(Orders[[#This Row],[ProductID]],Products[ProductID],Products[ProductName])</f>
        <v>SILVER RINGS</v>
      </c>
      <c r="S1834" t="str">
        <f>_xlfn.XLOOKUP(Orders[[#This Row],[ProductID]],Products!A:A,Products!C:C)</f>
        <v>Accessories</v>
      </c>
    </row>
    <row r="1835" spans="1:19" x14ac:dyDescent="0.2">
      <c r="A1835" s="4" t="s">
        <v>2024</v>
      </c>
      <c r="B1835" s="5">
        <v>45972</v>
      </c>
      <c r="C1835" s="15">
        <f>WEEKNUM(Orders[[#This Row],[OrderDate]])</f>
        <v>46</v>
      </c>
      <c r="D1835" s="4" t="s">
        <v>214</v>
      </c>
      <c r="E1835" s="4" t="s">
        <v>28</v>
      </c>
      <c r="F1835" s="4">
        <v>3</v>
      </c>
      <c r="G1835" s="4">
        <v>6902.5</v>
      </c>
      <c r="H1835">
        <v>5867.125</v>
      </c>
      <c r="I1835">
        <f>Orders[[#This Row],[Quantity]]*Orders[[#This Row],[Selling Price]]</f>
        <v>20707.5</v>
      </c>
      <c r="J1835">
        <f>Orders[[#This Row],[Quantity]]*Orders[[#This Row],[Cost Price]]</f>
        <v>17601.375</v>
      </c>
      <c r="K1835">
        <f>Orders[[#This Row],[Revenue]]-Orders[[#This Row],[Expenses]]</f>
        <v>3106.125</v>
      </c>
      <c r="L1835" t="s">
        <v>2213</v>
      </c>
      <c r="M1835" t="str">
        <f>_xlfn.XLOOKUP(Orders[[#This Row],[CustomerID]],Customers[CustomerID],Customers[City])</f>
        <v>California</v>
      </c>
      <c r="N1835" t="str">
        <f>_xlfn.XLOOKUP(Orders[[#This Row],[CustomerID]],Customers[CustomerID],Customers[CustomerName])</f>
        <v>Adanma Okonkwo</v>
      </c>
      <c r="O1835" t="str">
        <f>_xlfn.XLOOKUP(Orders[[#This Row],[CustomerID]],Customers[CustomerID],Customers[Gender])</f>
        <v>Female</v>
      </c>
      <c r="P1835">
        <f>_xlfn.XLOOKUP(Orders[[#This Row],[CustomerID]],Customers[CustomerID],Customers[CustomerAge])</f>
        <v>20</v>
      </c>
      <c r="Q1835" t="str">
        <f>IF(Orders[[#This Row],[Age]]&gt;=35,"older","young")</f>
        <v>young</v>
      </c>
      <c r="R1835" t="str">
        <f>_xlfn.XLOOKUP(Orders[[#This Row],[ProductID]],Products[ProductID],Products[ProductName])</f>
        <v>SNEAKERS</v>
      </c>
      <c r="S1835" t="str">
        <f>_xlfn.XLOOKUP(Orders[[#This Row],[ProductID]],Products!A:A,Products!C:C)</f>
        <v>Sports</v>
      </c>
    </row>
    <row r="1836" spans="1:19" x14ac:dyDescent="0.2">
      <c r="A1836" s="4" t="s">
        <v>2025</v>
      </c>
      <c r="B1836" s="5">
        <v>45940</v>
      </c>
      <c r="C1836" s="15">
        <f>WEEKNUM(Orders[[#This Row],[OrderDate]])</f>
        <v>41</v>
      </c>
      <c r="D1836" s="4" t="s">
        <v>140</v>
      </c>
      <c r="E1836" s="4" t="s">
        <v>151</v>
      </c>
      <c r="F1836" s="4">
        <v>5</v>
      </c>
      <c r="G1836" s="4">
        <v>15253.4</v>
      </c>
      <c r="H1836">
        <v>12965.39</v>
      </c>
      <c r="I1836">
        <f>Orders[[#This Row],[Quantity]]*Orders[[#This Row],[Selling Price]]</f>
        <v>76267</v>
      </c>
      <c r="J1836">
        <f>Orders[[#This Row],[Quantity]]*Orders[[#This Row],[Cost Price]]</f>
        <v>64826.95</v>
      </c>
      <c r="K1836">
        <f>Orders[[#This Row],[Revenue]]-Orders[[#This Row],[Expenses]]</f>
        <v>11440.050000000003</v>
      </c>
      <c r="L1836" t="s">
        <v>2214</v>
      </c>
      <c r="M1836" t="str">
        <f>_xlfn.XLOOKUP(Orders[[#This Row],[CustomerID]],Customers[CustomerID],Customers[City])</f>
        <v>Washington</v>
      </c>
      <c r="N1836" t="str">
        <f>_xlfn.XLOOKUP(Orders[[#This Row],[CustomerID]],Customers[CustomerID],Customers[CustomerName])</f>
        <v>Tunde Igwe</v>
      </c>
      <c r="O1836" t="str">
        <f>_xlfn.XLOOKUP(Orders[[#This Row],[CustomerID]],Customers[CustomerID],Customers[Gender])</f>
        <v>Male</v>
      </c>
      <c r="P1836">
        <f>_xlfn.XLOOKUP(Orders[[#This Row],[CustomerID]],Customers[CustomerID],Customers[CustomerAge])</f>
        <v>20</v>
      </c>
      <c r="Q1836" t="str">
        <f>IF(Orders[[#This Row],[Age]]&gt;=35,"older","young")</f>
        <v>young</v>
      </c>
      <c r="R1836" t="str">
        <f>_xlfn.XLOOKUP(Orders[[#This Row],[ProductID]],Products[ProductID],Products[ProductName])</f>
        <v>CHECKERS</v>
      </c>
      <c r="S1836" t="str">
        <f>_xlfn.XLOOKUP(Orders[[#This Row],[ProductID]],Products!A:A,Products!C:C)</f>
        <v>Games</v>
      </c>
    </row>
    <row r="1837" spans="1:19" x14ac:dyDescent="0.2">
      <c r="A1837" s="4" t="s">
        <v>2026</v>
      </c>
      <c r="B1837" s="5">
        <v>45950</v>
      </c>
      <c r="C1837" s="15">
        <f>WEEKNUM(Orders[[#This Row],[OrderDate]])</f>
        <v>43</v>
      </c>
      <c r="D1837" s="4" t="s">
        <v>39</v>
      </c>
      <c r="E1837" s="4" t="s">
        <v>15</v>
      </c>
      <c r="F1837" s="4">
        <v>1</v>
      </c>
      <c r="G1837" s="4">
        <v>9583.3000000000011</v>
      </c>
      <c r="H1837">
        <v>8145.8050000000012</v>
      </c>
      <c r="I1837">
        <f>Orders[[#This Row],[Quantity]]*Orders[[#This Row],[Selling Price]]</f>
        <v>9583.3000000000011</v>
      </c>
      <c r="J1837">
        <f>Orders[[#This Row],[Quantity]]*Orders[[#This Row],[Cost Price]]</f>
        <v>8145.8050000000012</v>
      </c>
      <c r="K1837">
        <f>Orders[[#This Row],[Revenue]]-Orders[[#This Row],[Expenses]]</f>
        <v>1437.4949999999999</v>
      </c>
      <c r="L1837" t="s">
        <v>2199</v>
      </c>
      <c r="M1837" t="str">
        <f>_xlfn.XLOOKUP(Orders[[#This Row],[CustomerID]],Customers[CustomerID],Customers[City])</f>
        <v>Florida</v>
      </c>
      <c r="N1837" t="str">
        <f>_xlfn.XLOOKUP(Orders[[#This Row],[CustomerID]],Customers[CustomerID],Customers[CustomerName])</f>
        <v>Efe Adeyemi</v>
      </c>
      <c r="O1837" t="str">
        <f>_xlfn.XLOOKUP(Orders[[#This Row],[CustomerID]],Customers[CustomerID],Customers[Gender])</f>
        <v>Female</v>
      </c>
      <c r="P1837">
        <f>_xlfn.XLOOKUP(Orders[[#This Row],[CustomerID]],Customers[CustomerID],Customers[CustomerAge])</f>
        <v>20</v>
      </c>
      <c r="Q1837" t="str">
        <f>IF(Orders[[#This Row],[Age]]&gt;=35,"older","young")</f>
        <v>young</v>
      </c>
      <c r="R1837" t="str">
        <f>_xlfn.XLOOKUP(Orders[[#This Row],[ProductID]],Products[ProductID],Products[ProductName])</f>
        <v>MONOPOLY</v>
      </c>
      <c r="S1837" t="str">
        <f>_xlfn.XLOOKUP(Orders[[#This Row],[ProductID]],Products!A:A,Products!C:C)</f>
        <v>Games</v>
      </c>
    </row>
    <row r="1838" spans="1:19" x14ac:dyDescent="0.2">
      <c r="A1838" s="4" t="s">
        <v>2027</v>
      </c>
      <c r="B1838" s="5">
        <v>45949</v>
      </c>
      <c r="C1838" s="15">
        <f>WEEKNUM(Orders[[#This Row],[OrderDate]])</f>
        <v>43</v>
      </c>
      <c r="D1838" s="4" t="s">
        <v>457</v>
      </c>
      <c r="E1838" s="4" t="s">
        <v>23</v>
      </c>
      <c r="F1838" s="4">
        <v>4</v>
      </c>
      <c r="G1838" s="4">
        <v>12502.8</v>
      </c>
      <c r="H1838">
        <v>10627.38</v>
      </c>
      <c r="I1838">
        <f>Orders[[#This Row],[Quantity]]*Orders[[#This Row],[Selling Price]]</f>
        <v>50011.199999999997</v>
      </c>
      <c r="J1838">
        <f>Orders[[#This Row],[Quantity]]*Orders[[#This Row],[Cost Price]]</f>
        <v>42509.52</v>
      </c>
      <c r="K1838">
        <f>Orders[[#This Row],[Revenue]]-Orders[[#This Row],[Expenses]]</f>
        <v>7501.68</v>
      </c>
      <c r="L1838" t="s">
        <v>2200</v>
      </c>
      <c r="M1838" t="str">
        <f>_xlfn.XLOOKUP(Orders[[#This Row],[CustomerID]],Customers[CustomerID],Customers[City])</f>
        <v>Illinois</v>
      </c>
      <c r="N1838" t="str">
        <f>_xlfn.XLOOKUP(Orders[[#This Row],[CustomerID]],Customers[CustomerID],Customers[CustomerName])</f>
        <v>Tunde Okonkwo</v>
      </c>
      <c r="O1838" t="str">
        <f>_xlfn.XLOOKUP(Orders[[#This Row],[CustomerID]],Customers[CustomerID],Customers[Gender])</f>
        <v>Male</v>
      </c>
      <c r="P1838">
        <f>_xlfn.XLOOKUP(Orders[[#This Row],[CustomerID]],Customers[CustomerID],Customers[CustomerAge])</f>
        <v>23</v>
      </c>
      <c r="Q1838" t="str">
        <f>IF(Orders[[#This Row],[Age]]&gt;=35,"older","young")</f>
        <v>young</v>
      </c>
      <c r="R1838" t="str">
        <f>_xlfn.XLOOKUP(Orders[[#This Row],[ProductID]],Products[ProductID],Products[ProductName])</f>
        <v>GYM GLOVES</v>
      </c>
      <c r="S1838" t="str">
        <f>_xlfn.XLOOKUP(Orders[[#This Row],[ProductID]],Products!A:A,Products!C:C)</f>
        <v>Gym</v>
      </c>
    </row>
    <row r="1839" spans="1:19" x14ac:dyDescent="0.2">
      <c r="A1839" s="4" t="s">
        <v>2028</v>
      </c>
      <c r="B1839" s="5">
        <v>45962</v>
      </c>
      <c r="C1839" s="15">
        <f>WEEKNUM(Orders[[#This Row],[OrderDate]])</f>
        <v>44</v>
      </c>
      <c r="D1839" s="4" t="s">
        <v>333</v>
      </c>
      <c r="E1839" s="4" t="s">
        <v>81</v>
      </c>
      <c r="F1839" s="4">
        <v>4</v>
      </c>
      <c r="G1839" s="4">
        <v>10287.4</v>
      </c>
      <c r="H1839">
        <v>8744.2899999999991</v>
      </c>
      <c r="I1839">
        <f>Orders[[#This Row],[Quantity]]*Orders[[#This Row],[Selling Price]]</f>
        <v>41149.599999999999</v>
      </c>
      <c r="J1839">
        <f>Orders[[#This Row],[Quantity]]*Orders[[#This Row],[Cost Price]]</f>
        <v>34977.159999999996</v>
      </c>
      <c r="K1839">
        <f>Orders[[#This Row],[Revenue]]-Orders[[#This Row],[Expenses]]</f>
        <v>6172.4400000000023</v>
      </c>
      <c r="L1839" t="s">
        <v>2215</v>
      </c>
      <c r="M1839" t="str">
        <f>_xlfn.XLOOKUP(Orders[[#This Row],[CustomerID]],Customers[CustomerID],Customers[City])</f>
        <v>Washington</v>
      </c>
      <c r="N1839" t="str">
        <f>_xlfn.XLOOKUP(Orders[[#This Row],[CustomerID]],Customers[CustomerID],Customers[CustomerName])</f>
        <v>Emeka Obi</v>
      </c>
      <c r="O1839" t="str">
        <f>_xlfn.XLOOKUP(Orders[[#This Row],[CustomerID]],Customers[CustomerID],Customers[Gender])</f>
        <v>Male</v>
      </c>
      <c r="P1839">
        <f>_xlfn.XLOOKUP(Orders[[#This Row],[CustomerID]],Customers[CustomerID],Customers[CustomerAge])</f>
        <v>44</v>
      </c>
      <c r="Q1839" t="str">
        <f>IF(Orders[[#This Row],[Age]]&gt;=35,"older","young")</f>
        <v>older</v>
      </c>
      <c r="R1839" t="str">
        <f>_xlfn.XLOOKUP(Orders[[#This Row],[ProductID]],Products[ProductID],Products[ProductName])</f>
        <v>TROUSERS</v>
      </c>
      <c r="S1839" t="str">
        <f>_xlfn.XLOOKUP(Orders[[#This Row],[ProductID]],Products!A:A,Products!C:C)</f>
        <v>Clothing</v>
      </c>
    </row>
    <row r="1840" spans="1:19" x14ac:dyDescent="0.2">
      <c r="A1840" s="4" t="s">
        <v>2029</v>
      </c>
      <c r="B1840" s="5">
        <v>46016</v>
      </c>
      <c r="C1840" s="15">
        <f>WEEKNUM(Orders[[#This Row],[OrderDate]])</f>
        <v>52</v>
      </c>
      <c r="D1840" s="4" t="s">
        <v>55</v>
      </c>
      <c r="E1840" s="4" t="s">
        <v>28</v>
      </c>
      <c r="F1840" s="4">
        <v>5</v>
      </c>
      <c r="G1840" s="4">
        <v>17578.099999999999</v>
      </c>
      <c r="H1840">
        <v>14941.384999999998</v>
      </c>
      <c r="I1840">
        <f>Orders[[#This Row],[Quantity]]*Orders[[#This Row],[Selling Price]]</f>
        <v>87890.5</v>
      </c>
      <c r="J1840">
        <f>Orders[[#This Row],[Quantity]]*Orders[[#This Row],[Cost Price]]</f>
        <v>74706.924999999988</v>
      </c>
      <c r="K1840">
        <f>Orders[[#This Row],[Revenue]]-Orders[[#This Row],[Expenses]]</f>
        <v>13183.575000000012</v>
      </c>
      <c r="L1840" t="s">
        <v>2199</v>
      </c>
      <c r="M1840" t="str">
        <f>_xlfn.XLOOKUP(Orders[[#This Row],[CustomerID]],Customers[CustomerID],Customers[City])</f>
        <v>California</v>
      </c>
      <c r="N1840" t="str">
        <f>_xlfn.XLOOKUP(Orders[[#This Row],[CustomerID]],Customers[CustomerID],Customers[CustomerName])</f>
        <v>Adanma Ojo</v>
      </c>
      <c r="O1840" t="str">
        <f>_xlfn.XLOOKUP(Orders[[#This Row],[CustomerID]],Customers[CustomerID],Customers[Gender])</f>
        <v>Female</v>
      </c>
      <c r="P1840">
        <f>_xlfn.XLOOKUP(Orders[[#This Row],[CustomerID]],Customers[CustomerID],Customers[CustomerAge])</f>
        <v>48</v>
      </c>
      <c r="Q1840" t="str">
        <f>IF(Orders[[#This Row],[Age]]&gt;=35,"older","young")</f>
        <v>older</v>
      </c>
      <c r="R1840" t="str">
        <f>_xlfn.XLOOKUP(Orders[[#This Row],[ProductID]],Products[ProductID],Products[ProductName])</f>
        <v>SNEAKERS</v>
      </c>
      <c r="S1840" t="str">
        <f>_xlfn.XLOOKUP(Orders[[#This Row],[ProductID]],Products!A:A,Products!C:C)</f>
        <v>Sports</v>
      </c>
    </row>
    <row r="1841" spans="1:19" x14ac:dyDescent="0.2">
      <c r="A1841" s="4" t="s">
        <v>2030</v>
      </c>
      <c r="B1841" s="5">
        <v>45974</v>
      </c>
      <c r="C1841" s="15">
        <f>WEEKNUM(Orders[[#This Row],[OrderDate]])</f>
        <v>46</v>
      </c>
      <c r="D1841" s="4" t="s">
        <v>234</v>
      </c>
      <c r="E1841" s="4" t="s">
        <v>84</v>
      </c>
      <c r="F1841" s="4">
        <v>6</v>
      </c>
      <c r="G1841" s="4">
        <v>12909.1</v>
      </c>
      <c r="H1841">
        <v>10972.735000000001</v>
      </c>
      <c r="I1841">
        <f>Orders[[#This Row],[Quantity]]*Orders[[#This Row],[Selling Price]]</f>
        <v>77454.600000000006</v>
      </c>
      <c r="J1841">
        <f>Orders[[#This Row],[Quantity]]*Orders[[#This Row],[Cost Price]]</f>
        <v>65836.41</v>
      </c>
      <c r="K1841">
        <f>Orders[[#This Row],[Revenue]]-Orders[[#This Row],[Expenses]]</f>
        <v>11618.190000000002</v>
      </c>
      <c r="L1841" t="s">
        <v>2208</v>
      </c>
      <c r="M1841" t="str">
        <f>_xlfn.XLOOKUP(Orders[[#This Row],[CustomerID]],Customers[CustomerID],Customers[City])</f>
        <v>Texas</v>
      </c>
      <c r="N1841" t="str">
        <f>_xlfn.XLOOKUP(Orders[[#This Row],[CustomerID]],Customers[CustomerID],Customers[CustomerName])</f>
        <v>Adanma Ojo</v>
      </c>
      <c r="O1841" t="str">
        <f>_xlfn.XLOOKUP(Orders[[#This Row],[CustomerID]],Customers[CustomerID],Customers[Gender])</f>
        <v>Female</v>
      </c>
      <c r="P1841">
        <f>_xlfn.XLOOKUP(Orders[[#This Row],[CustomerID]],Customers[CustomerID],Customers[CustomerAge])</f>
        <v>18</v>
      </c>
      <c r="Q1841" t="str">
        <f>IF(Orders[[#This Row],[Age]]&gt;=35,"older","young")</f>
        <v>young</v>
      </c>
      <c r="R1841" t="str">
        <f>_xlfn.XLOOKUP(Orders[[#This Row],[ProductID]],Products[ProductID],Products[ProductName])</f>
        <v>GYM WEARS</v>
      </c>
      <c r="S1841" t="str">
        <f>_xlfn.XLOOKUP(Orders[[#This Row],[ProductID]],Products!A:A,Products!C:C)</f>
        <v>Clothing</v>
      </c>
    </row>
    <row r="1842" spans="1:19" x14ac:dyDescent="0.2">
      <c r="A1842" s="4" t="s">
        <v>2031</v>
      </c>
      <c r="B1842" s="5">
        <v>45964</v>
      </c>
      <c r="C1842" s="15">
        <f>WEEKNUM(Orders[[#This Row],[OrderDate]])</f>
        <v>45</v>
      </c>
      <c r="D1842" s="4" t="s">
        <v>124</v>
      </c>
      <c r="E1842" s="4" t="s">
        <v>76</v>
      </c>
      <c r="F1842" s="4">
        <v>9</v>
      </c>
      <c r="G1842" s="4">
        <v>14561.5</v>
      </c>
      <c r="H1842">
        <v>12377.275</v>
      </c>
      <c r="I1842">
        <f>Orders[[#This Row],[Quantity]]*Orders[[#This Row],[Selling Price]]</f>
        <v>131053.5</v>
      </c>
      <c r="J1842">
        <f>Orders[[#This Row],[Quantity]]*Orders[[#This Row],[Cost Price]]</f>
        <v>111395.47499999999</v>
      </c>
      <c r="K1842">
        <f>Orders[[#This Row],[Revenue]]-Orders[[#This Row],[Expenses]]</f>
        <v>19658.025000000009</v>
      </c>
      <c r="L1842" t="s">
        <v>2212</v>
      </c>
      <c r="M1842" t="str">
        <f>_xlfn.XLOOKUP(Orders[[#This Row],[CustomerID]],Customers[CustomerID],Customers[City])</f>
        <v>Texas</v>
      </c>
      <c r="N1842" t="str">
        <f>_xlfn.XLOOKUP(Orders[[#This Row],[CustomerID]],Customers[CustomerID],Customers[CustomerName])</f>
        <v>Ngozi Ojo</v>
      </c>
      <c r="O1842" t="str">
        <f>_xlfn.XLOOKUP(Orders[[#This Row],[CustomerID]],Customers[CustomerID],Customers[Gender])</f>
        <v>Female</v>
      </c>
      <c r="P1842">
        <f>_xlfn.XLOOKUP(Orders[[#This Row],[CustomerID]],Customers[CustomerID],Customers[CustomerAge])</f>
        <v>22</v>
      </c>
      <c r="Q1842" t="str">
        <f>IF(Orders[[#This Row],[Age]]&gt;=35,"older","young")</f>
        <v>young</v>
      </c>
      <c r="R1842" t="str">
        <f>_xlfn.XLOOKUP(Orders[[#This Row],[ProductID]],Products[ProductID],Products[ProductName])</f>
        <v>BLENDER</v>
      </c>
      <c r="S1842" t="str">
        <f>_xlfn.XLOOKUP(Orders[[#This Row],[ProductID]],Products!A:A,Products!C:C)</f>
        <v>Electronics</v>
      </c>
    </row>
    <row r="1843" spans="1:19" x14ac:dyDescent="0.2">
      <c r="A1843" s="4" t="s">
        <v>2032</v>
      </c>
      <c r="B1843" s="5">
        <v>45982</v>
      </c>
      <c r="C1843" s="15">
        <f>WEEKNUM(Orders[[#This Row],[OrderDate]])</f>
        <v>47</v>
      </c>
      <c r="D1843" s="4" t="s">
        <v>203</v>
      </c>
      <c r="E1843" s="4" t="s">
        <v>28</v>
      </c>
      <c r="F1843" s="4">
        <v>7</v>
      </c>
      <c r="G1843" s="4">
        <v>1584</v>
      </c>
      <c r="H1843">
        <v>1346.4</v>
      </c>
      <c r="I1843">
        <f>Orders[[#This Row],[Quantity]]*Orders[[#This Row],[Selling Price]]</f>
        <v>11088</v>
      </c>
      <c r="J1843">
        <f>Orders[[#This Row],[Quantity]]*Orders[[#This Row],[Cost Price]]</f>
        <v>9424.8000000000011</v>
      </c>
      <c r="K1843">
        <f>Orders[[#This Row],[Revenue]]-Orders[[#This Row],[Expenses]]</f>
        <v>1663.1999999999989</v>
      </c>
      <c r="L1843" t="s">
        <v>2197</v>
      </c>
      <c r="M1843" t="str">
        <f>_xlfn.XLOOKUP(Orders[[#This Row],[CustomerID]],Customers[CustomerID],Customers[City])</f>
        <v>Texas</v>
      </c>
      <c r="N1843" t="str">
        <f>_xlfn.XLOOKUP(Orders[[#This Row],[CustomerID]],Customers[CustomerID],Customers[CustomerName])</f>
        <v>Okon Bello</v>
      </c>
      <c r="O1843" t="str">
        <f>_xlfn.XLOOKUP(Orders[[#This Row],[CustomerID]],Customers[CustomerID],Customers[Gender])</f>
        <v>Male</v>
      </c>
      <c r="P1843">
        <f>_xlfn.XLOOKUP(Orders[[#This Row],[CustomerID]],Customers[CustomerID],Customers[CustomerAge])</f>
        <v>20</v>
      </c>
      <c r="Q1843" t="str">
        <f>IF(Orders[[#This Row],[Age]]&gt;=35,"older","young")</f>
        <v>young</v>
      </c>
      <c r="R1843" t="str">
        <f>_xlfn.XLOOKUP(Orders[[#This Row],[ProductID]],Products[ProductID],Products[ProductName])</f>
        <v>SNEAKERS</v>
      </c>
      <c r="S1843" t="str">
        <f>_xlfn.XLOOKUP(Orders[[#This Row],[ProductID]],Products!A:A,Products!C:C)</f>
        <v>Sports</v>
      </c>
    </row>
    <row r="1844" spans="1:19" x14ac:dyDescent="0.2">
      <c r="A1844" s="4" t="s">
        <v>2033</v>
      </c>
      <c r="B1844" s="5">
        <v>46009</v>
      </c>
      <c r="C1844" s="15">
        <f>WEEKNUM(Orders[[#This Row],[OrderDate]])</f>
        <v>51</v>
      </c>
      <c r="D1844" s="4" t="s">
        <v>574</v>
      </c>
      <c r="E1844" s="4" t="s">
        <v>60</v>
      </c>
      <c r="F1844" s="4">
        <v>1</v>
      </c>
      <c r="G1844" s="4">
        <v>9452.2000000000007</v>
      </c>
      <c r="H1844">
        <v>8034.3700000000008</v>
      </c>
      <c r="I1844">
        <f>Orders[[#This Row],[Quantity]]*Orders[[#This Row],[Selling Price]]</f>
        <v>9452.2000000000007</v>
      </c>
      <c r="J1844">
        <f>Orders[[#This Row],[Quantity]]*Orders[[#This Row],[Cost Price]]</f>
        <v>8034.3700000000008</v>
      </c>
      <c r="K1844">
        <f>Orders[[#This Row],[Revenue]]-Orders[[#This Row],[Expenses]]</f>
        <v>1417.83</v>
      </c>
      <c r="L1844" t="s">
        <v>2202</v>
      </c>
      <c r="M1844" t="str">
        <f>_xlfn.XLOOKUP(Orders[[#This Row],[CustomerID]],Customers[CustomerID],Customers[City])</f>
        <v>Texas</v>
      </c>
      <c r="N1844" t="str">
        <f>_xlfn.XLOOKUP(Orders[[#This Row],[CustomerID]],Customers[CustomerID],Customers[CustomerName])</f>
        <v>Adanma Obi</v>
      </c>
      <c r="O1844" t="str">
        <f>_xlfn.XLOOKUP(Orders[[#This Row],[CustomerID]],Customers[CustomerID],Customers[Gender])</f>
        <v>Female</v>
      </c>
      <c r="P1844">
        <f>_xlfn.XLOOKUP(Orders[[#This Row],[CustomerID]],Customers[CustomerID],Customers[CustomerAge])</f>
        <v>23</v>
      </c>
      <c r="Q1844" t="str">
        <f>IF(Orders[[#This Row],[Age]]&gt;=35,"older","young")</f>
        <v>young</v>
      </c>
      <c r="R1844" t="str">
        <f>_xlfn.XLOOKUP(Orders[[#This Row],[ProductID]],Products[ProductID],Products[ProductName])</f>
        <v>SILVER RINGS</v>
      </c>
      <c r="S1844" t="str">
        <f>_xlfn.XLOOKUP(Orders[[#This Row],[ProductID]],Products!A:A,Products!C:C)</f>
        <v>Accessories</v>
      </c>
    </row>
    <row r="1845" spans="1:19" x14ac:dyDescent="0.2">
      <c r="A1845" s="4" t="s">
        <v>2034</v>
      </c>
      <c r="B1845" s="5">
        <v>45999</v>
      </c>
      <c r="C1845" s="15">
        <f>WEEKNUM(Orders[[#This Row],[OrderDate]])</f>
        <v>50</v>
      </c>
      <c r="D1845" s="4" t="s">
        <v>94</v>
      </c>
      <c r="E1845" s="4" t="s">
        <v>15</v>
      </c>
      <c r="F1845" s="4">
        <v>5</v>
      </c>
      <c r="G1845" s="4">
        <v>5137.2000000000007</v>
      </c>
      <c r="H1845">
        <v>4366.6200000000008</v>
      </c>
      <c r="I1845">
        <f>Orders[[#This Row],[Quantity]]*Orders[[#This Row],[Selling Price]]</f>
        <v>25686.000000000004</v>
      </c>
      <c r="J1845">
        <f>Orders[[#This Row],[Quantity]]*Orders[[#This Row],[Cost Price]]</f>
        <v>21833.100000000006</v>
      </c>
      <c r="K1845">
        <f>Orders[[#This Row],[Revenue]]-Orders[[#This Row],[Expenses]]</f>
        <v>3852.8999999999978</v>
      </c>
      <c r="L1845" t="s">
        <v>2210</v>
      </c>
      <c r="M1845" t="str">
        <f>_xlfn.XLOOKUP(Orders[[#This Row],[CustomerID]],Customers[CustomerID],Customers[City])</f>
        <v>Texas</v>
      </c>
      <c r="N1845" t="str">
        <f>_xlfn.XLOOKUP(Orders[[#This Row],[CustomerID]],Customers[CustomerID],Customers[CustomerName])</f>
        <v>Uche Abubakar</v>
      </c>
      <c r="O1845" t="str">
        <f>_xlfn.XLOOKUP(Orders[[#This Row],[CustomerID]],Customers[CustomerID],Customers[Gender])</f>
        <v>Male</v>
      </c>
      <c r="P1845">
        <f>_xlfn.XLOOKUP(Orders[[#This Row],[CustomerID]],Customers[CustomerID],Customers[CustomerAge])</f>
        <v>26</v>
      </c>
      <c r="Q1845" t="str">
        <f>IF(Orders[[#This Row],[Age]]&gt;=35,"older","young")</f>
        <v>young</v>
      </c>
      <c r="R1845" t="str">
        <f>_xlfn.XLOOKUP(Orders[[#This Row],[ProductID]],Products[ProductID],Products[ProductName])</f>
        <v>MONOPOLY</v>
      </c>
      <c r="S1845" t="str">
        <f>_xlfn.XLOOKUP(Orders[[#This Row],[ProductID]],Products!A:A,Products!C:C)</f>
        <v>Games</v>
      </c>
    </row>
    <row r="1846" spans="1:19" x14ac:dyDescent="0.2">
      <c r="A1846" s="4" t="s">
        <v>2035</v>
      </c>
      <c r="B1846" s="5">
        <v>45935</v>
      </c>
      <c r="C1846" s="15">
        <f>WEEKNUM(Orders[[#This Row],[OrderDate]])</f>
        <v>41</v>
      </c>
      <c r="D1846" s="4" t="s">
        <v>212</v>
      </c>
      <c r="E1846" s="4" t="s">
        <v>63</v>
      </c>
      <c r="F1846" s="4">
        <v>4</v>
      </c>
      <c r="G1846" s="4">
        <v>17488.5</v>
      </c>
      <c r="H1846">
        <v>14865.225</v>
      </c>
      <c r="I1846">
        <f>Orders[[#This Row],[Quantity]]*Orders[[#This Row],[Selling Price]]</f>
        <v>69954</v>
      </c>
      <c r="J1846">
        <f>Orders[[#This Row],[Quantity]]*Orders[[#This Row],[Cost Price]]</f>
        <v>59460.9</v>
      </c>
      <c r="K1846">
        <f>Orders[[#This Row],[Revenue]]-Orders[[#This Row],[Expenses]]</f>
        <v>10493.099999999999</v>
      </c>
      <c r="L1846" t="s">
        <v>2204</v>
      </c>
      <c r="M1846" t="str">
        <f>_xlfn.XLOOKUP(Orders[[#This Row],[CustomerID]],Customers[CustomerID],Customers[City])</f>
        <v>Illinois</v>
      </c>
      <c r="N1846" t="str">
        <f>_xlfn.XLOOKUP(Orders[[#This Row],[CustomerID]],Customers[CustomerID],Customers[CustomerName])</f>
        <v>Ngozi Ojo</v>
      </c>
      <c r="O1846" t="str">
        <f>_xlfn.XLOOKUP(Orders[[#This Row],[CustomerID]],Customers[CustomerID],Customers[Gender])</f>
        <v>Female</v>
      </c>
      <c r="P1846">
        <f>_xlfn.XLOOKUP(Orders[[#This Row],[CustomerID]],Customers[CustomerID],Customers[CustomerAge])</f>
        <v>53</v>
      </c>
      <c r="Q1846" t="str">
        <f>IF(Orders[[#This Row],[Age]]&gt;=35,"older","young")</f>
        <v>older</v>
      </c>
      <c r="R1846" t="str">
        <f>_xlfn.XLOOKUP(Orders[[#This Row],[ProductID]],Products[ProductID],Products[ProductName])</f>
        <v>TENNIS BAT</v>
      </c>
      <c r="S1846" t="str">
        <f>_xlfn.XLOOKUP(Orders[[#This Row],[ProductID]],Products!A:A,Products!C:C)</f>
        <v>Sports</v>
      </c>
    </row>
    <row r="1847" spans="1:19" x14ac:dyDescent="0.2">
      <c r="A1847" s="4" t="s">
        <v>2036</v>
      </c>
      <c r="B1847" s="5">
        <v>45987</v>
      </c>
      <c r="C1847" s="15">
        <f>WEEKNUM(Orders[[#This Row],[OrderDate]])</f>
        <v>48</v>
      </c>
      <c r="D1847" s="4" t="s">
        <v>346</v>
      </c>
      <c r="E1847" s="4" t="s">
        <v>353</v>
      </c>
      <c r="F1847" s="4">
        <v>1</v>
      </c>
      <c r="G1847" s="4">
        <v>7401.4</v>
      </c>
      <c r="H1847">
        <v>6291.19</v>
      </c>
      <c r="I1847">
        <f>Orders[[#This Row],[Quantity]]*Orders[[#This Row],[Selling Price]]</f>
        <v>7401.4</v>
      </c>
      <c r="J1847">
        <f>Orders[[#This Row],[Quantity]]*Orders[[#This Row],[Cost Price]]</f>
        <v>6291.19</v>
      </c>
      <c r="K1847">
        <f>Orders[[#This Row],[Revenue]]-Orders[[#This Row],[Expenses]]</f>
        <v>1110.21</v>
      </c>
      <c r="L1847" t="s">
        <v>2198</v>
      </c>
      <c r="M1847" t="str">
        <f>_xlfn.XLOOKUP(Orders[[#This Row],[CustomerID]],Customers[CustomerID],Customers[City])</f>
        <v>California</v>
      </c>
      <c r="N1847" t="str">
        <f>_xlfn.XLOOKUP(Orders[[#This Row],[CustomerID]],Customers[CustomerID],Customers[CustomerName])</f>
        <v>Ngozi Danladi</v>
      </c>
      <c r="O1847" t="str">
        <f>_xlfn.XLOOKUP(Orders[[#This Row],[CustomerID]],Customers[CustomerID],Customers[Gender])</f>
        <v>Female</v>
      </c>
      <c r="P1847">
        <f>_xlfn.XLOOKUP(Orders[[#This Row],[CustomerID]],Customers[CustomerID],Customers[CustomerAge])</f>
        <v>30</v>
      </c>
      <c r="Q1847" t="str">
        <f>IF(Orders[[#This Row],[Age]]&gt;=35,"older","young")</f>
        <v>young</v>
      </c>
      <c r="R1847" t="str">
        <f>_xlfn.XLOOKUP(Orders[[#This Row],[ProductID]],Products[ProductID],Products[ProductName])</f>
        <v>SILVER EARRINGS AND NECKLACES</v>
      </c>
      <c r="S1847" t="str">
        <f>_xlfn.XLOOKUP(Orders[[#This Row],[ProductID]],Products!A:A,Products!C:C)</f>
        <v>Accessories</v>
      </c>
    </row>
    <row r="1848" spans="1:19" x14ac:dyDescent="0.2">
      <c r="A1848" s="4" t="s">
        <v>2037</v>
      </c>
      <c r="B1848" s="5">
        <v>45974</v>
      </c>
      <c r="C1848" s="15">
        <f>WEEKNUM(Orders[[#This Row],[OrderDate]])</f>
        <v>46</v>
      </c>
      <c r="D1848" s="4" t="s">
        <v>386</v>
      </c>
      <c r="E1848" s="4" t="s">
        <v>23</v>
      </c>
      <c r="F1848" s="4">
        <v>7</v>
      </c>
      <c r="G1848" s="4">
        <v>11948.4</v>
      </c>
      <c r="H1848">
        <v>10156.14</v>
      </c>
      <c r="I1848">
        <f>Orders[[#This Row],[Quantity]]*Orders[[#This Row],[Selling Price]]</f>
        <v>83638.8</v>
      </c>
      <c r="J1848">
        <f>Orders[[#This Row],[Quantity]]*Orders[[#This Row],[Cost Price]]</f>
        <v>71092.98</v>
      </c>
      <c r="K1848">
        <f>Orders[[#This Row],[Revenue]]-Orders[[#This Row],[Expenses]]</f>
        <v>12545.820000000007</v>
      </c>
      <c r="L1848" t="s">
        <v>2209</v>
      </c>
      <c r="M1848" t="str">
        <f>_xlfn.XLOOKUP(Orders[[#This Row],[CustomerID]],Customers[CustomerID],Customers[City])</f>
        <v>Washington</v>
      </c>
      <c r="N1848" t="str">
        <f>_xlfn.XLOOKUP(Orders[[#This Row],[CustomerID]],Customers[CustomerID],Customers[CustomerName])</f>
        <v>Chinedu Eze</v>
      </c>
      <c r="O1848" t="str">
        <f>_xlfn.XLOOKUP(Orders[[#This Row],[CustomerID]],Customers[CustomerID],Customers[Gender])</f>
        <v>Male</v>
      </c>
      <c r="P1848">
        <f>_xlfn.XLOOKUP(Orders[[#This Row],[CustomerID]],Customers[CustomerID],Customers[CustomerAge])</f>
        <v>32</v>
      </c>
      <c r="Q1848" t="str">
        <f>IF(Orders[[#This Row],[Age]]&gt;=35,"older","young")</f>
        <v>young</v>
      </c>
      <c r="R1848" t="str">
        <f>_xlfn.XLOOKUP(Orders[[#This Row],[ProductID]],Products[ProductID],Products[ProductName])</f>
        <v>GYM GLOVES</v>
      </c>
      <c r="S1848" t="str">
        <f>_xlfn.XLOOKUP(Orders[[#This Row],[ProductID]],Products!A:A,Products!C:C)</f>
        <v>Gym</v>
      </c>
    </row>
    <row r="1849" spans="1:19" x14ac:dyDescent="0.2">
      <c r="A1849" s="4" t="s">
        <v>2038</v>
      </c>
      <c r="B1849" s="5">
        <v>45943</v>
      </c>
      <c r="C1849" s="15">
        <f>WEEKNUM(Orders[[#This Row],[OrderDate]])</f>
        <v>42</v>
      </c>
      <c r="D1849" s="4" t="s">
        <v>212</v>
      </c>
      <c r="E1849" s="4" t="s">
        <v>70</v>
      </c>
      <c r="F1849" s="4">
        <v>3</v>
      </c>
      <c r="G1849" s="4">
        <v>16956.199999999997</v>
      </c>
      <c r="H1849">
        <v>14412.769999999997</v>
      </c>
      <c r="I1849">
        <f>Orders[[#This Row],[Quantity]]*Orders[[#This Row],[Selling Price]]</f>
        <v>50868.599999999991</v>
      </c>
      <c r="J1849">
        <f>Orders[[#This Row],[Quantity]]*Orders[[#This Row],[Cost Price]]</f>
        <v>43238.30999999999</v>
      </c>
      <c r="K1849">
        <f>Orders[[#This Row],[Revenue]]-Orders[[#This Row],[Expenses]]</f>
        <v>7630.2900000000009</v>
      </c>
      <c r="L1849" t="s">
        <v>2211</v>
      </c>
      <c r="M1849" t="str">
        <f>_xlfn.XLOOKUP(Orders[[#This Row],[CustomerID]],Customers[CustomerID],Customers[City])</f>
        <v>Illinois</v>
      </c>
      <c r="N1849" t="str">
        <f>_xlfn.XLOOKUP(Orders[[#This Row],[CustomerID]],Customers[CustomerID],Customers[CustomerName])</f>
        <v>Ngozi Ojo</v>
      </c>
      <c r="O1849" t="str">
        <f>_xlfn.XLOOKUP(Orders[[#This Row],[CustomerID]],Customers[CustomerID],Customers[Gender])</f>
        <v>Female</v>
      </c>
      <c r="P1849">
        <f>_xlfn.XLOOKUP(Orders[[#This Row],[CustomerID]],Customers[CustomerID],Customers[CustomerAge])</f>
        <v>53</v>
      </c>
      <c r="Q1849" t="str">
        <f>IF(Orders[[#This Row],[Age]]&gt;=35,"older","young")</f>
        <v>older</v>
      </c>
      <c r="R1849" t="str">
        <f>_xlfn.XLOOKUP(Orders[[#This Row],[ProductID]],Products[ProductID],Products[ProductName])</f>
        <v>YOGA MAT</v>
      </c>
      <c r="S1849" t="str">
        <f>_xlfn.XLOOKUP(Orders[[#This Row],[ProductID]],Products!A:A,Products!C:C)</f>
        <v>Gym</v>
      </c>
    </row>
    <row r="1850" spans="1:19" x14ac:dyDescent="0.2">
      <c r="A1850" s="4" t="s">
        <v>2039</v>
      </c>
      <c r="B1850" s="5">
        <v>45966</v>
      </c>
      <c r="C1850" s="15">
        <f>WEEKNUM(Orders[[#This Row],[OrderDate]])</f>
        <v>45</v>
      </c>
      <c r="D1850" s="4" t="s">
        <v>671</v>
      </c>
      <c r="E1850" s="4" t="s">
        <v>37</v>
      </c>
      <c r="F1850" s="4">
        <v>7</v>
      </c>
      <c r="G1850" s="4">
        <v>18986.400000000001</v>
      </c>
      <c r="H1850">
        <v>16138.440000000002</v>
      </c>
      <c r="I1850">
        <f>Orders[[#This Row],[Quantity]]*Orders[[#This Row],[Selling Price]]</f>
        <v>132904.80000000002</v>
      </c>
      <c r="J1850">
        <f>Orders[[#This Row],[Quantity]]*Orders[[#This Row],[Cost Price]]</f>
        <v>112969.08000000002</v>
      </c>
      <c r="K1850">
        <f>Orders[[#This Row],[Revenue]]-Orders[[#This Row],[Expenses]]</f>
        <v>19935.72</v>
      </c>
      <c r="L1850" t="s">
        <v>2215</v>
      </c>
      <c r="M1850" t="str">
        <f>_xlfn.XLOOKUP(Orders[[#This Row],[CustomerID]],Customers[CustomerID],Customers[City])</f>
        <v>Texas</v>
      </c>
      <c r="N1850" t="str">
        <f>_xlfn.XLOOKUP(Orders[[#This Row],[CustomerID]],Customers[CustomerID],Customers[CustomerName])</f>
        <v>Tunde Abubakar</v>
      </c>
      <c r="O1850" t="str">
        <f>_xlfn.XLOOKUP(Orders[[#This Row],[CustomerID]],Customers[CustomerID],Customers[Gender])</f>
        <v>Male</v>
      </c>
      <c r="P1850">
        <f>_xlfn.XLOOKUP(Orders[[#This Row],[CustomerID]],Customers[CustomerID],Customers[CustomerAge])</f>
        <v>26</v>
      </c>
      <c r="Q1850" t="str">
        <f>IF(Orders[[#This Row],[Age]]&gt;=35,"older","young")</f>
        <v>young</v>
      </c>
      <c r="R1850" t="str">
        <f>_xlfn.XLOOKUP(Orders[[#This Row],[ProductID]],Products[ProductID],Products[ProductName])</f>
        <v>IRON</v>
      </c>
      <c r="S1850" t="str">
        <f>_xlfn.XLOOKUP(Orders[[#This Row],[ProductID]],Products!A:A,Products!C:C)</f>
        <v>Electronics</v>
      </c>
    </row>
    <row r="1851" spans="1:19" x14ac:dyDescent="0.2">
      <c r="A1851" s="4" t="s">
        <v>2040</v>
      </c>
      <c r="B1851" s="5">
        <v>45971</v>
      </c>
      <c r="C1851" s="15">
        <f>WEEKNUM(Orders[[#This Row],[OrderDate]])</f>
        <v>46</v>
      </c>
      <c r="D1851" s="4" t="s">
        <v>457</v>
      </c>
      <c r="E1851" s="4" t="s">
        <v>168</v>
      </c>
      <c r="F1851" s="4">
        <v>1</v>
      </c>
      <c r="G1851" s="4">
        <v>8721.1</v>
      </c>
      <c r="H1851">
        <v>7412.9350000000004</v>
      </c>
      <c r="I1851">
        <f>Orders[[#This Row],[Quantity]]*Orders[[#This Row],[Selling Price]]</f>
        <v>8721.1</v>
      </c>
      <c r="J1851">
        <f>Orders[[#This Row],[Quantity]]*Orders[[#This Row],[Cost Price]]</f>
        <v>7412.9350000000004</v>
      </c>
      <c r="K1851">
        <f>Orders[[#This Row],[Revenue]]-Orders[[#This Row],[Expenses]]</f>
        <v>1308.165</v>
      </c>
      <c r="L1851" t="s">
        <v>2211</v>
      </c>
      <c r="M1851" t="str">
        <f>_xlfn.XLOOKUP(Orders[[#This Row],[CustomerID]],Customers[CustomerID],Customers[City])</f>
        <v>Illinois</v>
      </c>
      <c r="N1851" t="str">
        <f>_xlfn.XLOOKUP(Orders[[#This Row],[CustomerID]],Customers[CustomerID],Customers[CustomerName])</f>
        <v>Tunde Okonkwo</v>
      </c>
      <c r="O1851" t="str">
        <f>_xlfn.XLOOKUP(Orders[[#This Row],[CustomerID]],Customers[CustomerID],Customers[Gender])</f>
        <v>Male</v>
      </c>
      <c r="P1851">
        <f>_xlfn.XLOOKUP(Orders[[#This Row],[CustomerID]],Customers[CustomerID],Customers[CustomerAge])</f>
        <v>23</v>
      </c>
      <c r="Q1851" t="str">
        <f>IF(Orders[[#This Row],[Age]]&gt;=35,"older","young")</f>
        <v>young</v>
      </c>
      <c r="R1851" t="str">
        <f>_xlfn.XLOOKUP(Orders[[#This Row],[ProductID]],Products[ProductID],Products[ProductName])</f>
        <v>DUMB BELLS</v>
      </c>
      <c r="S1851" t="str">
        <f>_xlfn.XLOOKUP(Orders[[#This Row],[ProductID]],Products!A:A,Products!C:C)</f>
        <v>Gym</v>
      </c>
    </row>
    <row r="1852" spans="1:19" x14ac:dyDescent="0.2">
      <c r="A1852" s="4" t="s">
        <v>2041</v>
      </c>
      <c r="B1852" s="5">
        <v>45939</v>
      </c>
      <c r="C1852" s="15">
        <f>WEEKNUM(Orders[[#This Row],[OrderDate]])</f>
        <v>41</v>
      </c>
      <c r="D1852" s="4" t="s">
        <v>227</v>
      </c>
      <c r="E1852" s="4" t="s">
        <v>92</v>
      </c>
      <c r="F1852" s="4">
        <v>4</v>
      </c>
      <c r="G1852" s="4">
        <v>19279.7</v>
      </c>
      <c r="H1852">
        <v>16387.745000000003</v>
      </c>
      <c r="I1852">
        <f>Orders[[#This Row],[Quantity]]*Orders[[#This Row],[Selling Price]]</f>
        <v>77118.8</v>
      </c>
      <c r="J1852">
        <f>Orders[[#This Row],[Quantity]]*Orders[[#This Row],[Cost Price]]</f>
        <v>65550.98000000001</v>
      </c>
      <c r="K1852">
        <f>Orders[[#This Row],[Revenue]]-Orders[[#This Row],[Expenses]]</f>
        <v>11567.819999999992</v>
      </c>
      <c r="L1852" t="s">
        <v>2218</v>
      </c>
      <c r="M1852" t="str">
        <f>_xlfn.XLOOKUP(Orders[[#This Row],[CustomerID]],Customers[CustomerID],Customers[City])</f>
        <v>Washington</v>
      </c>
      <c r="N1852" t="str">
        <f>_xlfn.XLOOKUP(Orders[[#This Row],[CustomerID]],Customers[CustomerID],Customers[CustomerName])</f>
        <v>Emmanuel Victor</v>
      </c>
      <c r="O1852" t="str">
        <f>_xlfn.XLOOKUP(Orders[[#This Row],[CustomerID]],Customers[CustomerID],Customers[Gender])</f>
        <v>Male</v>
      </c>
      <c r="P1852">
        <f>_xlfn.XLOOKUP(Orders[[#This Row],[CustomerID]],Customers[CustomerID],Customers[CustomerAge])</f>
        <v>35</v>
      </c>
      <c r="Q1852" t="str">
        <f>IF(Orders[[#This Row],[Age]]&gt;=35,"older","young")</f>
        <v>older</v>
      </c>
      <c r="R1852" t="str">
        <f>_xlfn.XLOOKUP(Orders[[#This Row],[ProductID]],Products[ProductID],Products[ProductName])</f>
        <v>CHEST EXPANDER</v>
      </c>
      <c r="S1852" t="str">
        <f>_xlfn.XLOOKUP(Orders[[#This Row],[ProductID]],Products!A:A,Products!C:C)</f>
        <v>Gym</v>
      </c>
    </row>
    <row r="1853" spans="1:19" x14ac:dyDescent="0.2">
      <c r="A1853" s="4" t="s">
        <v>2042</v>
      </c>
      <c r="B1853" s="5">
        <v>46014</v>
      </c>
      <c r="C1853" s="15">
        <f>WEEKNUM(Orders[[#This Row],[OrderDate]])</f>
        <v>52</v>
      </c>
      <c r="D1853" s="4" t="s">
        <v>244</v>
      </c>
      <c r="E1853" s="4" t="s">
        <v>15</v>
      </c>
      <c r="F1853" s="4">
        <v>5</v>
      </c>
      <c r="G1853" s="4">
        <v>15935.599999999999</v>
      </c>
      <c r="H1853">
        <v>13545.259999999998</v>
      </c>
      <c r="I1853">
        <f>Orders[[#This Row],[Quantity]]*Orders[[#This Row],[Selling Price]]</f>
        <v>79678</v>
      </c>
      <c r="J1853">
        <f>Orders[[#This Row],[Quantity]]*Orders[[#This Row],[Cost Price]]</f>
        <v>67726.299999999988</v>
      </c>
      <c r="K1853">
        <f>Orders[[#This Row],[Revenue]]-Orders[[#This Row],[Expenses]]</f>
        <v>11951.700000000012</v>
      </c>
      <c r="L1853" t="s">
        <v>2193</v>
      </c>
      <c r="M1853" t="str">
        <f>_xlfn.XLOOKUP(Orders[[#This Row],[CustomerID]],Customers[CustomerID],Customers[City])</f>
        <v>Texas</v>
      </c>
      <c r="N1853" t="str">
        <f>_xlfn.XLOOKUP(Orders[[#This Row],[CustomerID]],Customers[CustomerID],Customers[CustomerName])</f>
        <v>Zainab Abubakar</v>
      </c>
      <c r="O1853" t="str">
        <f>_xlfn.XLOOKUP(Orders[[#This Row],[CustomerID]],Customers[CustomerID],Customers[Gender])</f>
        <v>Female</v>
      </c>
      <c r="P1853">
        <f>_xlfn.XLOOKUP(Orders[[#This Row],[CustomerID]],Customers[CustomerID],Customers[CustomerAge])</f>
        <v>33</v>
      </c>
      <c r="Q1853" t="str">
        <f>IF(Orders[[#This Row],[Age]]&gt;=35,"older","young")</f>
        <v>young</v>
      </c>
      <c r="R1853" t="str">
        <f>_xlfn.XLOOKUP(Orders[[#This Row],[ProductID]],Products[ProductID],Products[ProductName])</f>
        <v>MONOPOLY</v>
      </c>
      <c r="S1853" t="str">
        <f>_xlfn.XLOOKUP(Orders[[#This Row],[ProductID]],Products!A:A,Products!C:C)</f>
        <v>Games</v>
      </c>
    </row>
    <row r="1854" spans="1:19" x14ac:dyDescent="0.2">
      <c r="A1854" s="4" t="s">
        <v>2043</v>
      </c>
      <c r="B1854" s="5">
        <v>45939</v>
      </c>
      <c r="C1854" s="15">
        <f>WEEKNUM(Orders[[#This Row],[OrderDate]])</f>
        <v>41</v>
      </c>
      <c r="D1854" s="4" t="s">
        <v>134</v>
      </c>
      <c r="E1854" s="4" t="s">
        <v>63</v>
      </c>
      <c r="F1854" s="4">
        <v>4</v>
      </c>
      <c r="G1854" s="4">
        <v>12514.5</v>
      </c>
      <c r="H1854">
        <v>10637.325000000001</v>
      </c>
      <c r="I1854">
        <f>Orders[[#This Row],[Quantity]]*Orders[[#This Row],[Selling Price]]</f>
        <v>50058</v>
      </c>
      <c r="J1854">
        <f>Orders[[#This Row],[Quantity]]*Orders[[#This Row],[Cost Price]]</f>
        <v>42549.3</v>
      </c>
      <c r="K1854">
        <f>Orders[[#This Row],[Revenue]]-Orders[[#This Row],[Expenses]]</f>
        <v>7508.6999999999971</v>
      </c>
      <c r="L1854" t="s">
        <v>2210</v>
      </c>
      <c r="M1854" t="str">
        <f>_xlfn.XLOOKUP(Orders[[#This Row],[CustomerID]],Customers[CustomerID],Customers[City])</f>
        <v>Florida</v>
      </c>
      <c r="N1854" t="str">
        <f>_xlfn.XLOOKUP(Orders[[#This Row],[CustomerID]],Customers[CustomerID],Customers[CustomerName])</f>
        <v>Ngozi Ojo</v>
      </c>
      <c r="O1854" t="str">
        <f>_xlfn.XLOOKUP(Orders[[#This Row],[CustomerID]],Customers[CustomerID],Customers[Gender])</f>
        <v>Female</v>
      </c>
      <c r="P1854">
        <f>_xlfn.XLOOKUP(Orders[[#This Row],[CustomerID]],Customers[CustomerID],Customers[CustomerAge])</f>
        <v>18</v>
      </c>
      <c r="Q1854" t="str">
        <f>IF(Orders[[#This Row],[Age]]&gt;=35,"older","young")</f>
        <v>young</v>
      </c>
      <c r="R1854" t="str">
        <f>_xlfn.XLOOKUP(Orders[[#This Row],[ProductID]],Products[ProductID],Products[ProductName])</f>
        <v>TENNIS BAT</v>
      </c>
      <c r="S1854" t="str">
        <f>_xlfn.XLOOKUP(Orders[[#This Row],[ProductID]],Products!A:A,Products!C:C)</f>
        <v>Sports</v>
      </c>
    </row>
    <row r="1855" spans="1:19" x14ac:dyDescent="0.2">
      <c r="A1855" s="4" t="s">
        <v>2044</v>
      </c>
      <c r="B1855" s="5">
        <v>45971</v>
      </c>
      <c r="C1855" s="15">
        <f>WEEKNUM(Orders[[#This Row],[OrderDate]])</f>
        <v>46</v>
      </c>
      <c r="D1855" s="4" t="s">
        <v>136</v>
      </c>
      <c r="E1855" s="4" t="s">
        <v>63</v>
      </c>
      <c r="F1855" s="4">
        <v>1</v>
      </c>
      <c r="G1855" s="4">
        <v>9855.1</v>
      </c>
      <c r="H1855">
        <v>8376.8350000000009</v>
      </c>
      <c r="I1855">
        <f>Orders[[#This Row],[Quantity]]*Orders[[#This Row],[Selling Price]]</f>
        <v>9855.1</v>
      </c>
      <c r="J1855">
        <f>Orders[[#This Row],[Quantity]]*Orders[[#This Row],[Cost Price]]</f>
        <v>8376.8350000000009</v>
      </c>
      <c r="K1855">
        <f>Orders[[#This Row],[Revenue]]-Orders[[#This Row],[Expenses]]</f>
        <v>1478.2649999999994</v>
      </c>
      <c r="L1855" t="s">
        <v>2215</v>
      </c>
      <c r="M1855" t="str">
        <f>_xlfn.XLOOKUP(Orders[[#This Row],[CustomerID]],Customers[CustomerID],Customers[City])</f>
        <v>California</v>
      </c>
      <c r="N1855" t="str">
        <f>_xlfn.XLOOKUP(Orders[[#This Row],[CustomerID]],Customers[CustomerID],Customers[CustomerName])</f>
        <v>Chinedu Obi</v>
      </c>
      <c r="O1855" t="str">
        <f>_xlfn.XLOOKUP(Orders[[#This Row],[CustomerID]],Customers[CustomerID],Customers[Gender])</f>
        <v>Male</v>
      </c>
      <c r="P1855">
        <f>_xlfn.XLOOKUP(Orders[[#This Row],[CustomerID]],Customers[CustomerID],Customers[CustomerAge])</f>
        <v>27</v>
      </c>
      <c r="Q1855" t="str">
        <f>IF(Orders[[#This Row],[Age]]&gt;=35,"older","young")</f>
        <v>young</v>
      </c>
      <c r="R1855" t="str">
        <f>_xlfn.XLOOKUP(Orders[[#This Row],[ProductID]],Products[ProductID],Products[ProductName])</f>
        <v>TENNIS BAT</v>
      </c>
      <c r="S1855" t="str">
        <f>_xlfn.XLOOKUP(Orders[[#This Row],[ProductID]],Products!A:A,Products!C:C)</f>
        <v>Sports</v>
      </c>
    </row>
    <row r="1856" spans="1:19" x14ac:dyDescent="0.2">
      <c r="A1856" s="4" t="s">
        <v>2045</v>
      </c>
      <c r="B1856" s="5">
        <v>45983</v>
      </c>
      <c r="C1856" s="15">
        <f>WEEKNUM(Orders[[#This Row],[OrderDate]])</f>
        <v>47</v>
      </c>
      <c r="D1856" s="4" t="s">
        <v>73</v>
      </c>
      <c r="E1856" s="4" t="s">
        <v>12</v>
      </c>
      <c r="F1856" s="4">
        <v>9</v>
      </c>
      <c r="G1856" s="4">
        <v>14449.400000000001</v>
      </c>
      <c r="H1856">
        <v>12281.990000000002</v>
      </c>
      <c r="I1856">
        <f>Orders[[#This Row],[Quantity]]*Orders[[#This Row],[Selling Price]]</f>
        <v>130044.6</v>
      </c>
      <c r="J1856">
        <f>Orders[[#This Row],[Quantity]]*Orders[[#This Row],[Cost Price]]</f>
        <v>110537.91000000002</v>
      </c>
      <c r="K1856">
        <f>Orders[[#This Row],[Revenue]]-Orders[[#This Row],[Expenses]]</f>
        <v>19506.689999999988</v>
      </c>
      <c r="L1856" t="s">
        <v>2202</v>
      </c>
      <c r="M1856" t="str">
        <f>_xlfn.XLOOKUP(Orders[[#This Row],[CustomerID]],Customers[CustomerID],Customers[City])</f>
        <v>California</v>
      </c>
      <c r="N1856" t="str">
        <f>_xlfn.XLOOKUP(Orders[[#This Row],[CustomerID]],Customers[CustomerID],Customers[CustomerName])</f>
        <v>Ronke Okonkwo</v>
      </c>
      <c r="O1856" t="str">
        <f>_xlfn.XLOOKUP(Orders[[#This Row],[CustomerID]],Customers[CustomerID],Customers[Gender])</f>
        <v>Female</v>
      </c>
      <c r="P1856">
        <f>_xlfn.XLOOKUP(Orders[[#This Row],[CustomerID]],Customers[CustomerID],Customers[CustomerAge])</f>
        <v>20</v>
      </c>
      <c r="Q1856" t="str">
        <f>IF(Orders[[#This Row],[Age]]&gt;=35,"older","young")</f>
        <v>young</v>
      </c>
      <c r="R1856" t="str">
        <f>_xlfn.XLOOKUP(Orders[[#This Row],[ProductID]],Products[ProductID],Products[ProductName])</f>
        <v>BOUBOU</v>
      </c>
      <c r="S1856" t="str">
        <f>_xlfn.XLOOKUP(Orders[[#This Row],[ProductID]],Products!A:A,Products!C:C)</f>
        <v>Clothing</v>
      </c>
    </row>
    <row r="1857" spans="1:19" x14ac:dyDescent="0.2">
      <c r="A1857" s="4" t="s">
        <v>2046</v>
      </c>
      <c r="B1857" s="5">
        <v>45938</v>
      </c>
      <c r="C1857" s="15">
        <f>WEEKNUM(Orders[[#This Row],[OrderDate]])</f>
        <v>41</v>
      </c>
      <c r="D1857" s="4" t="s">
        <v>129</v>
      </c>
      <c r="E1857" s="4" t="s">
        <v>28</v>
      </c>
      <c r="F1857" s="4">
        <v>2</v>
      </c>
      <c r="G1857" s="4">
        <v>1394.7</v>
      </c>
      <c r="H1857">
        <v>1185.4950000000001</v>
      </c>
      <c r="I1857">
        <f>Orders[[#This Row],[Quantity]]*Orders[[#This Row],[Selling Price]]</f>
        <v>2789.4</v>
      </c>
      <c r="J1857">
        <f>Orders[[#This Row],[Quantity]]*Orders[[#This Row],[Cost Price]]</f>
        <v>2370.9900000000002</v>
      </c>
      <c r="K1857">
        <f>Orders[[#This Row],[Revenue]]-Orders[[#This Row],[Expenses]]</f>
        <v>418.40999999999985</v>
      </c>
      <c r="L1857" t="s">
        <v>2195</v>
      </c>
      <c r="M1857" t="str">
        <f>_xlfn.XLOOKUP(Orders[[#This Row],[CustomerID]],Customers[CustomerID],Customers[City])</f>
        <v>Washington</v>
      </c>
      <c r="N1857" t="str">
        <f>_xlfn.XLOOKUP(Orders[[#This Row],[CustomerID]],Customers[CustomerID],Customers[CustomerName])</f>
        <v>Chioma Ojo</v>
      </c>
      <c r="O1857" t="str">
        <f>_xlfn.XLOOKUP(Orders[[#This Row],[CustomerID]],Customers[CustomerID],Customers[Gender])</f>
        <v>Female</v>
      </c>
      <c r="P1857">
        <f>_xlfn.XLOOKUP(Orders[[#This Row],[CustomerID]],Customers[CustomerID],Customers[CustomerAge])</f>
        <v>46</v>
      </c>
      <c r="Q1857" t="str">
        <f>IF(Orders[[#This Row],[Age]]&gt;=35,"older","young")</f>
        <v>older</v>
      </c>
      <c r="R1857" t="str">
        <f>_xlfn.XLOOKUP(Orders[[#This Row],[ProductID]],Products[ProductID],Products[ProductName])</f>
        <v>SNEAKERS</v>
      </c>
      <c r="S1857" t="str">
        <f>_xlfn.XLOOKUP(Orders[[#This Row],[ProductID]],Products!A:A,Products!C:C)</f>
        <v>Sports</v>
      </c>
    </row>
    <row r="1858" spans="1:19" x14ac:dyDescent="0.2">
      <c r="A1858" s="4" t="s">
        <v>2047</v>
      </c>
      <c r="B1858" s="5">
        <v>46001</v>
      </c>
      <c r="C1858" s="15">
        <f>WEEKNUM(Orders[[#This Row],[OrderDate]])</f>
        <v>50</v>
      </c>
      <c r="D1858" s="4" t="s">
        <v>309</v>
      </c>
      <c r="E1858" s="4" t="s">
        <v>130</v>
      </c>
      <c r="F1858" s="4">
        <v>8</v>
      </c>
      <c r="G1858" s="4">
        <v>17642.400000000001</v>
      </c>
      <c r="H1858">
        <v>14996.04</v>
      </c>
      <c r="I1858">
        <f>Orders[[#This Row],[Quantity]]*Orders[[#This Row],[Selling Price]]</f>
        <v>141139.20000000001</v>
      </c>
      <c r="J1858">
        <f>Orders[[#This Row],[Quantity]]*Orders[[#This Row],[Cost Price]]</f>
        <v>119968.32000000001</v>
      </c>
      <c r="K1858">
        <f>Orders[[#This Row],[Revenue]]-Orders[[#This Row],[Expenses]]</f>
        <v>21170.880000000005</v>
      </c>
      <c r="L1858" t="s">
        <v>2202</v>
      </c>
      <c r="M1858" t="str">
        <f>_xlfn.XLOOKUP(Orders[[#This Row],[CustomerID]],Customers[CustomerID],Customers[City])</f>
        <v>Washington</v>
      </c>
      <c r="N1858" t="str">
        <f>_xlfn.XLOOKUP(Orders[[#This Row],[CustomerID]],Customers[CustomerID],Customers[CustomerName])</f>
        <v>Temi Ojo</v>
      </c>
      <c r="O1858" t="str">
        <f>_xlfn.XLOOKUP(Orders[[#This Row],[CustomerID]],Customers[CustomerID],Customers[Gender])</f>
        <v>Female</v>
      </c>
      <c r="P1858">
        <f>_xlfn.XLOOKUP(Orders[[#This Row],[CustomerID]],Customers[CustomerID],Customers[CustomerAge])</f>
        <v>36</v>
      </c>
      <c r="Q1858" t="str">
        <f>IF(Orders[[#This Row],[Age]]&gt;=35,"older","young")</f>
        <v>older</v>
      </c>
      <c r="R1858" t="str">
        <f>_xlfn.XLOOKUP(Orders[[#This Row],[ProductID]],Products[ProductID],Products[ProductName])</f>
        <v>GOLD EARRINGS AND NECKLACES</v>
      </c>
      <c r="S1858" t="str">
        <f>_xlfn.XLOOKUP(Orders[[#This Row],[ProductID]],Products!A:A,Products!C:C)</f>
        <v>Accessories</v>
      </c>
    </row>
    <row r="1859" spans="1:19" x14ac:dyDescent="0.2">
      <c r="A1859" s="4" t="s">
        <v>2048</v>
      </c>
      <c r="B1859" s="5">
        <v>45945</v>
      </c>
      <c r="C1859" s="15">
        <f>WEEKNUM(Orders[[#This Row],[OrderDate]])</f>
        <v>42</v>
      </c>
      <c r="D1859" s="4" t="s">
        <v>374</v>
      </c>
      <c r="E1859" s="4" t="s">
        <v>28</v>
      </c>
      <c r="F1859" s="4">
        <v>6</v>
      </c>
      <c r="G1859" s="4">
        <v>16924.900000000001</v>
      </c>
      <c r="H1859">
        <v>14386.165000000001</v>
      </c>
      <c r="I1859">
        <f>Orders[[#This Row],[Quantity]]*Orders[[#This Row],[Selling Price]]</f>
        <v>101549.40000000001</v>
      </c>
      <c r="J1859">
        <f>Orders[[#This Row],[Quantity]]*Orders[[#This Row],[Cost Price]]</f>
        <v>86316.99</v>
      </c>
      <c r="K1859">
        <f>Orders[[#This Row],[Revenue]]-Orders[[#This Row],[Expenses]]</f>
        <v>15232.410000000003</v>
      </c>
      <c r="L1859" t="s">
        <v>2206</v>
      </c>
      <c r="M1859" t="str">
        <f>_xlfn.XLOOKUP(Orders[[#This Row],[CustomerID]],Customers[CustomerID],Customers[City])</f>
        <v>Texas</v>
      </c>
      <c r="N1859" t="str">
        <f>_xlfn.XLOOKUP(Orders[[#This Row],[CustomerID]],Customers[CustomerID],Customers[CustomerName])</f>
        <v>Uche Okonkwo</v>
      </c>
      <c r="O1859" t="str">
        <f>_xlfn.XLOOKUP(Orders[[#This Row],[CustomerID]],Customers[CustomerID],Customers[Gender])</f>
        <v>Male</v>
      </c>
      <c r="P1859">
        <f>_xlfn.XLOOKUP(Orders[[#This Row],[CustomerID]],Customers[CustomerID],Customers[CustomerAge])</f>
        <v>27</v>
      </c>
      <c r="Q1859" t="str">
        <f>IF(Orders[[#This Row],[Age]]&gt;=35,"older","young")</f>
        <v>young</v>
      </c>
      <c r="R1859" t="str">
        <f>_xlfn.XLOOKUP(Orders[[#This Row],[ProductID]],Products[ProductID],Products[ProductName])</f>
        <v>SNEAKERS</v>
      </c>
      <c r="S1859" t="str">
        <f>_xlfn.XLOOKUP(Orders[[#This Row],[ProductID]],Products!A:A,Products!C:C)</f>
        <v>Sports</v>
      </c>
    </row>
    <row r="1860" spans="1:19" x14ac:dyDescent="0.2">
      <c r="A1860" s="4" t="s">
        <v>2049</v>
      </c>
      <c r="B1860" s="5">
        <v>45983</v>
      </c>
      <c r="C1860" s="15">
        <f>WEEKNUM(Orders[[#This Row],[OrderDate]])</f>
        <v>47</v>
      </c>
      <c r="D1860" s="4" t="s">
        <v>203</v>
      </c>
      <c r="E1860" s="4" t="s">
        <v>70</v>
      </c>
      <c r="F1860" s="4">
        <v>9</v>
      </c>
      <c r="G1860" s="4">
        <v>1585.5</v>
      </c>
      <c r="H1860">
        <v>1347.675</v>
      </c>
      <c r="I1860">
        <f>Orders[[#This Row],[Quantity]]*Orders[[#This Row],[Selling Price]]</f>
        <v>14269.5</v>
      </c>
      <c r="J1860">
        <f>Orders[[#This Row],[Quantity]]*Orders[[#This Row],[Cost Price]]</f>
        <v>12129.074999999999</v>
      </c>
      <c r="K1860">
        <f>Orders[[#This Row],[Revenue]]-Orders[[#This Row],[Expenses]]</f>
        <v>2140.4250000000011</v>
      </c>
      <c r="L1860" t="s">
        <v>2199</v>
      </c>
      <c r="M1860" t="str">
        <f>_xlfn.XLOOKUP(Orders[[#This Row],[CustomerID]],Customers[CustomerID],Customers[City])</f>
        <v>Texas</v>
      </c>
      <c r="N1860" t="str">
        <f>_xlfn.XLOOKUP(Orders[[#This Row],[CustomerID]],Customers[CustomerID],Customers[CustomerName])</f>
        <v>Okon Bello</v>
      </c>
      <c r="O1860" t="str">
        <f>_xlfn.XLOOKUP(Orders[[#This Row],[CustomerID]],Customers[CustomerID],Customers[Gender])</f>
        <v>Male</v>
      </c>
      <c r="P1860">
        <f>_xlfn.XLOOKUP(Orders[[#This Row],[CustomerID]],Customers[CustomerID],Customers[CustomerAge])</f>
        <v>20</v>
      </c>
      <c r="Q1860" t="str">
        <f>IF(Orders[[#This Row],[Age]]&gt;=35,"older","young")</f>
        <v>young</v>
      </c>
      <c r="R1860" t="str">
        <f>_xlfn.XLOOKUP(Orders[[#This Row],[ProductID]],Products[ProductID],Products[ProductName])</f>
        <v>YOGA MAT</v>
      </c>
      <c r="S1860" t="str">
        <f>_xlfn.XLOOKUP(Orders[[#This Row],[ProductID]],Products!A:A,Products!C:C)</f>
        <v>Gym</v>
      </c>
    </row>
    <row r="1861" spans="1:19" x14ac:dyDescent="0.2">
      <c r="A1861" s="4" t="s">
        <v>2050</v>
      </c>
      <c r="B1861" s="5">
        <v>45979</v>
      </c>
      <c r="C1861" s="15">
        <f>WEEKNUM(Orders[[#This Row],[OrderDate]])</f>
        <v>47</v>
      </c>
      <c r="D1861" s="4" t="s">
        <v>322</v>
      </c>
      <c r="E1861" s="4" t="s">
        <v>12</v>
      </c>
      <c r="F1861" s="4">
        <v>8</v>
      </c>
      <c r="G1861" s="4">
        <v>12379.300000000001</v>
      </c>
      <c r="H1861">
        <v>10522.405000000001</v>
      </c>
      <c r="I1861">
        <f>Orders[[#This Row],[Quantity]]*Orders[[#This Row],[Selling Price]]</f>
        <v>99034.400000000009</v>
      </c>
      <c r="J1861">
        <f>Orders[[#This Row],[Quantity]]*Orders[[#This Row],[Cost Price]]</f>
        <v>84179.24</v>
      </c>
      <c r="K1861">
        <f>Orders[[#This Row],[Revenue]]-Orders[[#This Row],[Expenses]]</f>
        <v>14855.160000000003</v>
      </c>
      <c r="L1861" t="s">
        <v>2197</v>
      </c>
      <c r="M1861" t="str">
        <f>_xlfn.XLOOKUP(Orders[[#This Row],[CustomerID]],Customers[CustomerID],Customers[City])</f>
        <v>Washington</v>
      </c>
      <c r="N1861" t="str">
        <f>_xlfn.XLOOKUP(Orders[[#This Row],[CustomerID]],Customers[CustomerID],Customers[CustomerName])</f>
        <v>Ngozi Bello</v>
      </c>
      <c r="O1861" t="str">
        <f>_xlfn.XLOOKUP(Orders[[#This Row],[CustomerID]],Customers[CustomerID],Customers[Gender])</f>
        <v>Female</v>
      </c>
      <c r="P1861">
        <f>_xlfn.XLOOKUP(Orders[[#This Row],[CustomerID]],Customers[CustomerID],Customers[CustomerAge])</f>
        <v>32</v>
      </c>
      <c r="Q1861" t="str">
        <f>IF(Orders[[#This Row],[Age]]&gt;=35,"older","young")</f>
        <v>young</v>
      </c>
      <c r="R1861" t="str">
        <f>_xlfn.XLOOKUP(Orders[[#This Row],[ProductID]],Products[ProductID],Products[ProductName])</f>
        <v>BOUBOU</v>
      </c>
      <c r="S1861" t="str">
        <f>_xlfn.XLOOKUP(Orders[[#This Row],[ProductID]],Products!A:A,Products!C:C)</f>
        <v>Clothing</v>
      </c>
    </row>
    <row r="1862" spans="1:19" x14ac:dyDescent="0.2">
      <c r="A1862" s="4" t="s">
        <v>2051</v>
      </c>
      <c r="B1862" s="5">
        <v>45964</v>
      </c>
      <c r="C1862" s="15">
        <f>WEEKNUM(Orders[[#This Row],[OrderDate]])</f>
        <v>45</v>
      </c>
      <c r="D1862" s="4" t="s">
        <v>280</v>
      </c>
      <c r="E1862" s="4" t="s">
        <v>46</v>
      </c>
      <c r="F1862" s="4">
        <v>9</v>
      </c>
      <c r="G1862" s="4">
        <v>12789.1</v>
      </c>
      <c r="H1862">
        <v>10870.735000000001</v>
      </c>
      <c r="I1862">
        <f>Orders[[#This Row],[Quantity]]*Orders[[#This Row],[Selling Price]]</f>
        <v>115101.90000000001</v>
      </c>
      <c r="J1862">
        <f>Orders[[#This Row],[Quantity]]*Orders[[#This Row],[Cost Price]]</f>
        <v>97836.615000000005</v>
      </c>
      <c r="K1862">
        <f>Orders[[#This Row],[Revenue]]-Orders[[#This Row],[Expenses]]</f>
        <v>17265.285000000003</v>
      </c>
      <c r="L1862" t="s">
        <v>2217</v>
      </c>
      <c r="M1862" t="str">
        <f>_xlfn.XLOOKUP(Orders[[#This Row],[CustomerID]],Customers[CustomerID],Customers[City])</f>
        <v>Texas</v>
      </c>
      <c r="N1862" t="str">
        <f>_xlfn.XLOOKUP(Orders[[#This Row],[CustomerID]],Customers[CustomerID],Customers[CustomerName])</f>
        <v>Folasade Okonkwo</v>
      </c>
      <c r="O1862" t="str">
        <f>_xlfn.XLOOKUP(Orders[[#This Row],[CustomerID]],Customers[CustomerID],Customers[Gender])</f>
        <v>Female</v>
      </c>
      <c r="P1862">
        <f>_xlfn.XLOOKUP(Orders[[#This Row],[CustomerID]],Customers[CustomerID],Customers[CustomerAge])</f>
        <v>21</v>
      </c>
      <c r="Q1862" t="str">
        <f>IF(Orders[[#This Row],[Age]]&gt;=35,"older","young")</f>
        <v>young</v>
      </c>
      <c r="R1862" t="str">
        <f>_xlfn.XLOOKUP(Orders[[#This Row],[ProductID]],Products[ProductID],Products[ProductName])</f>
        <v>TURTLE NECK</v>
      </c>
      <c r="S1862" t="str">
        <f>_xlfn.XLOOKUP(Orders[[#This Row],[ProductID]],Products!A:A,Products!C:C)</f>
        <v>Clothing</v>
      </c>
    </row>
    <row r="1863" spans="1:19" x14ac:dyDescent="0.2">
      <c r="A1863" s="4" t="s">
        <v>2052</v>
      </c>
      <c r="B1863" s="5">
        <v>46006</v>
      </c>
      <c r="C1863" s="15">
        <f>WEEKNUM(Orders[[#This Row],[OrderDate]])</f>
        <v>51</v>
      </c>
      <c r="D1863" s="4" t="s">
        <v>98</v>
      </c>
      <c r="E1863" s="4" t="s">
        <v>66</v>
      </c>
      <c r="F1863" s="4">
        <v>3</v>
      </c>
      <c r="G1863" s="4">
        <v>3562.9</v>
      </c>
      <c r="H1863">
        <v>3028.4650000000001</v>
      </c>
      <c r="I1863">
        <f>Orders[[#This Row],[Quantity]]*Orders[[#This Row],[Selling Price]]</f>
        <v>10688.7</v>
      </c>
      <c r="J1863">
        <f>Orders[[#This Row],[Quantity]]*Orders[[#This Row],[Cost Price]]</f>
        <v>9085.3950000000004</v>
      </c>
      <c r="K1863">
        <f>Orders[[#This Row],[Revenue]]-Orders[[#This Row],[Expenses]]</f>
        <v>1603.3050000000003</v>
      </c>
      <c r="L1863" t="s">
        <v>2201</v>
      </c>
      <c r="M1863" t="str">
        <f>_xlfn.XLOOKUP(Orders[[#This Row],[CustomerID]],Customers[CustomerID],Customers[City])</f>
        <v>Illinois</v>
      </c>
      <c r="N1863" t="str">
        <f>_xlfn.XLOOKUP(Orders[[#This Row],[CustomerID]],Customers[CustomerID],Customers[CustomerName])</f>
        <v>Chioma Adeyemi</v>
      </c>
      <c r="O1863" t="str">
        <f>_xlfn.XLOOKUP(Orders[[#This Row],[CustomerID]],Customers[CustomerID],Customers[Gender])</f>
        <v>Female</v>
      </c>
      <c r="P1863">
        <f>_xlfn.XLOOKUP(Orders[[#This Row],[CustomerID]],Customers[CustomerID],Customers[CustomerAge])</f>
        <v>23</v>
      </c>
      <c r="Q1863" t="str">
        <f>IF(Orders[[#This Row],[Age]]&gt;=35,"older","young")</f>
        <v>young</v>
      </c>
      <c r="R1863" t="str">
        <f>_xlfn.XLOOKUP(Orders[[#This Row],[ProductID]],Products[ProductID],Products[ProductName])</f>
        <v>MICROWAVE</v>
      </c>
      <c r="S1863" t="str">
        <f>_xlfn.XLOOKUP(Orders[[#This Row],[ProductID]],Products!A:A,Products!C:C)</f>
        <v>Electronics</v>
      </c>
    </row>
    <row r="1864" spans="1:19" x14ac:dyDescent="0.2">
      <c r="A1864" s="4" t="s">
        <v>2053</v>
      </c>
      <c r="B1864" s="5">
        <v>45966</v>
      </c>
      <c r="C1864" s="15">
        <f>WEEKNUM(Orders[[#This Row],[OrderDate]])</f>
        <v>45</v>
      </c>
      <c r="D1864" s="4" t="s">
        <v>91</v>
      </c>
      <c r="E1864" s="4" t="s">
        <v>81</v>
      </c>
      <c r="F1864" s="4">
        <v>4</v>
      </c>
      <c r="G1864" s="4">
        <v>19309.3</v>
      </c>
      <c r="H1864">
        <v>16412.904999999999</v>
      </c>
      <c r="I1864">
        <f>Orders[[#This Row],[Quantity]]*Orders[[#This Row],[Selling Price]]</f>
        <v>77237.2</v>
      </c>
      <c r="J1864">
        <f>Orders[[#This Row],[Quantity]]*Orders[[#This Row],[Cost Price]]</f>
        <v>65651.62</v>
      </c>
      <c r="K1864">
        <f>Orders[[#This Row],[Revenue]]-Orders[[#This Row],[Expenses]]</f>
        <v>11585.580000000002</v>
      </c>
      <c r="L1864" t="s">
        <v>2195</v>
      </c>
      <c r="M1864" t="str">
        <f>_xlfn.XLOOKUP(Orders[[#This Row],[CustomerID]],Customers[CustomerID],Customers[City])</f>
        <v>Florida</v>
      </c>
      <c r="N1864" t="str">
        <f>_xlfn.XLOOKUP(Orders[[#This Row],[CustomerID]],Customers[CustomerID],Customers[CustomerName])</f>
        <v>Uche Abubakar</v>
      </c>
      <c r="O1864" t="str">
        <f>_xlfn.XLOOKUP(Orders[[#This Row],[CustomerID]],Customers[CustomerID],Customers[Gender])</f>
        <v>Male</v>
      </c>
      <c r="P1864">
        <f>_xlfn.XLOOKUP(Orders[[#This Row],[CustomerID]],Customers[CustomerID],Customers[CustomerAge])</f>
        <v>28</v>
      </c>
      <c r="Q1864" t="str">
        <f>IF(Orders[[#This Row],[Age]]&gt;=35,"older","young")</f>
        <v>young</v>
      </c>
      <c r="R1864" t="str">
        <f>_xlfn.XLOOKUP(Orders[[#This Row],[ProductID]],Products[ProductID],Products[ProductName])</f>
        <v>TROUSERS</v>
      </c>
      <c r="S1864" t="str">
        <f>_xlfn.XLOOKUP(Orders[[#This Row],[ProductID]],Products!A:A,Products!C:C)</f>
        <v>Clothing</v>
      </c>
    </row>
    <row r="1865" spans="1:19" x14ac:dyDescent="0.2">
      <c r="A1865" s="4" t="s">
        <v>2054</v>
      </c>
      <c r="B1865" s="5">
        <v>46021</v>
      </c>
      <c r="C1865" s="15">
        <f>WEEKNUM(Orders[[#This Row],[OrderDate]])</f>
        <v>53</v>
      </c>
      <c r="D1865" s="4" t="s">
        <v>212</v>
      </c>
      <c r="E1865" s="4" t="s">
        <v>66</v>
      </c>
      <c r="F1865" s="4">
        <v>9</v>
      </c>
      <c r="G1865" s="4">
        <v>2328.8000000000002</v>
      </c>
      <c r="H1865">
        <v>1979.4800000000002</v>
      </c>
      <c r="I1865">
        <f>Orders[[#This Row],[Quantity]]*Orders[[#This Row],[Selling Price]]</f>
        <v>20959.2</v>
      </c>
      <c r="J1865">
        <f>Orders[[#This Row],[Quantity]]*Orders[[#This Row],[Cost Price]]</f>
        <v>17815.320000000003</v>
      </c>
      <c r="K1865">
        <f>Orders[[#This Row],[Revenue]]-Orders[[#This Row],[Expenses]]</f>
        <v>3143.8799999999974</v>
      </c>
      <c r="L1865" t="s">
        <v>2210</v>
      </c>
      <c r="M1865" t="str">
        <f>_xlfn.XLOOKUP(Orders[[#This Row],[CustomerID]],Customers[CustomerID],Customers[City])</f>
        <v>Illinois</v>
      </c>
      <c r="N1865" t="str">
        <f>_xlfn.XLOOKUP(Orders[[#This Row],[CustomerID]],Customers[CustomerID],Customers[CustomerName])</f>
        <v>Ngozi Ojo</v>
      </c>
      <c r="O1865" t="str">
        <f>_xlfn.XLOOKUP(Orders[[#This Row],[CustomerID]],Customers[CustomerID],Customers[Gender])</f>
        <v>Female</v>
      </c>
      <c r="P1865">
        <f>_xlfn.XLOOKUP(Orders[[#This Row],[CustomerID]],Customers[CustomerID],Customers[CustomerAge])</f>
        <v>53</v>
      </c>
      <c r="Q1865" t="str">
        <f>IF(Orders[[#This Row],[Age]]&gt;=35,"older","young")</f>
        <v>older</v>
      </c>
      <c r="R1865" t="str">
        <f>_xlfn.XLOOKUP(Orders[[#This Row],[ProductID]],Products[ProductID],Products[ProductName])</f>
        <v>MICROWAVE</v>
      </c>
      <c r="S1865" t="str">
        <f>_xlfn.XLOOKUP(Orders[[#This Row],[ProductID]],Products!A:A,Products!C:C)</f>
        <v>Electronics</v>
      </c>
    </row>
    <row r="1866" spans="1:19" x14ac:dyDescent="0.2">
      <c r="A1866" s="4" t="s">
        <v>2055</v>
      </c>
      <c r="B1866" s="5">
        <v>45987</v>
      </c>
      <c r="C1866" s="15">
        <f>WEEKNUM(Orders[[#This Row],[OrderDate]])</f>
        <v>48</v>
      </c>
      <c r="D1866" s="4" t="s">
        <v>285</v>
      </c>
      <c r="E1866" s="4" t="s">
        <v>25</v>
      </c>
      <c r="F1866" s="4">
        <v>2</v>
      </c>
      <c r="G1866" s="4">
        <v>9725.5</v>
      </c>
      <c r="H1866">
        <v>8266.6749999999993</v>
      </c>
      <c r="I1866">
        <f>Orders[[#This Row],[Quantity]]*Orders[[#This Row],[Selling Price]]</f>
        <v>19451</v>
      </c>
      <c r="J1866">
        <f>Orders[[#This Row],[Quantity]]*Orders[[#This Row],[Cost Price]]</f>
        <v>16533.349999999999</v>
      </c>
      <c r="K1866">
        <f>Orders[[#This Row],[Revenue]]-Orders[[#This Row],[Expenses]]</f>
        <v>2917.6500000000015</v>
      </c>
      <c r="L1866" t="s">
        <v>2216</v>
      </c>
      <c r="M1866" t="str">
        <f>_xlfn.XLOOKUP(Orders[[#This Row],[CustomerID]],Customers[CustomerID],Customers[City])</f>
        <v>California</v>
      </c>
      <c r="N1866" t="str">
        <f>_xlfn.XLOOKUP(Orders[[#This Row],[CustomerID]],Customers[CustomerID],Customers[CustomerName])</f>
        <v>Sani Balogun</v>
      </c>
      <c r="O1866" t="str">
        <f>_xlfn.XLOOKUP(Orders[[#This Row],[CustomerID]],Customers[CustomerID],Customers[Gender])</f>
        <v>Male</v>
      </c>
      <c r="P1866">
        <f>_xlfn.XLOOKUP(Orders[[#This Row],[CustomerID]],Customers[CustomerID],Customers[CustomerAge])</f>
        <v>27</v>
      </c>
      <c r="Q1866" t="str">
        <f>IF(Orders[[#This Row],[Age]]&gt;=35,"older","young")</f>
        <v>young</v>
      </c>
      <c r="R1866" t="str">
        <f>_xlfn.XLOOKUP(Orders[[#This Row],[ProductID]],Products[ProductID],Products[ProductName])</f>
        <v>GOLD RINGS</v>
      </c>
      <c r="S1866" t="str">
        <f>_xlfn.XLOOKUP(Orders[[#This Row],[ProductID]],Products!A:A,Products!C:C)</f>
        <v>Accessories</v>
      </c>
    </row>
    <row r="1867" spans="1:19" x14ac:dyDescent="0.2">
      <c r="A1867" s="4" t="s">
        <v>2056</v>
      </c>
      <c r="B1867" s="5">
        <v>45990</v>
      </c>
      <c r="C1867" s="15">
        <f>WEEKNUM(Orders[[#This Row],[OrderDate]])</f>
        <v>48</v>
      </c>
      <c r="D1867" s="4" t="s">
        <v>317</v>
      </c>
      <c r="E1867" s="4" t="s">
        <v>253</v>
      </c>
      <c r="F1867" s="4">
        <v>7</v>
      </c>
      <c r="G1867" s="4">
        <v>14132.8</v>
      </c>
      <c r="H1867">
        <v>12012.88</v>
      </c>
      <c r="I1867">
        <f>Orders[[#This Row],[Quantity]]*Orders[[#This Row],[Selling Price]]</f>
        <v>98929.599999999991</v>
      </c>
      <c r="J1867">
        <f>Orders[[#This Row],[Quantity]]*Orders[[#This Row],[Cost Price]]</f>
        <v>84090.159999999989</v>
      </c>
      <c r="K1867">
        <f>Orders[[#This Row],[Revenue]]-Orders[[#This Row],[Expenses]]</f>
        <v>14839.440000000002</v>
      </c>
      <c r="L1867" t="s">
        <v>2216</v>
      </c>
      <c r="M1867" t="str">
        <f>_xlfn.XLOOKUP(Orders[[#This Row],[CustomerID]],Customers[CustomerID],Customers[City])</f>
        <v>Texas</v>
      </c>
      <c r="N1867" t="str">
        <f>_xlfn.XLOOKUP(Orders[[#This Row],[CustomerID]],Customers[CustomerID],Customers[CustomerName])</f>
        <v>Folasade Danladi</v>
      </c>
      <c r="O1867" t="str">
        <f>_xlfn.XLOOKUP(Orders[[#This Row],[CustomerID]],Customers[CustomerID],Customers[Gender])</f>
        <v>Female</v>
      </c>
      <c r="P1867">
        <f>_xlfn.XLOOKUP(Orders[[#This Row],[CustomerID]],Customers[CustomerID],Customers[CustomerAge])</f>
        <v>28</v>
      </c>
      <c r="Q1867" t="str">
        <f>IF(Orders[[#This Row],[Age]]&gt;=35,"older","young")</f>
        <v>young</v>
      </c>
      <c r="R1867" t="str">
        <f>_xlfn.XLOOKUP(Orders[[#This Row],[ProductID]],Products[ProductID],Products[ProductName])</f>
        <v>NOSE RINGS</v>
      </c>
      <c r="S1867" t="str">
        <f>_xlfn.XLOOKUP(Orders[[#This Row],[ProductID]],Products!A:A,Products!C:C)</f>
        <v>Accessories</v>
      </c>
    </row>
    <row r="1868" spans="1:19" x14ac:dyDescent="0.2">
      <c r="A1868" s="4" t="s">
        <v>2057</v>
      </c>
      <c r="B1868" s="5">
        <v>45949</v>
      </c>
      <c r="C1868" s="15">
        <f>WEEKNUM(Orders[[#This Row],[OrderDate]])</f>
        <v>43</v>
      </c>
      <c r="D1868" s="4" t="s">
        <v>101</v>
      </c>
      <c r="E1868" s="4" t="s">
        <v>208</v>
      </c>
      <c r="F1868" s="4">
        <v>9</v>
      </c>
      <c r="G1868" s="4">
        <v>698.9</v>
      </c>
      <c r="H1868">
        <v>594.06499999999994</v>
      </c>
      <c r="I1868">
        <f>Orders[[#This Row],[Quantity]]*Orders[[#This Row],[Selling Price]]</f>
        <v>6290.0999999999995</v>
      </c>
      <c r="J1868">
        <f>Orders[[#This Row],[Quantity]]*Orders[[#This Row],[Cost Price]]</f>
        <v>5346.5849999999991</v>
      </c>
      <c r="K1868">
        <f>Orders[[#This Row],[Revenue]]-Orders[[#This Row],[Expenses]]</f>
        <v>943.51500000000033</v>
      </c>
      <c r="L1868" t="s">
        <v>2211</v>
      </c>
      <c r="M1868" t="str">
        <f>_xlfn.XLOOKUP(Orders[[#This Row],[CustomerID]],Customers[CustomerID],Customers[City])</f>
        <v>Texas</v>
      </c>
      <c r="N1868" t="str">
        <f>_xlfn.XLOOKUP(Orders[[#This Row],[CustomerID]],Customers[CustomerID],Customers[CustomerName])</f>
        <v>Blessing Eze</v>
      </c>
      <c r="O1868" t="str">
        <f>_xlfn.XLOOKUP(Orders[[#This Row],[CustomerID]],Customers[CustomerID],Customers[Gender])</f>
        <v>Female</v>
      </c>
      <c r="P1868">
        <f>_xlfn.XLOOKUP(Orders[[#This Row],[CustomerID]],Customers[CustomerID],Customers[CustomerAge])</f>
        <v>55</v>
      </c>
      <c r="Q1868" t="str">
        <f>IF(Orders[[#This Row],[Age]]&gt;=35,"older","young")</f>
        <v>older</v>
      </c>
      <c r="R1868" t="str">
        <f>_xlfn.XLOOKUP(Orders[[#This Row],[ProductID]],Products[ProductID],Products[ProductName])</f>
        <v>SKIPPING ROPE</v>
      </c>
      <c r="S1868" t="str">
        <f>_xlfn.XLOOKUP(Orders[[#This Row],[ProductID]],Products!A:A,Products!C:C)</f>
        <v>Sports</v>
      </c>
    </row>
    <row r="1869" spans="1:19" x14ac:dyDescent="0.2">
      <c r="A1869" s="4" t="s">
        <v>2058</v>
      </c>
      <c r="B1869" s="5">
        <v>46001</v>
      </c>
      <c r="C1869" s="15">
        <f>WEEKNUM(Orders[[#This Row],[OrderDate]])</f>
        <v>50</v>
      </c>
      <c r="D1869" s="4" t="s">
        <v>596</v>
      </c>
      <c r="E1869" s="4" t="s">
        <v>84</v>
      </c>
      <c r="F1869" s="4">
        <v>3</v>
      </c>
      <c r="G1869" s="4">
        <v>8960.5999999999985</v>
      </c>
      <c r="H1869">
        <v>7616.5099999999984</v>
      </c>
      <c r="I1869">
        <f>Orders[[#This Row],[Quantity]]*Orders[[#This Row],[Selling Price]]</f>
        <v>26881.799999999996</v>
      </c>
      <c r="J1869">
        <f>Orders[[#This Row],[Quantity]]*Orders[[#This Row],[Cost Price]]</f>
        <v>22849.529999999995</v>
      </c>
      <c r="K1869">
        <f>Orders[[#This Row],[Revenue]]-Orders[[#This Row],[Expenses]]</f>
        <v>4032.2700000000004</v>
      </c>
      <c r="L1869" t="s">
        <v>2199</v>
      </c>
      <c r="M1869" t="str">
        <f>_xlfn.XLOOKUP(Orders[[#This Row],[CustomerID]],Customers[CustomerID],Customers[City])</f>
        <v>Texas</v>
      </c>
      <c r="N1869" t="str">
        <f>_xlfn.XLOOKUP(Orders[[#This Row],[CustomerID]],Customers[CustomerID],Customers[CustomerName])</f>
        <v>Blessing Balogun</v>
      </c>
      <c r="O1869" t="str">
        <f>_xlfn.XLOOKUP(Orders[[#This Row],[CustomerID]],Customers[CustomerID],Customers[Gender])</f>
        <v>Female</v>
      </c>
      <c r="P1869">
        <f>_xlfn.XLOOKUP(Orders[[#This Row],[CustomerID]],Customers[CustomerID],Customers[CustomerAge])</f>
        <v>26</v>
      </c>
      <c r="Q1869" t="str">
        <f>IF(Orders[[#This Row],[Age]]&gt;=35,"older","young")</f>
        <v>young</v>
      </c>
      <c r="R1869" t="str">
        <f>_xlfn.XLOOKUP(Orders[[#This Row],[ProductID]],Products[ProductID],Products[ProductName])</f>
        <v>GYM WEARS</v>
      </c>
      <c r="S1869" t="str">
        <f>_xlfn.XLOOKUP(Orders[[#This Row],[ProductID]],Products!A:A,Products!C:C)</f>
        <v>Clothing</v>
      </c>
    </row>
    <row r="1870" spans="1:19" x14ac:dyDescent="0.2">
      <c r="A1870" s="4" t="s">
        <v>2059</v>
      </c>
      <c r="B1870" s="5">
        <v>45963</v>
      </c>
      <c r="C1870" s="15">
        <f>WEEKNUM(Orders[[#This Row],[OrderDate]])</f>
        <v>45</v>
      </c>
      <c r="D1870" s="4" t="s">
        <v>203</v>
      </c>
      <c r="E1870" s="4" t="s">
        <v>46</v>
      </c>
      <c r="F1870" s="4">
        <v>5</v>
      </c>
      <c r="G1870" s="4">
        <v>7575.7000000000007</v>
      </c>
      <c r="H1870">
        <v>6439.3450000000012</v>
      </c>
      <c r="I1870">
        <f>Orders[[#This Row],[Quantity]]*Orders[[#This Row],[Selling Price]]</f>
        <v>37878.5</v>
      </c>
      <c r="J1870">
        <f>Orders[[#This Row],[Quantity]]*Orders[[#This Row],[Cost Price]]</f>
        <v>32196.725000000006</v>
      </c>
      <c r="K1870">
        <f>Orders[[#This Row],[Revenue]]-Orders[[#This Row],[Expenses]]</f>
        <v>5681.7749999999942</v>
      </c>
      <c r="L1870" t="s">
        <v>2198</v>
      </c>
      <c r="M1870" t="str">
        <f>_xlfn.XLOOKUP(Orders[[#This Row],[CustomerID]],Customers[CustomerID],Customers[City])</f>
        <v>Texas</v>
      </c>
      <c r="N1870" t="str">
        <f>_xlfn.XLOOKUP(Orders[[#This Row],[CustomerID]],Customers[CustomerID],Customers[CustomerName])</f>
        <v>Okon Bello</v>
      </c>
      <c r="O1870" t="str">
        <f>_xlfn.XLOOKUP(Orders[[#This Row],[CustomerID]],Customers[CustomerID],Customers[Gender])</f>
        <v>Male</v>
      </c>
      <c r="P1870">
        <f>_xlfn.XLOOKUP(Orders[[#This Row],[CustomerID]],Customers[CustomerID],Customers[CustomerAge])</f>
        <v>20</v>
      </c>
      <c r="Q1870" t="str">
        <f>IF(Orders[[#This Row],[Age]]&gt;=35,"older","young")</f>
        <v>young</v>
      </c>
      <c r="R1870" t="str">
        <f>_xlfn.XLOOKUP(Orders[[#This Row],[ProductID]],Products[ProductID],Products[ProductName])</f>
        <v>TURTLE NECK</v>
      </c>
      <c r="S1870" t="str">
        <f>_xlfn.XLOOKUP(Orders[[#This Row],[ProductID]],Products!A:A,Products!C:C)</f>
        <v>Clothing</v>
      </c>
    </row>
    <row r="1871" spans="1:19" x14ac:dyDescent="0.2">
      <c r="A1871" s="4" t="s">
        <v>2060</v>
      </c>
      <c r="B1871" s="5">
        <v>45981</v>
      </c>
      <c r="C1871" s="15">
        <f>WEEKNUM(Orders[[#This Row],[OrderDate]])</f>
        <v>47</v>
      </c>
      <c r="D1871" s="4" t="s">
        <v>203</v>
      </c>
      <c r="E1871" s="4" t="s">
        <v>76</v>
      </c>
      <c r="F1871" s="4">
        <v>8</v>
      </c>
      <c r="G1871" s="4">
        <v>11383.699999999999</v>
      </c>
      <c r="H1871">
        <v>9676.1449999999986</v>
      </c>
      <c r="I1871">
        <f>Orders[[#This Row],[Quantity]]*Orders[[#This Row],[Selling Price]]</f>
        <v>91069.599999999991</v>
      </c>
      <c r="J1871">
        <f>Orders[[#This Row],[Quantity]]*Orders[[#This Row],[Cost Price]]</f>
        <v>77409.159999999989</v>
      </c>
      <c r="K1871">
        <f>Orders[[#This Row],[Revenue]]-Orders[[#This Row],[Expenses]]</f>
        <v>13660.440000000002</v>
      </c>
      <c r="L1871" t="s">
        <v>2194</v>
      </c>
      <c r="M1871" t="str">
        <f>_xlfn.XLOOKUP(Orders[[#This Row],[CustomerID]],Customers[CustomerID],Customers[City])</f>
        <v>Texas</v>
      </c>
      <c r="N1871" t="str">
        <f>_xlfn.XLOOKUP(Orders[[#This Row],[CustomerID]],Customers[CustomerID],Customers[CustomerName])</f>
        <v>Okon Bello</v>
      </c>
      <c r="O1871" t="str">
        <f>_xlfn.XLOOKUP(Orders[[#This Row],[CustomerID]],Customers[CustomerID],Customers[Gender])</f>
        <v>Male</v>
      </c>
      <c r="P1871">
        <f>_xlfn.XLOOKUP(Orders[[#This Row],[CustomerID]],Customers[CustomerID],Customers[CustomerAge])</f>
        <v>20</v>
      </c>
      <c r="Q1871" t="str">
        <f>IF(Orders[[#This Row],[Age]]&gt;=35,"older","young")</f>
        <v>young</v>
      </c>
      <c r="R1871" t="str">
        <f>_xlfn.XLOOKUP(Orders[[#This Row],[ProductID]],Products[ProductID],Products[ProductName])</f>
        <v>BLENDER</v>
      </c>
      <c r="S1871" t="str">
        <f>_xlfn.XLOOKUP(Orders[[#This Row],[ProductID]],Products!A:A,Products!C:C)</f>
        <v>Electronics</v>
      </c>
    </row>
    <row r="1872" spans="1:19" x14ac:dyDescent="0.2">
      <c r="A1872" s="4" t="s">
        <v>2061</v>
      </c>
      <c r="B1872" s="5">
        <v>46016</v>
      </c>
      <c r="C1872" s="15">
        <f>WEEKNUM(Orders[[#This Row],[OrderDate]])</f>
        <v>52</v>
      </c>
      <c r="D1872" s="4" t="s">
        <v>605</v>
      </c>
      <c r="E1872" s="4" t="s">
        <v>253</v>
      </c>
      <c r="F1872" s="4">
        <v>4</v>
      </c>
      <c r="G1872" s="4">
        <v>5067.7999999999993</v>
      </c>
      <c r="H1872">
        <v>4307.6299999999992</v>
      </c>
      <c r="I1872">
        <f>Orders[[#This Row],[Quantity]]*Orders[[#This Row],[Selling Price]]</f>
        <v>20271.199999999997</v>
      </c>
      <c r="J1872">
        <f>Orders[[#This Row],[Quantity]]*Orders[[#This Row],[Cost Price]]</f>
        <v>17230.519999999997</v>
      </c>
      <c r="K1872">
        <f>Orders[[#This Row],[Revenue]]-Orders[[#This Row],[Expenses]]</f>
        <v>3040.6800000000003</v>
      </c>
      <c r="L1872" t="s">
        <v>2198</v>
      </c>
      <c r="M1872" t="str">
        <f>_xlfn.XLOOKUP(Orders[[#This Row],[CustomerID]],Customers[CustomerID],Customers[City])</f>
        <v>Texas</v>
      </c>
      <c r="N1872" t="str">
        <f>_xlfn.XLOOKUP(Orders[[#This Row],[CustomerID]],Customers[CustomerID],Customers[CustomerName])</f>
        <v>Blessing Abubakar</v>
      </c>
      <c r="O1872" t="str">
        <f>_xlfn.XLOOKUP(Orders[[#This Row],[CustomerID]],Customers[CustomerID],Customers[Gender])</f>
        <v>Female</v>
      </c>
      <c r="P1872">
        <f>_xlfn.XLOOKUP(Orders[[#This Row],[CustomerID]],Customers[CustomerID],Customers[CustomerAge])</f>
        <v>44</v>
      </c>
      <c r="Q1872" t="str">
        <f>IF(Orders[[#This Row],[Age]]&gt;=35,"older","young")</f>
        <v>older</v>
      </c>
      <c r="R1872" t="str">
        <f>_xlfn.XLOOKUP(Orders[[#This Row],[ProductID]],Products[ProductID],Products[ProductName])</f>
        <v>NOSE RINGS</v>
      </c>
      <c r="S1872" t="str">
        <f>_xlfn.XLOOKUP(Orders[[#This Row],[ProductID]],Products!A:A,Products!C:C)</f>
        <v>Accessories</v>
      </c>
    </row>
    <row r="1873" spans="1:19" x14ac:dyDescent="0.2">
      <c r="A1873" s="4" t="s">
        <v>2062</v>
      </c>
      <c r="B1873" s="5">
        <v>45937</v>
      </c>
      <c r="C1873" s="15">
        <f>WEEKNUM(Orders[[#This Row],[OrderDate]])</f>
        <v>41</v>
      </c>
      <c r="D1873" s="4" t="s">
        <v>186</v>
      </c>
      <c r="E1873" s="4" t="s">
        <v>127</v>
      </c>
      <c r="F1873" s="4">
        <v>4</v>
      </c>
      <c r="G1873" s="4">
        <v>14140</v>
      </c>
      <c r="H1873">
        <v>12019</v>
      </c>
      <c r="I1873">
        <f>Orders[[#This Row],[Quantity]]*Orders[[#This Row],[Selling Price]]</f>
        <v>56560</v>
      </c>
      <c r="J1873">
        <f>Orders[[#This Row],[Quantity]]*Orders[[#This Row],[Cost Price]]</f>
        <v>48076</v>
      </c>
      <c r="K1873">
        <f>Orders[[#This Row],[Revenue]]-Orders[[#This Row],[Expenses]]</f>
        <v>8484</v>
      </c>
      <c r="L1873" t="s">
        <v>2209</v>
      </c>
      <c r="M1873" t="str">
        <f>_xlfn.XLOOKUP(Orders[[#This Row],[CustomerID]],Customers[CustomerID],Customers[City])</f>
        <v>Texas</v>
      </c>
      <c r="N1873" t="str">
        <f>_xlfn.XLOOKUP(Orders[[#This Row],[CustomerID]],Customers[CustomerID],Customers[CustomerName])</f>
        <v>Ronke Eze</v>
      </c>
      <c r="O1873" t="str">
        <f>_xlfn.XLOOKUP(Orders[[#This Row],[CustomerID]],Customers[CustomerID],Customers[Gender])</f>
        <v>Female</v>
      </c>
      <c r="P1873">
        <f>_xlfn.XLOOKUP(Orders[[#This Row],[CustomerID]],Customers[CustomerID],Customers[CustomerAge])</f>
        <v>37</v>
      </c>
      <c r="Q1873" t="str">
        <f>IF(Orders[[#This Row],[Age]]&gt;=35,"older","young")</f>
        <v>older</v>
      </c>
      <c r="R1873" t="str">
        <f>_xlfn.XLOOKUP(Orders[[#This Row],[ProductID]],Products[ProductID],Products[ProductName])</f>
        <v>TOPS</v>
      </c>
      <c r="S1873" t="str">
        <f>_xlfn.XLOOKUP(Orders[[#This Row],[ProductID]],Products!A:A,Products!C:C)</f>
        <v>Clothing</v>
      </c>
    </row>
    <row r="1874" spans="1:19" x14ac:dyDescent="0.2">
      <c r="A1874" s="4" t="s">
        <v>2063</v>
      </c>
      <c r="B1874" s="5">
        <v>45964</v>
      </c>
      <c r="C1874" s="15">
        <f>WEEKNUM(Orders[[#This Row],[OrderDate]])</f>
        <v>45</v>
      </c>
      <c r="D1874" s="4" t="s">
        <v>314</v>
      </c>
      <c r="E1874" s="4" t="s">
        <v>63</v>
      </c>
      <c r="F1874" s="4">
        <v>1</v>
      </c>
      <c r="G1874" s="4">
        <v>4532.7999999999993</v>
      </c>
      <c r="H1874">
        <v>3852.8799999999992</v>
      </c>
      <c r="I1874">
        <f>Orders[[#This Row],[Quantity]]*Orders[[#This Row],[Selling Price]]</f>
        <v>4532.7999999999993</v>
      </c>
      <c r="J1874">
        <f>Orders[[#This Row],[Quantity]]*Orders[[#This Row],[Cost Price]]</f>
        <v>3852.8799999999992</v>
      </c>
      <c r="K1874">
        <f>Orders[[#This Row],[Revenue]]-Orders[[#This Row],[Expenses]]</f>
        <v>679.92000000000007</v>
      </c>
      <c r="L1874" t="s">
        <v>2198</v>
      </c>
      <c r="M1874" t="str">
        <f>_xlfn.XLOOKUP(Orders[[#This Row],[CustomerID]],Customers[CustomerID],Customers[City])</f>
        <v>Washington</v>
      </c>
      <c r="N1874" t="str">
        <f>_xlfn.XLOOKUP(Orders[[#This Row],[CustomerID]],Customers[CustomerID],Customers[CustomerName])</f>
        <v>Bisi Ojo</v>
      </c>
      <c r="O1874" t="str">
        <f>_xlfn.XLOOKUP(Orders[[#This Row],[CustomerID]],Customers[CustomerID],Customers[Gender])</f>
        <v>Female</v>
      </c>
      <c r="P1874">
        <f>_xlfn.XLOOKUP(Orders[[#This Row],[CustomerID]],Customers[CustomerID],Customers[CustomerAge])</f>
        <v>18</v>
      </c>
      <c r="Q1874" t="str">
        <f>IF(Orders[[#This Row],[Age]]&gt;=35,"older","young")</f>
        <v>young</v>
      </c>
      <c r="R1874" t="str">
        <f>_xlfn.XLOOKUP(Orders[[#This Row],[ProductID]],Products[ProductID],Products[ProductName])</f>
        <v>TENNIS BAT</v>
      </c>
      <c r="S1874" t="str">
        <f>_xlfn.XLOOKUP(Orders[[#This Row],[ProductID]],Products!A:A,Products!C:C)</f>
        <v>Sports</v>
      </c>
    </row>
    <row r="1875" spans="1:19" x14ac:dyDescent="0.2">
      <c r="A1875" s="4" t="s">
        <v>2064</v>
      </c>
      <c r="B1875" s="5">
        <v>46012</v>
      </c>
      <c r="C1875" s="15">
        <f>WEEKNUM(Orders[[#This Row],[OrderDate]])</f>
        <v>52</v>
      </c>
      <c r="D1875" s="4" t="s">
        <v>524</v>
      </c>
      <c r="E1875" s="4" t="s">
        <v>157</v>
      </c>
      <c r="F1875" s="4">
        <v>1</v>
      </c>
      <c r="G1875" s="4">
        <v>18804.400000000001</v>
      </c>
      <c r="H1875">
        <v>15983.740000000002</v>
      </c>
      <c r="I1875">
        <f>Orders[[#This Row],[Quantity]]*Orders[[#This Row],[Selling Price]]</f>
        <v>18804.400000000001</v>
      </c>
      <c r="J1875">
        <f>Orders[[#This Row],[Quantity]]*Orders[[#This Row],[Cost Price]]</f>
        <v>15983.740000000002</v>
      </c>
      <c r="K1875">
        <f>Orders[[#This Row],[Revenue]]-Orders[[#This Row],[Expenses]]</f>
        <v>2820.66</v>
      </c>
      <c r="L1875" t="s">
        <v>2209</v>
      </c>
      <c r="M1875" t="str">
        <f>_xlfn.XLOOKUP(Orders[[#This Row],[CustomerID]],Customers[CustomerID],Customers[City])</f>
        <v>Florida</v>
      </c>
      <c r="N1875" t="str">
        <f>_xlfn.XLOOKUP(Orders[[#This Row],[CustomerID]],Customers[CustomerID],Customers[CustomerName])</f>
        <v>Chinedu Igwe</v>
      </c>
      <c r="O1875" t="str">
        <f>_xlfn.XLOOKUP(Orders[[#This Row],[CustomerID]],Customers[CustomerID],Customers[Gender])</f>
        <v>Male</v>
      </c>
      <c r="P1875">
        <f>_xlfn.XLOOKUP(Orders[[#This Row],[CustomerID]],Customers[CustomerID],Customers[CustomerAge])</f>
        <v>21</v>
      </c>
      <c r="Q1875" t="str">
        <f>IF(Orders[[#This Row],[Age]]&gt;=35,"older","young")</f>
        <v>young</v>
      </c>
      <c r="R1875" t="str">
        <f>_xlfn.XLOOKUP(Orders[[#This Row],[ProductID]],Products[ProductID],Products[ProductName])</f>
        <v>FOOTBALL</v>
      </c>
      <c r="S1875" t="str">
        <f>_xlfn.XLOOKUP(Orders[[#This Row],[ProductID]],Products!A:A,Products!C:C)</f>
        <v>Sports</v>
      </c>
    </row>
    <row r="1876" spans="1:19" x14ac:dyDescent="0.2">
      <c r="A1876" s="4" t="s">
        <v>2065</v>
      </c>
      <c r="B1876" s="5">
        <v>45996</v>
      </c>
      <c r="C1876" s="15">
        <f>WEEKNUM(Orders[[#This Row],[OrderDate]])</f>
        <v>49</v>
      </c>
      <c r="D1876" s="4" t="s">
        <v>48</v>
      </c>
      <c r="E1876" s="4" t="s">
        <v>23</v>
      </c>
      <c r="F1876" s="4">
        <v>10</v>
      </c>
      <c r="G1876" s="4">
        <v>8543.2000000000007</v>
      </c>
      <c r="H1876">
        <v>7261.7200000000012</v>
      </c>
      <c r="I1876">
        <f>Orders[[#This Row],[Quantity]]*Orders[[#This Row],[Selling Price]]</f>
        <v>85432</v>
      </c>
      <c r="J1876">
        <f>Orders[[#This Row],[Quantity]]*Orders[[#This Row],[Cost Price]]</f>
        <v>72617.200000000012</v>
      </c>
      <c r="K1876">
        <f>Orders[[#This Row],[Revenue]]-Orders[[#This Row],[Expenses]]</f>
        <v>12814.799999999988</v>
      </c>
      <c r="L1876" t="s">
        <v>2207</v>
      </c>
      <c r="M1876" t="str">
        <f>_xlfn.XLOOKUP(Orders[[#This Row],[CustomerID]],Customers[CustomerID],Customers[City])</f>
        <v>California</v>
      </c>
      <c r="N1876" t="str">
        <f>_xlfn.XLOOKUP(Orders[[#This Row],[CustomerID]],Customers[CustomerID],Customers[CustomerName])</f>
        <v>Mustafa Obi</v>
      </c>
      <c r="O1876" t="str">
        <f>_xlfn.XLOOKUP(Orders[[#This Row],[CustomerID]],Customers[CustomerID],Customers[Gender])</f>
        <v>Male</v>
      </c>
      <c r="P1876">
        <f>_xlfn.XLOOKUP(Orders[[#This Row],[CustomerID]],Customers[CustomerID],Customers[CustomerAge])</f>
        <v>23</v>
      </c>
      <c r="Q1876" t="str">
        <f>IF(Orders[[#This Row],[Age]]&gt;=35,"older","young")</f>
        <v>young</v>
      </c>
      <c r="R1876" t="str">
        <f>_xlfn.XLOOKUP(Orders[[#This Row],[ProductID]],Products[ProductID],Products[ProductName])</f>
        <v>GYM GLOVES</v>
      </c>
      <c r="S1876" t="str">
        <f>_xlfn.XLOOKUP(Orders[[#This Row],[ProductID]],Products!A:A,Products!C:C)</f>
        <v>Gym</v>
      </c>
    </row>
    <row r="1877" spans="1:19" x14ac:dyDescent="0.2">
      <c r="A1877" s="4" t="s">
        <v>2066</v>
      </c>
      <c r="B1877" s="5">
        <v>45959</v>
      </c>
      <c r="C1877" s="15">
        <f>WEEKNUM(Orders[[#This Row],[OrderDate]])</f>
        <v>44</v>
      </c>
      <c r="D1877" s="4" t="s">
        <v>552</v>
      </c>
      <c r="E1877" s="4" t="s">
        <v>120</v>
      </c>
      <c r="F1877" s="4">
        <v>6</v>
      </c>
      <c r="G1877" s="4">
        <v>15817.6</v>
      </c>
      <c r="H1877">
        <v>13444.960000000001</v>
      </c>
      <c r="I1877">
        <f>Orders[[#This Row],[Quantity]]*Orders[[#This Row],[Selling Price]]</f>
        <v>94905.600000000006</v>
      </c>
      <c r="J1877">
        <f>Orders[[#This Row],[Quantity]]*Orders[[#This Row],[Cost Price]]</f>
        <v>80669.760000000009</v>
      </c>
      <c r="K1877">
        <f>Orders[[#This Row],[Revenue]]-Orders[[#This Row],[Expenses]]</f>
        <v>14235.839999999997</v>
      </c>
      <c r="L1877" t="s">
        <v>2201</v>
      </c>
      <c r="M1877" t="str">
        <f>_xlfn.XLOOKUP(Orders[[#This Row],[CustomerID]],Customers[CustomerID],Customers[City])</f>
        <v>Georgia</v>
      </c>
      <c r="N1877" t="str">
        <f>_xlfn.XLOOKUP(Orders[[#This Row],[CustomerID]],Customers[CustomerID],Customers[CustomerName])</f>
        <v>Chioma Eze</v>
      </c>
      <c r="O1877" t="str">
        <f>_xlfn.XLOOKUP(Orders[[#This Row],[CustomerID]],Customers[CustomerID],Customers[Gender])</f>
        <v>Female</v>
      </c>
      <c r="P1877">
        <f>_xlfn.XLOOKUP(Orders[[#This Row],[CustomerID]],Customers[CustomerID],Customers[CustomerAge])</f>
        <v>40</v>
      </c>
      <c r="Q1877" t="str">
        <f>IF(Orders[[#This Row],[Age]]&gt;=35,"older","young")</f>
        <v>older</v>
      </c>
      <c r="R1877" t="str">
        <f>_xlfn.XLOOKUP(Orders[[#This Row],[ProductID]],Products[ProductID],Products[ProductName])</f>
        <v>CHESS</v>
      </c>
      <c r="S1877" t="str">
        <f>_xlfn.XLOOKUP(Orders[[#This Row],[ProductID]],Products!A:A,Products!C:C)</f>
        <v>Games</v>
      </c>
    </row>
    <row r="1878" spans="1:19" x14ac:dyDescent="0.2">
      <c r="A1878" s="4" t="s">
        <v>2067</v>
      </c>
      <c r="B1878" s="5">
        <v>45986</v>
      </c>
      <c r="C1878" s="15">
        <f>WEEKNUM(Orders[[#This Row],[OrderDate]])</f>
        <v>48</v>
      </c>
      <c r="D1878" s="4" t="s">
        <v>517</v>
      </c>
      <c r="E1878" s="4" t="s">
        <v>84</v>
      </c>
      <c r="F1878" s="4">
        <v>1</v>
      </c>
      <c r="G1878" s="4">
        <v>1404.9</v>
      </c>
      <c r="H1878">
        <v>1194.165</v>
      </c>
      <c r="I1878">
        <f>Orders[[#This Row],[Quantity]]*Orders[[#This Row],[Selling Price]]</f>
        <v>1404.9</v>
      </c>
      <c r="J1878">
        <f>Orders[[#This Row],[Quantity]]*Orders[[#This Row],[Cost Price]]</f>
        <v>1194.165</v>
      </c>
      <c r="K1878">
        <f>Orders[[#This Row],[Revenue]]-Orders[[#This Row],[Expenses]]</f>
        <v>210.73500000000013</v>
      </c>
      <c r="L1878" t="s">
        <v>2211</v>
      </c>
      <c r="M1878" t="str">
        <f>_xlfn.XLOOKUP(Orders[[#This Row],[CustomerID]],Customers[CustomerID],Customers[City])</f>
        <v>Florida</v>
      </c>
      <c r="N1878" t="str">
        <f>_xlfn.XLOOKUP(Orders[[#This Row],[CustomerID]],Customers[CustomerID],Customers[CustomerName])</f>
        <v>Efe Adeyemi</v>
      </c>
      <c r="O1878" t="str">
        <f>_xlfn.XLOOKUP(Orders[[#This Row],[CustomerID]],Customers[CustomerID],Customers[Gender])</f>
        <v>Female</v>
      </c>
      <c r="P1878">
        <f>_xlfn.XLOOKUP(Orders[[#This Row],[CustomerID]],Customers[CustomerID],Customers[CustomerAge])</f>
        <v>25</v>
      </c>
      <c r="Q1878" t="str">
        <f>IF(Orders[[#This Row],[Age]]&gt;=35,"older","young")</f>
        <v>young</v>
      </c>
      <c r="R1878" t="str">
        <f>_xlfn.XLOOKUP(Orders[[#This Row],[ProductID]],Products[ProductID],Products[ProductName])</f>
        <v>GYM WEARS</v>
      </c>
      <c r="S1878" t="str">
        <f>_xlfn.XLOOKUP(Orders[[#This Row],[ProductID]],Products!A:A,Products!C:C)</f>
        <v>Clothing</v>
      </c>
    </row>
    <row r="1879" spans="1:19" x14ac:dyDescent="0.2">
      <c r="A1879" s="4" t="s">
        <v>2068</v>
      </c>
      <c r="B1879" s="5">
        <v>45981</v>
      </c>
      <c r="C1879" s="15">
        <f>WEEKNUM(Orders[[#This Row],[OrderDate]])</f>
        <v>47</v>
      </c>
      <c r="D1879" s="4" t="s">
        <v>280</v>
      </c>
      <c r="E1879" s="4" t="s">
        <v>127</v>
      </c>
      <c r="F1879" s="4">
        <v>3</v>
      </c>
      <c r="G1879" s="4">
        <v>19033.599999999999</v>
      </c>
      <c r="H1879">
        <v>16178.56</v>
      </c>
      <c r="I1879">
        <f>Orders[[#This Row],[Quantity]]*Orders[[#This Row],[Selling Price]]</f>
        <v>57100.799999999996</v>
      </c>
      <c r="J1879">
        <f>Orders[[#This Row],[Quantity]]*Orders[[#This Row],[Cost Price]]</f>
        <v>48535.68</v>
      </c>
      <c r="K1879">
        <f>Orders[[#This Row],[Revenue]]-Orders[[#This Row],[Expenses]]</f>
        <v>8565.1199999999953</v>
      </c>
      <c r="L1879" t="s">
        <v>2209</v>
      </c>
      <c r="M1879" t="str">
        <f>_xlfn.XLOOKUP(Orders[[#This Row],[CustomerID]],Customers[CustomerID],Customers[City])</f>
        <v>Texas</v>
      </c>
      <c r="N1879" t="str">
        <f>_xlfn.XLOOKUP(Orders[[#This Row],[CustomerID]],Customers[CustomerID],Customers[CustomerName])</f>
        <v>Folasade Okonkwo</v>
      </c>
      <c r="O1879" t="str">
        <f>_xlfn.XLOOKUP(Orders[[#This Row],[CustomerID]],Customers[CustomerID],Customers[Gender])</f>
        <v>Female</v>
      </c>
      <c r="P1879">
        <f>_xlfn.XLOOKUP(Orders[[#This Row],[CustomerID]],Customers[CustomerID],Customers[CustomerAge])</f>
        <v>21</v>
      </c>
      <c r="Q1879" t="str">
        <f>IF(Orders[[#This Row],[Age]]&gt;=35,"older","young")</f>
        <v>young</v>
      </c>
      <c r="R1879" t="str">
        <f>_xlfn.XLOOKUP(Orders[[#This Row],[ProductID]],Products[ProductID],Products[ProductName])</f>
        <v>TOPS</v>
      </c>
      <c r="S1879" t="str">
        <f>_xlfn.XLOOKUP(Orders[[#This Row],[ProductID]],Products!A:A,Products!C:C)</f>
        <v>Clothing</v>
      </c>
    </row>
    <row r="1880" spans="1:19" x14ac:dyDescent="0.2">
      <c r="A1880" s="4" t="s">
        <v>2069</v>
      </c>
      <c r="B1880" s="5">
        <v>45982</v>
      </c>
      <c r="C1880" s="15">
        <f>WEEKNUM(Orders[[#This Row],[OrderDate]])</f>
        <v>47</v>
      </c>
      <c r="D1880" s="4" t="s">
        <v>75</v>
      </c>
      <c r="E1880" s="4" t="s">
        <v>84</v>
      </c>
      <c r="F1880" s="4">
        <v>2</v>
      </c>
      <c r="G1880" s="4">
        <v>15568.599999999999</v>
      </c>
      <c r="H1880">
        <v>13233.31</v>
      </c>
      <c r="I1880">
        <f>Orders[[#This Row],[Quantity]]*Orders[[#This Row],[Selling Price]]</f>
        <v>31137.199999999997</v>
      </c>
      <c r="J1880">
        <f>Orders[[#This Row],[Quantity]]*Orders[[#This Row],[Cost Price]]</f>
        <v>26466.62</v>
      </c>
      <c r="K1880">
        <f>Orders[[#This Row],[Revenue]]-Orders[[#This Row],[Expenses]]</f>
        <v>4670.5799999999981</v>
      </c>
      <c r="L1880" t="s">
        <v>2199</v>
      </c>
      <c r="M1880" t="str">
        <f>_xlfn.XLOOKUP(Orders[[#This Row],[CustomerID]],Customers[CustomerID],Customers[City])</f>
        <v>Texas</v>
      </c>
      <c r="N1880" t="str">
        <f>_xlfn.XLOOKUP(Orders[[#This Row],[CustomerID]],Customers[CustomerID],Customers[CustomerName])</f>
        <v>Tunde Danladi</v>
      </c>
      <c r="O1880" t="str">
        <f>_xlfn.XLOOKUP(Orders[[#This Row],[CustomerID]],Customers[CustomerID],Customers[Gender])</f>
        <v>Male</v>
      </c>
      <c r="P1880">
        <f>_xlfn.XLOOKUP(Orders[[#This Row],[CustomerID]],Customers[CustomerID],Customers[CustomerAge])</f>
        <v>47</v>
      </c>
      <c r="Q1880" t="str">
        <f>IF(Orders[[#This Row],[Age]]&gt;=35,"older","young")</f>
        <v>older</v>
      </c>
      <c r="R1880" t="str">
        <f>_xlfn.XLOOKUP(Orders[[#This Row],[ProductID]],Products[ProductID],Products[ProductName])</f>
        <v>GYM WEARS</v>
      </c>
      <c r="S1880" t="str">
        <f>_xlfn.XLOOKUP(Orders[[#This Row],[ProductID]],Products!A:A,Products!C:C)</f>
        <v>Clothing</v>
      </c>
    </row>
    <row r="1881" spans="1:19" x14ac:dyDescent="0.2">
      <c r="A1881" s="4" t="s">
        <v>2070</v>
      </c>
      <c r="B1881" s="5">
        <v>46009</v>
      </c>
      <c r="C1881" s="15">
        <f>WEEKNUM(Orders[[#This Row],[OrderDate]])</f>
        <v>51</v>
      </c>
      <c r="D1881" s="4" t="s">
        <v>514</v>
      </c>
      <c r="E1881" s="4" t="s">
        <v>81</v>
      </c>
      <c r="F1881" s="4">
        <v>2</v>
      </c>
      <c r="G1881" s="4">
        <v>18439.100000000002</v>
      </c>
      <c r="H1881">
        <v>15673.235000000002</v>
      </c>
      <c r="I1881">
        <f>Orders[[#This Row],[Quantity]]*Orders[[#This Row],[Selling Price]]</f>
        <v>36878.200000000004</v>
      </c>
      <c r="J1881">
        <f>Orders[[#This Row],[Quantity]]*Orders[[#This Row],[Cost Price]]</f>
        <v>31346.470000000005</v>
      </c>
      <c r="K1881">
        <f>Orders[[#This Row],[Revenue]]-Orders[[#This Row],[Expenses]]</f>
        <v>5531.73</v>
      </c>
      <c r="L1881" t="s">
        <v>2215</v>
      </c>
      <c r="M1881" t="str">
        <f>_xlfn.XLOOKUP(Orders[[#This Row],[CustomerID]],Customers[CustomerID],Customers[City])</f>
        <v>Florida</v>
      </c>
      <c r="N1881" t="str">
        <f>_xlfn.XLOOKUP(Orders[[#This Row],[CustomerID]],Customers[CustomerID],Customers[CustomerName])</f>
        <v>Ibrahim Okonkwo</v>
      </c>
      <c r="O1881" t="str">
        <f>_xlfn.XLOOKUP(Orders[[#This Row],[CustomerID]],Customers[CustomerID],Customers[Gender])</f>
        <v>Male</v>
      </c>
      <c r="P1881">
        <f>_xlfn.XLOOKUP(Orders[[#This Row],[CustomerID]],Customers[CustomerID],Customers[CustomerAge])</f>
        <v>28</v>
      </c>
      <c r="Q1881" t="str">
        <f>IF(Orders[[#This Row],[Age]]&gt;=35,"older","young")</f>
        <v>young</v>
      </c>
      <c r="R1881" t="str">
        <f>_xlfn.XLOOKUP(Orders[[#This Row],[ProductID]],Products[ProductID],Products[ProductName])</f>
        <v>TROUSERS</v>
      </c>
      <c r="S1881" t="str">
        <f>_xlfn.XLOOKUP(Orders[[#This Row],[ProductID]],Products!A:A,Products!C:C)</f>
        <v>Clothing</v>
      </c>
    </row>
    <row r="1882" spans="1:19" x14ac:dyDescent="0.2">
      <c r="A1882" s="4" t="s">
        <v>2071</v>
      </c>
      <c r="B1882" s="5">
        <v>45945</v>
      </c>
      <c r="C1882" s="15">
        <f>WEEKNUM(Orders[[#This Row],[OrderDate]])</f>
        <v>42</v>
      </c>
      <c r="D1882" s="4" t="s">
        <v>122</v>
      </c>
      <c r="E1882" s="4" t="s">
        <v>34</v>
      </c>
      <c r="F1882" s="4">
        <v>1</v>
      </c>
      <c r="G1882" s="4">
        <v>13412.3</v>
      </c>
      <c r="H1882">
        <v>11400.455</v>
      </c>
      <c r="I1882">
        <f>Orders[[#This Row],[Quantity]]*Orders[[#This Row],[Selling Price]]</f>
        <v>13412.3</v>
      </c>
      <c r="J1882">
        <f>Orders[[#This Row],[Quantity]]*Orders[[#This Row],[Cost Price]]</f>
        <v>11400.455</v>
      </c>
      <c r="K1882">
        <f>Orders[[#This Row],[Revenue]]-Orders[[#This Row],[Expenses]]</f>
        <v>2011.8449999999993</v>
      </c>
      <c r="L1882" t="s">
        <v>2205</v>
      </c>
      <c r="M1882" t="str">
        <f>_xlfn.XLOOKUP(Orders[[#This Row],[CustomerID]],Customers[CustomerID],Customers[City])</f>
        <v>Texas</v>
      </c>
      <c r="N1882" t="str">
        <f>_xlfn.XLOOKUP(Orders[[#This Row],[CustomerID]],Customers[CustomerID],Customers[CustomerName])</f>
        <v>Ibrahim Eze</v>
      </c>
      <c r="O1882" t="str">
        <f>_xlfn.XLOOKUP(Orders[[#This Row],[CustomerID]],Customers[CustomerID],Customers[Gender])</f>
        <v>Male</v>
      </c>
      <c r="P1882">
        <f>_xlfn.XLOOKUP(Orders[[#This Row],[CustomerID]],Customers[CustomerID],Customers[CustomerAge])</f>
        <v>52</v>
      </c>
      <c r="Q1882" t="str">
        <f>IF(Orders[[#This Row],[Age]]&gt;=35,"older","young")</f>
        <v>older</v>
      </c>
      <c r="R1882" t="str">
        <f>_xlfn.XLOOKUP(Orders[[#This Row],[ProductID]],Products[ProductID],Products[ProductName])</f>
        <v>GOLD BRACELETS</v>
      </c>
      <c r="S1882" t="str">
        <f>_xlfn.XLOOKUP(Orders[[#This Row],[ProductID]],Products!A:A,Products!C:C)</f>
        <v>Accessories</v>
      </c>
    </row>
    <row r="1883" spans="1:19" x14ac:dyDescent="0.2">
      <c r="A1883" s="4" t="s">
        <v>2072</v>
      </c>
      <c r="B1883" s="5">
        <v>45946</v>
      </c>
      <c r="C1883" s="15">
        <f>WEEKNUM(Orders[[#This Row],[OrderDate]])</f>
        <v>42</v>
      </c>
      <c r="D1883" s="4" t="s">
        <v>136</v>
      </c>
      <c r="E1883" s="4" t="s">
        <v>23</v>
      </c>
      <c r="F1883" s="4">
        <v>4</v>
      </c>
      <c r="G1883" s="4">
        <v>14572</v>
      </c>
      <c r="H1883">
        <v>12386.2</v>
      </c>
      <c r="I1883">
        <f>Orders[[#This Row],[Quantity]]*Orders[[#This Row],[Selling Price]]</f>
        <v>58288</v>
      </c>
      <c r="J1883">
        <f>Orders[[#This Row],[Quantity]]*Orders[[#This Row],[Cost Price]]</f>
        <v>49544.800000000003</v>
      </c>
      <c r="K1883">
        <f>Orders[[#This Row],[Revenue]]-Orders[[#This Row],[Expenses]]</f>
        <v>8743.1999999999971</v>
      </c>
      <c r="L1883" t="s">
        <v>2205</v>
      </c>
      <c r="M1883" t="str">
        <f>_xlfn.XLOOKUP(Orders[[#This Row],[CustomerID]],Customers[CustomerID],Customers[City])</f>
        <v>California</v>
      </c>
      <c r="N1883" t="str">
        <f>_xlfn.XLOOKUP(Orders[[#This Row],[CustomerID]],Customers[CustomerID],Customers[CustomerName])</f>
        <v>Chinedu Obi</v>
      </c>
      <c r="O1883" t="str">
        <f>_xlfn.XLOOKUP(Orders[[#This Row],[CustomerID]],Customers[CustomerID],Customers[Gender])</f>
        <v>Male</v>
      </c>
      <c r="P1883">
        <f>_xlfn.XLOOKUP(Orders[[#This Row],[CustomerID]],Customers[CustomerID],Customers[CustomerAge])</f>
        <v>27</v>
      </c>
      <c r="Q1883" t="str">
        <f>IF(Orders[[#This Row],[Age]]&gt;=35,"older","young")</f>
        <v>young</v>
      </c>
      <c r="R1883" t="str">
        <f>_xlfn.XLOOKUP(Orders[[#This Row],[ProductID]],Products[ProductID],Products[ProductName])</f>
        <v>GYM GLOVES</v>
      </c>
      <c r="S1883" t="str">
        <f>_xlfn.XLOOKUP(Orders[[#This Row],[ProductID]],Products!A:A,Products!C:C)</f>
        <v>Gym</v>
      </c>
    </row>
    <row r="1884" spans="1:19" x14ac:dyDescent="0.2">
      <c r="A1884" s="4" t="s">
        <v>2073</v>
      </c>
      <c r="B1884" s="5">
        <v>46020</v>
      </c>
      <c r="C1884" s="15">
        <f>WEEKNUM(Orders[[#This Row],[OrderDate]])</f>
        <v>53</v>
      </c>
      <c r="D1884" s="4" t="s">
        <v>282</v>
      </c>
      <c r="E1884" s="4" t="s">
        <v>70</v>
      </c>
      <c r="F1884" s="4">
        <v>3</v>
      </c>
      <c r="G1884" s="4">
        <v>14855.9</v>
      </c>
      <c r="H1884">
        <v>12627.514999999999</v>
      </c>
      <c r="I1884">
        <f>Orders[[#This Row],[Quantity]]*Orders[[#This Row],[Selling Price]]</f>
        <v>44567.7</v>
      </c>
      <c r="J1884">
        <f>Orders[[#This Row],[Quantity]]*Orders[[#This Row],[Cost Price]]</f>
        <v>37882.544999999998</v>
      </c>
      <c r="K1884">
        <f>Orders[[#This Row],[Revenue]]-Orders[[#This Row],[Expenses]]</f>
        <v>6685.1549999999988</v>
      </c>
      <c r="L1884" t="s">
        <v>2215</v>
      </c>
      <c r="M1884" t="str">
        <f>_xlfn.XLOOKUP(Orders[[#This Row],[CustomerID]],Customers[CustomerID],Customers[City])</f>
        <v>Texas</v>
      </c>
      <c r="N1884" t="str">
        <f>_xlfn.XLOOKUP(Orders[[#This Row],[CustomerID]],Customers[CustomerID],Customers[CustomerName])</f>
        <v>Bisi Ojo</v>
      </c>
      <c r="O1884" t="str">
        <f>_xlfn.XLOOKUP(Orders[[#This Row],[CustomerID]],Customers[CustomerID],Customers[Gender])</f>
        <v>Female</v>
      </c>
      <c r="P1884">
        <f>_xlfn.XLOOKUP(Orders[[#This Row],[CustomerID]],Customers[CustomerID],Customers[CustomerAge])</f>
        <v>26</v>
      </c>
      <c r="Q1884" t="str">
        <f>IF(Orders[[#This Row],[Age]]&gt;=35,"older","young")</f>
        <v>young</v>
      </c>
      <c r="R1884" t="str">
        <f>_xlfn.XLOOKUP(Orders[[#This Row],[ProductID]],Products[ProductID],Products[ProductName])</f>
        <v>YOGA MAT</v>
      </c>
      <c r="S1884" t="str">
        <f>_xlfn.XLOOKUP(Orders[[#This Row],[ProductID]],Products!A:A,Products!C:C)</f>
        <v>Gym</v>
      </c>
    </row>
    <row r="1885" spans="1:19" x14ac:dyDescent="0.2">
      <c r="A1885" s="4" t="s">
        <v>2074</v>
      </c>
      <c r="B1885" s="5">
        <v>45953</v>
      </c>
      <c r="C1885" s="15">
        <f>WEEKNUM(Orders[[#This Row],[OrderDate]])</f>
        <v>43</v>
      </c>
      <c r="D1885" s="4" t="s">
        <v>154</v>
      </c>
      <c r="E1885" s="4" t="s">
        <v>23</v>
      </c>
      <c r="F1885" s="4">
        <v>8</v>
      </c>
      <c r="G1885" s="4">
        <v>16424.5</v>
      </c>
      <c r="H1885">
        <v>13960.825000000001</v>
      </c>
      <c r="I1885">
        <f>Orders[[#This Row],[Quantity]]*Orders[[#This Row],[Selling Price]]</f>
        <v>131396</v>
      </c>
      <c r="J1885">
        <f>Orders[[#This Row],[Quantity]]*Orders[[#This Row],[Cost Price]]</f>
        <v>111686.6</v>
      </c>
      <c r="K1885">
        <f>Orders[[#This Row],[Revenue]]-Orders[[#This Row],[Expenses]]</f>
        <v>19709.399999999994</v>
      </c>
      <c r="L1885" t="s">
        <v>2199</v>
      </c>
      <c r="M1885" t="str">
        <f>_xlfn.XLOOKUP(Orders[[#This Row],[CustomerID]],Customers[CustomerID],Customers[City])</f>
        <v>Illinois</v>
      </c>
      <c r="N1885" t="str">
        <f>_xlfn.XLOOKUP(Orders[[#This Row],[CustomerID]],Customers[CustomerID],Customers[CustomerName])</f>
        <v>Ronke Danladi</v>
      </c>
      <c r="O1885" t="str">
        <f>_xlfn.XLOOKUP(Orders[[#This Row],[CustomerID]],Customers[CustomerID],Customers[Gender])</f>
        <v>Female</v>
      </c>
      <c r="P1885">
        <f>_xlfn.XLOOKUP(Orders[[#This Row],[CustomerID]],Customers[CustomerID],Customers[CustomerAge])</f>
        <v>46</v>
      </c>
      <c r="Q1885" t="str">
        <f>IF(Orders[[#This Row],[Age]]&gt;=35,"older","young")</f>
        <v>older</v>
      </c>
      <c r="R1885" t="str">
        <f>_xlfn.XLOOKUP(Orders[[#This Row],[ProductID]],Products[ProductID],Products[ProductName])</f>
        <v>GYM GLOVES</v>
      </c>
      <c r="S1885" t="str">
        <f>_xlfn.XLOOKUP(Orders[[#This Row],[ProductID]],Products!A:A,Products!C:C)</f>
        <v>Gym</v>
      </c>
    </row>
    <row r="1886" spans="1:19" x14ac:dyDescent="0.2">
      <c r="A1886" s="4" t="s">
        <v>2075</v>
      </c>
      <c r="B1886" s="5">
        <v>46017</v>
      </c>
      <c r="C1886" s="15">
        <f>WEEKNUM(Orders[[#This Row],[OrderDate]])</f>
        <v>52</v>
      </c>
      <c r="D1886" s="4" t="s">
        <v>8</v>
      </c>
      <c r="E1886" s="4" t="s">
        <v>25</v>
      </c>
      <c r="F1886" s="4">
        <v>5</v>
      </c>
      <c r="G1886" s="4">
        <v>6719.2</v>
      </c>
      <c r="H1886">
        <v>5711.32</v>
      </c>
      <c r="I1886">
        <f>Orders[[#This Row],[Quantity]]*Orders[[#This Row],[Selling Price]]</f>
        <v>33596</v>
      </c>
      <c r="J1886">
        <f>Orders[[#This Row],[Quantity]]*Orders[[#This Row],[Cost Price]]</f>
        <v>28556.6</v>
      </c>
      <c r="K1886">
        <f>Orders[[#This Row],[Revenue]]-Orders[[#This Row],[Expenses]]</f>
        <v>5039.4000000000015</v>
      </c>
      <c r="L1886" t="s">
        <v>2192</v>
      </c>
      <c r="M1886" t="str">
        <f>_xlfn.XLOOKUP(Orders[[#This Row],[CustomerID]],Customers[CustomerID],Customers[City])</f>
        <v>Washington</v>
      </c>
      <c r="N1886" t="str">
        <f>_xlfn.XLOOKUP(Orders[[#This Row],[CustomerID]],Customers[CustomerID],Customers[CustomerName])</f>
        <v>Bi si Bello</v>
      </c>
      <c r="O1886" t="str">
        <f>_xlfn.XLOOKUP(Orders[[#This Row],[CustomerID]],Customers[CustomerID],Customers[Gender])</f>
        <v>Female</v>
      </c>
      <c r="P1886">
        <f>_xlfn.XLOOKUP(Orders[[#This Row],[CustomerID]],Customers[CustomerID],Customers[CustomerAge])</f>
        <v>38</v>
      </c>
      <c r="Q1886" t="str">
        <f>IF(Orders[[#This Row],[Age]]&gt;=35,"older","young")</f>
        <v>older</v>
      </c>
      <c r="R1886" t="str">
        <f>_xlfn.XLOOKUP(Orders[[#This Row],[ProductID]],Products[ProductID],Products[ProductName])</f>
        <v>GOLD RINGS</v>
      </c>
      <c r="S1886" t="str">
        <f>_xlfn.XLOOKUP(Orders[[#This Row],[ProductID]],Products!A:A,Products!C:C)</f>
        <v>Accessories</v>
      </c>
    </row>
    <row r="1887" spans="1:19" x14ac:dyDescent="0.2">
      <c r="A1887" s="4" t="s">
        <v>2076</v>
      </c>
      <c r="B1887" s="5">
        <v>45986</v>
      </c>
      <c r="C1887" s="15">
        <f>WEEKNUM(Orders[[#This Row],[OrderDate]])</f>
        <v>48</v>
      </c>
      <c r="D1887" s="4" t="s">
        <v>182</v>
      </c>
      <c r="E1887" s="4" t="s">
        <v>31</v>
      </c>
      <c r="F1887" s="4">
        <v>10</v>
      </c>
      <c r="G1887" s="4">
        <v>13252.8</v>
      </c>
      <c r="H1887">
        <v>11264.88</v>
      </c>
      <c r="I1887">
        <f>Orders[[#This Row],[Quantity]]*Orders[[#This Row],[Selling Price]]</f>
        <v>132528</v>
      </c>
      <c r="J1887">
        <f>Orders[[#This Row],[Quantity]]*Orders[[#This Row],[Cost Price]]</f>
        <v>112648.79999999999</v>
      </c>
      <c r="K1887">
        <f>Orders[[#This Row],[Revenue]]-Orders[[#This Row],[Expenses]]</f>
        <v>19879.200000000012</v>
      </c>
      <c r="L1887" t="s">
        <v>2209</v>
      </c>
      <c r="M1887" t="str">
        <f>_xlfn.XLOOKUP(Orders[[#This Row],[CustomerID]],Customers[CustomerID],Customers[City])</f>
        <v>Georgia</v>
      </c>
      <c r="N1887" t="str">
        <f>_xlfn.XLOOKUP(Orders[[#This Row],[CustomerID]],Customers[CustomerID],Customers[CustomerName])</f>
        <v>Abiola Okonkwo</v>
      </c>
      <c r="O1887" t="str">
        <f>_xlfn.XLOOKUP(Orders[[#This Row],[CustomerID]],Customers[CustomerID],Customers[Gender])</f>
        <v>Male</v>
      </c>
      <c r="P1887">
        <f>_xlfn.XLOOKUP(Orders[[#This Row],[CustomerID]],Customers[CustomerID],Customers[CustomerAge])</f>
        <v>39</v>
      </c>
      <c r="Q1887" t="str">
        <f>IF(Orders[[#This Row],[Age]]&gt;=35,"older","young")</f>
        <v>older</v>
      </c>
      <c r="R1887" t="str">
        <f>_xlfn.XLOOKUP(Orders[[#This Row],[ProductID]],Products[ProductID],Products[ProductName])</f>
        <v>KIDS GAMES</v>
      </c>
      <c r="S1887" t="str">
        <f>_xlfn.XLOOKUP(Orders[[#This Row],[ProductID]],Products!A:A,Products!C:C)</f>
        <v>Games</v>
      </c>
    </row>
    <row r="1888" spans="1:19" x14ac:dyDescent="0.2">
      <c r="A1888" s="4" t="s">
        <v>2077</v>
      </c>
      <c r="B1888" s="5">
        <v>45935</v>
      </c>
      <c r="C1888" s="15">
        <f>WEEKNUM(Orders[[#This Row],[OrderDate]])</f>
        <v>41</v>
      </c>
      <c r="D1888" s="4" t="s">
        <v>275</v>
      </c>
      <c r="E1888" s="4" t="s">
        <v>63</v>
      </c>
      <c r="F1888" s="4">
        <v>2</v>
      </c>
      <c r="G1888" s="4">
        <v>12147.9</v>
      </c>
      <c r="H1888">
        <v>10325.715</v>
      </c>
      <c r="I1888">
        <f>Orders[[#This Row],[Quantity]]*Orders[[#This Row],[Selling Price]]</f>
        <v>24295.8</v>
      </c>
      <c r="J1888">
        <f>Orders[[#This Row],[Quantity]]*Orders[[#This Row],[Cost Price]]</f>
        <v>20651.43</v>
      </c>
      <c r="K1888">
        <f>Orders[[#This Row],[Revenue]]-Orders[[#This Row],[Expenses]]</f>
        <v>3644.369999999999</v>
      </c>
      <c r="L1888" t="s">
        <v>2213</v>
      </c>
      <c r="M1888" t="str">
        <f>_xlfn.XLOOKUP(Orders[[#This Row],[CustomerID]],Customers[CustomerID],Customers[City])</f>
        <v>Texas</v>
      </c>
      <c r="N1888" t="str">
        <f>_xlfn.XLOOKUP(Orders[[#This Row],[CustomerID]],Customers[CustomerID],Customers[CustomerName])</f>
        <v>Ngozi Danladi</v>
      </c>
      <c r="O1888" t="str">
        <f>_xlfn.XLOOKUP(Orders[[#This Row],[CustomerID]],Customers[CustomerID],Customers[Gender])</f>
        <v>Female</v>
      </c>
      <c r="P1888">
        <f>_xlfn.XLOOKUP(Orders[[#This Row],[CustomerID]],Customers[CustomerID],Customers[CustomerAge])</f>
        <v>25</v>
      </c>
      <c r="Q1888" t="str">
        <f>IF(Orders[[#This Row],[Age]]&gt;=35,"older","young")</f>
        <v>young</v>
      </c>
      <c r="R1888" t="str">
        <f>_xlfn.XLOOKUP(Orders[[#This Row],[ProductID]],Products[ProductID],Products[ProductName])</f>
        <v>TENNIS BAT</v>
      </c>
      <c r="S1888" t="str">
        <f>_xlfn.XLOOKUP(Orders[[#This Row],[ProductID]],Products!A:A,Products!C:C)</f>
        <v>Sports</v>
      </c>
    </row>
    <row r="1889" spans="1:19" x14ac:dyDescent="0.2">
      <c r="A1889" s="4" t="s">
        <v>2078</v>
      </c>
      <c r="B1889" s="5">
        <v>45950</v>
      </c>
      <c r="C1889" s="15">
        <f>WEEKNUM(Orders[[#This Row],[OrderDate]])</f>
        <v>43</v>
      </c>
      <c r="D1889" s="4" t="s">
        <v>524</v>
      </c>
      <c r="E1889" s="4" t="s">
        <v>37</v>
      </c>
      <c r="F1889" s="4">
        <v>5</v>
      </c>
      <c r="G1889" s="4">
        <v>15509.400000000001</v>
      </c>
      <c r="H1889">
        <v>13182.990000000002</v>
      </c>
      <c r="I1889">
        <f>Orders[[#This Row],[Quantity]]*Orders[[#This Row],[Selling Price]]</f>
        <v>77547</v>
      </c>
      <c r="J1889">
        <f>Orders[[#This Row],[Quantity]]*Orders[[#This Row],[Cost Price]]</f>
        <v>65914.950000000012</v>
      </c>
      <c r="K1889">
        <f>Orders[[#This Row],[Revenue]]-Orders[[#This Row],[Expenses]]</f>
        <v>11632.049999999988</v>
      </c>
      <c r="L1889" t="s">
        <v>2216</v>
      </c>
      <c r="M1889" t="str">
        <f>_xlfn.XLOOKUP(Orders[[#This Row],[CustomerID]],Customers[CustomerID],Customers[City])</f>
        <v>Florida</v>
      </c>
      <c r="N1889" t="str">
        <f>_xlfn.XLOOKUP(Orders[[#This Row],[CustomerID]],Customers[CustomerID],Customers[CustomerName])</f>
        <v>Chinedu Igwe</v>
      </c>
      <c r="O1889" t="str">
        <f>_xlfn.XLOOKUP(Orders[[#This Row],[CustomerID]],Customers[CustomerID],Customers[Gender])</f>
        <v>Male</v>
      </c>
      <c r="P1889">
        <f>_xlfn.XLOOKUP(Orders[[#This Row],[CustomerID]],Customers[CustomerID],Customers[CustomerAge])</f>
        <v>21</v>
      </c>
      <c r="Q1889" t="str">
        <f>IF(Orders[[#This Row],[Age]]&gt;=35,"older","young")</f>
        <v>young</v>
      </c>
      <c r="R1889" t="str">
        <f>_xlfn.XLOOKUP(Orders[[#This Row],[ProductID]],Products[ProductID],Products[ProductName])</f>
        <v>IRON</v>
      </c>
      <c r="S1889" t="str">
        <f>_xlfn.XLOOKUP(Orders[[#This Row],[ProductID]],Products!A:A,Products!C:C)</f>
        <v>Electronics</v>
      </c>
    </row>
    <row r="1890" spans="1:19" x14ac:dyDescent="0.2">
      <c r="A1890" s="4" t="s">
        <v>2079</v>
      </c>
      <c r="B1890" s="5">
        <v>45955</v>
      </c>
      <c r="C1890" s="15">
        <f>WEEKNUM(Orders[[#This Row],[OrderDate]])</f>
        <v>43</v>
      </c>
      <c r="D1890" s="4" t="s">
        <v>210</v>
      </c>
      <c r="E1890" s="4" t="s">
        <v>57</v>
      </c>
      <c r="F1890" s="4">
        <v>6</v>
      </c>
      <c r="G1890" s="4">
        <v>1647.5</v>
      </c>
      <c r="H1890">
        <v>1400.375</v>
      </c>
      <c r="I1890">
        <f>Orders[[#This Row],[Quantity]]*Orders[[#This Row],[Selling Price]]</f>
        <v>9885</v>
      </c>
      <c r="J1890">
        <f>Orders[[#This Row],[Quantity]]*Orders[[#This Row],[Cost Price]]</f>
        <v>8402.25</v>
      </c>
      <c r="K1890">
        <f>Orders[[#This Row],[Revenue]]-Orders[[#This Row],[Expenses]]</f>
        <v>1482.75</v>
      </c>
      <c r="L1890" t="s">
        <v>2203</v>
      </c>
      <c r="M1890" t="str">
        <f>_xlfn.XLOOKUP(Orders[[#This Row],[CustomerID]],Customers[CustomerID],Customers[City])</f>
        <v>Illinois</v>
      </c>
      <c r="N1890" t="str">
        <f>_xlfn.XLOOKUP(Orders[[#This Row],[CustomerID]],Customers[CustomerID],Customers[CustomerName])</f>
        <v>Zainab Bello</v>
      </c>
      <c r="O1890" t="str">
        <f>_xlfn.XLOOKUP(Orders[[#This Row],[CustomerID]],Customers[CustomerID],Customers[Gender])</f>
        <v>Female</v>
      </c>
      <c r="P1890">
        <f>_xlfn.XLOOKUP(Orders[[#This Row],[CustomerID]],Customers[CustomerID],Customers[CustomerAge])</f>
        <v>27</v>
      </c>
      <c r="Q1890" t="str">
        <f>IF(Orders[[#This Row],[Age]]&gt;=35,"older","young")</f>
        <v>young</v>
      </c>
      <c r="R1890" t="str">
        <f>_xlfn.XLOOKUP(Orders[[#This Row],[ProductID]],Products[ProductID],Products[ProductName])</f>
        <v>BADMINTON RACKET</v>
      </c>
      <c r="S1890" t="str">
        <f>_xlfn.XLOOKUP(Orders[[#This Row],[ProductID]],Products!A:A,Products!C:C)</f>
        <v>Sports</v>
      </c>
    </row>
    <row r="1891" spans="1:19" x14ac:dyDescent="0.2">
      <c r="A1891" s="4" t="s">
        <v>2080</v>
      </c>
      <c r="B1891" s="5">
        <v>45979</v>
      </c>
      <c r="C1891" s="15">
        <f>WEEKNUM(Orders[[#This Row],[OrderDate]])</f>
        <v>47</v>
      </c>
      <c r="D1891" s="4" t="s">
        <v>605</v>
      </c>
      <c r="E1891" s="4" t="s">
        <v>31</v>
      </c>
      <c r="F1891" s="4">
        <v>4</v>
      </c>
      <c r="G1891" s="4">
        <v>3904.2000000000003</v>
      </c>
      <c r="H1891">
        <v>3318.57</v>
      </c>
      <c r="I1891">
        <f>Orders[[#This Row],[Quantity]]*Orders[[#This Row],[Selling Price]]</f>
        <v>15616.800000000001</v>
      </c>
      <c r="J1891">
        <f>Orders[[#This Row],[Quantity]]*Orders[[#This Row],[Cost Price]]</f>
        <v>13274.28</v>
      </c>
      <c r="K1891">
        <f>Orders[[#This Row],[Revenue]]-Orders[[#This Row],[Expenses]]</f>
        <v>2342.5200000000004</v>
      </c>
      <c r="L1891" t="s">
        <v>2200</v>
      </c>
      <c r="M1891" t="str">
        <f>_xlfn.XLOOKUP(Orders[[#This Row],[CustomerID]],Customers[CustomerID],Customers[City])</f>
        <v>Texas</v>
      </c>
      <c r="N1891" t="str">
        <f>_xlfn.XLOOKUP(Orders[[#This Row],[CustomerID]],Customers[CustomerID],Customers[CustomerName])</f>
        <v>Blessing Abubakar</v>
      </c>
      <c r="O1891" t="str">
        <f>_xlfn.XLOOKUP(Orders[[#This Row],[CustomerID]],Customers[CustomerID],Customers[Gender])</f>
        <v>Female</v>
      </c>
      <c r="P1891">
        <f>_xlfn.XLOOKUP(Orders[[#This Row],[CustomerID]],Customers[CustomerID],Customers[CustomerAge])</f>
        <v>44</v>
      </c>
      <c r="Q1891" t="str">
        <f>IF(Orders[[#This Row],[Age]]&gt;=35,"older","young")</f>
        <v>older</v>
      </c>
      <c r="R1891" t="str">
        <f>_xlfn.XLOOKUP(Orders[[#This Row],[ProductID]],Products[ProductID],Products[ProductName])</f>
        <v>KIDS GAMES</v>
      </c>
      <c r="S1891" t="str">
        <f>_xlfn.XLOOKUP(Orders[[#This Row],[ProductID]],Products!A:A,Products!C:C)</f>
        <v>Games</v>
      </c>
    </row>
    <row r="1892" spans="1:19" x14ac:dyDescent="0.2">
      <c r="A1892" s="4" t="s">
        <v>2081</v>
      </c>
      <c r="B1892" s="5">
        <v>45989</v>
      </c>
      <c r="C1892" s="15">
        <f>WEEKNUM(Orders[[#This Row],[OrderDate]])</f>
        <v>48</v>
      </c>
      <c r="D1892" s="4" t="s">
        <v>14</v>
      </c>
      <c r="E1892" s="4" t="s">
        <v>25</v>
      </c>
      <c r="F1892" s="4">
        <v>5</v>
      </c>
      <c r="G1892" s="4">
        <v>14747.1</v>
      </c>
      <c r="H1892">
        <v>12535.035</v>
      </c>
      <c r="I1892">
        <f>Orders[[#This Row],[Quantity]]*Orders[[#This Row],[Selling Price]]</f>
        <v>73735.5</v>
      </c>
      <c r="J1892">
        <f>Orders[[#This Row],[Quantity]]*Orders[[#This Row],[Cost Price]]</f>
        <v>62675.175000000003</v>
      </c>
      <c r="K1892">
        <f>Orders[[#This Row],[Revenue]]-Orders[[#This Row],[Expenses]]</f>
        <v>11060.324999999997</v>
      </c>
      <c r="L1892" t="s">
        <v>2209</v>
      </c>
      <c r="M1892" t="str">
        <f>_xlfn.XLOOKUP(Orders[[#This Row],[CustomerID]],Customers[CustomerID],Customers[City])</f>
        <v>Texas</v>
      </c>
      <c r="N1892" t="str">
        <f>_xlfn.XLOOKUP(Orders[[#This Row],[CustomerID]],Customers[CustomerID],Customers[CustomerName])</f>
        <v>Abiola Igwe</v>
      </c>
      <c r="O1892" t="str">
        <f>_xlfn.XLOOKUP(Orders[[#This Row],[CustomerID]],Customers[CustomerID],Customers[Gender])</f>
        <v>Male</v>
      </c>
      <c r="P1892">
        <f>_xlfn.XLOOKUP(Orders[[#This Row],[CustomerID]],Customers[CustomerID],Customers[CustomerAge])</f>
        <v>39</v>
      </c>
      <c r="Q1892" t="str">
        <f>IF(Orders[[#This Row],[Age]]&gt;=35,"older","young")</f>
        <v>older</v>
      </c>
      <c r="R1892" t="str">
        <f>_xlfn.XLOOKUP(Orders[[#This Row],[ProductID]],Products[ProductID],Products[ProductName])</f>
        <v>GOLD RINGS</v>
      </c>
      <c r="S1892" t="str">
        <f>_xlfn.XLOOKUP(Orders[[#This Row],[ProductID]],Products!A:A,Products!C:C)</f>
        <v>Accessories</v>
      </c>
    </row>
    <row r="1893" spans="1:19" x14ac:dyDescent="0.2">
      <c r="A1893" s="4" t="s">
        <v>2082</v>
      </c>
      <c r="B1893" s="5">
        <v>46006</v>
      </c>
      <c r="C1893" s="15">
        <f>WEEKNUM(Orders[[#This Row],[OrderDate]])</f>
        <v>51</v>
      </c>
      <c r="D1893" s="4" t="s">
        <v>36</v>
      </c>
      <c r="E1893" s="4" t="s">
        <v>120</v>
      </c>
      <c r="F1893" s="4">
        <v>6</v>
      </c>
      <c r="G1893" s="4">
        <v>19398.699999999997</v>
      </c>
      <c r="H1893">
        <v>16488.894999999997</v>
      </c>
      <c r="I1893">
        <f>Orders[[#This Row],[Quantity]]*Orders[[#This Row],[Selling Price]]</f>
        <v>116392.19999999998</v>
      </c>
      <c r="J1893">
        <f>Orders[[#This Row],[Quantity]]*Orders[[#This Row],[Cost Price]]</f>
        <v>98933.369999999981</v>
      </c>
      <c r="K1893">
        <f>Orders[[#This Row],[Revenue]]-Orders[[#This Row],[Expenses]]</f>
        <v>17458.830000000002</v>
      </c>
      <c r="L1893" t="s">
        <v>2210</v>
      </c>
      <c r="M1893" t="str">
        <f>_xlfn.XLOOKUP(Orders[[#This Row],[CustomerID]],Customers[CustomerID],Customers[City])</f>
        <v>California</v>
      </c>
      <c r="N1893" t="str">
        <f>_xlfn.XLOOKUP(Orders[[#This Row],[CustomerID]],Customers[CustomerID],Customers[CustomerName])</f>
        <v>Jide Eze</v>
      </c>
      <c r="O1893" t="str">
        <f>_xlfn.XLOOKUP(Orders[[#This Row],[CustomerID]],Customers[CustomerID],Customers[Gender])</f>
        <v>Male</v>
      </c>
      <c r="P1893">
        <f>_xlfn.XLOOKUP(Orders[[#This Row],[CustomerID]],Customers[CustomerID],Customers[CustomerAge])</f>
        <v>21</v>
      </c>
      <c r="Q1893" t="str">
        <f>IF(Orders[[#This Row],[Age]]&gt;=35,"older","young")</f>
        <v>young</v>
      </c>
      <c r="R1893" t="str">
        <f>_xlfn.XLOOKUP(Orders[[#This Row],[ProductID]],Products[ProductID],Products[ProductName])</f>
        <v>CHESS</v>
      </c>
      <c r="S1893" t="str">
        <f>_xlfn.XLOOKUP(Orders[[#This Row],[ProductID]],Products!A:A,Products!C:C)</f>
        <v>Games</v>
      </c>
    </row>
    <row r="1894" spans="1:19" x14ac:dyDescent="0.2">
      <c r="A1894" s="4" t="s">
        <v>2083</v>
      </c>
      <c r="B1894" s="5">
        <v>46016</v>
      </c>
      <c r="C1894" s="15">
        <f>WEEKNUM(Orders[[#This Row],[OrderDate]])</f>
        <v>52</v>
      </c>
      <c r="D1894" s="4" t="s">
        <v>596</v>
      </c>
      <c r="E1894" s="4" t="s">
        <v>34</v>
      </c>
      <c r="F1894" s="4">
        <v>9</v>
      </c>
      <c r="G1894" s="4">
        <v>6682.5</v>
      </c>
      <c r="H1894">
        <v>5680.125</v>
      </c>
      <c r="I1894">
        <f>Orders[[#This Row],[Quantity]]*Orders[[#This Row],[Selling Price]]</f>
        <v>60142.5</v>
      </c>
      <c r="J1894">
        <f>Orders[[#This Row],[Quantity]]*Orders[[#This Row],[Cost Price]]</f>
        <v>51121.125</v>
      </c>
      <c r="K1894">
        <f>Orders[[#This Row],[Revenue]]-Orders[[#This Row],[Expenses]]</f>
        <v>9021.375</v>
      </c>
      <c r="L1894" t="s">
        <v>2205</v>
      </c>
      <c r="M1894" t="str">
        <f>_xlfn.XLOOKUP(Orders[[#This Row],[CustomerID]],Customers[CustomerID],Customers[City])</f>
        <v>Texas</v>
      </c>
      <c r="N1894" t="str">
        <f>_xlfn.XLOOKUP(Orders[[#This Row],[CustomerID]],Customers[CustomerID],Customers[CustomerName])</f>
        <v>Blessing Balogun</v>
      </c>
      <c r="O1894" t="str">
        <f>_xlfn.XLOOKUP(Orders[[#This Row],[CustomerID]],Customers[CustomerID],Customers[Gender])</f>
        <v>Female</v>
      </c>
      <c r="P1894">
        <f>_xlfn.XLOOKUP(Orders[[#This Row],[CustomerID]],Customers[CustomerID],Customers[CustomerAge])</f>
        <v>26</v>
      </c>
      <c r="Q1894" t="str">
        <f>IF(Orders[[#This Row],[Age]]&gt;=35,"older","young")</f>
        <v>young</v>
      </c>
      <c r="R1894" t="str">
        <f>_xlfn.XLOOKUP(Orders[[#This Row],[ProductID]],Products[ProductID],Products[ProductName])</f>
        <v>GOLD BRACELETS</v>
      </c>
      <c r="S1894" t="str">
        <f>_xlfn.XLOOKUP(Orders[[#This Row],[ProductID]],Products!A:A,Products!C:C)</f>
        <v>Accessories</v>
      </c>
    </row>
    <row r="1895" spans="1:19" x14ac:dyDescent="0.2">
      <c r="A1895" s="4" t="s">
        <v>2084</v>
      </c>
      <c r="B1895" s="5">
        <v>45947</v>
      </c>
      <c r="C1895" s="15">
        <f>WEEKNUM(Orders[[#This Row],[OrderDate]])</f>
        <v>42</v>
      </c>
      <c r="D1895" s="4" t="s">
        <v>444</v>
      </c>
      <c r="E1895" s="4" t="s">
        <v>23</v>
      </c>
      <c r="F1895" s="4">
        <v>6</v>
      </c>
      <c r="G1895" s="4">
        <v>10317.700000000001</v>
      </c>
      <c r="H1895">
        <v>8770.0450000000001</v>
      </c>
      <c r="I1895">
        <f>Orders[[#This Row],[Quantity]]*Orders[[#This Row],[Selling Price]]</f>
        <v>61906.200000000004</v>
      </c>
      <c r="J1895">
        <f>Orders[[#This Row],[Quantity]]*Orders[[#This Row],[Cost Price]]</f>
        <v>52620.270000000004</v>
      </c>
      <c r="K1895">
        <f>Orders[[#This Row],[Revenue]]-Orders[[#This Row],[Expenses]]</f>
        <v>9285.93</v>
      </c>
      <c r="L1895" t="s">
        <v>2211</v>
      </c>
      <c r="M1895" t="str">
        <f>_xlfn.XLOOKUP(Orders[[#This Row],[CustomerID]],Customers[CustomerID],Customers[City])</f>
        <v>Texas</v>
      </c>
      <c r="N1895" t="str">
        <f>_xlfn.XLOOKUP(Orders[[#This Row],[CustomerID]],Customers[CustomerID],Customers[CustomerName])</f>
        <v>Blessing Eze</v>
      </c>
      <c r="O1895" t="str">
        <f>_xlfn.XLOOKUP(Orders[[#This Row],[CustomerID]],Customers[CustomerID],Customers[Gender])</f>
        <v>Female</v>
      </c>
      <c r="P1895">
        <f>_xlfn.XLOOKUP(Orders[[#This Row],[CustomerID]],Customers[CustomerID],Customers[CustomerAge])</f>
        <v>24</v>
      </c>
      <c r="Q1895" t="str">
        <f>IF(Orders[[#This Row],[Age]]&gt;=35,"older","young")</f>
        <v>young</v>
      </c>
      <c r="R1895" t="str">
        <f>_xlfn.XLOOKUP(Orders[[#This Row],[ProductID]],Products[ProductID],Products[ProductName])</f>
        <v>GYM GLOVES</v>
      </c>
      <c r="S1895" t="str">
        <f>_xlfn.XLOOKUP(Orders[[#This Row],[ProductID]],Products!A:A,Products!C:C)</f>
        <v>Gym</v>
      </c>
    </row>
    <row r="1896" spans="1:19" x14ac:dyDescent="0.2">
      <c r="A1896" s="4" t="s">
        <v>2085</v>
      </c>
      <c r="B1896" s="5">
        <v>45994</v>
      </c>
      <c r="C1896" s="15">
        <f>WEEKNUM(Orders[[#This Row],[OrderDate]])</f>
        <v>49</v>
      </c>
      <c r="D1896" s="4" t="s">
        <v>282</v>
      </c>
      <c r="E1896" s="4" t="s">
        <v>25</v>
      </c>
      <c r="F1896" s="4">
        <v>10</v>
      </c>
      <c r="G1896" s="4">
        <v>11089</v>
      </c>
      <c r="H1896">
        <v>9425.65</v>
      </c>
      <c r="I1896">
        <f>Orders[[#This Row],[Quantity]]*Orders[[#This Row],[Selling Price]]</f>
        <v>110890</v>
      </c>
      <c r="J1896">
        <f>Orders[[#This Row],[Quantity]]*Orders[[#This Row],[Cost Price]]</f>
        <v>94256.5</v>
      </c>
      <c r="K1896">
        <f>Orders[[#This Row],[Revenue]]-Orders[[#This Row],[Expenses]]</f>
        <v>16633.5</v>
      </c>
      <c r="L1896" t="s">
        <v>2195</v>
      </c>
      <c r="M1896" t="str">
        <f>_xlfn.XLOOKUP(Orders[[#This Row],[CustomerID]],Customers[CustomerID],Customers[City])</f>
        <v>Texas</v>
      </c>
      <c r="N1896" t="str">
        <f>_xlfn.XLOOKUP(Orders[[#This Row],[CustomerID]],Customers[CustomerID],Customers[CustomerName])</f>
        <v>Bisi Ojo</v>
      </c>
      <c r="O1896" t="str">
        <f>_xlfn.XLOOKUP(Orders[[#This Row],[CustomerID]],Customers[CustomerID],Customers[Gender])</f>
        <v>Female</v>
      </c>
      <c r="P1896">
        <f>_xlfn.XLOOKUP(Orders[[#This Row],[CustomerID]],Customers[CustomerID],Customers[CustomerAge])</f>
        <v>26</v>
      </c>
      <c r="Q1896" t="str">
        <f>IF(Orders[[#This Row],[Age]]&gt;=35,"older","young")</f>
        <v>young</v>
      </c>
      <c r="R1896" t="str">
        <f>_xlfn.XLOOKUP(Orders[[#This Row],[ProductID]],Products[ProductID],Products[ProductName])</f>
        <v>GOLD RINGS</v>
      </c>
      <c r="S1896" t="str">
        <f>_xlfn.XLOOKUP(Orders[[#This Row],[ProductID]],Products!A:A,Products!C:C)</f>
        <v>Accessories</v>
      </c>
    </row>
    <row r="1897" spans="1:19" x14ac:dyDescent="0.2">
      <c r="A1897" s="4" t="s">
        <v>2086</v>
      </c>
      <c r="B1897" s="5">
        <v>45998</v>
      </c>
      <c r="C1897" s="15">
        <f>WEEKNUM(Orders[[#This Row],[OrderDate]])</f>
        <v>50</v>
      </c>
      <c r="D1897" s="4" t="s">
        <v>256</v>
      </c>
      <c r="E1897" s="4" t="s">
        <v>37</v>
      </c>
      <c r="F1897" s="4">
        <v>2</v>
      </c>
      <c r="G1897" s="4">
        <v>16729.7</v>
      </c>
      <c r="H1897">
        <v>14220.245000000001</v>
      </c>
      <c r="I1897">
        <f>Orders[[#This Row],[Quantity]]*Orders[[#This Row],[Selling Price]]</f>
        <v>33459.4</v>
      </c>
      <c r="J1897">
        <f>Orders[[#This Row],[Quantity]]*Orders[[#This Row],[Cost Price]]</f>
        <v>28440.49</v>
      </c>
      <c r="K1897">
        <f>Orders[[#This Row],[Revenue]]-Orders[[#This Row],[Expenses]]</f>
        <v>5018.91</v>
      </c>
      <c r="L1897" t="s">
        <v>2192</v>
      </c>
      <c r="M1897" t="str">
        <f>_xlfn.XLOOKUP(Orders[[#This Row],[CustomerID]],Customers[CustomerID],Customers[City])</f>
        <v>Georgia</v>
      </c>
      <c r="N1897" t="str">
        <f>_xlfn.XLOOKUP(Orders[[#This Row],[CustomerID]],Customers[CustomerID],Customers[CustomerName])</f>
        <v>Efe Ojo</v>
      </c>
      <c r="O1897" t="str">
        <f>_xlfn.XLOOKUP(Orders[[#This Row],[CustomerID]],Customers[CustomerID],Customers[Gender])</f>
        <v>Female</v>
      </c>
      <c r="P1897">
        <f>_xlfn.XLOOKUP(Orders[[#This Row],[CustomerID]],Customers[CustomerID],Customers[CustomerAge])</f>
        <v>23</v>
      </c>
      <c r="Q1897" t="str">
        <f>IF(Orders[[#This Row],[Age]]&gt;=35,"older","young")</f>
        <v>young</v>
      </c>
      <c r="R1897" t="str">
        <f>_xlfn.XLOOKUP(Orders[[#This Row],[ProductID]],Products[ProductID],Products[ProductName])</f>
        <v>IRON</v>
      </c>
      <c r="S1897" t="str">
        <f>_xlfn.XLOOKUP(Orders[[#This Row],[ProductID]],Products!A:A,Products!C:C)</f>
        <v>Electronics</v>
      </c>
    </row>
    <row r="1898" spans="1:19" x14ac:dyDescent="0.2">
      <c r="A1898" s="4" t="s">
        <v>2087</v>
      </c>
      <c r="B1898" s="5">
        <v>46006</v>
      </c>
      <c r="C1898" s="15">
        <f>WEEKNUM(Orders[[#This Row],[OrderDate]])</f>
        <v>51</v>
      </c>
      <c r="D1898" s="4" t="s">
        <v>205</v>
      </c>
      <c r="E1898" s="4" t="s">
        <v>111</v>
      </c>
      <c r="F1898" s="4">
        <v>1</v>
      </c>
      <c r="G1898" s="4">
        <v>9660.9</v>
      </c>
      <c r="H1898">
        <v>8211.7649999999994</v>
      </c>
      <c r="I1898">
        <f>Orders[[#This Row],[Quantity]]*Orders[[#This Row],[Selling Price]]</f>
        <v>9660.9</v>
      </c>
      <c r="J1898">
        <f>Orders[[#This Row],[Quantity]]*Orders[[#This Row],[Cost Price]]</f>
        <v>8211.7649999999994</v>
      </c>
      <c r="K1898">
        <f>Orders[[#This Row],[Revenue]]-Orders[[#This Row],[Expenses]]</f>
        <v>1449.1350000000002</v>
      </c>
      <c r="L1898" t="s">
        <v>2195</v>
      </c>
      <c r="M1898" t="str">
        <f>_xlfn.XLOOKUP(Orders[[#This Row],[CustomerID]],Customers[CustomerID],Customers[City])</f>
        <v>Washington</v>
      </c>
      <c r="N1898" t="str">
        <f>_xlfn.XLOOKUP(Orders[[#This Row],[CustomerID]],Customers[CustomerID],Customers[CustomerName])</f>
        <v>Jide Adeyemi</v>
      </c>
      <c r="O1898" t="str">
        <f>_xlfn.XLOOKUP(Orders[[#This Row],[CustomerID]],Customers[CustomerID],Customers[Gender])</f>
        <v>Male</v>
      </c>
      <c r="P1898">
        <f>_xlfn.XLOOKUP(Orders[[#This Row],[CustomerID]],Customers[CustomerID],Customers[CustomerAge])</f>
        <v>19</v>
      </c>
      <c r="Q1898" t="str">
        <f>IF(Orders[[#This Row],[Age]]&gt;=35,"older","young")</f>
        <v>young</v>
      </c>
      <c r="R1898" t="str">
        <f>_xlfn.XLOOKUP(Orders[[#This Row],[ProductID]],Products[ProductID],Products[ProductName])</f>
        <v>REFRIGERATOR</v>
      </c>
      <c r="S1898" t="str">
        <f>_xlfn.XLOOKUP(Orders[[#This Row],[ProductID]],Products!A:A,Products!C:C)</f>
        <v>Electronics</v>
      </c>
    </row>
    <row r="1899" spans="1:19" x14ac:dyDescent="0.2">
      <c r="A1899" s="4" t="s">
        <v>2088</v>
      </c>
      <c r="B1899" s="5">
        <v>45977</v>
      </c>
      <c r="C1899" s="15">
        <f>WEEKNUM(Orders[[#This Row],[OrderDate]])</f>
        <v>47</v>
      </c>
      <c r="D1899" s="4" t="s">
        <v>163</v>
      </c>
      <c r="E1899" s="4" t="s">
        <v>57</v>
      </c>
      <c r="F1899" s="4">
        <v>10</v>
      </c>
      <c r="G1899" s="4">
        <v>14186.6</v>
      </c>
      <c r="H1899">
        <v>12058.61</v>
      </c>
      <c r="I1899">
        <f>Orders[[#This Row],[Quantity]]*Orders[[#This Row],[Selling Price]]</f>
        <v>141866</v>
      </c>
      <c r="J1899">
        <f>Orders[[#This Row],[Quantity]]*Orders[[#This Row],[Cost Price]]</f>
        <v>120586.1</v>
      </c>
      <c r="K1899">
        <f>Orders[[#This Row],[Revenue]]-Orders[[#This Row],[Expenses]]</f>
        <v>21279.899999999994</v>
      </c>
      <c r="L1899" t="s">
        <v>2213</v>
      </c>
      <c r="M1899" t="str">
        <f>_xlfn.XLOOKUP(Orders[[#This Row],[CustomerID]],Customers[CustomerID],Customers[City])</f>
        <v>Texas</v>
      </c>
      <c r="N1899" t="str">
        <f>_xlfn.XLOOKUP(Orders[[#This Row],[CustomerID]],Customers[CustomerID],Customers[CustomerName])</f>
        <v>Folasade Danladi</v>
      </c>
      <c r="O1899" t="str">
        <f>_xlfn.XLOOKUP(Orders[[#This Row],[CustomerID]],Customers[CustomerID],Customers[Gender])</f>
        <v>Female</v>
      </c>
      <c r="P1899">
        <f>_xlfn.XLOOKUP(Orders[[#This Row],[CustomerID]],Customers[CustomerID],Customers[CustomerAge])</f>
        <v>32</v>
      </c>
      <c r="Q1899" t="str">
        <f>IF(Orders[[#This Row],[Age]]&gt;=35,"older","young")</f>
        <v>young</v>
      </c>
      <c r="R1899" t="str">
        <f>_xlfn.XLOOKUP(Orders[[#This Row],[ProductID]],Products[ProductID],Products[ProductName])</f>
        <v>BADMINTON RACKET</v>
      </c>
      <c r="S1899" t="str">
        <f>_xlfn.XLOOKUP(Orders[[#This Row],[ProductID]],Products!A:A,Products!C:C)</f>
        <v>Sports</v>
      </c>
    </row>
    <row r="1900" spans="1:19" x14ac:dyDescent="0.2">
      <c r="A1900" s="4" t="s">
        <v>2089</v>
      </c>
      <c r="B1900" s="5">
        <v>46012</v>
      </c>
      <c r="C1900" s="15">
        <f>WEEKNUM(Orders[[#This Row],[OrderDate]])</f>
        <v>52</v>
      </c>
      <c r="D1900" s="4" t="s">
        <v>340</v>
      </c>
      <c r="E1900" s="4" t="s">
        <v>76</v>
      </c>
      <c r="F1900" s="4">
        <v>5</v>
      </c>
      <c r="G1900" s="4">
        <v>6997.1</v>
      </c>
      <c r="H1900">
        <v>5947.5349999999999</v>
      </c>
      <c r="I1900">
        <f>Orders[[#This Row],[Quantity]]*Orders[[#This Row],[Selling Price]]</f>
        <v>34985.5</v>
      </c>
      <c r="J1900">
        <f>Orders[[#This Row],[Quantity]]*Orders[[#This Row],[Cost Price]]</f>
        <v>29737.674999999999</v>
      </c>
      <c r="K1900">
        <f>Orders[[#This Row],[Revenue]]-Orders[[#This Row],[Expenses]]</f>
        <v>5247.8250000000007</v>
      </c>
      <c r="L1900" t="s">
        <v>2209</v>
      </c>
      <c r="M1900" t="str">
        <f>_xlfn.XLOOKUP(Orders[[#This Row],[CustomerID]],Customers[CustomerID],Customers[City])</f>
        <v>Illinois</v>
      </c>
      <c r="N1900" t="str">
        <f>_xlfn.XLOOKUP(Orders[[#This Row],[CustomerID]],Customers[CustomerID],Customers[CustomerName])</f>
        <v>Uche Abubakar</v>
      </c>
      <c r="O1900" t="str">
        <f>_xlfn.XLOOKUP(Orders[[#This Row],[CustomerID]],Customers[CustomerID],Customers[Gender])</f>
        <v>Male</v>
      </c>
      <c r="P1900">
        <f>_xlfn.XLOOKUP(Orders[[#This Row],[CustomerID]],Customers[CustomerID],Customers[CustomerAge])</f>
        <v>18</v>
      </c>
      <c r="Q1900" t="str">
        <f>IF(Orders[[#This Row],[Age]]&gt;=35,"older","young")</f>
        <v>young</v>
      </c>
      <c r="R1900" t="str">
        <f>_xlfn.XLOOKUP(Orders[[#This Row],[ProductID]],Products[ProductID],Products[ProductName])</f>
        <v>BLENDER</v>
      </c>
      <c r="S1900" t="str">
        <f>_xlfn.XLOOKUP(Orders[[#This Row],[ProductID]],Products!A:A,Products!C:C)</f>
        <v>Electronics</v>
      </c>
    </row>
    <row r="1901" spans="1:19" x14ac:dyDescent="0.2">
      <c r="A1901" s="4" t="s">
        <v>2090</v>
      </c>
      <c r="B1901" s="5">
        <v>45992</v>
      </c>
      <c r="C1901" s="15">
        <f>WEEKNUM(Orders[[#This Row],[OrderDate]])</f>
        <v>49</v>
      </c>
      <c r="D1901" s="4" t="s">
        <v>439</v>
      </c>
      <c r="E1901" s="4" t="s">
        <v>57</v>
      </c>
      <c r="F1901" s="4">
        <v>2</v>
      </c>
      <c r="G1901" s="4">
        <v>6485.5999999999995</v>
      </c>
      <c r="H1901">
        <v>5512.7599999999993</v>
      </c>
      <c r="I1901">
        <f>Orders[[#This Row],[Quantity]]*Orders[[#This Row],[Selling Price]]</f>
        <v>12971.199999999999</v>
      </c>
      <c r="J1901">
        <f>Orders[[#This Row],[Quantity]]*Orders[[#This Row],[Cost Price]]</f>
        <v>11025.519999999999</v>
      </c>
      <c r="K1901">
        <f>Orders[[#This Row],[Revenue]]-Orders[[#This Row],[Expenses]]</f>
        <v>1945.6800000000003</v>
      </c>
      <c r="L1901" t="s">
        <v>2218</v>
      </c>
      <c r="M1901" t="str">
        <f>_xlfn.XLOOKUP(Orders[[#This Row],[CustomerID]],Customers[CustomerID],Customers[City])</f>
        <v>Texas</v>
      </c>
      <c r="N1901" t="str">
        <f>_xlfn.XLOOKUP(Orders[[#This Row],[CustomerID]],Customers[CustomerID],Customers[CustomerName])</f>
        <v>Efe Abubakar</v>
      </c>
      <c r="O1901" t="str">
        <f>_xlfn.XLOOKUP(Orders[[#This Row],[CustomerID]],Customers[CustomerID],Customers[Gender])</f>
        <v>Female</v>
      </c>
      <c r="P1901">
        <f>_xlfn.XLOOKUP(Orders[[#This Row],[CustomerID]],Customers[CustomerID],Customers[CustomerAge])</f>
        <v>50</v>
      </c>
      <c r="Q1901" t="str">
        <f>IF(Orders[[#This Row],[Age]]&gt;=35,"older","young")</f>
        <v>older</v>
      </c>
      <c r="R1901" t="str">
        <f>_xlfn.XLOOKUP(Orders[[#This Row],[ProductID]],Products[ProductID],Products[ProductName])</f>
        <v>BADMINTON RACKET</v>
      </c>
      <c r="S1901" t="str">
        <f>_xlfn.XLOOKUP(Orders[[#This Row],[ProductID]],Products!A:A,Products!C:C)</f>
        <v>Sports</v>
      </c>
    </row>
    <row r="1902" spans="1:19" x14ac:dyDescent="0.2">
      <c r="A1902" s="4" t="s">
        <v>2091</v>
      </c>
      <c r="B1902" s="5">
        <v>45944</v>
      </c>
      <c r="C1902" s="15">
        <f>WEEKNUM(Orders[[#This Row],[OrderDate]])</f>
        <v>42</v>
      </c>
      <c r="D1902" s="4" t="s">
        <v>142</v>
      </c>
      <c r="E1902" s="4" t="s">
        <v>111</v>
      </c>
      <c r="F1902" s="4">
        <v>10</v>
      </c>
      <c r="G1902" s="4">
        <v>15863.4</v>
      </c>
      <c r="H1902">
        <v>13483.89</v>
      </c>
      <c r="I1902">
        <f>Orders[[#This Row],[Quantity]]*Orders[[#This Row],[Selling Price]]</f>
        <v>158634</v>
      </c>
      <c r="J1902">
        <f>Orders[[#This Row],[Quantity]]*Orders[[#This Row],[Cost Price]]</f>
        <v>134838.9</v>
      </c>
      <c r="K1902">
        <f>Orders[[#This Row],[Revenue]]-Orders[[#This Row],[Expenses]]</f>
        <v>23795.100000000006</v>
      </c>
      <c r="L1902" t="s">
        <v>2212</v>
      </c>
      <c r="M1902" t="str">
        <f>_xlfn.XLOOKUP(Orders[[#This Row],[CustomerID]],Customers[CustomerID],Customers[City])</f>
        <v>Florida</v>
      </c>
      <c r="N1902" t="str">
        <f>_xlfn.XLOOKUP(Orders[[#This Row],[CustomerID]],Customers[CustomerID],Customers[CustomerName])</f>
        <v>Obi Adeyemi</v>
      </c>
      <c r="O1902" t="str">
        <f>_xlfn.XLOOKUP(Orders[[#This Row],[CustomerID]],Customers[CustomerID],Customers[Gender])</f>
        <v>Male</v>
      </c>
      <c r="P1902">
        <f>_xlfn.XLOOKUP(Orders[[#This Row],[CustomerID]],Customers[CustomerID],Customers[CustomerAge])</f>
        <v>31</v>
      </c>
      <c r="Q1902" t="str">
        <f>IF(Orders[[#This Row],[Age]]&gt;=35,"older","young")</f>
        <v>young</v>
      </c>
      <c r="R1902" t="str">
        <f>_xlfn.XLOOKUP(Orders[[#This Row],[ProductID]],Products[ProductID],Products[ProductName])</f>
        <v>REFRIGERATOR</v>
      </c>
      <c r="S1902" t="str">
        <f>_xlfn.XLOOKUP(Orders[[#This Row],[ProductID]],Products!A:A,Products!C:C)</f>
        <v>Electronics</v>
      </c>
    </row>
    <row r="1903" spans="1:19" x14ac:dyDescent="0.2">
      <c r="A1903" s="4" t="s">
        <v>2092</v>
      </c>
      <c r="B1903" s="5">
        <v>45991</v>
      </c>
      <c r="C1903" s="15">
        <f>WEEKNUM(Orders[[#This Row],[OrderDate]])</f>
        <v>49</v>
      </c>
      <c r="D1903" s="4" t="s">
        <v>352</v>
      </c>
      <c r="E1903" s="4" t="s">
        <v>23</v>
      </c>
      <c r="F1903" s="4">
        <v>9</v>
      </c>
      <c r="G1903" s="4">
        <v>15372.1</v>
      </c>
      <c r="H1903">
        <v>13066.285</v>
      </c>
      <c r="I1903">
        <f>Orders[[#This Row],[Quantity]]*Orders[[#This Row],[Selling Price]]</f>
        <v>138348.9</v>
      </c>
      <c r="J1903">
        <f>Orders[[#This Row],[Quantity]]*Orders[[#This Row],[Cost Price]]</f>
        <v>117596.565</v>
      </c>
      <c r="K1903">
        <f>Orders[[#This Row],[Revenue]]-Orders[[#This Row],[Expenses]]</f>
        <v>20752.334999999992</v>
      </c>
      <c r="L1903" t="s">
        <v>2214</v>
      </c>
      <c r="M1903" t="str">
        <f>_xlfn.XLOOKUP(Orders[[#This Row],[CustomerID]],Customers[CustomerID],Customers[City])</f>
        <v>Texas</v>
      </c>
      <c r="N1903" t="str">
        <f>_xlfn.XLOOKUP(Orders[[#This Row],[CustomerID]],Customers[CustomerID],Customers[CustomerName])</f>
        <v>Zainab Eze</v>
      </c>
      <c r="O1903" t="str">
        <f>_xlfn.XLOOKUP(Orders[[#This Row],[CustomerID]],Customers[CustomerID],Customers[Gender])</f>
        <v>Female</v>
      </c>
      <c r="P1903">
        <f>_xlfn.XLOOKUP(Orders[[#This Row],[CustomerID]],Customers[CustomerID],Customers[CustomerAge])</f>
        <v>40</v>
      </c>
      <c r="Q1903" t="str">
        <f>IF(Orders[[#This Row],[Age]]&gt;=35,"older","young")</f>
        <v>older</v>
      </c>
      <c r="R1903" t="str">
        <f>_xlfn.XLOOKUP(Orders[[#This Row],[ProductID]],Products[ProductID],Products[ProductName])</f>
        <v>GYM GLOVES</v>
      </c>
      <c r="S1903" t="str">
        <f>_xlfn.XLOOKUP(Orders[[#This Row],[ProductID]],Products!A:A,Products!C:C)</f>
        <v>Gym</v>
      </c>
    </row>
    <row r="1904" spans="1:19" x14ac:dyDescent="0.2">
      <c r="A1904" s="4" t="s">
        <v>2093</v>
      </c>
      <c r="B1904" s="5">
        <v>45983</v>
      </c>
      <c r="C1904" s="15">
        <f>WEEKNUM(Orders[[#This Row],[OrderDate]])</f>
        <v>47</v>
      </c>
      <c r="D1904" s="4" t="s">
        <v>264</v>
      </c>
      <c r="E1904" s="4" t="s">
        <v>57</v>
      </c>
      <c r="F1904" s="4">
        <v>3</v>
      </c>
      <c r="G1904" s="4">
        <v>12312</v>
      </c>
      <c r="H1904">
        <v>10465.200000000001</v>
      </c>
      <c r="I1904">
        <f>Orders[[#This Row],[Quantity]]*Orders[[#This Row],[Selling Price]]</f>
        <v>36936</v>
      </c>
      <c r="J1904">
        <f>Orders[[#This Row],[Quantity]]*Orders[[#This Row],[Cost Price]]</f>
        <v>31395.600000000002</v>
      </c>
      <c r="K1904">
        <f>Orders[[#This Row],[Revenue]]-Orders[[#This Row],[Expenses]]</f>
        <v>5540.3999999999978</v>
      </c>
      <c r="L1904" t="s">
        <v>2204</v>
      </c>
      <c r="M1904" t="str">
        <f>_xlfn.XLOOKUP(Orders[[#This Row],[CustomerID]],Customers[CustomerID],Customers[City])</f>
        <v>Georgia</v>
      </c>
      <c r="N1904" t="str">
        <f>_xlfn.XLOOKUP(Orders[[#This Row],[CustomerID]],Customers[CustomerID],Customers[CustomerName])</f>
        <v>Ronke Adeyemi</v>
      </c>
      <c r="O1904" t="str">
        <f>_xlfn.XLOOKUP(Orders[[#This Row],[CustomerID]],Customers[CustomerID],Customers[Gender])</f>
        <v>Female</v>
      </c>
      <c r="P1904">
        <f>_xlfn.XLOOKUP(Orders[[#This Row],[CustomerID]],Customers[CustomerID],Customers[CustomerAge])</f>
        <v>19</v>
      </c>
      <c r="Q1904" t="str">
        <f>IF(Orders[[#This Row],[Age]]&gt;=35,"older","young")</f>
        <v>young</v>
      </c>
      <c r="R1904" t="str">
        <f>_xlfn.XLOOKUP(Orders[[#This Row],[ProductID]],Products[ProductID],Products[ProductName])</f>
        <v>BADMINTON RACKET</v>
      </c>
      <c r="S1904" t="str">
        <f>_xlfn.XLOOKUP(Orders[[#This Row],[ProductID]],Products!A:A,Products!C:C)</f>
        <v>Sports</v>
      </c>
    </row>
    <row r="1905" spans="1:19" x14ac:dyDescent="0.2">
      <c r="A1905" s="4" t="s">
        <v>2094</v>
      </c>
      <c r="B1905" s="5">
        <v>45998</v>
      </c>
      <c r="C1905" s="15">
        <f>WEEKNUM(Orders[[#This Row],[OrderDate]])</f>
        <v>50</v>
      </c>
      <c r="D1905" s="4" t="s">
        <v>80</v>
      </c>
      <c r="E1905" s="4" t="s">
        <v>34</v>
      </c>
      <c r="F1905" s="4">
        <v>7</v>
      </c>
      <c r="G1905" s="4">
        <v>14308.4</v>
      </c>
      <c r="H1905">
        <v>12162.14</v>
      </c>
      <c r="I1905">
        <f>Orders[[#This Row],[Quantity]]*Orders[[#This Row],[Selling Price]]</f>
        <v>100158.8</v>
      </c>
      <c r="J1905">
        <f>Orders[[#This Row],[Quantity]]*Orders[[#This Row],[Cost Price]]</f>
        <v>85134.98</v>
      </c>
      <c r="K1905">
        <f>Orders[[#This Row],[Revenue]]-Orders[[#This Row],[Expenses]]</f>
        <v>15023.820000000007</v>
      </c>
      <c r="L1905" t="s">
        <v>2205</v>
      </c>
      <c r="M1905" t="str">
        <f>_xlfn.XLOOKUP(Orders[[#This Row],[CustomerID]],Customers[CustomerID],Customers[City])</f>
        <v>Texas</v>
      </c>
      <c r="N1905" t="str">
        <f>_xlfn.XLOOKUP(Orders[[#This Row],[CustomerID]],Customers[CustomerID],Customers[CustomerName])</f>
        <v>Sani Ojo</v>
      </c>
      <c r="O1905" t="str">
        <f>_xlfn.XLOOKUP(Orders[[#This Row],[CustomerID]],Customers[CustomerID],Customers[Gender])</f>
        <v>Male</v>
      </c>
      <c r="P1905">
        <f>_xlfn.XLOOKUP(Orders[[#This Row],[CustomerID]],Customers[CustomerID],Customers[CustomerAge])</f>
        <v>35</v>
      </c>
      <c r="Q1905" t="str">
        <f>IF(Orders[[#This Row],[Age]]&gt;=35,"older","young")</f>
        <v>older</v>
      </c>
      <c r="R1905" t="str">
        <f>_xlfn.XLOOKUP(Orders[[#This Row],[ProductID]],Products[ProductID],Products[ProductName])</f>
        <v>GOLD BRACELETS</v>
      </c>
      <c r="S1905" t="str">
        <f>_xlfn.XLOOKUP(Orders[[#This Row],[ProductID]],Products!A:A,Products!C:C)</f>
        <v>Accessories</v>
      </c>
    </row>
    <row r="1906" spans="1:19" x14ac:dyDescent="0.2">
      <c r="A1906" s="4" t="s">
        <v>2095</v>
      </c>
      <c r="B1906" s="5">
        <v>45977</v>
      </c>
      <c r="C1906" s="15">
        <f>WEEKNUM(Orders[[#This Row],[OrderDate]])</f>
        <v>47</v>
      </c>
      <c r="D1906" s="4" t="s">
        <v>218</v>
      </c>
      <c r="E1906" s="4" t="s">
        <v>130</v>
      </c>
      <c r="F1906" s="4">
        <v>1</v>
      </c>
      <c r="G1906" s="4">
        <v>13421.800000000001</v>
      </c>
      <c r="H1906">
        <v>11408.53</v>
      </c>
      <c r="I1906">
        <f>Orders[[#This Row],[Quantity]]*Orders[[#This Row],[Selling Price]]</f>
        <v>13421.800000000001</v>
      </c>
      <c r="J1906">
        <f>Orders[[#This Row],[Quantity]]*Orders[[#This Row],[Cost Price]]</f>
        <v>11408.53</v>
      </c>
      <c r="K1906">
        <f>Orders[[#This Row],[Revenue]]-Orders[[#This Row],[Expenses]]</f>
        <v>2013.2700000000004</v>
      </c>
      <c r="L1906" t="s">
        <v>2198</v>
      </c>
      <c r="M1906" t="str">
        <f>_xlfn.XLOOKUP(Orders[[#This Row],[CustomerID]],Customers[CustomerID],Customers[City])</f>
        <v>Florida</v>
      </c>
      <c r="N1906" t="str">
        <f>_xlfn.XLOOKUP(Orders[[#This Row],[CustomerID]],Customers[CustomerID],Customers[CustomerName])</f>
        <v>Temi Danladi</v>
      </c>
      <c r="O1906" t="str">
        <f>_xlfn.XLOOKUP(Orders[[#This Row],[CustomerID]],Customers[CustomerID],Customers[Gender])</f>
        <v>Female</v>
      </c>
      <c r="P1906">
        <f>_xlfn.XLOOKUP(Orders[[#This Row],[CustomerID]],Customers[CustomerID],Customers[CustomerAge])</f>
        <v>48</v>
      </c>
      <c r="Q1906" t="str">
        <f>IF(Orders[[#This Row],[Age]]&gt;=35,"older","young")</f>
        <v>older</v>
      </c>
      <c r="R1906" t="str">
        <f>_xlfn.XLOOKUP(Orders[[#This Row],[ProductID]],Products[ProductID],Products[ProductName])</f>
        <v>GOLD EARRINGS AND NECKLACES</v>
      </c>
      <c r="S1906" t="str">
        <f>_xlfn.XLOOKUP(Orders[[#This Row],[ProductID]],Products!A:A,Products!C:C)</f>
        <v>Accessories</v>
      </c>
    </row>
    <row r="1907" spans="1:19" x14ac:dyDescent="0.2">
      <c r="A1907" s="4" t="s">
        <v>2096</v>
      </c>
      <c r="B1907" s="5">
        <v>45977</v>
      </c>
      <c r="C1907" s="15">
        <f>WEEKNUM(Orders[[#This Row],[OrderDate]])</f>
        <v>47</v>
      </c>
      <c r="D1907" s="4" t="s">
        <v>311</v>
      </c>
      <c r="E1907" s="4" t="s">
        <v>120</v>
      </c>
      <c r="F1907" s="4">
        <v>8</v>
      </c>
      <c r="G1907" s="4">
        <v>5163.4000000000005</v>
      </c>
      <c r="H1907">
        <v>4388.8900000000003</v>
      </c>
      <c r="I1907">
        <f>Orders[[#This Row],[Quantity]]*Orders[[#This Row],[Selling Price]]</f>
        <v>41307.200000000004</v>
      </c>
      <c r="J1907">
        <f>Orders[[#This Row],[Quantity]]*Orders[[#This Row],[Cost Price]]</f>
        <v>35111.120000000003</v>
      </c>
      <c r="K1907">
        <f>Orders[[#This Row],[Revenue]]-Orders[[#This Row],[Expenses]]</f>
        <v>6196.0800000000017</v>
      </c>
      <c r="L1907" t="s">
        <v>2212</v>
      </c>
      <c r="M1907" t="str">
        <f>_xlfn.XLOOKUP(Orders[[#This Row],[CustomerID]],Customers[CustomerID],Customers[City])</f>
        <v>Georgia</v>
      </c>
      <c r="N1907" t="str">
        <f>_xlfn.XLOOKUP(Orders[[#This Row],[CustomerID]],Customers[CustomerID],Customers[CustomerName])</f>
        <v>Bisi Bello</v>
      </c>
      <c r="O1907" t="str">
        <f>_xlfn.XLOOKUP(Orders[[#This Row],[CustomerID]],Customers[CustomerID],Customers[Gender])</f>
        <v>Female</v>
      </c>
      <c r="P1907">
        <f>_xlfn.XLOOKUP(Orders[[#This Row],[CustomerID]],Customers[CustomerID],Customers[CustomerAge])</f>
        <v>31</v>
      </c>
      <c r="Q1907" t="str">
        <f>IF(Orders[[#This Row],[Age]]&gt;=35,"older","young")</f>
        <v>young</v>
      </c>
      <c r="R1907" t="str">
        <f>_xlfn.XLOOKUP(Orders[[#This Row],[ProductID]],Products[ProductID],Products[ProductName])</f>
        <v>CHESS</v>
      </c>
      <c r="S1907" t="str">
        <f>_xlfn.XLOOKUP(Orders[[#This Row],[ProductID]],Products!A:A,Products!C:C)</f>
        <v>Games</v>
      </c>
    </row>
    <row r="1908" spans="1:19" x14ac:dyDescent="0.2">
      <c r="A1908" s="4" t="s">
        <v>2097</v>
      </c>
      <c r="B1908" s="5">
        <v>46003</v>
      </c>
      <c r="C1908" s="15">
        <f>WEEKNUM(Orders[[#This Row],[OrderDate]])</f>
        <v>50</v>
      </c>
      <c r="D1908" s="4" t="s">
        <v>383</v>
      </c>
      <c r="E1908" s="4" t="s">
        <v>57</v>
      </c>
      <c r="F1908" s="4">
        <v>2</v>
      </c>
      <c r="G1908" s="4">
        <v>14591.6</v>
      </c>
      <c r="H1908">
        <v>12402.86</v>
      </c>
      <c r="I1908">
        <f>Orders[[#This Row],[Quantity]]*Orders[[#This Row],[Selling Price]]</f>
        <v>29183.200000000001</v>
      </c>
      <c r="J1908">
        <f>Orders[[#This Row],[Quantity]]*Orders[[#This Row],[Cost Price]]</f>
        <v>24805.72</v>
      </c>
      <c r="K1908">
        <f>Orders[[#This Row],[Revenue]]-Orders[[#This Row],[Expenses]]</f>
        <v>4377.4799999999996</v>
      </c>
      <c r="L1908" t="s">
        <v>2212</v>
      </c>
      <c r="M1908" t="str">
        <f>_xlfn.XLOOKUP(Orders[[#This Row],[CustomerID]],Customers[CustomerID],Customers[City])</f>
        <v>Florida</v>
      </c>
      <c r="N1908" t="str">
        <f>_xlfn.XLOOKUP(Orders[[#This Row],[CustomerID]],Customers[CustomerID],Customers[CustomerName])</f>
        <v>Ibrahim Balogun</v>
      </c>
      <c r="O1908" t="str">
        <f>_xlfn.XLOOKUP(Orders[[#This Row],[CustomerID]],Customers[CustomerID],Customers[Gender])</f>
        <v>Male</v>
      </c>
      <c r="P1908">
        <f>_xlfn.XLOOKUP(Orders[[#This Row],[CustomerID]],Customers[CustomerID],Customers[CustomerAge])</f>
        <v>27</v>
      </c>
      <c r="Q1908" t="str">
        <f>IF(Orders[[#This Row],[Age]]&gt;=35,"older","young")</f>
        <v>young</v>
      </c>
      <c r="R1908" t="str">
        <f>_xlfn.XLOOKUP(Orders[[#This Row],[ProductID]],Products[ProductID],Products[ProductName])</f>
        <v>BADMINTON RACKET</v>
      </c>
      <c r="S1908" t="str">
        <f>_xlfn.XLOOKUP(Orders[[#This Row],[ProductID]],Products!A:A,Products!C:C)</f>
        <v>Sports</v>
      </c>
    </row>
    <row r="1909" spans="1:19" x14ac:dyDescent="0.2">
      <c r="A1909" s="4" t="s">
        <v>2098</v>
      </c>
      <c r="B1909" s="5">
        <v>45958</v>
      </c>
      <c r="C1909" s="15">
        <f>WEEKNUM(Orders[[#This Row],[OrderDate]])</f>
        <v>44</v>
      </c>
      <c r="D1909" s="4" t="s">
        <v>833</v>
      </c>
      <c r="E1909" s="4" t="s">
        <v>84</v>
      </c>
      <c r="F1909" s="4">
        <v>7</v>
      </c>
      <c r="G1909" s="4">
        <v>16331.199999999999</v>
      </c>
      <c r="H1909">
        <v>13881.519999999999</v>
      </c>
      <c r="I1909">
        <f>Orders[[#This Row],[Quantity]]*Orders[[#This Row],[Selling Price]]</f>
        <v>114318.39999999999</v>
      </c>
      <c r="J1909">
        <f>Orders[[#This Row],[Quantity]]*Orders[[#This Row],[Cost Price]]</f>
        <v>97170.639999999985</v>
      </c>
      <c r="K1909">
        <f>Orders[[#This Row],[Revenue]]-Orders[[#This Row],[Expenses]]</f>
        <v>17147.760000000009</v>
      </c>
      <c r="L1909" t="s">
        <v>2210</v>
      </c>
      <c r="M1909" t="str">
        <f>_xlfn.XLOOKUP(Orders[[#This Row],[CustomerID]],Customers[CustomerID],Customers[City])</f>
        <v>Washington</v>
      </c>
      <c r="N1909" t="str">
        <f>_xlfn.XLOOKUP(Orders[[#This Row],[CustomerID]],Customers[CustomerID],Customers[CustomerName])</f>
        <v>Abiola Adeyemi</v>
      </c>
      <c r="O1909" t="str">
        <f>_xlfn.XLOOKUP(Orders[[#This Row],[CustomerID]],Customers[CustomerID],Customers[Gender])</f>
        <v>Male</v>
      </c>
      <c r="P1909">
        <f>_xlfn.XLOOKUP(Orders[[#This Row],[CustomerID]],Customers[CustomerID],Customers[CustomerAge])</f>
        <v>53</v>
      </c>
      <c r="Q1909" t="str">
        <f>IF(Orders[[#This Row],[Age]]&gt;=35,"older","young")</f>
        <v>older</v>
      </c>
      <c r="R1909" t="str">
        <f>_xlfn.XLOOKUP(Orders[[#This Row],[ProductID]],Products[ProductID],Products[ProductName])</f>
        <v>GYM WEARS</v>
      </c>
      <c r="S1909" t="str">
        <f>_xlfn.XLOOKUP(Orders[[#This Row],[ProductID]],Products!A:A,Products!C:C)</f>
        <v>Clothing</v>
      </c>
    </row>
    <row r="1910" spans="1:19" x14ac:dyDescent="0.2">
      <c r="A1910" s="4" t="s">
        <v>2099</v>
      </c>
      <c r="B1910" s="5">
        <v>46010</v>
      </c>
      <c r="C1910" s="15">
        <f>WEEKNUM(Orders[[#This Row],[OrderDate]])</f>
        <v>51</v>
      </c>
      <c r="D1910" s="4" t="s">
        <v>43</v>
      </c>
      <c r="E1910" s="4" t="s">
        <v>120</v>
      </c>
      <c r="F1910" s="4">
        <v>8</v>
      </c>
      <c r="G1910" s="4">
        <v>2059.3000000000002</v>
      </c>
      <c r="H1910">
        <v>1750.4050000000002</v>
      </c>
      <c r="I1910">
        <f>Orders[[#This Row],[Quantity]]*Orders[[#This Row],[Selling Price]]</f>
        <v>16474.400000000001</v>
      </c>
      <c r="J1910">
        <f>Orders[[#This Row],[Quantity]]*Orders[[#This Row],[Cost Price]]</f>
        <v>14003.240000000002</v>
      </c>
      <c r="K1910">
        <f>Orders[[#This Row],[Revenue]]-Orders[[#This Row],[Expenses]]</f>
        <v>2471.16</v>
      </c>
      <c r="L1910" t="s">
        <v>2217</v>
      </c>
      <c r="M1910" t="str">
        <f>_xlfn.XLOOKUP(Orders[[#This Row],[CustomerID]],Customers[CustomerID],Customers[City])</f>
        <v>Georgia</v>
      </c>
      <c r="N1910" t="str">
        <f>_xlfn.XLOOKUP(Orders[[#This Row],[CustomerID]],Customers[CustomerID],Customers[CustomerName])</f>
        <v>Mustafa Danladi</v>
      </c>
      <c r="O1910" t="str">
        <f>_xlfn.XLOOKUP(Orders[[#This Row],[CustomerID]],Customers[CustomerID],Customers[Gender])</f>
        <v>Male</v>
      </c>
      <c r="P1910">
        <f>_xlfn.XLOOKUP(Orders[[#This Row],[CustomerID]],Customers[CustomerID],Customers[CustomerAge])</f>
        <v>49</v>
      </c>
      <c r="Q1910" t="str">
        <f>IF(Orders[[#This Row],[Age]]&gt;=35,"older","young")</f>
        <v>older</v>
      </c>
      <c r="R1910" t="str">
        <f>_xlfn.XLOOKUP(Orders[[#This Row],[ProductID]],Products[ProductID],Products[ProductName])</f>
        <v>CHESS</v>
      </c>
      <c r="S1910" t="str">
        <f>_xlfn.XLOOKUP(Orders[[#This Row],[ProductID]],Products!A:A,Products!C:C)</f>
        <v>Games</v>
      </c>
    </row>
    <row r="1911" spans="1:19" x14ac:dyDescent="0.2">
      <c r="A1911" s="4" t="s">
        <v>2100</v>
      </c>
      <c r="B1911" s="5">
        <v>45997</v>
      </c>
      <c r="C1911" s="15">
        <f>WEEKNUM(Orders[[#This Row],[OrderDate]])</f>
        <v>49</v>
      </c>
      <c r="D1911" s="4" t="s">
        <v>388</v>
      </c>
      <c r="E1911" s="4" t="s">
        <v>253</v>
      </c>
      <c r="F1911" s="4">
        <v>4</v>
      </c>
      <c r="G1911" s="4">
        <v>15843.900000000001</v>
      </c>
      <c r="H1911">
        <v>13467.315000000002</v>
      </c>
      <c r="I1911">
        <f>Orders[[#This Row],[Quantity]]*Orders[[#This Row],[Selling Price]]</f>
        <v>63375.600000000006</v>
      </c>
      <c r="J1911">
        <f>Orders[[#This Row],[Quantity]]*Orders[[#This Row],[Cost Price]]</f>
        <v>53869.260000000009</v>
      </c>
      <c r="K1911">
        <f>Orders[[#This Row],[Revenue]]-Orders[[#This Row],[Expenses]]</f>
        <v>9506.3399999999965</v>
      </c>
      <c r="L1911" t="s">
        <v>2196</v>
      </c>
      <c r="M1911" t="str">
        <f>_xlfn.XLOOKUP(Orders[[#This Row],[CustomerID]],Customers[CustomerID],Customers[City])</f>
        <v>Washington</v>
      </c>
      <c r="N1911" t="str">
        <f>_xlfn.XLOOKUP(Orders[[#This Row],[CustomerID]],Customers[CustomerID],Customers[CustomerName])</f>
        <v>Folasade Okonkwo</v>
      </c>
      <c r="O1911" t="str">
        <f>_xlfn.XLOOKUP(Orders[[#This Row],[CustomerID]],Customers[CustomerID],Customers[Gender])</f>
        <v>Female</v>
      </c>
      <c r="P1911">
        <f>_xlfn.XLOOKUP(Orders[[#This Row],[CustomerID]],Customers[CustomerID],Customers[CustomerAge])</f>
        <v>52</v>
      </c>
      <c r="Q1911" t="str">
        <f>IF(Orders[[#This Row],[Age]]&gt;=35,"older","young")</f>
        <v>older</v>
      </c>
      <c r="R1911" t="str">
        <f>_xlfn.XLOOKUP(Orders[[#This Row],[ProductID]],Products[ProductID],Products[ProductName])</f>
        <v>NOSE RINGS</v>
      </c>
      <c r="S1911" t="str">
        <f>_xlfn.XLOOKUP(Orders[[#This Row],[ProductID]],Products!A:A,Products!C:C)</f>
        <v>Accessories</v>
      </c>
    </row>
    <row r="1912" spans="1:19" x14ac:dyDescent="0.2">
      <c r="A1912" s="4" t="s">
        <v>2101</v>
      </c>
      <c r="B1912" s="5">
        <v>45943</v>
      </c>
      <c r="C1912" s="15">
        <f>WEEKNUM(Orders[[#This Row],[OrderDate]])</f>
        <v>42</v>
      </c>
      <c r="D1912" s="4" t="s">
        <v>302</v>
      </c>
      <c r="E1912" s="4" t="s">
        <v>34</v>
      </c>
      <c r="F1912" s="4">
        <v>10</v>
      </c>
      <c r="G1912" s="4">
        <v>1726.3</v>
      </c>
      <c r="H1912">
        <v>1467.355</v>
      </c>
      <c r="I1912">
        <f>Orders[[#This Row],[Quantity]]*Orders[[#This Row],[Selling Price]]</f>
        <v>17263</v>
      </c>
      <c r="J1912">
        <f>Orders[[#This Row],[Quantity]]*Orders[[#This Row],[Cost Price]]</f>
        <v>14673.55</v>
      </c>
      <c r="K1912">
        <f>Orders[[#This Row],[Revenue]]-Orders[[#This Row],[Expenses]]</f>
        <v>2589.4500000000007</v>
      </c>
      <c r="L1912" t="s">
        <v>2196</v>
      </c>
      <c r="M1912" t="str">
        <f>_xlfn.XLOOKUP(Orders[[#This Row],[CustomerID]],Customers[CustomerID],Customers[City])</f>
        <v>Washington</v>
      </c>
      <c r="N1912" t="str">
        <f>_xlfn.XLOOKUP(Orders[[#This Row],[CustomerID]],Customers[CustomerID],Customers[CustomerName])</f>
        <v>Sani Bello</v>
      </c>
      <c r="O1912" t="str">
        <f>_xlfn.XLOOKUP(Orders[[#This Row],[CustomerID]],Customers[CustomerID],Customers[Gender])</f>
        <v>Male</v>
      </c>
      <c r="P1912">
        <f>_xlfn.XLOOKUP(Orders[[#This Row],[CustomerID]],Customers[CustomerID],Customers[CustomerAge])</f>
        <v>23</v>
      </c>
      <c r="Q1912" t="str">
        <f>IF(Orders[[#This Row],[Age]]&gt;=35,"older","young")</f>
        <v>young</v>
      </c>
      <c r="R1912" t="str">
        <f>_xlfn.XLOOKUP(Orders[[#This Row],[ProductID]],Products[ProductID],Products[ProductName])</f>
        <v>GOLD BRACELETS</v>
      </c>
      <c r="S1912" t="str">
        <f>_xlfn.XLOOKUP(Orders[[#This Row],[ProductID]],Products!A:A,Products!C:C)</f>
        <v>Accessories</v>
      </c>
    </row>
    <row r="1913" spans="1:19" x14ac:dyDescent="0.2">
      <c r="A1913" s="4" t="s">
        <v>2102</v>
      </c>
      <c r="B1913" s="5">
        <v>45950</v>
      </c>
      <c r="C1913" s="15">
        <f>WEEKNUM(Orders[[#This Row],[OrderDate]])</f>
        <v>43</v>
      </c>
      <c r="D1913" s="4" t="s">
        <v>564</v>
      </c>
      <c r="E1913" s="4" t="s">
        <v>34</v>
      </c>
      <c r="F1913" s="4">
        <v>4</v>
      </c>
      <c r="G1913" s="4">
        <v>4443.3</v>
      </c>
      <c r="H1913">
        <v>3776.8050000000003</v>
      </c>
      <c r="I1913">
        <f>Orders[[#This Row],[Quantity]]*Orders[[#This Row],[Selling Price]]</f>
        <v>17773.2</v>
      </c>
      <c r="J1913">
        <f>Orders[[#This Row],[Quantity]]*Orders[[#This Row],[Cost Price]]</f>
        <v>15107.220000000001</v>
      </c>
      <c r="K1913">
        <f>Orders[[#This Row],[Revenue]]-Orders[[#This Row],[Expenses]]</f>
        <v>2665.9799999999996</v>
      </c>
      <c r="L1913" t="s">
        <v>2196</v>
      </c>
      <c r="M1913" t="str">
        <f>_xlfn.XLOOKUP(Orders[[#This Row],[CustomerID]],Customers[CustomerID],Customers[City])</f>
        <v>Georgia</v>
      </c>
      <c r="N1913" t="str">
        <f>_xlfn.XLOOKUP(Orders[[#This Row],[CustomerID]],Customers[CustomerID],Customers[CustomerName])</f>
        <v>Blessing Eze</v>
      </c>
      <c r="O1913" t="str">
        <f>_xlfn.XLOOKUP(Orders[[#This Row],[CustomerID]],Customers[CustomerID],Customers[Gender])</f>
        <v>Female</v>
      </c>
      <c r="P1913">
        <f>_xlfn.XLOOKUP(Orders[[#This Row],[CustomerID]],Customers[CustomerID],Customers[CustomerAge])</f>
        <v>19</v>
      </c>
      <c r="Q1913" t="str">
        <f>IF(Orders[[#This Row],[Age]]&gt;=35,"older","young")</f>
        <v>young</v>
      </c>
      <c r="R1913" t="str">
        <f>_xlfn.XLOOKUP(Orders[[#This Row],[ProductID]],Products[ProductID],Products[ProductName])</f>
        <v>GOLD BRACELETS</v>
      </c>
      <c r="S1913" t="str">
        <f>_xlfn.XLOOKUP(Orders[[#This Row],[ProductID]],Products!A:A,Products!C:C)</f>
        <v>Accessories</v>
      </c>
    </row>
    <row r="1914" spans="1:19" x14ac:dyDescent="0.2">
      <c r="A1914" s="4" t="s">
        <v>2103</v>
      </c>
      <c r="B1914" s="5">
        <v>46009</v>
      </c>
      <c r="C1914" s="15">
        <f>WEEKNUM(Orders[[#This Row],[OrderDate]])</f>
        <v>51</v>
      </c>
      <c r="D1914" s="4" t="s">
        <v>105</v>
      </c>
      <c r="E1914" s="4" t="s">
        <v>37</v>
      </c>
      <c r="F1914" s="4">
        <v>10</v>
      </c>
      <c r="G1914" s="4">
        <v>1285.8000000000002</v>
      </c>
      <c r="H1914">
        <v>1092.93</v>
      </c>
      <c r="I1914">
        <f>Orders[[#This Row],[Quantity]]*Orders[[#This Row],[Selling Price]]</f>
        <v>12858.000000000002</v>
      </c>
      <c r="J1914">
        <f>Orders[[#This Row],[Quantity]]*Orders[[#This Row],[Cost Price]]</f>
        <v>10929.300000000001</v>
      </c>
      <c r="K1914">
        <f>Orders[[#This Row],[Revenue]]-Orders[[#This Row],[Expenses]]</f>
        <v>1928.7000000000007</v>
      </c>
      <c r="L1914" t="s">
        <v>2193</v>
      </c>
      <c r="M1914" t="str">
        <f>_xlfn.XLOOKUP(Orders[[#This Row],[CustomerID]],Customers[CustomerID],Customers[City])</f>
        <v>Georgia</v>
      </c>
      <c r="N1914" t="str">
        <f>_xlfn.XLOOKUP(Orders[[#This Row],[CustomerID]],Customers[CustomerID],Customers[CustomerName])</f>
        <v>Folasade Adeyemi</v>
      </c>
      <c r="O1914" t="str">
        <f>_xlfn.XLOOKUP(Orders[[#This Row],[CustomerID]],Customers[CustomerID],Customers[Gender])</f>
        <v>Female</v>
      </c>
      <c r="P1914">
        <f>_xlfn.XLOOKUP(Orders[[#This Row],[CustomerID]],Customers[CustomerID],Customers[CustomerAge])</f>
        <v>42</v>
      </c>
      <c r="Q1914" t="str">
        <f>IF(Orders[[#This Row],[Age]]&gt;=35,"older","young")</f>
        <v>older</v>
      </c>
      <c r="R1914" t="str">
        <f>_xlfn.XLOOKUP(Orders[[#This Row],[ProductID]],Products[ProductID],Products[ProductName])</f>
        <v>IRON</v>
      </c>
      <c r="S1914" t="str">
        <f>_xlfn.XLOOKUP(Orders[[#This Row],[ProductID]],Products!A:A,Products!C:C)</f>
        <v>Electronics</v>
      </c>
    </row>
    <row r="1915" spans="1:19" x14ac:dyDescent="0.2">
      <c r="A1915" s="4" t="s">
        <v>2104</v>
      </c>
      <c r="B1915" s="5">
        <v>45948</v>
      </c>
      <c r="C1915" s="15">
        <f>WEEKNUM(Orders[[#This Row],[OrderDate]])</f>
        <v>42</v>
      </c>
      <c r="D1915" s="4" t="s">
        <v>287</v>
      </c>
      <c r="E1915" s="4" t="s">
        <v>20</v>
      </c>
      <c r="F1915" s="4">
        <v>7</v>
      </c>
      <c r="G1915" s="4">
        <v>1571.6999999999998</v>
      </c>
      <c r="H1915">
        <v>1335.9449999999999</v>
      </c>
      <c r="I1915">
        <f>Orders[[#This Row],[Quantity]]*Orders[[#This Row],[Selling Price]]</f>
        <v>11001.899999999998</v>
      </c>
      <c r="J1915">
        <f>Orders[[#This Row],[Quantity]]*Orders[[#This Row],[Cost Price]]</f>
        <v>9351.6149999999998</v>
      </c>
      <c r="K1915">
        <f>Orders[[#This Row],[Revenue]]-Orders[[#This Row],[Expenses]]</f>
        <v>1650.284999999998</v>
      </c>
      <c r="L1915" t="s">
        <v>2192</v>
      </c>
      <c r="M1915" t="str">
        <f>_xlfn.XLOOKUP(Orders[[#This Row],[CustomerID]],Customers[CustomerID],Customers[City])</f>
        <v>Texas</v>
      </c>
      <c r="N1915" t="str">
        <f>_xlfn.XLOOKUP(Orders[[#This Row],[CustomerID]],Customers[CustomerID],Customers[CustomerName])</f>
        <v>Okon Obi</v>
      </c>
      <c r="O1915" t="str">
        <f>_xlfn.XLOOKUP(Orders[[#This Row],[CustomerID]],Customers[CustomerID],Customers[Gender])</f>
        <v>Male</v>
      </c>
      <c r="P1915">
        <f>_xlfn.XLOOKUP(Orders[[#This Row],[CustomerID]],Customers[CustomerID],Customers[CustomerAge])</f>
        <v>55</v>
      </c>
      <c r="Q1915" t="str">
        <f>IF(Orders[[#This Row],[Age]]&gt;=35,"older","young")</f>
        <v>older</v>
      </c>
      <c r="R1915" t="str">
        <f>_xlfn.XLOOKUP(Orders[[#This Row],[ProductID]],Products[ProductID],Products[ProductName])</f>
        <v>GYM BAG</v>
      </c>
      <c r="S1915" t="str">
        <f>_xlfn.XLOOKUP(Orders[[#This Row],[ProductID]],Products!A:A,Products!C:C)</f>
        <v>Gym</v>
      </c>
    </row>
    <row r="1916" spans="1:19" x14ac:dyDescent="0.2">
      <c r="A1916" s="4" t="s">
        <v>2105</v>
      </c>
      <c r="B1916" s="5">
        <v>45981</v>
      </c>
      <c r="C1916" s="15">
        <f>WEEKNUM(Orders[[#This Row],[OrderDate]])</f>
        <v>47</v>
      </c>
      <c r="D1916" s="4" t="s">
        <v>30</v>
      </c>
      <c r="E1916" s="4" t="s">
        <v>151</v>
      </c>
      <c r="F1916" s="4">
        <v>7</v>
      </c>
      <c r="G1916" s="4">
        <v>5804.4000000000005</v>
      </c>
      <c r="H1916">
        <v>4933.7400000000007</v>
      </c>
      <c r="I1916">
        <f>Orders[[#This Row],[Quantity]]*Orders[[#This Row],[Selling Price]]</f>
        <v>40630.800000000003</v>
      </c>
      <c r="J1916">
        <f>Orders[[#This Row],[Quantity]]*Orders[[#This Row],[Cost Price]]</f>
        <v>34536.180000000008</v>
      </c>
      <c r="K1916">
        <f>Orders[[#This Row],[Revenue]]-Orders[[#This Row],[Expenses]]</f>
        <v>6094.6199999999953</v>
      </c>
      <c r="L1916" t="s">
        <v>2208</v>
      </c>
      <c r="M1916" t="str">
        <f>_xlfn.XLOOKUP(Orders[[#This Row],[CustomerID]],Customers[CustomerID],Customers[City])</f>
        <v>Florida</v>
      </c>
      <c r="N1916" t="str">
        <f>_xlfn.XLOOKUP(Orders[[#This Row],[CustomerID]],Customers[CustomerID],Customers[CustomerName])</f>
        <v>Amina Danladi</v>
      </c>
      <c r="O1916" t="str">
        <f>_xlfn.XLOOKUP(Orders[[#This Row],[CustomerID]],Customers[CustomerID],Customers[Gender])</f>
        <v>Female</v>
      </c>
      <c r="P1916">
        <f>_xlfn.XLOOKUP(Orders[[#This Row],[CustomerID]],Customers[CustomerID],Customers[CustomerAge])</f>
        <v>42</v>
      </c>
      <c r="Q1916" t="str">
        <f>IF(Orders[[#This Row],[Age]]&gt;=35,"older","young")</f>
        <v>older</v>
      </c>
      <c r="R1916" t="str">
        <f>_xlfn.XLOOKUP(Orders[[#This Row],[ProductID]],Products[ProductID],Products[ProductName])</f>
        <v>CHECKERS</v>
      </c>
      <c r="S1916" t="str">
        <f>_xlfn.XLOOKUP(Orders[[#This Row],[ProductID]],Products!A:A,Products!C:C)</f>
        <v>Games</v>
      </c>
    </row>
    <row r="1917" spans="1:19" x14ac:dyDescent="0.2">
      <c r="A1917" s="4" t="s">
        <v>2106</v>
      </c>
      <c r="B1917" s="5">
        <v>45958</v>
      </c>
      <c r="C1917" s="15">
        <f>WEEKNUM(Orders[[#This Row],[OrderDate]])</f>
        <v>44</v>
      </c>
      <c r="D1917" s="4" t="s">
        <v>346</v>
      </c>
      <c r="E1917" s="4" t="s">
        <v>66</v>
      </c>
      <c r="F1917" s="4">
        <v>8</v>
      </c>
      <c r="G1917" s="4">
        <v>3767.7999999999997</v>
      </c>
      <c r="H1917">
        <v>3202.6299999999997</v>
      </c>
      <c r="I1917">
        <f>Orders[[#This Row],[Quantity]]*Orders[[#This Row],[Selling Price]]</f>
        <v>30142.399999999998</v>
      </c>
      <c r="J1917">
        <f>Orders[[#This Row],[Quantity]]*Orders[[#This Row],[Cost Price]]</f>
        <v>25621.039999999997</v>
      </c>
      <c r="K1917">
        <f>Orders[[#This Row],[Revenue]]-Orders[[#This Row],[Expenses]]</f>
        <v>4521.3600000000006</v>
      </c>
      <c r="L1917" t="s">
        <v>2204</v>
      </c>
      <c r="M1917" t="str">
        <f>_xlfn.XLOOKUP(Orders[[#This Row],[CustomerID]],Customers[CustomerID],Customers[City])</f>
        <v>California</v>
      </c>
      <c r="N1917" t="str">
        <f>_xlfn.XLOOKUP(Orders[[#This Row],[CustomerID]],Customers[CustomerID],Customers[CustomerName])</f>
        <v>Ngozi Danladi</v>
      </c>
      <c r="O1917" t="str">
        <f>_xlfn.XLOOKUP(Orders[[#This Row],[CustomerID]],Customers[CustomerID],Customers[Gender])</f>
        <v>Female</v>
      </c>
      <c r="P1917">
        <f>_xlfn.XLOOKUP(Orders[[#This Row],[CustomerID]],Customers[CustomerID],Customers[CustomerAge])</f>
        <v>30</v>
      </c>
      <c r="Q1917" t="str">
        <f>IF(Orders[[#This Row],[Age]]&gt;=35,"older","young")</f>
        <v>young</v>
      </c>
      <c r="R1917" t="str">
        <f>_xlfn.XLOOKUP(Orders[[#This Row],[ProductID]],Products[ProductID],Products[ProductName])</f>
        <v>MICROWAVE</v>
      </c>
      <c r="S1917" t="str">
        <f>_xlfn.XLOOKUP(Orders[[#This Row],[ProductID]],Products!A:A,Products!C:C)</f>
        <v>Electronics</v>
      </c>
    </row>
    <row r="1918" spans="1:19" x14ac:dyDescent="0.2">
      <c r="A1918" s="4" t="s">
        <v>2107</v>
      </c>
      <c r="B1918" s="5">
        <v>45978</v>
      </c>
      <c r="C1918" s="15">
        <f>WEEKNUM(Orders[[#This Row],[OrderDate]])</f>
        <v>47</v>
      </c>
      <c r="D1918" s="4" t="s">
        <v>43</v>
      </c>
      <c r="E1918" s="4" t="s">
        <v>111</v>
      </c>
      <c r="F1918" s="4">
        <v>6</v>
      </c>
      <c r="G1918" s="4">
        <v>18341.300000000003</v>
      </c>
      <c r="H1918">
        <v>15590.105000000003</v>
      </c>
      <c r="I1918">
        <f>Orders[[#This Row],[Quantity]]*Orders[[#This Row],[Selling Price]]</f>
        <v>110047.80000000002</v>
      </c>
      <c r="J1918">
        <f>Orders[[#This Row],[Quantity]]*Orders[[#This Row],[Cost Price]]</f>
        <v>93540.630000000019</v>
      </c>
      <c r="K1918">
        <f>Orders[[#This Row],[Revenue]]-Orders[[#This Row],[Expenses]]</f>
        <v>16507.169999999998</v>
      </c>
      <c r="L1918" t="s">
        <v>2199</v>
      </c>
      <c r="M1918" t="str">
        <f>_xlfn.XLOOKUP(Orders[[#This Row],[CustomerID]],Customers[CustomerID],Customers[City])</f>
        <v>Georgia</v>
      </c>
      <c r="N1918" t="str">
        <f>_xlfn.XLOOKUP(Orders[[#This Row],[CustomerID]],Customers[CustomerID],Customers[CustomerName])</f>
        <v>Mustafa Danladi</v>
      </c>
      <c r="O1918" t="str">
        <f>_xlfn.XLOOKUP(Orders[[#This Row],[CustomerID]],Customers[CustomerID],Customers[Gender])</f>
        <v>Male</v>
      </c>
      <c r="P1918">
        <f>_xlfn.XLOOKUP(Orders[[#This Row],[CustomerID]],Customers[CustomerID],Customers[CustomerAge])</f>
        <v>49</v>
      </c>
      <c r="Q1918" t="str">
        <f>IF(Orders[[#This Row],[Age]]&gt;=35,"older","young")</f>
        <v>older</v>
      </c>
      <c r="R1918" t="str">
        <f>_xlfn.XLOOKUP(Orders[[#This Row],[ProductID]],Products[ProductID],Products[ProductName])</f>
        <v>REFRIGERATOR</v>
      </c>
      <c r="S1918" t="str">
        <f>_xlfn.XLOOKUP(Orders[[#This Row],[ProductID]],Products!A:A,Products!C:C)</f>
        <v>Electronics</v>
      </c>
    </row>
    <row r="1919" spans="1:19" x14ac:dyDescent="0.2">
      <c r="A1919" s="4" t="s">
        <v>2108</v>
      </c>
      <c r="B1919" s="5">
        <v>45972</v>
      </c>
      <c r="C1919" s="15">
        <f>WEEKNUM(Orders[[#This Row],[OrderDate]])</f>
        <v>46</v>
      </c>
      <c r="D1919" s="4" t="s">
        <v>260</v>
      </c>
      <c r="E1919" s="4" t="s">
        <v>53</v>
      </c>
      <c r="F1919" s="4">
        <v>4</v>
      </c>
      <c r="G1919" s="4">
        <v>19517</v>
      </c>
      <c r="H1919">
        <v>16589.45</v>
      </c>
      <c r="I1919">
        <f>Orders[[#This Row],[Quantity]]*Orders[[#This Row],[Selling Price]]</f>
        <v>78068</v>
      </c>
      <c r="J1919">
        <f>Orders[[#This Row],[Quantity]]*Orders[[#This Row],[Cost Price]]</f>
        <v>66357.8</v>
      </c>
      <c r="K1919">
        <f>Orders[[#This Row],[Revenue]]-Orders[[#This Row],[Expenses]]</f>
        <v>11710.199999999997</v>
      </c>
      <c r="L1919" t="s">
        <v>2197</v>
      </c>
      <c r="M1919" t="str">
        <f>_xlfn.XLOOKUP(Orders[[#This Row],[CustomerID]],Customers[CustomerID],Customers[City])</f>
        <v>Florida</v>
      </c>
      <c r="N1919" t="str">
        <f>_xlfn.XLOOKUP(Orders[[#This Row],[CustomerID]],Customers[CustomerID],Customers[CustomerName])</f>
        <v>Amina Obi</v>
      </c>
      <c r="O1919" t="str">
        <f>_xlfn.XLOOKUP(Orders[[#This Row],[CustomerID]],Customers[CustomerID],Customers[Gender])</f>
        <v>Female</v>
      </c>
      <c r="P1919">
        <f>_xlfn.XLOOKUP(Orders[[#This Row],[CustomerID]],Customers[CustomerID],Customers[CustomerAge])</f>
        <v>29</v>
      </c>
      <c r="Q1919" t="str">
        <f>IF(Orders[[#This Row],[Age]]&gt;=35,"older","young")</f>
        <v>young</v>
      </c>
      <c r="R1919" t="str">
        <f>_xlfn.XLOOKUP(Orders[[#This Row],[ProductID]],Products[ProductID],Products[ProductName])</f>
        <v>SILVER BANGLES</v>
      </c>
      <c r="S1919" t="str">
        <f>_xlfn.XLOOKUP(Orders[[#This Row],[ProductID]],Products!A:A,Products!C:C)</f>
        <v>Accessories</v>
      </c>
    </row>
    <row r="1920" spans="1:19" x14ac:dyDescent="0.2">
      <c r="A1920" s="4" t="s">
        <v>2109</v>
      </c>
      <c r="B1920" s="5">
        <v>45956</v>
      </c>
      <c r="C1920" s="15">
        <f>WEEKNUM(Orders[[#This Row],[OrderDate]])</f>
        <v>44</v>
      </c>
      <c r="D1920" s="4" t="s">
        <v>302</v>
      </c>
      <c r="E1920" s="4" t="s">
        <v>34</v>
      </c>
      <c r="F1920" s="4">
        <v>5</v>
      </c>
      <c r="G1920" s="4">
        <v>1434.3000000000002</v>
      </c>
      <c r="H1920">
        <v>1219.1550000000002</v>
      </c>
      <c r="I1920">
        <f>Orders[[#This Row],[Quantity]]*Orders[[#This Row],[Selling Price]]</f>
        <v>7171.5000000000009</v>
      </c>
      <c r="J1920">
        <f>Orders[[#This Row],[Quantity]]*Orders[[#This Row],[Cost Price]]</f>
        <v>6095.7750000000015</v>
      </c>
      <c r="K1920">
        <f>Orders[[#This Row],[Revenue]]-Orders[[#This Row],[Expenses]]</f>
        <v>1075.7249999999995</v>
      </c>
      <c r="L1920" t="s">
        <v>2192</v>
      </c>
      <c r="M1920" t="str">
        <f>_xlfn.XLOOKUP(Orders[[#This Row],[CustomerID]],Customers[CustomerID],Customers[City])</f>
        <v>Washington</v>
      </c>
      <c r="N1920" t="str">
        <f>_xlfn.XLOOKUP(Orders[[#This Row],[CustomerID]],Customers[CustomerID],Customers[CustomerName])</f>
        <v>Sani Bello</v>
      </c>
      <c r="O1920" t="str">
        <f>_xlfn.XLOOKUP(Orders[[#This Row],[CustomerID]],Customers[CustomerID],Customers[Gender])</f>
        <v>Male</v>
      </c>
      <c r="P1920">
        <f>_xlfn.XLOOKUP(Orders[[#This Row],[CustomerID]],Customers[CustomerID],Customers[CustomerAge])</f>
        <v>23</v>
      </c>
      <c r="Q1920" t="str">
        <f>IF(Orders[[#This Row],[Age]]&gt;=35,"older","young")</f>
        <v>young</v>
      </c>
      <c r="R1920" t="str">
        <f>_xlfn.XLOOKUP(Orders[[#This Row],[ProductID]],Products[ProductID],Products[ProductName])</f>
        <v>GOLD BRACELETS</v>
      </c>
      <c r="S1920" t="str">
        <f>_xlfn.XLOOKUP(Orders[[#This Row],[ProductID]],Products!A:A,Products!C:C)</f>
        <v>Accessories</v>
      </c>
    </row>
    <row r="1921" spans="1:19" x14ac:dyDescent="0.2">
      <c r="A1921" s="4" t="s">
        <v>2110</v>
      </c>
      <c r="B1921" s="5">
        <v>46020</v>
      </c>
      <c r="C1921" s="15">
        <f>WEEKNUM(Orders[[#This Row],[OrderDate]])</f>
        <v>53</v>
      </c>
      <c r="D1921" s="4" t="s">
        <v>227</v>
      </c>
      <c r="E1921" s="4" t="s">
        <v>20</v>
      </c>
      <c r="F1921" s="4">
        <v>10</v>
      </c>
      <c r="G1921" s="4">
        <v>14474</v>
      </c>
      <c r="H1921">
        <v>12302.9</v>
      </c>
      <c r="I1921">
        <f>Orders[[#This Row],[Quantity]]*Orders[[#This Row],[Selling Price]]</f>
        <v>144740</v>
      </c>
      <c r="J1921">
        <f>Orders[[#This Row],[Quantity]]*Orders[[#This Row],[Cost Price]]</f>
        <v>123029</v>
      </c>
      <c r="K1921">
        <f>Orders[[#This Row],[Revenue]]-Orders[[#This Row],[Expenses]]</f>
        <v>21711</v>
      </c>
      <c r="L1921" t="s">
        <v>2219</v>
      </c>
      <c r="M1921" t="str">
        <f>_xlfn.XLOOKUP(Orders[[#This Row],[CustomerID]],Customers[CustomerID],Customers[City])</f>
        <v>Washington</v>
      </c>
      <c r="N1921" t="str">
        <f>_xlfn.XLOOKUP(Orders[[#This Row],[CustomerID]],Customers[CustomerID],Customers[CustomerName])</f>
        <v>Emmanuel Victor</v>
      </c>
      <c r="O1921" t="str">
        <f>_xlfn.XLOOKUP(Orders[[#This Row],[CustomerID]],Customers[CustomerID],Customers[Gender])</f>
        <v>Male</v>
      </c>
      <c r="P1921">
        <f>_xlfn.XLOOKUP(Orders[[#This Row],[CustomerID]],Customers[CustomerID],Customers[CustomerAge])</f>
        <v>35</v>
      </c>
      <c r="Q1921" t="str">
        <f>IF(Orders[[#This Row],[Age]]&gt;=35,"older","young")</f>
        <v>older</v>
      </c>
      <c r="R1921" t="str">
        <f>_xlfn.XLOOKUP(Orders[[#This Row],[ProductID]],Products[ProductID],Products[ProductName])</f>
        <v>GYM BAG</v>
      </c>
      <c r="S1921" t="str">
        <f>_xlfn.XLOOKUP(Orders[[#This Row],[ProductID]],Products!A:A,Products!C:C)</f>
        <v>Gym</v>
      </c>
    </row>
    <row r="1922" spans="1:19" x14ac:dyDescent="0.2">
      <c r="A1922" s="4" t="s">
        <v>2111</v>
      </c>
      <c r="B1922" s="5">
        <v>46005</v>
      </c>
      <c r="C1922" s="15">
        <f>WEEKNUM(Orders[[#This Row],[OrderDate]])</f>
        <v>51</v>
      </c>
      <c r="D1922" s="4" t="s">
        <v>287</v>
      </c>
      <c r="E1922" s="4" t="s">
        <v>70</v>
      </c>
      <c r="F1922" s="4">
        <v>4</v>
      </c>
      <c r="G1922" s="4">
        <v>6701.2</v>
      </c>
      <c r="H1922">
        <v>5696.0199999999995</v>
      </c>
      <c r="I1922">
        <f>Orders[[#This Row],[Quantity]]*Orders[[#This Row],[Selling Price]]</f>
        <v>26804.799999999999</v>
      </c>
      <c r="J1922">
        <f>Orders[[#This Row],[Quantity]]*Orders[[#This Row],[Cost Price]]</f>
        <v>22784.079999999998</v>
      </c>
      <c r="K1922">
        <f>Orders[[#This Row],[Revenue]]-Orders[[#This Row],[Expenses]]</f>
        <v>4020.7200000000012</v>
      </c>
      <c r="L1922" t="s">
        <v>2205</v>
      </c>
      <c r="M1922" t="str">
        <f>_xlfn.XLOOKUP(Orders[[#This Row],[CustomerID]],Customers[CustomerID],Customers[City])</f>
        <v>Texas</v>
      </c>
      <c r="N1922" t="str">
        <f>_xlfn.XLOOKUP(Orders[[#This Row],[CustomerID]],Customers[CustomerID],Customers[CustomerName])</f>
        <v>Okon Obi</v>
      </c>
      <c r="O1922" t="str">
        <f>_xlfn.XLOOKUP(Orders[[#This Row],[CustomerID]],Customers[CustomerID],Customers[Gender])</f>
        <v>Male</v>
      </c>
      <c r="P1922">
        <f>_xlfn.XLOOKUP(Orders[[#This Row],[CustomerID]],Customers[CustomerID],Customers[CustomerAge])</f>
        <v>55</v>
      </c>
      <c r="Q1922" t="str">
        <f>IF(Orders[[#This Row],[Age]]&gt;=35,"older","young")</f>
        <v>older</v>
      </c>
      <c r="R1922" t="str">
        <f>_xlfn.XLOOKUP(Orders[[#This Row],[ProductID]],Products[ProductID],Products[ProductName])</f>
        <v>YOGA MAT</v>
      </c>
      <c r="S1922" t="str">
        <f>_xlfn.XLOOKUP(Orders[[#This Row],[ProductID]],Products!A:A,Products!C:C)</f>
        <v>Gym</v>
      </c>
    </row>
    <row r="1923" spans="1:19" x14ac:dyDescent="0.2">
      <c r="A1923" s="4" t="s">
        <v>2112</v>
      </c>
      <c r="B1923" s="5">
        <v>45953</v>
      </c>
      <c r="C1923" s="15">
        <f>WEEKNUM(Orders[[#This Row],[OrderDate]])</f>
        <v>43</v>
      </c>
      <c r="D1923" s="4" t="s">
        <v>113</v>
      </c>
      <c r="E1923" s="4" t="s">
        <v>25</v>
      </c>
      <c r="F1923" s="4">
        <v>6</v>
      </c>
      <c r="G1923" s="4">
        <v>11537</v>
      </c>
      <c r="H1923">
        <v>9806.4500000000007</v>
      </c>
      <c r="I1923">
        <f>Orders[[#This Row],[Quantity]]*Orders[[#This Row],[Selling Price]]</f>
        <v>69222</v>
      </c>
      <c r="J1923">
        <f>Orders[[#This Row],[Quantity]]*Orders[[#This Row],[Cost Price]]</f>
        <v>58838.700000000004</v>
      </c>
      <c r="K1923">
        <f>Orders[[#This Row],[Revenue]]-Orders[[#This Row],[Expenses]]</f>
        <v>10383.299999999996</v>
      </c>
      <c r="L1923" t="s">
        <v>2197</v>
      </c>
      <c r="M1923" t="str">
        <f>_xlfn.XLOOKUP(Orders[[#This Row],[CustomerID]],Customers[CustomerID],Customers[City])</f>
        <v>Texas</v>
      </c>
      <c r="N1923" t="str">
        <f>_xlfn.XLOOKUP(Orders[[#This Row],[CustomerID]],Customers[CustomerID],Customers[CustomerName])</f>
        <v>Uche Igwe</v>
      </c>
      <c r="O1923" t="str">
        <f>_xlfn.XLOOKUP(Orders[[#This Row],[CustomerID]],Customers[CustomerID],Customers[Gender])</f>
        <v>Male</v>
      </c>
      <c r="P1923">
        <f>_xlfn.XLOOKUP(Orders[[#This Row],[CustomerID]],Customers[CustomerID],Customers[CustomerAge])</f>
        <v>35</v>
      </c>
      <c r="Q1923" t="str">
        <f>IF(Orders[[#This Row],[Age]]&gt;=35,"older","young")</f>
        <v>older</v>
      </c>
      <c r="R1923" t="str">
        <f>_xlfn.XLOOKUP(Orders[[#This Row],[ProductID]],Products[ProductID],Products[ProductName])</f>
        <v>GOLD RINGS</v>
      </c>
      <c r="S1923" t="str">
        <f>_xlfn.XLOOKUP(Orders[[#This Row],[ProductID]],Products!A:A,Products!C:C)</f>
        <v>Accessories</v>
      </c>
    </row>
    <row r="1924" spans="1:19" x14ac:dyDescent="0.2">
      <c r="A1924" s="4" t="s">
        <v>2113</v>
      </c>
      <c r="B1924" s="5">
        <v>45951</v>
      </c>
      <c r="C1924" s="15">
        <f>WEEKNUM(Orders[[#This Row],[OrderDate]])</f>
        <v>43</v>
      </c>
      <c r="D1924" s="4" t="s">
        <v>98</v>
      </c>
      <c r="E1924" s="4" t="s">
        <v>111</v>
      </c>
      <c r="F1924" s="4">
        <v>1</v>
      </c>
      <c r="G1924" s="4">
        <v>16522.8</v>
      </c>
      <c r="H1924">
        <v>14044.38</v>
      </c>
      <c r="I1924">
        <f>Orders[[#This Row],[Quantity]]*Orders[[#This Row],[Selling Price]]</f>
        <v>16522.8</v>
      </c>
      <c r="J1924">
        <f>Orders[[#This Row],[Quantity]]*Orders[[#This Row],[Cost Price]]</f>
        <v>14044.38</v>
      </c>
      <c r="K1924">
        <f>Orders[[#This Row],[Revenue]]-Orders[[#This Row],[Expenses]]</f>
        <v>2478.42</v>
      </c>
      <c r="L1924" t="s">
        <v>2207</v>
      </c>
      <c r="M1924" t="str">
        <f>_xlfn.XLOOKUP(Orders[[#This Row],[CustomerID]],Customers[CustomerID],Customers[City])</f>
        <v>Illinois</v>
      </c>
      <c r="N1924" t="str">
        <f>_xlfn.XLOOKUP(Orders[[#This Row],[CustomerID]],Customers[CustomerID],Customers[CustomerName])</f>
        <v>Chioma Adeyemi</v>
      </c>
      <c r="O1924" t="str">
        <f>_xlfn.XLOOKUP(Orders[[#This Row],[CustomerID]],Customers[CustomerID],Customers[Gender])</f>
        <v>Female</v>
      </c>
      <c r="P1924">
        <f>_xlfn.XLOOKUP(Orders[[#This Row],[CustomerID]],Customers[CustomerID],Customers[CustomerAge])</f>
        <v>23</v>
      </c>
      <c r="Q1924" t="str">
        <f>IF(Orders[[#This Row],[Age]]&gt;=35,"older","young")</f>
        <v>young</v>
      </c>
      <c r="R1924" t="str">
        <f>_xlfn.XLOOKUP(Orders[[#This Row],[ProductID]],Products[ProductID],Products[ProductName])</f>
        <v>REFRIGERATOR</v>
      </c>
      <c r="S1924" t="str">
        <f>_xlfn.XLOOKUP(Orders[[#This Row],[ProductID]],Products!A:A,Products!C:C)</f>
        <v>Electronics</v>
      </c>
    </row>
    <row r="1925" spans="1:19" x14ac:dyDescent="0.2">
      <c r="A1925" s="4" t="s">
        <v>2114</v>
      </c>
      <c r="B1925" s="5">
        <v>45961</v>
      </c>
      <c r="C1925" s="15">
        <f>WEEKNUM(Orders[[#This Row],[OrderDate]])</f>
        <v>44</v>
      </c>
      <c r="D1925" s="4" t="s">
        <v>216</v>
      </c>
      <c r="E1925" s="4" t="s">
        <v>28</v>
      </c>
      <c r="F1925" s="4">
        <v>6</v>
      </c>
      <c r="G1925" s="4">
        <v>3723.1</v>
      </c>
      <c r="H1925">
        <v>3164.6350000000002</v>
      </c>
      <c r="I1925">
        <f>Orders[[#This Row],[Quantity]]*Orders[[#This Row],[Selling Price]]</f>
        <v>22338.6</v>
      </c>
      <c r="J1925">
        <f>Orders[[#This Row],[Quantity]]*Orders[[#This Row],[Cost Price]]</f>
        <v>18987.810000000001</v>
      </c>
      <c r="K1925">
        <f>Orders[[#This Row],[Revenue]]-Orders[[#This Row],[Expenses]]</f>
        <v>3350.7899999999972</v>
      </c>
      <c r="L1925" t="s">
        <v>2215</v>
      </c>
      <c r="M1925" t="str">
        <f>_xlfn.XLOOKUP(Orders[[#This Row],[CustomerID]],Customers[CustomerID],Customers[City])</f>
        <v>California</v>
      </c>
      <c r="N1925" t="str">
        <f>_xlfn.XLOOKUP(Orders[[#This Row],[CustomerID]],Customers[CustomerID],Customers[CustomerName])</f>
        <v>Ngozi Obi</v>
      </c>
      <c r="O1925" t="str">
        <f>_xlfn.XLOOKUP(Orders[[#This Row],[CustomerID]],Customers[CustomerID],Customers[Gender])</f>
        <v>Female</v>
      </c>
      <c r="P1925">
        <f>_xlfn.XLOOKUP(Orders[[#This Row],[CustomerID]],Customers[CustomerID],Customers[CustomerAge])</f>
        <v>54</v>
      </c>
      <c r="Q1925" t="str">
        <f>IF(Orders[[#This Row],[Age]]&gt;=35,"older","young")</f>
        <v>older</v>
      </c>
      <c r="R1925" t="str">
        <f>_xlfn.XLOOKUP(Orders[[#This Row],[ProductID]],Products[ProductID],Products[ProductName])</f>
        <v>SNEAKERS</v>
      </c>
      <c r="S1925" t="str">
        <f>_xlfn.XLOOKUP(Orders[[#This Row],[ProductID]],Products!A:A,Products!C:C)</f>
        <v>Sports</v>
      </c>
    </row>
    <row r="1926" spans="1:19" x14ac:dyDescent="0.2">
      <c r="A1926" s="4" t="s">
        <v>2115</v>
      </c>
      <c r="B1926" s="5">
        <v>45983</v>
      </c>
      <c r="C1926" s="15">
        <f>WEEKNUM(Orders[[#This Row],[OrderDate]])</f>
        <v>47</v>
      </c>
      <c r="D1926" s="4" t="s">
        <v>444</v>
      </c>
      <c r="E1926" s="4" t="s">
        <v>23</v>
      </c>
      <c r="F1926" s="4">
        <v>2</v>
      </c>
      <c r="G1926" s="4">
        <v>16981.199999999997</v>
      </c>
      <c r="H1926">
        <v>14434.019999999997</v>
      </c>
      <c r="I1926">
        <f>Orders[[#This Row],[Quantity]]*Orders[[#This Row],[Selling Price]]</f>
        <v>33962.399999999994</v>
      </c>
      <c r="J1926">
        <f>Orders[[#This Row],[Quantity]]*Orders[[#This Row],[Cost Price]]</f>
        <v>28868.039999999994</v>
      </c>
      <c r="K1926">
        <f>Orders[[#This Row],[Revenue]]-Orders[[#This Row],[Expenses]]</f>
        <v>5094.3600000000006</v>
      </c>
      <c r="L1926" t="s">
        <v>2206</v>
      </c>
      <c r="M1926" t="str">
        <f>_xlfn.XLOOKUP(Orders[[#This Row],[CustomerID]],Customers[CustomerID],Customers[City])</f>
        <v>Texas</v>
      </c>
      <c r="N1926" t="str">
        <f>_xlfn.XLOOKUP(Orders[[#This Row],[CustomerID]],Customers[CustomerID],Customers[CustomerName])</f>
        <v>Blessing Eze</v>
      </c>
      <c r="O1926" t="str">
        <f>_xlfn.XLOOKUP(Orders[[#This Row],[CustomerID]],Customers[CustomerID],Customers[Gender])</f>
        <v>Female</v>
      </c>
      <c r="P1926">
        <f>_xlfn.XLOOKUP(Orders[[#This Row],[CustomerID]],Customers[CustomerID],Customers[CustomerAge])</f>
        <v>24</v>
      </c>
      <c r="Q1926" t="str">
        <f>IF(Orders[[#This Row],[Age]]&gt;=35,"older","young")</f>
        <v>young</v>
      </c>
      <c r="R1926" t="str">
        <f>_xlfn.XLOOKUP(Orders[[#This Row],[ProductID]],Products[ProductID],Products[ProductName])</f>
        <v>GYM GLOVES</v>
      </c>
      <c r="S1926" t="str">
        <f>_xlfn.XLOOKUP(Orders[[#This Row],[ProductID]],Products!A:A,Products!C:C)</f>
        <v>Gym</v>
      </c>
    </row>
    <row r="1927" spans="1:19" x14ac:dyDescent="0.2">
      <c r="A1927" s="4" t="s">
        <v>2116</v>
      </c>
      <c r="B1927" s="5">
        <v>45967</v>
      </c>
      <c r="C1927" s="15">
        <f>WEEKNUM(Orders[[#This Row],[OrderDate]])</f>
        <v>45</v>
      </c>
      <c r="D1927" s="4" t="s">
        <v>122</v>
      </c>
      <c r="E1927" s="4" t="s">
        <v>28</v>
      </c>
      <c r="F1927" s="4">
        <v>4</v>
      </c>
      <c r="G1927" s="4">
        <v>9056.6999999999989</v>
      </c>
      <c r="H1927">
        <v>7698.1949999999988</v>
      </c>
      <c r="I1927">
        <f>Orders[[#This Row],[Quantity]]*Orders[[#This Row],[Selling Price]]</f>
        <v>36226.799999999996</v>
      </c>
      <c r="J1927">
        <f>Orders[[#This Row],[Quantity]]*Orders[[#This Row],[Cost Price]]</f>
        <v>30792.779999999995</v>
      </c>
      <c r="K1927">
        <f>Orders[[#This Row],[Revenue]]-Orders[[#This Row],[Expenses]]</f>
        <v>5434.02</v>
      </c>
      <c r="L1927" t="s">
        <v>2210</v>
      </c>
      <c r="M1927" t="str">
        <f>_xlfn.XLOOKUP(Orders[[#This Row],[CustomerID]],Customers[CustomerID],Customers[City])</f>
        <v>Texas</v>
      </c>
      <c r="N1927" t="str">
        <f>_xlfn.XLOOKUP(Orders[[#This Row],[CustomerID]],Customers[CustomerID],Customers[CustomerName])</f>
        <v>Ibrahim Eze</v>
      </c>
      <c r="O1927" t="str">
        <f>_xlfn.XLOOKUP(Orders[[#This Row],[CustomerID]],Customers[CustomerID],Customers[Gender])</f>
        <v>Male</v>
      </c>
      <c r="P1927">
        <f>_xlfn.XLOOKUP(Orders[[#This Row],[CustomerID]],Customers[CustomerID],Customers[CustomerAge])</f>
        <v>52</v>
      </c>
      <c r="Q1927" t="str">
        <f>IF(Orders[[#This Row],[Age]]&gt;=35,"older","young")</f>
        <v>older</v>
      </c>
      <c r="R1927" t="str">
        <f>_xlfn.XLOOKUP(Orders[[#This Row],[ProductID]],Products[ProductID],Products[ProductName])</f>
        <v>SNEAKERS</v>
      </c>
      <c r="S1927" t="str">
        <f>_xlfn.XLOOKUP(Orders[[#This Row],[ProductID]],Products!A:A,Products!C:C)</f>
        <v>Sports</v>
      </c>
    </row>
    <row r="1928" spans="1:19" x14ac:dyDescent="0.2">
      <c r="A1928" s="4" t="s">
        <v>2117</v>
      </c>
      <c r="B1928" s="5">
        <v>45984</v>
      </c>
      <c r="C1928" s="15">
        <f>WEEKNUM(Orders[[#This Row],[OrderDate]])</f>
        <v>48</v>
      </c>
      <c r="D1928" s="4" t="s">
        <v>59</v>
      </c>
      <c r="E1928" s="4" t="s">
        <v>127</v>
      </c>
      <c r="F1928" s="4">
        <v>3</v>
      </c>
      <c r="G1928" s="4">
        <v>4387.0999999999995</v>
      </c>
      <c r="H1928">
        <v>3729.0349999999994</v>
      </c>
      <c r="I1928">
        <f>Orders[[#This Row],[Quantity]]*Orders[[#This Row],[Selling Price]]</f>
        <v>13161.3</v>
      </c>
      <c r="J1928">
        <f>Orders[[#This Row],[Quantity]]*Orders[[#This Row],[Cost Price]]</f>
        <v>11187.104999999998</v>
      </c>
      <c r="K1928">
        <f>Orders[[#This Row],[Revenue]]-Orders[[#This Row],[Expenses]]</f>
        <v>1974.1950000000015</v>
      </c>
      <c r="L1928" t="s">
        <v>2218</v>
      </c>
      <c r="M1928" t="str">
        <f>_xlfn.XLOOKUP(Orders[[#This Row],[CustomerID]],Customers[CustomerID],Customers[City])</f>
        <v>Texas</v>
      </c>
      <c r="N1928" t="str">
        <f>_xlfn.XLOOKUP(Orders[[#This Row],[CustomerID]],Customers[CustomerID],Customers[CustomerName])</f>
        <v>Adanma Danladi</v>
      </c>
      <c r="O1928" t="str">
        <f>_xlfn.XLOOKUP(Orders[[#This Row],[CustomerID]],Customers[CustomerID],Customers[Gender])</f>
        <v>Female</v>
      </c>
      <c r="P1928">
        <f>_xlfn.XLOOKUP(Orders[[#This Row],[CustomerID]],Customers[CustomerID],Customers[CustomerAge])</f>
        <v>24</v>
      </c>
      <c r="Q1928" t="str">
        <f>IF(Orders[[#This Row],[Age]]&gt;=35,"older","young")</f>
        <v>young</v>
      </c>
      <c r="R1928" t="str">
        <f>_xlfn.XLOOKUP(Orders[[#This Row],[ProductID]],Products[ProductID],Products[ProductName])</f>
        <v>TOPS</v>
      </c>
      <c r="S1928" t="str">
        <f>_xlfn.XLOOKUP(Orders[[#This Row],[ProductID]],Products!A:A,Products!C:C)</f>
        <v>Clothing</v>
      </c>
    </row>
    <row r="1929" spans="1:19" x14ac:dyDescent="0.2">
      <c r="A1929" s="4" t="s">
        <v>2118</v>
      </c>
      <c r="B1929" s="5">
        <v>46011</v>
      </c>
      <c r="C1929" s="15">
        <f>WEEKNUM(Orders[[#This Row],[OrderDate]])</f>
        <v>51</v>
      </c>
      <c r="D1929" s="4" t="s">
        <v>48</v>
      </c>
      <c r="E1929" s="4" t="s">
        <v>70</v>
      </c>
      <c r="F1929" s="4">
        <v>3</v>
      </c>
      <c r="G1929" s="4">
        <v>11511.400000000001</v>
      </c>
      <c r="H1929">
        <v>9784.69</v>
      </c>
      <c r="I1929">
        <f>Orders[[#This Row],[Quantity]]*Orders[[#This Row],[Selling Price]]</f>
        <v>34534.200000000004</v>
      </c>
      <c r="J1929">
        <f>Orders[[#This Row],[Quantity]]*Orders[[#This Row],[Cost Price]]</f>
        <v>29354.07</v>
      </c>
      <c r="K1929">
        <f>Orders[[#This Row],[Revenue]]-Orders[[#This Row],[Expenses]]</f>
        <v>5180.1300000000047</v>
      </c>
      <c r="L1929" t="s">
        <v>2215</v>
      </c>
      <c r="M1929" t="str">
        <f>_xlfn.XLOOKUP(Orders[[#This Row],[CustomerID]],Customers[CustomerID],Customers[City])</f>
        <v>California</v>
      </c>
      <c r="N1929" t="str">
        <f>_xlfn.XLOOKUP(Orders[[#This Row],[CustomerID]],Customers[CustomerID],Customers[CustomerName])</f>
        <v>Mustafa Obi</v>
      </c>
      <c r="O1929" t="str">
        <f>_xlfn.XLOOKUP(Orders[[#This Row],[CustomerID]],Customers[CustomerID],Customers[Gender])</f>
        <v>Male</v>
      </c>
      <c r="P1929">
        <f>_xlfn.XLOOKUP(Orders[[#This Row],[CustomerID]],Customers[CustomerID],Customers[CustomerAge])</f>
        <v>23</v>
      </c>
      <c r="Q1929" t="str">
        <f>IF(Orders[[#This Row],[Age]]&gt;=35,"older","young")</f>
        <v>young</v>
      </c>
      <c r="R1929" t="str">
        <f>_xlfn.XLOOKUP(Orders[[#This Row],[ProductID]],Products[ProductID],Products[ProductName])</f>
        <v>YOGA MAT</v>
      </c>
      <c r="S1929" t="str">
        <f>_xlfn.XLOOKUP(Orders[[#This Row],[ProductID]],Products!A:A,Products!C:C)</f>
        <v>Gym</v>
      </c>
    </row>
    <row r="1930" spans="1:19" x14ac:dyDescent="0.2">
      <c r="A1930" s="4" t="s">
        <v>2119</v>
      </c>
      <c r="B1930" s="5">
        <v>45945</v>
      </c>
      <c r="C1930" s="15">
        <f>WEEKNUM(Orders[[#This Row],[OrderDate]])</f>
        <v>42</v>
      </c>
      <c r="D1930" s="4" t="s">
        <v>285</v>
      </c>
      <c r="E1930" s="4" t="s">
        <v>66</v>
      </c>
      <c r="F1930" s="4">
        <v>4</v>
      </c>
      <c r="G1930" s="4">
        <v>18375.2</v>
      </c>
      <c r="H1930">
        <v>15618.92</v>
      </c>
      <c r="I1930">
        <f>Orders[[#This Row],[Quantity]]*Orders[[#This Row],[Selling Price]]</f>
        <v>73500.800000000003</v>
      </c>
      <c r="J1930">
        <f>Orders[[#This Row],[Quantity]]*Orders[[#This Row],[Cost Price]]</f>
        <v>62475.68</v>
      </c>
      <c r="K1930">
        <f>Orders[[#This Row],[Revenue]]-Orders[[#This Row],[Expenses]]</f>
        <v>11025.120000000003</v>
      </c>
      <c r="L1930" t="s">
        <v>2213</v>
      </c>
      <c r="M1930" t="str">
        <f>_xlfn.XLOOKUP(Orders[[#This Row],[CustomerID]],Customers[CustomerID],Customers[City])</f>
        <v>California</v>
      </c>
      <c r="N1930" t="str">
        <f>_xlfn.XLOOKUP(Orders[[#This Row],[CustomerID]],Customers[CustomerID],Customers[CustomerName])</f>
        <v>Sani Balogun</v>
      </c>
      <c r="O1930" t="str">
        <f>_xlfn.XLOOKUP(Orders[[#This Row],[CustomerID]],Customers[CustomerID],Customers[Gender])</f>
        <v>Male</v>
      </c>
      <c r="P1930">
        <f>_xlfn.XLOOKUP(Orders[[#This Row],[CustomerID]],Customers[CustomerID],Customers[CustomerAge])</f>
        <v>27</v>
      </c>
      <c r="Q1930" t="str">
        <f>IF(Orders[[#This Row],[Age]]&gt;=35,"older","young")</f>
        <v>young</v>
      </c>
      <c r="R1930" t="str">
        <f>_xlfn.XLOOKUP(Orders[[#This Row],[ProductID]],Products[ProductID],Products[ProductName])</f>
        <v>MICROWAVE</v>
      </c>
      <c r="S1930" t="str">
        <f>_xlfn.XLOOKUP(Orders[[#This Row],[ProductID]],Products!A:A,Products!C:C)</f>
        <v>Electronics</v>
      </c>
    </row>
    <row r="1931" spans="1:19" x14ac:dyDescent="0.2">
      <c r="A1931" s="4" t="s">
        <v>2120</v>
      </c>
      <c r="B1931" s="5">
        <v>45972</v>
      </c>
      <c r="C1931" s="15">
        <f>WEEKNUM(Orders[[#This Row],[OrderDate]])</f>
        <v>46</v>
      </c>
      <c r="D1931" s="4" t="s">
        <v>83</v>
      </c>
      <c r="E1931" s="4" t="s">
        <v>76</v>
      </c>
      <c r="F1931" s="4">
        <v>4</v>
      </c>
      <c r="G1931" s="4">
        <v>4158.8999999999996</v>
      </c>
      <c r="H1931">
        <v>3535.0649999999996</v>
      </c>
      <c r="I1931">
        <f>Orders[[#This Row],[Quantity]]*Orders[[#This Row],[Selling Price]]</f>
        <v>16635.599999999999</v>
      </c>
      <c r="J1931">
        <f>Orders[[#This Row],[Quantity]]*Orders[[#This Row],[Cost Price]]</f>
        <v>14140.259999999998</v>
      </c>
      <c r="K1931">
        <f>Orders[[#This Row],[Revenue]]-Orders[[#This Row],[Expenses]]</f>
        <v>2495.34</v>
      </c>
      <c r="L1931" t="s">
        <v>2205</v>
      </c>
      <c r="M1931" t="str">
        <f>_xlfn.XLOOKUP(Orders[[#This Row],[CustomerID]],Customers[CustomerID],Customers[City])</f>
        <v>Florida</v>
      </c>
      <c r="N1931" t="str">
        <f>_xlfn.XLOOKUP(Orders[[#This Row],[CustomerID]],Customers[CustomerID],Customers[CustomerName])</f>
        <v>Funke Danladi</v>
      </c>
      <c r="O1931" t="str">
        <f>_xlfn.XLOOKUP(Orders[[#This Row],[CustomerID]],Customers[CustomerID],Customers[Gender])</f>
        <v>Female</v>
      </c>
      <c r="P1931">
        <f>_xlfn.XLOOKUP(Orders[[#This Row],[CustomerID]],Customers[CustomerID],Customers[CustomerAge])</f>
        <v>26</v>
      </c>
      <c r="Q1931" t="str">
        <f>IF(Orders[[#This Row],[Age]]&gt;=35,"older","young")</f>
        <v>young</v>
      </c>
      <c r="R1931" t="str">
        <f>_xlfn.XLOOKUP(Orders[[#This Row],[ProductID]],Products[ProductID],Products[ProductName])</f>
        <v>BLENDER</v>
      </c>
      <c r="S1931" t="str">
        <f>_xlfn.XLOOKUP(Orders[[#This Row],[ProductID]],Products!A:A,Products!C:C)</f>
        <v>Electronics</v>
      </c>
    </row>
    <row r="1932" spans="1:19" x14ac:dyDescent="0.2">
      <c r="A1932" s="4" t="s">
        <v>2121</v>
      </c>
      <c r="B1932" s="5">
        <v>45952</v>
      </c>
      <c r="C1932" s="15">
        <f>WEEKNUM(Orders[[#This Row],[OrderDate]])</f>
        <v>43</v>
      </c>
      <c r="D1932" s="4" t="s">
        <v>148</v>
      </c>
      <c r="E1932" s="4" t="s">
        <v>37</v>
      </c>
      <c r="F1932" s="4">
        <v>3</v>
      </c>
      <c r="G1932" s="4">
        <v>609.20000000000005</v>
      </c>
      <c r="H1932">
        <v>517.82000000000005</v>
      </c>
      <c r="I1932">
        <f>Orders[[#This Row],[Quantity]]*Orders[[#This Row],[Selling Price]]</f>
        <v>1827.6000000000001</v>
      </c>
      <c r="J1932">
        <f>Orders[[#This Row],[Quantity]]*Orders[[#This Row],[Cost Price]]</f>
        <v>1553.46</v>
      </c>
      <c r="K1932">
        <f>Orders[[#This Row],[Revenue]]-Orders[[#This Row],[Expenses]]</f>
        <v>274.1400000000001</v>
      </c>
      <c r="L1932" t="s">
        <v>2215</v>
      </c>
      <c r="M1932" t="str">
        <f>_xlfn.XLOOKUP(Orders[[#This Row],[CustomerID]],Customers[CustomerID],Customers[City])</f>
        <v>Florida</v>
      </c>
      <c r="N1932" t="str">
        <f>_xlfn.XLOOKUP(Orders[[#This Row],[CustomerID]],Customers[CustomerID],Customers[CustomerName])</f>
        <v>Zainab Abubakar</v>
      </c>
      <c r="O1932" t="str">
        <f>_xlfn.XLOOKUP(Orders[[#This Row],[CustomerID]],Customers[CustomerID],Customers[Gender])</f>
        <v>Female</v>
      </c>
      <c r="P1932">
        <f>_xlfn.XLOOKUP(Orders[[#This Row],[CustomerID]],Customers[CustomerID],Customers[CustomerAge])</f>
        <v>29</v>
      </c>
      <c r="Q1932" t="str">
        <f>IF(Orders[[#This Row],[Age]]&gt;=35,"older","young")</f>
        <v>young</v>
      </c>
      <c r="R1932" t="str">
        <f>_xlfn.XLOOKUP(Orders[[#This Row],[ProductID]],Products[ProductID],Products[ProductName])</f>
        <v>IRON</v>
      </c>
      <c r="S1932" t="str">
        <f>_xlfn.XLOOKUP(Orders[[#This Row],[ProductID]],Products!A:A,Products!C:C)</f>
        <v>Electronics</v>
      </c>
    </row>
    <row r="1933" spans="1:19" x14ac:dyDescent="0.2">
      <c r="A1933" s="4" t="s">
        <v>2122</v>
      </c>
      <c r="B1933" s="5">
        <v>45963</v>
      </c>
      <c r="C1933" s="15">
        <f>WEEKNUM(Orders[[#This Row],[OrderDate]])</f>
        <v>45</v>
      </c>
      <c r="D1933" s="4" t="s">
        <v>444</v>
      </c>
      <c r="E1933" s="4" t="s">
        <v>25</v>
      </c>
      <c r="F1933" s="4">
        <v>3</v>
      </c>
      <c r="G1933" s="4">
        <v>11973</v>
      </c>
      <c r="H1933">
        <v>10177.049999999999</v>
      </c>
      <c r="I1933">
        <f>Orders[[#This Row],[Quantity]]*Orders[[#This Row],[Selling Price]]</f>
        <v>35919</v>
      </c>
      <c r="J1933">
        <f>Orders[[#This Row],[Quantity]]*Orders[[#This Row],[Cost Price]]</f>
        <v>30531.149999999998</v>
      </c>
      <c r="K1933">
        <f>Orders[[#This Row],[Revenue]]-Orders[[#This Row],[Expenses]]</f>
        <v>5387.8500000000022</v>
      </c>
      <c r="L1933" t="s">
        <v>2194</v>
      </c>
      <c r="M1933" t="str">
        <f>_xlfn.XLOOKUP(Orders[[#This Row],[CustomerID]],Customers[CustomerID],Customers[City])</f>
        <v>Texas</v>
      </c>
      <c r="N1933" t="str">
        <f>_xlfn.XLOOKUP(Orders[[#This Row],[CustomerID]],Customers[CustomerID],Customers[CustomerName])</f>
        <v>Blessing Eze</v>
      </c>
      <c r="O1933" t="str">
        <f>_xlfn.XLOOKUP(Orders[[#This Row],[CustomerID]],Customers[CustomerID],Customers[Gender])</f>
        <v>Female</v>
      </c>
      <c r="P1933">
        <f>_xlfn.XLOOKUP(Orders[[#This Row],[CustomerID]],Customers[CustomerID],Customers[CustomerAge])</f>
        <v>24</v>
      </c>
      <c r="Q1933" t="str">
        <f>IF(Orders[[#This Row],[Age]]&gt;=35,"older","young")</f>
        <v>young</v>
      </c>
      <c r="R1933" t="str">
        <f>_xlfn.XLOOKUP(Orders[[#This Row],[ProductID]],Products[ProductID],Products[ProductName])</f>
        <v>GOLD RINGS</v>
      </c>
      <c r="S1933" t="str">
        <f>_xlfn.XLOOKUP(Orders[[#This Row],[ProductID]],Products!A:A,Products!C:C)</f>
        <v>Accessories</v>
      </c>
    </row>
    <row r="1934" spans="1:19" x14ac:dyDescent="0.2">
      <c r="A1934" s="4" t="s">
        <v>2123</v>
      </c>
      <c r="B1934" s="5">
        <v>45986</v>
      </c>
      <c r="C1934" s="15">
        <f>WEEKNUM(Orders[[#This Row],[OrderDate]])</f>
        <v>48</v>
      </c>
      <c r="D1934" s="4" t="s">
        <v>239</v>
      </c>
      <c r="E1934" s="4" t="s">
        <v>57</v>
      </c>
      <c r="F1934" s="4">
        <v>6</v>
      </c>
      <c r="G1934" s="4">
        <v>5237.8999999999996</v>
      </c>
      <c r="H1934">
        <v>4452.2150000000001</v>
      </c>
      <c r="I1934">
        <f>Orders[[#This Row],[Quantity]]*Orders[[#This Row],[Selling Price]]</f>
        <v>31427.399999999998</v>
      </c>
      <c r="J1934">
        <f>Orders[[#This Row],[Quantity]]*Orders[[#This Row],[Cost Price]]</f>
        <v>26713.29</v>
      </c>
      <c r="K1934">
        <f>Orders[[#This Row],[Revenue]]-Orders[[#This Row],[Expenses]]</f>
        <v>4714.1099999999969</v>
      </c>
      <c r="L1934" t="s">
        <v>2192</v>
      </c>
      <c r="M1934" t="str">
        <f>_xlfn.XLOOKUP(Orders[[#This Row],[CustomerID]],Customers[CustomerID],Customers[City])</f>
        <v>Florida</v>
      </c>
      <c r="N1934" t="str">
        <f>_xlfn.XLOOKUP(Orders[[#This Row],[CustomerID]],Customers[CustomerID],Customers[CustomerName])</f>
        <v>Emeka Danladi</v>
      </c>
      <c r="O1934" t="str">
        <f>_xlfn.XLOOKUP(Orders[[#This Row],[CustomerID]],Customers[CustomerID],Customers[Gender])</f>
        <v>Male</v>
      </c>
      <c r="P1934">
        <f>_xlfn.XLOOKUP(Orders[[#This Row],[CustomerID]],Customers[CustomerID],Customers[CustomerAge])</f>
        <v>23</v>
      </c>
      <c r="Q1934" t="str">
        <f>IF(Orders[[#This Row],[Age]]&gt;=35,"older","young")</f>
        <v>young</v>
      </c>
      <c r="R1934" t="str">
        <f>_xlfn.XLOOKUP(Orders[[#This Row],[ProductID]],Products[ProductID],Products[ProductName])</f>
        <v>BADMINTON RACKET</v>
      </c>
      <c r="S1934" t="str">
        <f>_xlfn.XLOOKUP(Orders[[#This Row],[ProductID]],Products!A:A,Products!C:C)</f>
        <v>Sports</v>
      </c>
    </row>
    <row r="1935" spans="1:19" x14ac:dyDescent="0.2">
      <c r="A1935" s="4" t="s">
        <v>2124</v>
      </c>
      <c r="B1935" s="5">
        <v>46001</v>
      </c>
      <c r="C1935" s="15">
        <f>WEEKNUM(Orders[[#This Row],[OrderDate]])</f>
        <v>50</v>
      </c>
      <c r="D1935" s="4" t="s">
        <v>68</v>
      </c>
      <c r="E1935" s="4" t="s">
        <v>63</v>
      </c>
      <c r="F1935" s="4">
        <v>3</v>
      </c>
      <c r="G1935" s="4">
        <v>16220.5</v>
      </c>
      <c r="H1935">
        <v>13787.424999999999</v>
      </c>
      <c r="I1935">
        <f>Orders[[#This Row],[Quantity]]*Orders[[#This Row],[Selling Price]]</f>
        <v>48661.5</v>
      </c>
      <c r="J1935">
        <f>Orders[[#This Row],[Quantity]]*Orders[[#This Row],[Cost Price]]</f>
        <v>41362.274999999994</v>
      </c>
      <c r="K1935">
        <f>Orders[[#This Row],[Revenue]]-Orders[[#This Row],[Expenses]]</f>
        <v>7299.2250000000058</v>
      </c>
      <c r="L1935" t="s">
        <v>2207</v>
      </c>
      <c r="M1935" t="str">
        <f>_xlfn.XLOOKUP(Orders[[#This Row],[CustomerID]],Customers[CustomerID],Customers[City])</f>
        <v>Texas</v>
      </c>
      <c r="N1935" t="str">
        <f>_xlfn.XLOOKUP(Orders[[#This Row],[CustomerID]],Customers[CustomerID],Customers[CustomerName])</f>
        <v>Abiola Balogun</v>
      </c>
      <c r="O1935" t="str">
        <f>_xlfn.XLOOKUP(Orders[[#This Row],[CustomerID]],Customers[CustomerID],Customers[Gender])</f>
        <v>Male</v>
      </c>
      <c r="P1935">
        <f>_xlfn.XLOOKUP(Orders[[#This Row],[CustomerID]],Customers[CustomerID],Customers[CustomerAge])</f>
        <v>29</v>
      </c>
      <c r="Q1935" t="str">
        <f>IF(Orders[[#This Row],[Age]]&gt;=35,"older","young")</f>
        <v>young</v>
      </c>
      <c r="R1935" t="str">
        <f>_xlfn.XLOOKUP(Orders[[#This Row],[ProductID]],Products[ProductID],Products[ProductName])</f>
        <v>TENNIS BAT</v>
      </c>
      <c r="S1935" t="str">
        <f>_xlfn.XLOOKUP(Orders[[#This Row],[ProductID]],Products!A:A,Products!C:C)</f>
        <v>Sports</v>
      </c>
    </row>
    <row r="1936" spans="1:19" x14ac:dyDescent="0.2">
      <c r="A1936" s="4" t="s">
        <v>2125</v>
      </c>
      <c r="B1936" s="5">
        <v>45996</v>
      </c>
      <c r="C1936" s="15">
        <f>WEEKNUM(Orders[[#This Row],[OrderDate]])</f>
        <v>49</v>
      </c>
      <c r="D1936" s="4" t="s">
        <v>416</v>
      </c>
      <c r="E1936" s="4" t="s">
        <v>28</v>
      </c>
      <c r="F1936" s="4">
        <v>2</v>
      </c>
      <c r="G1936" s="4">
        <v>18779.7</v>
      </c>
      <c r="H1936">
        <v>15962.745000000001</v>
      </c>
      <c r="I1936">
        <f>Orders[[#This Row],[Quantity]]*Orders[[#This Row],[Selling Price]]</f>
        <v>37559.4</v>
      </c>
      <c r="J1936">
        <f>Orders[[#This Row],[Quantity]]*Orders[[#This Row],[Cost Price]]</f>
        <v>31925.49</v>
      </c>
      <c r="K1936">
        <f>Orders[[#This Row],[Revenue]]-Orders[[#This Row],[Expenses]]</f>
        <v>5633.91</v>
      </c>
      <c r="L1936" t="s">
        <v>2217</v>
      </c>
      <c r="M1936" t="str">
        <f>_xlfn.XLOOKUP(Orders[[#This Row],[CustomerID]],Customers[CustomerID],Customers[City])</f>
        <v>Texas</v>
      </c>
      <c r="N1936" t="str">
        <f>_xlfn.XLOOKUP(Orders[[#This Row],[CustomerID]],Customers[CustomerID],Customers[CustomerName])</f>
        <v>Chinedu Igwe</v>
      </c>
      <c r="O1936" t="str">
        <f>_xlfn.XLOOKUP(Orders[[#This Row],[CustomerID]],Customers[CustomerID],Customers[Gender])</f>
        <v>Male</v>
      </c>
      <c r="P1936">
        <f>_xlfn.XLOOKUP(Orders[[#This Row],[CustomerID]],Customers[CustomerID],Customers[CustomerAge])</f>
        <v>26</v>
      </c>
      <c r="Q1936" t="str">
        <f>IF(Orders[[#This Row],[Age]]&gt;=35,"older","young")</f>
        <v>young</v>
      </c>
      <c r="R1936" t="str">
        <f>_xlfn.XLOOKUP(Orders[[#This Row],[ProductID]],Products[ProductID],Products[ProductName])</f>
        <v>SNEAKERS</v>
      </c>
      <c r="S1936" t="str">
        <f>_xlfn.XLOOKUP(Orders[[#This Row],[ProductID]],Products!A:A,Products!C:C)</f>
        <v>Sports</v>
      </c>
    </row>
    <row r="1937" spans="1:19" x14ac:dyDescent="0.2">
      <c r="A1937" s="4" t="s">
        <v>2126</v>
      </c>
      <c r="B1937" s="5">
        <v>46004</v>
      </c>
      <c r="C1937" s="15">
        <f>WEEKNUM(Orders[[#This Row],[OrderDate]])</f>
        <v>50</v>
      </c>
      <c r="D1937" s="4" t="s">
        <v>124</v>
      </c>
      <c r="E1937" s="4" t="s">
        <v>127</v>
      </c>
      <c r="F1937" s="4">
        <v>4</v>
      </c>
      <c r="G1937" s="4">
        <v>18363.2</v>
      </c>
      <c r="H1937">
        <v>15608.720000000001</v>
      </c>
      <c r="I1937">
        <f>Orders[[#This Row],[Quantity]]*Orders[[#This Row],[Selling Price]]</f>
        <v>73452.800000000003</v>
      </c>
      <c r="J1937">
        <f>Orders[[#This Row],[Quantity]]*Orders[[#This Row],[Cost Price]]</f>
        <v>62434.880000000005</v>
      </c>
      <c r="K1937">
        <f>Orders[[#This Row],[Revenue]]-Orders[[#This Row],[Expenses]]</f>
        <v>11017.919999999998</v>
      </c>
      <c r="L1937" t="s">
        <v>2203</v>
      </c>
      <c r="M1937" t="str">
        <f>_xlfn.XLOOKUP(Orders[[#This Row],[CustomerID]],Customers[CustomerID],Customers[City])</f>
        <v>Texas</v>
      </c>
      <c r="N1937" t="str">
        <f>_xlfn.XLOOKUP(Orders[[#This Row],[CustomerID]],Customers[CustomerID],Customers[CustomerName])</f>
        <v>Ngozi Ojo</v>
      </c>
      <c r="O1937" t="str">
        <f>_xlfn.XLOOKUP(Orders[[#This Row],[CustomerID]],Customers[CustomerID],Customers[Gender])</f>
        <v>Female</v>
      </c>
      <c r="P1937">
        <f>_xlfn.XLOOKUP(Orders[[#This Row],[CustomerID]],Customers[CustomerID],Customers[CustomerAge])</f>
        <v>22</v>
      </c>
      <c r="Q1937" t="str">
        <f>IF(Orders[[#This Row],[Age]]&gt;=35,"older","young")</f>
        <v>young</v>
      </c>
      <c r="R1937" t="str">
        <f>_xlfn.XLOOKUP(Orders[[#This Row],[ProductID]],Products[ProductID],Products[ProductName])</f>
        <v>TOPS</v>
      </c>
      <c r="S1937" t="str">
        <f>_xlfn.XLOOKUP(Orders[[#This Row],[ProductID]],Products!A:A,Products!C:C)</f>
        <v>Clothing</v>
      </c>
    </row>
    <row r="1938" spans="1:19" x14ac:dyDescent="0.2">
      <c r="A1938" s="4" t="s">
        <v>2127</v>
      </c>
      <c r="B1938" s="5">
        <v>45940</v>
      </c>
      <c r="C1938" s="15">
        <f>WEEKNUM(Orders[[#This Row],[OrderDate]])</f>
        <v>41</v>
      </c>
      <c r="D1938" s="4" t="s">
        <v>17</v>
      </c>
      <c r="E1938" s="4" t="s">
        <v>28</v>
      </c>
      <c r="F1938" s="4">
        <v>1</v>
      </c>
      <c r="G1938" s="4">
        <v>17177.900000000001</v>
      </c>
      <c r="H1938">
        <v>14601.215000000002</v>
      </c>
      <c r="I1938">
        <f>Orders[[#This Row],[Quantity]]*Orders[[#This Row],[Selling Price]]</f>
        <v>17177.900000000001</v>
      </c>
      <c r="J1938">
        <f>Orders[[#This Row],[Quantity]]*Orders[[#This Row],[Cost Price]]</f>
        <v>14601.215000000002</v>
      </c>
      <c r="K1938">
        <f>Orders[[#This Row],[Revenue]]-Orders[[#This Row],[Expenses]]</f>
        <v>2576.6849999999995</v>
      </c>
      <c r="L1938" t="s">
        <v>2195</v>
      </c>
      <c r="M1938" t="str">
        <f>_xlfn.XLOOKUP(Orders[[#This Row],[CustomerID]],Customers[CustomerID],Customers[City])</f>
        <v>Illinois</v>
      </c>
      <c r="N1938" t="str">
        <f>_xlfn.XLOOKUP(Orders[[#This Row],[CustomerID]],Customers[CustomerID],Customers[CustomerName])</f>
        <v>Bisi Adeyemi</v>
      </c>
      <c r="O1938" t="str">
        <f>_xlfn.XLOOKUP(Orders[[#This Row],[CustomerID]],Customers[CustomerID],Customers[Gender])</f>
        <v>Female</v>
      </c>
      <c r="P1938">
        <f>_xlfn.XLOOKUP(Orders[[#This Row],[CustomerID]],Customers[CustomerID],Customers[CustomerAge])</f>
        <v>48</v>
      </c>
      <c r="Q1938" t="str">
        <f>IF(Orders[[#This Row],[Age]]&gt;=35,"older","young")</f>
        <v>older</v>
      </c>
      <c r="R1938" t="str">
        <f>_xlfn.XLOOKUP(Orders[[#This Row],[ProductID]],Products[ProductID],Products[ProductName])</f>
        <v>SNEAKERS</v>
      </c>
      <c r="S1938" t="str">
        <f>_xlfn.XLOOKUP(Orders[[#This Row],[ProductID]],Products!A:A,Products!C:C)</f>
        <v>Sports</v>
      </c>
    </row>
    <row r="1939" spans="1:19" x14ac:dyDescent="0.2">
      <c r="A1939" s="4" t="s">
        <v>2128</v>
      </c>
      <c r="B1939" s="5">
        <v>45966</v>
      </c>
      <c r="C1939" s="15">
        <f>WEEKNUM(Orders[[#This Row],[OrderDate]])</f>
        <v>45</v>
      </c>
      <c r="D1939" s="4" t="s">
        <v>757</v>
      </c>
      <c r="E1939" s="4" t="s">
        <v>15</v>
      </c>
      <c r="F1939" s="4">
        <v>2</v>
      </c>
      <c r="G1939" s="4">
        <v>626</v>
      </c>
      <c r="H1939">
        <v>532.1</v>
      </c>
      <c r="I1939">
        <f>Orders[[#This Row],[Quantity]]*Orders[[#This Row],[Selling Price]]</f>
        <v>1252</v>
      </c>
      <c r="J1939">
        <f>Orders[[#This Row],[Quantity]]*Orders[[#This Row],[Cost Price]]</f>
        <v>1064.2</v>
      </c>
      <c r="K1939">
        <f>Orders[[#This Row],[Revenue]]-Orders[[#This Row],[Expenses]]</f>
        <v>187.79999999999995</v>
      </c>
      <c r="L1939" t="s">
        <v>2201</v>
      </c>
      <c r="M1939" t="str">
        <f>_xlfn.XLOOKUP(Orders[[#This Row],[CustomerID]],Customers[CustomerID],Customers[City])</f>
        <v>Texas</v>
      </c>
      <c r="N1939" t="str">
        <f>_xlfn.XLOOKUP(Orders[[#This Row],[CustomerID]],Customers[CustomerID],Customers[CustomerName])</f>
        <v>Okon Balogun</v>
      </c>
      <c r="O1939" t="str">
        <f>_xlfn.XLOOKUP(Orders[[#This Row],[CustomerID]],Customers[CustomerID],Customers[Gender])</f>
        <v>Male</v>
      </c>
      <c r="P1939">
        <f>_xlfn.XLOOKUP(Orders[[#This Row],[CustomerID]],Customers[CustomerID],Customers[CustomerAge])</f>
        <v>20</v>
      </c>
      <c r="Q1939" t="str">
        <f>IF(Orders[[#This Row],[Age]]&gt;=35,"older","young")</f>
        <v>young</v>
      </c>
      <c r="R1939" t="str">
        <f>_xlfn.XLOOKUP(Orders[[#This Row],[ProductID]],Products[ProductID],Products[ProductName])</f>
        <v>MONOPOLY</v>
      </c>
      <c r="S1939" t="str">
        <f>_xlfn.XLOOKUP(Orders[[#This Row],[ProductID]],Products!A:A,Products!C:C)</f>
        <v>Games</v>
      </c>
    </row>
    <row r="1940" spans="1:19" x14ac:dyDescent="0.2">
      <c r="A1940" s="4" t="s">
        <v>2129</v>
      </c>
      <c r="B1940" s="5">
        <v>45968</v>
      </c>
      <c r="C1940" s="15">
        <f>WEEKNUM(Orders[[#This Row],[OrderDate]])</f>
        <v>45</v>
      </c>
      <c r="D1940" s="4" t="s">
        <v>52</v>
      </c>
      <c r="E1940" s="4" t="s">
        <v>31</v>
      </c>
      <c r="F1940" s="4">
        <v>7</v>
      </c>
      <c r="G1940" s="4">
        <v>13192.7</v>
      </c>
      <c r="H1940">
        <v>11213.795</v>
      </c>
      <c r="I1940">
        <f>Orders[[#This Row],[Quantity]]*Orders[[#This Row],[Selling Price]]</f>
        <v>92348.900000000009</v>
      </c>
      <c r="J1940">
        <f>Orders[[#This Row],[Quantity]]*Orders[[#This Row],[Cost Price]]</f>
        <v>78496.565000000002</v>
      </c>
      <c r="K1940">
        <f>Orders[[#This Row],[Revenue]]-Orders[[#This Row],[Expenses]]</f>
        <v>13852.335000000006</v>
      </c>
      <c r="L1940" t="s">
        <v>2196</v>
      </c>
      <c r="M1940" t="str">
        <f>_xlfn.XLOOKUP(Orders[[#This Row],[CustomerID]],Customers[CustomerID],Customers[City])</f>
        <v>Texas</v>
      </c>
      <c r="N1940" t="str">
        <f>_xlfn.XLOOKUP(Orders[[#This Row],[CustomerID]],Customers[CustomerID],Customers[CustomerName])</f>
        <v>Folasade Ojo</v>
      </c>
      <c r="O1940" t="str">
        <f>_xlfn.XLOOKUP(Orders[[#This Row],[CustomerID]],Customers[CustomerID],Customers[Gender])</f>
        <v>Female</v>
      </c>
      <c r="P1940">
        <f>_xlfn.XLOOKUP(Orders[[#This Row],[CustomerID]],Customers[CustomerID],Customers[CustomerAge])</f>
        <v>29</v>
      </c>
      <c r="Q1940" t="str">
        <f>IF(Orders[[#This Row],[Age]]&gt;=35,"older","young")</f>
        <v>young</v>
      </c>
      <c r="R1940" t="str">
        <f>_xlfn.XLOOKUP(Orders[[#This Row],[ProductID]],Products[ProductID],Products[ProductName])</f>
        <v>KIDS GAMES</v>
      </c>
      <c r="S1940" t="str">
        <f>_xlfn.XLOOKUP(Orders[[#This Row],[ProductID]],Products!A:A,Products!C:C)</f>
        <v>Games</v>
      </c>
    </row>
    <row r="1941" spans="1:19" x14ac:dyDescent="0.2">
      <c r="A1941" s="4" t="s">
        <v>2130</v>
      </c>
      <c r="B1941" s="5">
        <v>46000</v>
      </c>
      <c r="C1941" s="15">
        <f>WEEKNUM(Orders[[#This Row],[OrderDate]])</f>
        <v>50</v>
      </c>
      <c r="D1941" s="4" t="s">
        <v>234</v>
      </c>
      <c r="E1941" s="4" t="s">
        <v>31</v>
      </c>
      <c r="F1941" s="4">
        <v>9</v>
      </c>
      <c r="G1941" s="4">
        <v>16731.600000000002</v>
      </c>
      <c r="H1941">
        <v>14221.860000000002</v>
      </c>
      <c r="I1941">
        <f>Orders[[#This Row],[Quantity]]*Orders[[#This Row],[Selling Price]]</f>
        <v>150584.40000000002</v>
      </c>
      <c r="J1941">
        <f>Orders[[#This Row],[Quantity]]*Orders[[#This Row],[Cost Price]]</f>
        <v>127996.74000000002</v>
      </c>
      <c r="K1941">
        <f>Orders[[#This Row],[Revenue]]-Orders[[#This Row],[Expenses]]</f>
        <v>22587.660000000003</v>
      </c>
      <c r="L1941" t="s">
        <v>2215</v>
      </c>
      <c r="M1941" t="str">
        <f>_xlfn.XLOOKUP(Orders[[#This Row],[CustomerID]],Customers[CustomerID],Customers[City])</f>
        <v>Texas</v>
      </c>
      <c r="N1941" t="str">
        <f>_xlfn.XLOOKUP(Orders[[#This Row],[CustomerID]],Customers[CustomerID],Customers[CustomerName])</f>
        <v>Adanma Ojo</v>
      </c>
      <c r="O1941" t="str">
        <f>_xlfn.XLOOKUP(Orders[[#This Row],[CustomerID]],Customers[CustomerID],Customers[Gender])</f>
        <v>Female</v>
      </c>
      <c r="P1941">
        <f>_xlfn.XLOOKUP(Orders[[#This Row],[CustomerID]],Customers[CustomerID],Customers[CustomerAge])</f>
        <v>18</v>
      </c>
      <c r="Q1941" t="str">
        <f>IF(Orders[[#This Row],[Age]]&gt;=35,"older","young")</f>
        <v>young</v>
      </c>
      <c r="R1941" t="str">
        <f>_xlfn.XLOOKUP(Orders[[#This Row],[ProductID]],Products[ProductID],Products[ProductName])</f>
        <v>KIDS GAMES</v>
      </c>
      <c r="S1941" t="str">
        <f>_xlfn.XLOOKUP(Orders[[#This Row],[ProductID]],Products!A:A,Products!C:C)</f>
        <v>Games</v>
      </c>
    </row>
    <row r="1942" spans="1:19" x14ac:dyDescent="0.2">
      <c r="A1942" s="4" t="s">
        <v>2131</v>
      </c>
      <c r="B1942" s="5">
        <v>45976</v>
      </c>
      <c r="C1942" s="15">
        <f>WEEKNUM(Orders[[#This Row],[OrderDate]])</f>
        <v>46</v>
      </c>
      <c r="D1942" s="4" t="s">
        <v>444</v>
      </c>
      <c r="E1942" s="4" t="s">
        <v>31</v>
      </c>
      <c r="F1942" s="4">
        <v>7</v>
      </c>
      <c r="G1942" s="4">
        <v>14292.2</v>
      </c>
      <c r="H1942">
        <v>12148.37</v>
      </c>
      <c r="I1942">
        <f>Orders[[#This Row],[Quantity]]*Orders[[#This Row],[Selling Price]]</f>
        <v>100045.40000000001</v>
      </c>
      <c r="J1942">
        <f>Orders[[#This Row],[Quantity]]*Orders[[#This Row],[Cost Price]]</f>
        <v>85038.590000000011</v>
      </c>
      <c r="K1942">
        <f>Orders[[#This Row],[Revenue]]-Orders[[#This Row],[Expenses]]</f>
        <v>15006.809999999998</v>
      </c>
      <c r="L1942" t="s">
        <v>2199</v>
      </c>
      <c r="M1942" t="str">
        <f>_xlfn.XLOOKUP(Orders[[#This Row],[CustomerID]],Customers[CustomerID],Customers[City])</f>
        <v>Texas</v>
      </c>
      <c r="N1942" t="str">
        <f>_xlfn.XLOOKUP(Orders[[#This Row],[CustomerID]],Customers[CustomerID],Customers[CustomerName])</f>
        <v>Blessing Eze</v>
      </c>
      <c r="O1942" t="str">
        <f>_xlfn.XLOOKUP(Orders[[#This Row],[CustomerID]],Customers[CustomerID],Customers[Gender])</f>
        <v>Female</v>
      </c>
      <c r="P1942">
        <f>_xlfn.XLOOKUP(Orders[[#This Row],[CustomerID]],Customers[CustomerID],Customers[CustomerAge])</f>
        <v>24</v>
      </c>
      <c r="Q1942" t="str">
        <f>IF(Orders[[#This Row],[Age]]&gt;=35,"older","young")</f>
        <v>young</v>
      </c>
      <c r="R1942" t="str">
        <f>_xlfn.XLOOKUP(Orders[[#This Row],[ProductID]],Products[ProductID],Products[ProductName])</f>
        <v>KIDS GAMES</v>
      </c>
      <c r="S1942" t="str">
        <f>_xlfn.XLOOKUP(Orders[[#This Row],[ProductID]],Products!A:A,Products!C:C)</f>
        <v>Games</v>
      </c>
    </row>
    <row r="1943" spans="1:19" x14ac:dyDescent="0.2">
      <c r="A1943" s="4" t="s">
        <v>2132</v>
      </c>
      <c r="B1943" s="5">
        <v>45963</v>
      </c>
      <c r="C1943" s="15">
        <f>WEEKNUM(Orders[[#This Row],[OrderDate]])</f>
        <v>45</v>
      </c>
      <c r="D1943" s="4" t="s">
        <v>87</v>
      </c>
      <c r="E1943" s="4" t="s">
        <v>57</v>
      </c>
      <c r="F1943" s="4">
        <v>3</v>
      </c>
      <c r="G1943" s="4">
        <v>5959.2</v>
      </c>
      <c r="H1943">
        <v>5065.32</v>
      </c>
      <c r="I1943">
        <f>Orders[[#This Row],[Quantity]]*Orders[[#This Row],[Selling Price]]</f>
        <v>17877.599999999999</v>
      </c>
      <c r="J1943">
        <f>Orders[[#This Row],[Quantity]]*Orders[[#This Row],[Cost Price]]</f>
        <v>15195.96</v>
      </c>
      <c r="K1943">
        <f>Orders[[#This Row],[Revenue]]-Orders[[#This Row],[Expenses]]</f>
        <v>2681.6399999999994</v>
      </c>
      <c r="L1943" t="s">
        <v>2202</v>
      </c>
      <c r="M1943" t="str">
        <f>_xlfn.XLOOKUP(Orders[[#This Row],[CustomerID]],Customers[CustomerID],Customers[City])</f>
        <v>Illinois</v>
      </c>
      <c r="N1943" t="str">
        <f>_xlfn.XLOOKUP(Orders[[#This Row],[CustomerID]],Customers[CustomerID],Customers[CustomerName])</f>
        <v>Efe Igwe</v>
      </c>
      <c r="O1943" t="str">
        <f>_xlfn.XLOOKUP(Orders[[#This Row],[CustomerID]],Customers[CustomerID],Customers[Gender])</f>
        <v>Female</v>
      </c>
      <c r="P1943">
        <f>_xlfn.XLOOKUP(Orders[[#This Row],[CustomerID]],Customers[CustomerID],Customers[CustomerAge])</f>
        <v>34</v>
      </c>
      <c r="Q1943" t="str">
        <f>IF(Orders[[#This Row],[Age]]&gt;=35,"older","young")</f>
        <v>young</v>
      </c>
      <c r="R1943" t="str">
        <f>_xlfn.XLOOKUP(Orders[[#This Row],[ProductID]],Products[ProductID],Products[ProductName])</f>
        <v>BADMINTON RACKET</v>
      </c>
      <c r="S1943" t="str">
        <f>_xlfn.XLOOKUP(Orders[[#This Row],[ProductID]],Products!A:A,Products!C:C)</f>
        <v>Sports</v>
      </c>
    </row>
    <row r="1944" spans="1:19" x14ac:dyDescent="0.2">
      <c r="A1944" s="4" t="s">
        <v>2133</v>
      </c>
      <c r="B1944" s="5">
        <v>46011</v>
      </c>
      <c r="C1944" s="15">
        <f>WEEKNUM(Orders[[#This Row],[OrderDate]])</f>
        <v>51</v>
      </c>
      <c r="D1944" s="4" t="s">
        <v>178</v>
      </c>
      <c r="E1944" s="4" t="s">
        <v>70</v>
      </c>
      <c r="F1944" s="4">
        <v>7</v>
      </c>
      <c r="G1944" s="4">
        <v>7879.9</v>
      </c>
      <c r="H1944">
        <v>6697.915</v>
      </c>
      <c r="I1944">
        <f>Orders[[#This Row],[Quantity]]*Orders[[#This Row],[Selling Price]]</f>
        <v>55159.299999999996</v>
      </c>
      <c r="J1944">
        <f>Orders[[#This Row],[Quantity]]*Orders[[#This Row],[Cost Price]]</f>
        <v>46885.404999999999</v>
      </c>
      <c r="K1944">
        <f>Orders[[#This Row],[Revenue]]-Orders[[#This Row],[Expenses]]</f>
        <v>8273.8949999999968</v>
      </c>
      <c r="L1944" t="s">
        <v>2211</v>
      </c>
      <c r="M1944" t="str">
        <f>_xlfn.XLOOKUP(Orders[[#This Row],[CustomerID]],Customers[CustomerID],Customers[City])</f>
        <v>Florida</v>
      </c>
      <c r="N1944" t="str">
        <f>_xlfn.XLOOKUP(Orders[[#This Row],[CustomerID]],Customers[CustomerID],Customers[CustomerName])</f>
        <v>Ibrahim Igwe</v>
      </c>
      <c r="O1944" t="str">
        <f>_xlfn.XLOOKUP(Orders[[#This Row],[CustomerID]],Customers[CustomerID],Customers[Gender])</f>
        <v>Male</v>
      </c>
      <c r="P1944">
        <f>_xlfn.XLOOKUP(Orders[[#This Row],[CustomerID]],Customers[CustomerID],Customers[CustomerAge])</f>
        <v>19</v>
      </c>
      <c r="Q1944" t="str">
        <f>IF(Orders[[#This Row],[Age]]&gt;=35,"older","young")</f>
        <v>young</v>
      </c>
      <c r="R1944" t="str">
        <f>_xlfn.XLOOKUP(Orders[[#This Row],[ProductID]],Products[ProductID],Products[ProductName])</f>
        <v>YOGA MAT</v>
      </c>
      <c r="S1944" t="str">
        <f>_xlfn.XLOOKUP(Orders[[#This Row],[ProductID]],Products!A:A,Products!C:C)</f>
        <v>Gym</v>
      </c>
    </row>
    <row r="1945" spans="1:19" x14ac:dyDescent="0.2">
      <c r="A1945" s="4" t="s">
        <v>2134</v>
      </c>
      <c r="B1945" s="5">
        <v>45958</v>
      </c>
      <c r="C1945" s="15">
        <f>WEEKNUM(Orders[[#This Row],[OrderDate]])</f>
        <v>44</v>
      </c>
      <c r="D1945" s="4" t="s">
        <v>410</v>
      </c>
      <c r="E1945" s="4" t="s">
        <v>15</v>
      </c>
      <c r="F1945" s="4">
        <v>10</v>
      </c>
      <c r="G1945" s="4">
        <v>11288.099999999999</v>
      </c>
      <c r="H1945">
        <v>9594.8849999999984</v>
      </c>
      <c r="I1945">
        <f>Orders[[#This Row],[Quantity]]*Orders[[#This Row],[Selling Price]]</f>
        <v>112880.99999999999</v>
      </c>
      <c r="J1945">
        <f>Orders[[#This Row],[Quantity]]*Orders[[#This Row],[Cost Price]]</f>
        <v>95948.849999999977</v>
      </c>
      <c r="K1945">
        <f>Orders[[#This Row],[Revenue]]-Orders[[#This Row],[Expenses]]</f>
        <v>16932.150000000009</v>
      </c>
      <c r="L1945" t="s">
        <v>2198</v>
      </c>
      <c r="M1945" t="str">
        <f>_xlfn.XLOOKUP(Orders[[#This Row],[CustomerID]],Customers[CustomerID],Customers[City])</f>
        <v>Texas</v>
      </c>
      <c r="N1945" t="str">
        <f>_xlfn.XLOOKUP(Orders[[#This Row],[CustomerID]],Customers[CustomerID],Customers[CustomerName])</f>
        <v>Jane Thomas</v>
      </c>
      <c r="O1945" t="str">
        <f>_xlfn.XLOOKUP(Orders[[#This Row],[CustomerID]],Customers[CustomerID],Customers[Gender])</f>
        <v>Male</v>
      </c>
      <c r="P1945">
        <f>_xlfn.XLOOKUP(Orders[[#This Row],[CustomerID]],Customers[CustomerID],Customers[CustomerAge])</f>
        <v>21</v>
      </c>
      <c r="Q1945" t="str">
        <f>IF(Orders[[#This Row],[Age]]&gt;=35,"older","young")</f>
        <v>young</v>
      </c>
      <c r="R1945" t="str">
        <f>_xlfn.XLOOKUP(Orders[[#This Row],[ProductID]],Products[ProductID],Products[ProductName])</f>
        <v>MONOPOLY</v>
      </c>
      <c r="S1945" t="str">
        <f>_xlfn.XLOOKUP(Orders[[#This Row],[ProductID]],Products!A:A,Products!C:C)</f>
        <v>Games</v>
      </c>
    </row>
    <row r="1946" spans="1:19" x14ac:dyDescent="0.2">
      <c r="A1946" s="4" t="s">
        <v>2135</v>
      </c>
      <c r="B1946" s="5">
        <v>45937</v>
      </c>
      <c r="C1946" s="15">
        <f>WEEKNUM(Orders[[#This Row],[OrderDate]])</f>
        <v>41</v>
      </c>
      <c r="D1946" s="4" t="s">
        <v>343</v>
      </c>
      <c r="E1946" s="4" t="s">
        <v>12</v>
      </c>
      <c r="F1946" s="4">
        <v>6</v>
      </c>
      <c r="G1946" s="4">
        <v>15374</v>
      </c>
      <c r="H1946">
        <v>13067.9</v>
      </c>
      <c r="I1946">
        <f>Orders[[#This Row],[Quantity]]*Orders[[#This Row],[Selling Price]]</f>
        <v>92244</v>
      </c>
      <c r="J1946">
        <f>Orders[[#This Row],[Quantity]]*Orders[[#This Row],[Cost Price]]</f>
        <v>78407.399999999994</v>
      </c>
      <c r="K1946">
        <f>Orders[[#This Row],[Revenue]]-Orders[[#This Row],[Expenses]]</f>
        <v>13836.600000000006</v>
      </c>
      <c r="L1946" t="s">
        <v>2196</v>
      </c>
      <c r="M1946" t="str">
        <f>_xlfn.XLOOKUP(Orders[[#This Row],[CustomerID]],Customers[CustomerID],Customers[City])</f>
        <v>Washington</v>
      </c>
      <c r="N1946" t="str">
        <f>_xlfn.XLOOKUP(Orders[[#This Row],[CustomerID]],Customers[CustomerID],Customers[CustomerName])</f>
        <v>Ronke Obi</v>
      </c>
      <c r="O1946" t="str">
        <f>_xlfn.XLOOKUP(Orders[[#This Row],[CustomerID]],Customers[CustomerID],Customers[Gender])</f>
        <v>Female</v>
      </c>
      <c r="P1946">
        <f>_xlfn.XLOOKUP(Orders[[#This Row],[CustomerID]],Customers[CustomerID],Customers[CustomerAge])</f>
        <v>31</v>
      </c>
      <c r="Q1946" t="str">
        <f>IF(Orders[[#This Row],[Age]]&gt;=35,"older","young")</f>
        <v>young</v>
      </c>
      <c r="R1946" t="str">
        <f>_xlfn.XLOOKUP(Orders[[#This Row],[ProductID]],Products[ProductID],Products[ProductName])</f>
        <v>BOUBOU</v>
      </c>
      <c r="S1946" t="str">
        <f>_xlfn.XLOOKUP(Orders[[#This Row],[ProductID]],Products!A:A,Products!C:C)</f>
        <v>Clothing</v>
      </c>
    </row>
    <row r="1947" spans="1:19" x14ac:dyDescent="0.2">
      <c r="A1947" s="4" t="s">
        <v>2136</v>
      </c>
      <c r="B1947" s="5">
        <v>45941</v>
      </c>
      <c r="C1947" s="15">
        <f>WEEKNUM(Orders[[#This Row],[OrderDate]])</f>
        <v>41</v>
      </c>
      <c r="D1947" s="4" t="s">
        <v>457</v>
      </c>
      <c r="E1947" s="4" t="s">
        <v>25</v>
      </c>
      <c r="F1947" s="4">
        <v>2</v>
      </c>
      <c r="G1947" s="4">
        <v>18031.600000000002</v>
      </c>
      <c r="H1947">
        <v>15326.860000000002</v>
      </c>
      <c r="I1947">
        <f>Orders[[#This Row],[Quantity]]*Orders[[#This Row],[Selling Price]]</f>
        <v>36063.200000000004</v>
      </c>
      <c r="J1947">
        <f>Orders[[#This Row],[Quantity]]*Orders[[#This Row],[Cost Price]]</f>
        <v>30653.720000000005</v>
      </c>
      <c r="K1947">
        <f>Orders[[#This Row],[Revenue]]-Orders[[#This Row],[Expenses]]</f>
        <v>5409.48</v>
      </c>
      <c r="L1947" t="s">
        <v>2207</v>
      </c>
      <c r="M1947" t="str">
        <f>_xlfn.XLOOKUP(Orders[[#This Row],[CustomerID]],Customers[CustomerID],Customers[City])</f>
        <v>Illinois</v>
      </c>
      <c r="N1947" t="str">
        <f>_xlfn.XLOOKUP(Orders[[#This Row],[CustomerID]],Customers[CustomerID],Customers[CustomerName])</f>
        <v>Tunde Okonkwo</v>
      </c>
      <c r="O1947" t="str">
        <f>_xlfn.XLOOKUP(Orders[[#This Row],[CustomerID]],Customers[CustomerID],Customers[Gender])</f>
        <v>Male</v>
      </c>
      <c r="P1947">
        <f>_xlfn.XLOOKUP(Orders[[#This Row],[CustomerID]],Customers[CustomerID],Customers[CustomerAge])</f>
        <v>23</v>
      </c>
      <c r="Q1947" t="str">
        <f>IF(Orders[[#This Row],[Age]]&gt;=35,"older","young")</f>
        <v>young</v>
      </c>
      <c r="R1947" t="str">
        <f>_xlfn.XLOOKUP(Orders[[#This Row],[ProductID]],Products[ProductID],Products[ProductName])</f>
        <v>GOLD RINGS</v>
      </c>
      <c r="S1947" t="str">
        <f>_xlfn.XLOOKUP(Orders[[#This Row],[ProductID]],Products!A:A,Products!C:C)</f>
        <v>Accessories</v>
      </c>
    </row>
    <row r="1948" spans="1:19" x14ac:dyDescent="0.2">
      <c r="A1948" s="4" t="s">
        <v>2137</v>
      </c>
      <c r="B1948" s="5">
        <v>46009</v>
      </c>
      <c r="C1948" s="15">
        <f>WEEKNUM(Orders[[#This Row],[OrderDate]])</f>
        <v>51</v>
      </c>
      <c r="D1948" s="4" t="s">
        <v>134</v>
      </c>
      <c r="E1948" s="4" t="s">
        <v>70</v>
      </c>
      <c r="F1948" s="4">
        <v>10</v>
      </c>
      <c r="G1948" s="4">
        <v>15720.8</v>
      </c>
      <c r="H1948">
        <v>13362.68</v>
      </c>
      <c r="I1948">
        <f>Orders[[#This Row],[Quantity]]*Orders[[#This Row],[Selling Price]]</f>
        <v>157208</v>
      </c>
      <c r="J1948">
        <f>Orders[[#This Row],[Quantity]]*Orders[[#This Row],[Cost Price]]</f>
        <v>133626.79999999999</v>
      </c>
      <c r="K1948">
        <f>Orders[[#This Row],[Revenue]]-Orders[[#This Row],[Expenses]]</f>
        <v>23581.200000000012</v>
      </c>
      <c r="L1948" t="s">
        <v>2211</v>
      </c>
      <c r="M1948" t="str">
        <f>_xlfn.XLOOKUP(Orders[[#This Row],[CustomerID]],Customers[CustomerID],Customers[City])</f>
        <v>Florida</v>
      </c>
      <c r="N1948" t="str">
        <f>_xlfn.XLOOKUP(Orders[[#This Row],[CustomerID]],Customers[CustomerID],Customers[CustomerName])</f>
        <v>Ngozi Ojo</v>
      </c>
      <c r="O1948" t="str">
        <f>_xlfn.XLOOKUP(Orders[[#This Row],[CustomerID]],Customers[CustomerID],Customers[Gender])</f>
        <v>Female</v>
      </c>
      <c r="P1948">
        <f>_xlfn.XLOOKUP(Orders[[#This Row],[CustomerID]],Customers[CustomerID],Customers[CustomerAge])</f>
        <v>18</v>
      </c>
      <c r="Q1948" t="str">
        <f>IF(Orders[[#This Row],[Age]]&gt;=35,"older","young")</f>
        <v>young</v>
      </c>
      <c r="R1948" t="str">
        <f>_xlfn.XLOOKUP(Orders[[#This Row],[ProductID]],Products[ProductID],Products[ProductName])</f>
        <v>YOGA MAT</v>
      </c>
      <c r="S1948" t="str">
        <f>_xlfn.XLOOKUP(Orders[[#This Row],[ProductID]],Products!A:A,Products!C:C)</f>
        <v>Gym</v>
      </c>
    </row>
    <row r="1949" spans="1:19" x14ac:dyDescent="0.2">
      <c r="A1949" s="4" t="s">
        <v>2138</v>
      </c>
      <c r="B1949" s="5">
        <v>46012</v>
      </c>
      <c r="C1949" s="15">
        <f>WEEKNUM(Orders[[#This Row],[OrderDate]])</f>
        <v>52</v>
      </c>
      <c r="D1949" s="4" t="s">
        <v>305</v>
      </c>
      <c r="E1949" s="4" t="s">
        <v>25</v>
      </c>
      <c r="F1949" s="4">
        <v>4</v>
      </c>
      <c r="G1949" s="4">
        <v>19327.599999999999</v>
      </c>
      <c r="H1949">
        <v>16428.46</v>
      </c>
      <c r="I1949">
        <f>Orders[[#This Row],[Quantity]]*Orders[[#This Row],[Selling Price]]</f>
        <v>77310.399999999994</v>
      </c>
      <c r="J1949">
        <f>Orders[[#This Row],[Quantity]]*Orders[[#This Row],[Cost Price]]</f>
        <v>65713.84</v>
      </c>
      <c r="K1949">
        <f>Orders[[#This Row],[Revenue]]-Orders[[#This Row],[Expenses]]</f>
        <v>11596.559999999998</v>
      </c>
      <c r="L1949" t="s">
        <v>2206</v>
      </c>
      <c r="M1949" t="str">
        <f>_xlfn.XLOOKUP(Orders[[#This Row],[CustomerID]],Customers[CustomerID],Customers[City])</f>
        <v>California</v>
      </c>
      <c r="N1949" t="str">
        <f>_xlfn.XLOOKUP(Orders[[#This Row],[CustomerID]],Customers[CustomerID],Customers[CustomerName])</f>
        <v>Tunde Danladi</v>
      </c>
      <c r="O1949" t="str">
        <f>_xlfn.XLOOKUP(Orders[[#This Row],[CustomerID]],Customers[CustomerID],Customers[Gender])</f>
        <v>Male</v>
      </c>
      <c r="P1949">
        <f>_xlfn.XLOOKUP(Orders[[#This Row],[CustomerID]],Customers[CustomerID],Customers[CustomerAge])</f>
        <v>40</v>
      </c>
      <c r="Q1949" t="str">
        <f>IF(Orders[[#This Row],[Age]]&gt;=35,"older","young")</f>
        <v>older</v>
      </c>
      <c r="R1949" t="str">
        <f>_xlfn.XLOOKUP(Orders[[#This Row],[ProductID]],Products[ProductID],Products[ProductName])</f>
        <v>GOLD RINGS</v>
      </c>
      <c r="S1949" t="str">
        <f>_xlfn.XLOOKUP(Orders[[#This Row],[ProductID]],Products!A:A,Products!C:C)</f>
        <v>Accessories</v>
      </c>
    </row>
    <row r="1950" spans="1:19" x14ac:dyDescent="0.2">
      <c r="A1950" s="4" t="s">
        <v>2139</v>
      </c>
      <c r="B1950" s="5">
        <v>46018</v>
      </c>
      <c r="C1950" s="15">
        <f>WEEKNUM(Orders[[#This Row],[OrderDate]])</f>
        <v>52</v>
      </c>
      <c r="D1950" s="4" t="s">
        <v>260</v>
      </c>
      <c r="E1950" s="4" t="s">
        <v>15</v>
      </c>
      <c r="F1950" s="4">
        <v>5</v>
      </c>
      <c r="G1950" s="4">
        <v>11870.3</v>
      </c>
      <c r="H1950">
        <v>10089.754999999999</v>
      </c>
      <c r="I1950">
        <f>Orders[[#This Row],[Quantity]]*Orders[[#This Row],[Selling Price]]</f>
        <v>59351.5</v>
      </c>
      <c r="J1950">
        <f>Orders[[#This Row],[Quantity]]*Orders[[#This Row],[Cost Price]]</f>
        <v>50448.774999999994</v>
      </c>
      <c r="K1950">
        <f>Orders[[#This Row],[Revenue]]-Orders[[#This Row],[Expenses]]</f>
        <v>8902.7250000000058</v>
      </c>
      <c r="L1950" t="s">
        <v>2207</v>
      </c>
      <c r="M1950" t="str">
        <f>_xlfn.XLOOKUP(Orders[[#This Row],[CustomerID]],Customers[CustomerID],Customers[City])</f>
        <v>Florida</v>
      </c>
      <c r="N1950" t="str">
        <f>_xlfn.XLOOKUP(Orders[[#This Row],[CustomerID]],Customers[CustomerID],Customers[CustomerName])</f>
        <v>Amina Obi</v>
      </c>
      <c r="O1950" t="str">
        <f>_xlfn.XLOOKUP(Orders[[#This Row],[CustomerID]],Customers[CustomerID],Customers[Gender])</f>
        <v>Female</v>
      </c>
      <c r="P1950">
        <f>_xlfn.XLOOKUP(Orders[[#This Row],[CustomerID]],Customers[CustomerID],Customers[CustomerAge])</f>
        <v>29</v>
      </c>
      <c r="Q1950" t="str">
        <f>IF(Orders[[#This Row],[Age]]&gt;=35,"older","young")</f>
        <v>young</v>
      </c>
      <c r="R1950" t="str">
        <f>_xlfn.XLOOKUP(Orders[[#This Row],[ProductID]],Products[ProductID],Products[ProductName])</f>
        <v>MONOPOLY</v>
      </c>
      <c r="S1950" t="str">
        <f>_xlfn.XLOOKUP(Orders[[#This Row],[ProductID]],Products!A:A,Products!C:C)</f>
        <v>Games</v>
      </c>
    </row>
    <row r="1951" spans="1:19" x14ac:dyDescent="0.2">
      <c r="A1951" s="4" t="s">
        <v>2140</v>
      </c>
      <c r="B1951" s="5">
        <v>46008</v>
      </c>
      <c r="C1951" s="15">
        <f>WEEKNUM(Orders[[#This Row],[OrderDate]])</f>
        <v>51</v>
      </c>
      <c r="D1951" s="4" t="s">
        <v>352</v>
      </c>
      <c r="E1951" s="4" t="s">
        <v>189</v>
      </c>
      <c r="F1951" s="4">
        <v>5</v>
      </c>
      <c r="G1951" s="4">
        <v>4600.4000000000005</v>
      </c>
      <c r="H1951">
        <v>3910.3400000000006</v>
      </c>
      <c r="I1951">
        <f>Orders[[#This Row],[Quantity]]*Orders[[#This Row],[Selling Price]]</f>
        <v>23002.000000000004</v>
      </c>
      <c r="J1951">
        <f>Orders[[#This Row],[Quantity]]*Orders[[#This Row],[Cost Price]]</f>
        <v>19551.700000000004</v>
      </c>
      <c r="K1951">
        <f>Orders[[#This Row],[Revenue]]-Orders[[#This Row],[Expenses]]</f>
        <v>3450.2999999999993</v>
      </c>
      <c r="L1951" t="s">
        <v>2216</v>
      </c>
      <c r="M1951" t="str">
        <f>_xlfn.XLOOKUP(Orders[[#This Row],[CustomerID]],Customers[CustomerID],Customers[City])</f>
        <v>Texas</v>
      </c>
      <c r="N1951" t="str">
        <f>_xlfn.XLOOKUP(Orders[[#This Row],[CustomerID]],Customers[CustomerID],Customers[CustomerName])</f>
        <v>Zainab Eze</v>
      </c>
      <c r="O1951" t="str">
        <f>_xlfn.XLOOKUP(Orders[[#This Row],[CustomerID]],Customers[CustomerID],Customers[Gender])</f>
        <v>Female</v>
      </c>
      <c r="P1951">
        <f>_xlfn.XLOOKUP(Orders[[#This Row],[CustomerID]],Customers[CustomerID],Customers[CustomerAge])</f>
        <v>40</v>
      </c>
      <c r="Q1951" t="str">
        <f>IF(Orders[[#This Row],[Age]]&gt;=35,"older","young")</f>
        <v>older</v>
      </c>
      <c r="R1951" t="str">
        <f>_xlfn.XLOOKUP(Orders[[#This Row],[ProductID]],Products[ProductID],Products[ProductName])</f>
        <v>SCRABBLE</v>
      </c>
      <c r="S1951" t="str">
        <f>_xlfn.XLOOKUP(Orders[[#This Row],[ProductID]],Products!A:A,Products!C:C)</f>
        <v>Games</v>
      </c>
    </row>
    <row r="1952" spans="1:19" x14ac:dyDescent="0.2">
      <c r="A1952" s="4" t="s">
        <v>2141</v>
      </c>
      <c r="B1952" s="5">
        <v>45979</v>
      </c>
      <c r="C1952" s="15">
        <f>WEEKNUM(Orders[[#This Row],[OrderDate]])</f>
        <v>47</v>
      </c>
      <c r="D1952" s="4" t="s">
        <v>352</v>
      </c>
      <c r="E1952" s="4" t="s">
        <v>120</v>
      </c>
      <c r="F1952" s="4">
        <v>4</v>
      </c>
      <c r="G1952" s="4">
        <v>3640.2</v>
      </c>
      <c r="H1952">
        <v>3094.17</v>
      </c>
      <c r="I1952">
        <f>Orders[[#This Row],[Quantity]]*Orders[[#This Row],[Selling Price]]</f>
        <v>14560.8</v>
      </c>
      <c r="J1952">
        <f>Orders[[#This Row],[Quantity]]*Orders[[#This Row],[Cost Price]]</f>
        <v>12376.68</v>
      </c>
      <c r="K1952">
        <f>Orders[[#This Row],[Revenue]]-Orders[[#This Row],[Expenses]]</f>
        <v>2184.119999999999</v>
      </c>
      <c r="L1952" t="s">
        <v>2216</v>
      </c>
      <c r="M1952" t="str">
        <f>_xlfn.XLOOKUP(Orders[[#This Row],[CustomerID]],Customers[CustomerID],Customers[City])</f>
        <v>Texas</v>
      </c>
      <c r="N1952" t="str">
        <f>_xlfn.XLOOKUP(Orders[[#This Row],[CustomerID]],Customers[CustomerID],Customers[CustomerName])</f>
        <v>Zainab Eze</v>
      </c>
      <c r="O1952" t="str">
        <f>_xlfn.XLOOKUP(Orders[[#This Row],[CustomerID]],Customers[CustomerID],Customers[Gender])</f>
        <v>Female</v>
      </c>
      <c r="P1952">
        <f>_xlfn.XLOOKUP(Orders[[#This Row],[CustomerID]],Customers[CustomerID],Customers[CustomerAge])</f>
        <v>40</v>
      </c>
      <c r="Q1952" t="str">
        <f>IF(Orders[[#This Row],[Age]]&gt;=35,"older","young")</f>
        <v>older</v>
      </c>
      <c r="R1952" t="str">
        <f>_xlfn.XLOOKUP(Orders[[#This Row],[ProductID]],Products[ProductID],Products[ProductName])</f>
        <v>CHESS</v>
      </c>
      <c r="S1952" t="str">
        <f>_xlfn.XLOOKUP(Orders[[#This Row],[ProductID]],Products!A:A,Products!C:C)</f>
        <v>Games</v>
      </c>
    </row>
    <row r="1953" spans="1:19" x14ac:dyDescent="0.2">
      <c r="A1953" s="4" t="s">
        <v>2142</v>
      </c>
      <c r="B1953" s="5">
        <v>45973</v>
      </c>
      <c r="C1953" s="15">
        <f>WEEKNUM(Orders[[#This Row],[OrderDate]])</f>
        <v>46</v>
      </c>
      <c r="D1953" s="4" t="s">
        <v>36</v>
      </c>
      <c r="E1953" s="4" t="s">
        <v>28</v>
      </c>
      <c r="F1953" s="4">
        <v>10</v>
      </c>
      <c r="G1953" s="4">
        <v>12569.6</v>
      </c>
      <c r="H1953">
        <v>10684.16</v>
      </c>
      <c r="I1953">
        <f>Orders[[#This Row],[Quantity]]*Orders[[#This Row],[Selling Price]]</f>
        <v>125696</v>
      </c>
      <c r="J1953">
        <f>Orders[[#This Row],[Quantity]]*Orders[[#This Row],[Cost Price]]</f>
        <v>106841.60000000001</v>
      </c>
      <c r="K1953">
        <f>Orders[[#This Row],[Revenue]]-Orders[[#This Row],[Expenses]]</f>
        <v>18854.399999999994</v>
      </c>
      <c r="L1953" t="s">
        <v>2213</v>
      </c>
      <c r="M1953" t="str">
        <f>_xlfn.XLOOKUP(Orders[[#This Row],[CustomerID]],Customers[CustomerID],Customers[City])</f>
        <v>California</v>
      </c>
      <c r="N1953" t="str">
        <f>_xlfn.XLOOKUP(Orders[[#This Row],[CustomerID]],Customers[CustomerID],Customers[CustomerName])</f>
        <v>Jide Eze</v>
      </c>
      <c r="O1953" t="str">
        <f>_xlfn.XLOOKUP(Orders[[#This Row],[CustomerID]],Customers[CustomerID],Customers[Gender])</f>
        <v>Male</v>
      </c>
      <c r="P1953">
        <f>_xlfn.XLOOKUP(Orders[[#This Row],[CustomerID]],Customers[CustomerID],Customers[CustomerAge])</f>
        <v>21</v>
      </c>
      <c r="Q1953" t="str">
        <f>IF(Orders[[#This Row],[Age]]&gt;=35,"older","young")</f>
        <v>young</v>
      </c>
      <c r="R1953" t="str">
        <f>_xlfn.XLOOKUP(Orders[[#This Row],[ProductID]],Products[ProductID],Products[ProductName])</f>
        <v>SNEAKERS</v>
      </c>
      <c r="S1953" t="str">
        <f>_xlfn.XLOOKUP(Orders[[#This Row],[ProductID]],Products!A:A,Products!C:C)</f>
        <v>Sports</v>
      </c>
    </row>
    <row r="1954" spans="1:19" x14ac:dyDescent="0.2">
      <c r="A1954" s="4" t="s">
        <v>2143</v>
      </c>
      <c r="B1954" s="5">
        <v>45966</v>
      </c>
      <c r="C1954" s="15">
        <f>WEEKNUM(Orders[[#This Row],[OrderDate]])</f>
        <v>45</v>
      </c>
      <c r="D1954" s="4" t="s">
        <v>87</v>
      </c>
      <c r="E1954" s="4" t="s">
        <v>151</v>
      </c>
      <c r="F1954" s="4">
        <v>1</v>
      </c>
      <c r="G1954" s="4">
        <v>17191.8</v>
      </c>
      <c r="H1954">
        <v>14613.029999999999</v>
      </c>
      <c r="I1954">
        <f>Orders[[#This Row],[Quantity]]*Orders[[#This Row],[Selling Price]]</f>
        <v>17191.8</v>
      </c>
      <c r="J1954">
        <f>Orders[[#This Row],[Quantity]]*Orders[[#This Row],[Cost Price]]</f>
        <v>14613.029999999999</v>
      </c>
      <c r="K1954">
        <f>Orders[[#This Row],[Revenue]]-Orders[[#This Row],[Expenses]]</f>
        <v>2578.7700000000004</v>
      </c>
      <c r="L1954" t="s">
        <v>2210</v>
      </c>
      <c r="M1954" t="str">
        <f>_xlfn.XLOOKUP(Orders[[#This Row],[CustomerID]],Customers[CustomerID],Customers[City])</f>
        <v>Illinois</v>
      </c>
      <c r="N1954" t="str">
        <f>_xlfn.XLOOKUP(Orders[[#This Row],[CustomerID]],Customers[CustomerID],Customers[CustomerName])</f>
        <v>Efe Igwe</v>
      </c>
      <c r="O1954" t="str">
        <f>_xlfn.XLOOKUP(Orders[[#This Row],[CustomerID]],Customers[CustomerID],Customers[Gender])</f>
        <v>Female</v>
      </c>
      <c r="P1954">
        <f>_xlfn.XLOOKUP(Orders[[#This Row],[CustomerID]],Customers[CustomerID],Customers[CustomerAge])</f>
        <v>34</v>
      </c>
      <c r="Q1954" t="str">
        <f>IF(Orders[[#This Row],[Age]]&gt;=35,"older","young")</f>
        <v>young</v>
      </c>
      <c r="R1954" t="str">
        <f>_xlfn.XLOOKUP(Orders[[#This Row],[ProductID]],Products[ProductID],Products[ProductName])</f>
        <v>CHECKERS</v>
      </c>
      <c r="S1954" t="str">
        <f>_xlfn.XLOOKUP(Orders[[#This Row],[ProductID]],Products!A:A,Products!C:C)</f>
        <v>Games</v>
      </c>
    </row>
    <row r="1955" spans="1:19" x14ac:dyDescent="0.2">
      <c r="A1955" s="4" t="s">
        <v>2144</v>
      </c>
      <c r="B1955" s="5">
        <v>45934</v>
      </c>
      <c r="C1955" s="15">
        <f>WEEKNUM(Orders[[#This Row],[OrderDate]])</f>
        <v>40</v>
      </c>
      <c r="D1955" s="4" t="s">
        <v>129</v>
      </c>
      <c r="E1955" s="4" t="s">
        <v>189</v>
      </c>
      <c r="F1955" s="4">
        <v>4</v>
      </c>
      <c r="G1955" s="4">
        <v>11436.400000000001</v>
      </c>
      <c r="H1955">
        <v>9720.94</v>
      </c>
      <c r="I1955">
        <f>Orders[[#This Row],[Quantity]]*Orders[[#This Row],[Selling Price]]</f>
        <v>45745.600000000006</v>
      </c>
      <c r="J1955">
        <f>Orders[[#This Row],[Quantity]]*Orders[[#This Row],[Cost Price]]</f>
        <v>38883.760000000002</v>
      </c>
      <c r="K1955">
        <f>Orders[[#This Row],[Revenue]]-Orders[[#This Row],[Expenses]]</f>
        <v>6861.8400000000038</v>
      </c>
      <c r="L1955" t="s">
        <v>2202</v>
      </c>
      <c r="M1955" t="str">
        <f>_xlfn.XLOOKUP(Orders[[#This Row],[CustomerID]],Customers[CustomerID],Customers[City])</f>
        <v>Washington</v>
      </c>
      <c r="N1955" t="str">
        <f>_xlfn.XLOOKUP(Orders[[#This Row],[CustomerID]],Customers[CustomerID],Customers[CustomerName])</f>
        <v>Chioma Ojo</v>
      </c>
      <c r="O1955" t="str">
        <f>_xlfn.XLOOKUP(Orders[[#This Row],[CustomerID]],Customers[CustomerID],Customers[Gender])</f>
        <v>Female</v>
      </c>
      <c r="P1955">
        <f>_xlfn.XLOOKUP(Orders[[#This Row],[CustomerID]],Customers[CustomerID],Customers[CustomerAge])</f>
        <v>46</v>
      </c>
      <c r="Q1955" t="str">
        <f>IF(Orders[[#This Row],[Age]]&gt;=35,"older","young")</f>
        <v>older</v>
      </c>
      <c r="R1955" t="str">
        <f>_xlfn.XLOOKUP(Orders[[#This Row],[ProductID]],Products[ProductID],Products[ProductName])</f>
        <v>SCRABBLE</v>
      </c>
      <c r="S1955" t="str">
        <f>_xlfn.XLOOKUP(Orders[[#This Row],[ProductID]],Products!A:A,Products!C:C)</f>
        <v>Games</v>
      </c>
    </row>
    <row r="1956" spans="1:19" x14ac:dyDescent="0.2">
      <c r="A1956" s="4" t="s">
        <v>2145</v>
      </c>
      <c r="B1956" s="5">
        <v>45978</v>
      </c>
      <c r="C1956" s="15">
        <f>WEEKNUM(Orders[[#This Row],[OrderDate]])</f>
        <v>47</v>
      </c>
      <c r="D1956" s="4" t="s">
        <v>327</v>
      </c>
      <c r="E1956" s="4" t="s">
        <v>66</v>
      </c>
      <c r="F1956" s="4">
        <v>2</v>
      </c>
      <c r="G1956" s="4">
        <v>18509.3</v>
      </c>
      <c r="H1956">
        <v>15732.904999999999</v>
      </c>
      <c r="I1956">
        <f>Orders[[#This Row],[Quantity]]*Orders[[#This Row],[Selling Price]]</f>
        <v>37018.6</v>
      </c>
      <c r="J1956">
        <f>Orders[[#This Row],[Quantity]]*Orders[[#This Row],[Cost Price]]</f>
        <v>31465.809999999998</v>
      </c>
      <c r="K1956">
        <f>Orders[[#This Row],[Revenue]]-Orders[[#This Row],[Expenses]]</f>
        <v>5552.7900000000009</v>
      </c>
      <c r="L1956" t="s">
        <v>2212</v>
      </c>
      <c r="M1956" t="str">
        <f>_xlfn.XLOOKUP(Orders[[#This Row],[CustomerID]],Customers[CustomerID],Customers[City])</f>
        <v>Washington</v>
      </c>
      <c r="N1956" t="str">
        <f>_xlfn.XLOOKUP(Orders[[#This Row],[CustomerID]],Customers[CustomerID],Customers[CustomerName])</f>
        <v>Folasade Ojo</v>
      </c>
      <c r="O1956" t="str">
        <f>_xlfn.XLOOKUP(Orders[[#This Row],[CustomerID]],Customers[CustomerID],Customers[Gender])</f>
        <v>Female</v>
      </c>
      <c r="P1956">
        <f>_xlfn.XLOOKUP(Orders[[#This Row],[CustomerID]],Customers[CustomerID],Customers[CustomerAge])</f>
        <v>24</v>
      </c>
      <c r="Q1956" t="str">
        <f>IF(Orders[[#This Row],[Age]]&gt;=35,"older","young")</f>
        <v>young</v>
      </c>
      <c r="R1956" t="str">
        <f>_xlfn.XLOOKUP(Orders[[#This Row],[ProductID]],Products[ProductID],Products[ProductName])</f>
        <v>MICROWAVE</v>
      </c>
      <c r="S1956" t="str">
        <f>_xlfn.XLOOKUP(Orders[[#This Row],[ProductID]],Products!A:A,Products!C:C)</f>
        <v>Electronics</v>
      </c>
    </row>
    <row r="1957" spans="1:19" x14ac:dyDescent="0.2">
      <c r="A1957" s="4" t="s">
        <v>2146</v>
      </c>
      <c r="B1957" s="5">
        <v>45975</v>
      </c>
      <c r="C1957" s="15">
        <f>WEEKNUM(Orders[[#This Row],[OrderDate]])</f>
        <v>46</v>
      </c>
      <c r="D1957" s="4" t="s">
        <v>605</v>
      </c>
      <c r="E1957" s="4" t="s">
        <v>63</v>
      </c>
      <c r="F1957" s="4">
        <v>2</v>
      </c>
      <c r="G1957" s="4">
        <v>13101.7</v>
      </c>
      <c r="H1957">
        <v>11136.445</v>
      </c>
      <c r="I1957">
        <f>Orders[[#This Row],[Quantity]]*Orders[[#This Row],[Selling Price]]</f>
        <v>26203.4</v>
      </c>
      <c r="J1957">
        <f>Orders[[#This Row],[Quantity]]*Orders[[#This Row],[Cost Price]]</f>
        <v>22272.89</v>
      </c>
      <c r="K1957">
        <f>Orders[[#This Row],[Revenue]]-Orders[[#This Row],[Expenses]]</f>
        <v>3930.510000000002</v>
      </c>
      <c r="L1957" t="s">
        <v>2203</v>
      </c>
      <c r="M1957" t="str">
        <f>_xlfn.XLOOKUP(Orders[[#This Row],[CustomerID]],Customers[CustomerID],Customers[City])</f>
        <v>Texas</v>
      </c>
      <c r="N1957" t="str">
        <f>_xlfn.XLOOKUP(Orders[[#This Row],[CustomerID]],Customers[CustomerID],Customers[CustomerName])</f>
        <v>Blessing Abubakar</v>
      </c>
      <c r="O1957" t="str">
        <f>_xlfn.XLOOKUP(Orders[[#This Row],[CustomerID]],Customers[CustomerID],Customers[Gender])</f>
        <v>Female</v>
      </c>
      <c r="P1957">
        <f>_xlfn.XLOOKUP(Orders[[#This Row],[CustomerID]],Customers[CustomerID],Customers[CustomerAge])</f>
        <v>44</v>
      </c>
      <c r="Q1957" t="str">
        <f>IF(Orders[[#This Row],[Age]]&gt;=35,"older","young")</f>
        <v>older</v>
      </c>
      <c r="R1957" t="str">
        <f>_xlfn.XLOOKUP(Orders[[#This Row],[ProductID]],Products[ProductID],Products[ProductName])</f>
        <v>TENNIS BAT</v>
      </c>
      <c r="S1957" t="str">
        <f>_xlfn.XLOOKUP(Orders[[#This Row],[ProductID]],Products!A:A,Products!C:C)</f>
        <v>Sports</v>
      </c>
    </row>
    <row r="1958" spans="1:19" x14ac:dyDescent="0.2">
      <c r="A1958" s="4" t="s">
        <v>2147</v>
      </c>
      <c r="B1958" s="5">
        <v>45993</v>
      </c>
      <c r="C1958" s="15">
        <f>WEEKNUM(Orders[[#This Row],[OrderDate]])</f>
        <v>49</v>
      </c>
      <c r="D1958" s="4" t="s">
        <v>552</v>
      </c>
      <c r="E1958" s="4" t="s">
        <v>253</v>
      </c>
      <c r="F1958" s="4">
        <v>2</v>
      </c>
      <c r="G1958" s="4">
        <v>12211.6</v>
      </c>
      <c r="H1958">
        <v>10379.86</v>
      </c>
      <c r="I1958">
        <f>Orders[[#This Row],[Quantity]]*Orders[[#This Row],[Selling Price]]</f>
        <v>24423.200000000001</v>
      </c>
      <c r="J1958">
        <f>Orders[[#This Row],[Quantity]]*Orders[[#This Row],[Cost Price]]</f>
        <v>20759.72</v>
      </c>
      <c r="K1958">
        <f>Orders[[#This Row],[Revenue]]-Orders[[#This Row],[Expenses]]</f>
        <v>3663.4799999999996</v>
      </c>
      <c r="L1958" t="s">
        <v>2207</v>
      </c>
      <c r="M1958" t="str">
        <f>_xlfn.XLOOKUP(Orders[[#This Row],[CustomerID]],Customers[CustomerID],Customers[City])</f>
        <v>Georgia</v>
      </c>
      <c r="N1958" t="str">
        <f>_xlfn.XLOOKUP(Orders[[#This Row],[CustomerID]],Customers[CustomerID],Customers[CustomerName])</f>
        <v>Chioma Eze</v>
      </c>
      <c r="O1958" t="str">
        <f>_xlfn.XLOOKUP(Orders[[#This Row],[CustomerID]],Customers[CustomerID],Customers[Gender])</f>
        <v>Female</v>
      </c>
      <c r="P1958">
        <f>_xlfn.XLOOKUP(Orders[[#This Row],[CustomerID]],Customers[CustomerID],Customers[CustomerAge])</f>
        <v>40</v>
      </c>
      <c r="Q1958" t="str">
        <f>IF(Orders[[#This Row],[Age]]&gt;=35,"older","young")</f>
        <v>older</v>
      </c>
      <c r="R1958" t="str">
        <f>_xlfn.XLOOKUP(Orders[[#This Row],[ProductID]],Products[ProductID],Products[ProductName])</f>
        <v>NOSE RINGS</v>
      </c>
      <c r="S1958" t="str">
        <f>_xlfn.XLOOKUP(Orders[[#This Row],[ProductID]],Products!A:A,Products!C:C)</f>
        <v>Accessories</v>
      </c>
    </row>
    <row r="1959" spans="1:19" x14ac:dyDescent="0.2">
      <c r="A1959" s="4" t="s">
        <v>2148</v>
      </c>
      <c r="B1959" s="5">
        <v>45946</v>
      </c>
      <c r="C1959" s="15">
        <f>WEEKNUM(Orders[[#This Row],[OrderDate]])</f>
        <v>42</v>
      </c>
      <c r="D1959" s="4" t="s">
        <v>340</v>
      </c>
      <c r="E1959" s="4" t="s">
        <v>57</v>
      </c>
      <c r="F1959" s="4">
        <v>5</v>
      </c>
      <c r="G1959" s="4">
        <v>19036.300000000003</v>
      </c>
      <c r="H1959">
        <v>16180.855000000003</v>
      </c>
      <c r="I1959">
        <f>Orders[[#This Row],[Quantity]]*Orders[[#This Row],[Selling Price]]</f>
        <v>95181.500000000015</v>
      </c>
      <c r="J1959">
        <f>Orders[[#This Row],[Quantity]]*Orders[[#This Row],[Cost Price]]</f>
        <v>80904.275000000023</v>
      </c>
      <c r="K1959">
        <f>Orders[[#This Row],[Revenue]]-Orders[[#This Row],[Expenses]]</f>
        <v>14277.224999999991</v>
      </c>
      <c r="L1959" t="s">
        <v>2218</v>
      </c>
      <c r="M1959" t="str">
        <f>_xlfn.XLOOKUP(Orders[[#This Row],[CustomerID]],Customers[CustomerID],Customers[City])</f>
        <v>Illinois</v>
      </c>
      <c r="N1959" t="str">
        <f>_xlfn.XLOOKUP(Orders[[#This Row],[CustomerID]],Customers[CustomerID],Customers[CustomerName])</f>
        <v>Uche Abubakar</v>
      </c>
      <c r="O1959" t="str">
        <f>_xlfn.XLOOKUP(Orders[[#This Row],[CustomerID]],Customers[CustomerID],Customers[Gender])</f>
        <v>Male</v>
      </c>
      <c r="P1959">
        <f>_xlfn.XLOOKUP(Orders[[#This Row],[CustomerID]],Customers[CustomerID],Customers[CustomerAge])</f>
        <v>18</v>
      </c>
      <c r="Q1959" t="str">
        <f>IF(Orders[[#This Row],[Age]]&gt;=35,"older","young")</f>
        <v>young</v>
      </c>
      <c r="R1959" t="str">
        <f>_xlfn.XLOOKUP(Orders[[#This Row],[ProductID]],Products[ProductID],Products[ProductName])</f>
        <v>BADMINTON RACKET</v>
      </c>
      <c r="S1959" t="str">
        <f>_xlfn.XLOOKUP(Orders[[#This Row],[ProductID]],Products!A:A,Products!C:C)</f>
        <v>Sports</v>
      </c>
    </row>
    <row r="1960" spans="1:19" x14ac:dyDescent="0.2">
      <c r="A1960" s="4" t="s">
        <v>2149</v>
      </c>
      <c r="B1960" s="5">
        <v>45936</v>
      </c>
      <c r="C1960" s="15">
        <f>WEEKNUM(Orders[[#This Row],[OrderDate]])</f>
        <v>41</v>
      </c>
      <c r="D1960" s="4" t="s">
        <v>138</v>
      </c>
      <c r="E1960" s="4" t="s">
        <v>23</v>
      </c>
      <c r="F1960" s="4">
        <v>1</v>
      </c>
      <c r="G1960" s="4">
        <v>5135.2</v>
      </c>
      <c r="H1960">
        <v>4364.92</v>
      </c>
      <c r="I1960">
        <f>Orders[[#This Row],[Quantity]]*Orders[[#This Row],[Selling Price]]</f>
        <v>5135.2</v>
      </c>
      <c r="J1960">
        <f>Orders[[#This Row],[Quantity]]*Orders[[#This Row],[Cost Price]]</f>
        <v>4364.92</v>
      </c>
      <c r="K1960">
        <f>Orders[[#This Row],[Revenue]]-Orders[[#This Row],[Expenses]]</f>
        <v>770.27999999999975</v>
      </c>
      <c r="L1960" t="s">
        <v>2216</v>
      </c>
      <c r="M1960" t="str">
        <f>_xlfn.XLOOKUP(Orders[[#This Row],[CustomerID]],Customers[CustomerID],Customers[City])</f>
        <v>Washington</v>
      </c>
      <c r="N1960" t="str">
        <f>_xlfn.XLOOKUP(Orders[[#This Row],[CustomerID]],Customers[CustomerID],Customers[CustomerName])</f>
        <v>Efe Adeyemi</v>
      </c>
      <c r="O1960" t="str">
        <f>_xlfn.XLOOKUP(Orders[[#This Row],[CustomerID]],Customers[CustomerID],Customers[Gender])</f>
        <v>Female</v>
      </c>
      <c r="P1960">
        <f>_xlfn.XLOOKUP(Orders[[#This Row],[CustomerID]],Customers[CustomerID],Customers[CustomerAge])</f>
        <v>22</v>
      </c>
      <c r="Q1960" t="str">
        <f>IF(Orders[[#This Row],[Age]]&gt;=35,"older","young")</f>
        <v>young</v>
      </c>
      <c r="R1960" t="str">
        <f>_xlfn.XLOOKUP(Orders[[#This Row],[ProductID]],Products[ProductID],Products[ProductName])</f>
        <v>GYM GLOVES</v>
      </c>
      <c r="S1960" t="str">
        <f>_xlfn.XLOOKUP(Orders[[#This Row],[ProductID]],Products!A:A,Products!C:C)</f>
        <v>Gym</v>
      </c>
    </row>
    <row r="1961" spans="1:19" x14ac:dyDescent="0.2">
      <c r="A1961" s="4" t="s">
        <v>2150</v>
      </c>
      <c r="B1961" s="5">
        <v>45971</v>
      </c>
      <c r="C1961" s="15">
        <f>WEEKNUM(Orders[[#This Row],[OrderDate]])</f>
        <v>46</v>
      </c>
      <c r="D1961" s="4" t="s">
        <v>174</v>
      </c>
      <c r="E1961" s="4" t="s">
        <v>111</v>
      </c>
      <c r="F1961" s="4">
        <v>8</v>
      </c>
      <c r="G1961" s="4">
        <v>16485.099999999999</v>
      </c>
      <c r="H1961">
        <v>14012.334999999999</v>
      </c>
      <c r="I1961">
        <f>Orders[[#This Row],[Quantity]]*Orders[[#This Row],[Selling Price]]</f>
        <v>131880.79999999999</v>
      </c>
      <c r="J1961">
        <f>Orders[[#This Row],[Quantity]]*Orders[[#This Row],[Cost Price]]</f>
        <v>112098.68</v>
      </c>
      <c r="K1961">
        <f>Orders[[#This Row],[Revenue]]-Orders[[#This Row],[Expenses]]</f>
        <v>19782.119999999995</v>
      </c>
      <c r="L1961" t="s">
        <v>2218</v>
      </c>
      <c r="M1961" t="str">
        <f>_xlfn.XLOOKUP(Orders[[#This Row],[CustomerID]],Customers[CustomerID],Customers[City])</f>
        <v>California</v>
      </c>
      <c r="N1961" t="str">
        <f>_xlfn.XLOOKUP(Orders[[#This Row],[CustomerID]],Customers[CustomerID],Customers[CustomerName])</f>
        <v>Zainab Obi</v>
      </c>
      <c r="O1961" t="str">
        <f>_xlfn.XLOOKUP(Orders[[#This Row],[CustomerID]],Customers[CustomerID],Customers[Gender])</f>
        <v>Female</v>
      </c>
      <c r="P1961">
        <f>_xlfn.XLOOKUP(Orders[[#This Row],[CustomerID]],Customers[CustomerID],Customers[CustomerAge])</f>
        <v>18</v>
      </c>
      <c r="Q1961" t="str">
        <f>IF(Orders[[#This Row],[Age]]&gt;=35,"older","young")</f>
        <v>young</v>
      </c>
      <c r="R1961" t="str">
        <f>_xlfn.XLOOKUP(Orders[[#This Row],[ProductID]],Products[ProductID],Products[ProductName])</f>
        <v>REFRIGERATOR</v>
      </c>
      <c r="S1961" t="str">
        <f>_xlfn.XLOOKUP(Orders[[#This Row],[ProductID]],Products!A:A,Products!C:C)</f>
        <v>Electronics</v>
      </c>
    </row>
    <row r="1962" spans="1:19" x14ac:dyDescent="0.2">
      <c r="A1962" s="4" t="s">
        <v>2151</v>
      </c>
      <c r="B1962" s="5">
        <v>45986</v>
      </c>
      <c r="C1962" s="15">
        <f>WEEKNUM(Orders[[#This Row],[OrderDate]])</f>
        <v>48</v>
      </c>
      <c r="D1962" s="4" t="s">
        <v>159</v>
      </c>
      <c r="E1962" s="4" t="s">
        <v>111</v>
      </c>
      <c r="F1962" s="4">
        <v>9</v>
      </c>
      <c r="G1962" s="4">
        <v>6006</v>
      </c>
      <c r="H1962">
        <v>5105.1000000000004</v>
      </c>
      <c r="I1962">
        <f>Orders[[#This Row],[Quantity]]*Orders[[#This Row],[Selling Price]]</f>
        <v>54054</v>
      </c>
      <c r="J1962">
        <f>Orders[[#This Row],[Quantity]]*Orders[[#This Row],[Cost Price]]</f>
        <v>45945.9</v>
      </c>
      <c r="K1962">
        <f>Orders[[#This Row],[Revenue]]-Orders[[#This Row],[Expenses]]</f>
        <v>8108.0999999999985</v>
      </c>
      <c r="L1962" t="s">
        <v>2196</v>
      </c>
      <c r="M1962" t="str">
        <f>_xlfn.XLOOKUP(Orders[[#This Row],[CustomerID]],Customers[CustomerID],Customers[City])</f>
        <v>Florida</v>
      </c>
      <c r="N1962" t="str">
        <f>_xlfn.XLOOKUP(Orders[[#This Row],[CustomerID]],Customers[CustomerID],Customers[CustomerName])</f>
        <v>Ibrahim Okonkwo</v>
      </c>
      <c r="O1962" t="str">
        <f>_xlfn.XLOOKUP(Orders[[#This Row],[CustomerID]],Customers[CustomerID],Customers[Gender])</f>
        <v>Male</v>
      </c>
      <c r="P1962">
        <f>_xlfn.XLOOKUP(Orders[[#This Row],[CustomerID]],Customers[CustomerID],Customers[CustomerAge])</f>
        <v>49</v>
      </c>
      <c r="Q1962" t="str">
        <f>IF(Orders[[#This Row],[Age]]&gt;=35,"older","young")</f>
        <v>older</v>
      </c>
      <c r="R1962" t="str">
        <f>_xlfn.XLOOKUP(Orders[[#This Row],[ProductID]],Products[ProductID],Products[ProductName])</f>
        <v>REFRIGERATOR</v>
      </c>
      <c r="S1962" t="str">
        <f>_xlfn.XLOOKUP(Orders[[#This Row],[ProductID]],Products!A:A,Products!C:C)</f>
        <v>Electronics</v>
      </c>
    </row>
    <row r="1963" spans="1:19" x14ac:dyDescent="0.2">
      <c r="A1963" s="4" t="s">
        <v>2152</v>
      </c>
      <c r="B1963" s="5">
        <v>46013</v>
      </c>
      <c r="C1963" s="15">
        <f>WEEKNUM(Orders[[#This Row],[OrderDate]])</f>
        <v>52</v>
      </c>
      <c r="D1963" s="4" t="s">
        <v>435</v>
      </c>
      <c r="E1963" s="4" t="s">
        <v>23</v>
      </c>
      <c r="F1963" s="4">
        <v>9</v>
      </c>
      <c r="G1963" s="4">
        <v>16429.8</v>
      </c>
      <c r="H1963">
        <v>13965.33</v>
      </c>
      <c r="I1963">
        <f>Orders[[#This Row],[Quantity]]*Orders[[#This Row],[Selling Price]]</f>
        <v>147868.19999999998</v>
      </c>
      <c r="J1963">
        <f>Orders[[#This Row],[Quantity]]*Orders[[#This Row],[Cost Price]]</f>
        <v>125687.97</v>
      </c>
      <c r="K1963">
        <f>Orders[[#This Row],[Revenue]]-Orders[[#This Row],[Expenses]]</f>
        <v>22180.229999999981</v>
      </c>
      <c r="L1963" t="s">
        <v>2211</v>
      </c>
      <c r="M1963" t="str">
        <f>_xlfn.XLOOKUP(Orders[[#This Row],[CustomerID]],Customers[CustomerID],Customers[City])</f>
        <v>Texas</v>
      </c>
      <c r="N1963" t="str">
        <f>_xlfn.XLOOKUP(Orders[[#This Row],[CustomerID]],Customers[CustomerID],Customers[CustomerName])</f>
        <v>Amina Balogun</v>
      </c>
      <c r="O1963" t="str">
        <f>_xlfn.XLOOKUP(Orders[[#This Row],[CustomerID]],Customers[CustomerID],Customers[Gender])</f>
        <v>Female</v>
      </c>
      <c r="P1963">
        <f>_xlfn.XLOOKUP(Orders[[#This Row],[CustomerID]],Customers[CustomerID],Customers[CustomerAge])</f>
        <v>32</v>
      </c>
      <c r="Q1963" t="str">
        <f>IF(Orders[[#This Row],[Age]]&gt;=35,"older","young")</f>
        <v>young</v>
      </c>
      <c r="R1963" t="str">
        <f>_xlfn.XLOOKUP(Orders[[#This Row],[ProductID]],Products[ProductID],Products[ProductName])</f>
        <v>GYM GLOVES</v>
      </c>
      <c r="S1963" t="str">
        <f>_xlfn.XLOOKUP(Orders[[#This Row],[ProductID]],Products!A:A,Products!C:C)</f>
        <v>Gym</v>
      </c>
    </row>
    <row r="1964" spans="1:19" x14ac:dyDescent="0.2">
      <c r="A1964" s="4" t="s">
        <v>2153</v>
      </c>
      <c r="B1964" s="5">
        <v>45996</v>
      </c>
      <c r="C1964" s="15">
        <f>WEEKNUM(Orders[[#This Row],[OrderDate]])</f>
        <v>49</v>
      </c>
      <c r="D1964" s="4" t="s">
        <v>107</v>
      </c>
      <c r="E1964" s="4" t="s">
        <v>189</v>
      </c>
      <c r="F1964" s="4">
        <v>4</v>
      </c>
      <c r="G1964" s="4">
        <v>13229.400000000001</v>
      </c>
      <c r="H1964">
        <v>11244.990000000002</v>
      </c>
      <c r="I1964">
        <f>Orders[[#This Row],[Quantity]]*Orders[[#This Row],[Selling Price]]</f>
        <v>52917.600000000006</v>
      </c>
      <c r="J1964">
        <f>Orders[[#This Row],[Quantity]]*Orders[[#This Row],[Cost Price]]</f>
        <v>44979.960000000006</v>
      </c>
      <c r="K1964">
        <f>Orders[[#This Row],[Revenue]]-Orders[[#This Row],[Expenses]]</f>
        <v>7937.6399999999994</v>
      </c>
      <c r="L1964" t="s">
        <v>2216</v>
      </c>
      <c r="M1964" t="str">
        <f>_xlfn.XLOOKUP(Orders[[#This Row],[CustomerID]],Customers[CustomerID],Customers[City])</f>
        <v>Texas</v>
      </c>
      <c r="N1964" t="str">
        <f>_xlfn.XLOOKUP(Orders[[#This Row],[CustomerID]],Customers[CustomerID],Customers[CustomerName])</f>
        <v>Blessing Eze</v>
      </c>
      <c r="O1964" t="str">
        <f>_xlfn.XLOOKUP(Orders[[#This Row],[CustomerID]],Customers[CustomerID],Customers[Gender])</f>
        <v>Female</v>
      </c>
      <c r="P1964">
        <f>_xlfn.XLOOKUP(Orders[[#This Row],[CustomerID]],Customers[CustomerID],Customers[CustomerAge])</f>
        <v>44</v>
      </c>
      <c r="Q1964" t="str">
        <f>IF(Orders[[#This Row],[Age]]&gt;=35,"older","young")</f>
        <v>older</v>
      </c>
      <c r="R1964" t="str">
        <f>_xlfn.XLOOKUP(Orders[[#This Row],[ProductID]],Products[ProductID],Products[ProductName])</f>
        <v>SCRABBLE</v>
      </c>
      <c r="S1964" t="str">
        <f>_xlfn.XLOOKUP(Orders[[#This Row],[ProductID]],Products!A:A,Products!C:C)</f>
        <v>Games</v>
      </c>
    </row>
    <row r="1965" spans="1:19" x14ac:dyDescent="0.2">
      <c r="A1965" s="4" t="s">
        <v>2154</v>
      </c>
      <c r="B1965" s="5">
        <v>45946</v>
      </c>
      <c r="C1965" s="15">
        <f>WEEKNUM(Orders[[#This Row],[OrderDate]])</f>
        <v>42</v>
      </c>
      <c r="D1965" s="4" t="s">
        <v>62</v>
      </c>
      <c r="E1965" s="4" t="s">
        <v>25</v>
      </c>
      <c r="F1965" s="4">
        <v>6</v>
      </c>
      <c r="G1965" s="4">
        <v>16778.5</v>
      </c>
      <c r="H1965">
        <v>14261.725</v>
      </c>
      <c r="I1965">
        <f>Orders[[#This Row],[Quantity]]*Orders[[#This Row],[Selling Price]]</f>
        <v>100671</v>
      </c>
      <c r="J1965">
        <f>Orders[[#This Row],[Quantity]]*Orders[[#This Row],[Cost Price]]</f>
        <v>85570.35</v>
      </c>
      <c r="K1965">
        <f>Orders[[#This Row],[Revenue]]-Orders[[#This Row],[Expenses]]</f>
        <v>15100.649999999994</v>
      </c>
      <c r="L1965" t="s">
        <v>2200</v>
      </c>
      <c r="M1965" t="str">
        <f>_xlfn.XLOOKUP(Orders[[#This Row],[CustomerID]],Customers[CustomerID],Customers[City])</f>
        <v>Texas</v>
      </c>
      <c r="N1965" t="str">
        <f>_xlfn.XLOOKUP(Orders[[#This Row],[CustomerID]],Customers[CustomerID],Customers[CustomerName])</f>
        <v>Ronke Okonkwo</v>
      </c>
      <c r="O1965" t="str">
        <f>_xlfn.XLOOKUP(Orders[[#This Row],[CustomerID]],Customers[CustomerID],Customers[Gender])</f>
        <v>Female</v>
      </c>
      <c r="P1965">
        <f>_xlfn.XLOOKUP(Orders[[#This Row],[CustomerID]],Customers[CustomerID],Customers[CustomerAge])</f>
        <v>36</v>
      </c>
      <c r="Q1965" t="str">
        <f>IF(Orders[[#This Row],[Age]]&gt;=35,"older","young")</f>
        <v>older</v>
      </c>
      <c r="R1965" t="str">
        <f>_xlfn.XLOOKUP(Orders[[#This Row],[ProductID]],Products[ProductID],Products[ProductName])</f>
        <v>GOLD RINGS</v>
      </c>
      <c r="S1965" t="str">
        <f>_xlfn.XLOOKUP(Orders[[#This Row],[ProductID]],Products!A:A,Products!C:C)</f>
        <v>Accessories</v>
      </c>
    </row>
    <row r="1966" spans="1:19" x14ac:dyDescent="0.2">
      <c r="A1966" s="4" t="s">
        <v>2155</v>
      </c>
      <c r="B1966" s="5">
        <v>45955</v>
      </c>
      <c r="C1966" s="15">
        <f>WEEKNUM(Orders[[#This Row],[OrderDate]])</f>
        <v>43</v>
      </c>
      <c r="D1966" s="4" t="s">
        <v>671</v>
      </c>
      <c r="E1966" s="4" t="s">
        <v>46</v>
      </c>
      <c r="F1966" s="4">
        <v>10</v>
      </c>
      <c r="G1966" s="4">
        <v>12731.199999999999</v>
      </c>
      <c r="H1966">
        <v>10821.519999999999</v>
      </c>
      <c r="I1966">
        <f>Orders[[#This Row],[Quantity]]*Orders[[#This Row],[Selling Price]]</f>
        <v>127311.99999999999</v>
      </c>
      <c r="J1966">
        <f>Orders[[#This Row],[Quantity]]*Orders[[#This Row],[Cost Price]]</f>
        <v>108215.19999999998</v>
      </c>
      <c r="K1966">
        <f>Orders[[#This Row],[Revenue]]-Orders[[#This Row],[Expenses]]</f>
        <v>19096.800000000003</v>
      </c>
      <c r="L1966" t="s">
        <v>2194</v>
      </c>
      <c r="M1966" t="str">
        <f>_xlfn.XLOOKUP(Orders[[#This Row],[CustomerID]],Customers[CustomerID],Customers[City])</f>
        <v>Texas</v>
      </c>
      <c r="N1966" t="str">
        <f>_xlfn.XLOOKUP(Orders[[#This Row],[CustomerID]],Customers[CustomerID],Customers[CustomerName])</f>
        <v>Tunde Abubakar</v>
      </c>
      <c r="O1966" t="str">
        <f>_xlfn.XLOOKUP(Orders[[#This Row],[CustomerID]],Customers[CustomerID],Customers[Gender])</f>
        <v>Male</v>
      </c>
      <c r="P1966">
        <f>_xlfn.XLOOKUP(Orders[[#This Row],[CustomerID]],Customers[CustomerID],Customers[CustomerAge])</f>
        <v>26</v>
      </c>
      <c r="Q1966" t="str">
        <f>IF(Orders[[#This Row],[Age]]&gt;=35,"older","young")</f>
        <v>young</v>
      </c>
      <c r="R1966" t="str">
        <f>_xlfn.XLOOKUP(Orders[[#This Row],[ProductID]],Products[ProductID],Products[ProductName])</f>
        <v>TURTLE NECK</v>
      </c>
      <c r="S1966" t="str">
        <f>_xlfn.XLOOKUP(Orders[[#This Row],[ProductID]],Products!A:A,Products!C:C)</f>
        <v>Clothing</v>
      </c>
    </row>
    <row r="1967" spans="1:19" x14ac:dyDescent="0.2">
      <c r="A1967" s="4" t="s">
        <v>2156</v>
      </c>
      <c r="B1967" s="5">
        <v>45963</v>
      </c>
      <c r="C1967" s="15">
        <f>WEEKNUM(Orders[[#This Row],[OrderDate]])</f>
        <v>45</v>
      </c>
      <c r="D1967" s="4" t="s">
        <v>416</v>
      </c>
      <c r="E1967" s="4" t="s">
        <v>20</v>
      </c>
      <c r="F1967" s="4">
        <v>1</v>
      </c>
      <c r="G1967" s="4">
        <v>8278</v>
      </c>
      <c r="H1967">
        <v>7036.3</v>
      </c>
      <c r="I1967">
        <f>Orders[[#This Row],[Quantity]]*Orders[[#This Row],[Selling Price]]</f>
        <v>8278</v>
      </c>
      <c r="J1967">
        <f>Orders[[#This Row],[Quantity]]*Orders[[#This Row],[Cost Price]]</f>
        <v>7036.3</v>
      </c>
      <c r="K1967">
        <f>Orders[[#This Row],[Revenue]]-Orders[[#This Row],[Expenses]]</f>
        <v>1241.6999999999998</v>
      </c>
      <c r="L1967" t="s">
        <v>2208</v>
      </c>
      <c r="M1967" t="str">
        <f>_xlfn.XLOOKUP(Orders[[#This Row],[CustomerID]],Customers[CustomerID],Customers[City])</f>
        <v>Texas</v>
      </c>
      <c r="N1967" t="str">
        <f>_xlfn.XLOOKUP(Orders[[#This Row],[CustomerID]],Customers[CustomerID],Customers[CustomerName])</f>
        <v>Chinedu Igwe</v>
      </c>
      <c r="O1967" t="str">
        <f>_xlfn.XLOOKUP(Orders[[#This Row],[CustomerID]],Customers[CustomerID],Customers[Gender])</f>
        <v>Male</v>
      </c>
      <c r="P1967">
        <f>_xlfn.XLOOKUP(Orders[[#This Row],[CustomerID]],Customers[CustomerID],Customers[CustomerAge])</f>
        <v>26</v>
      </c>
      <c r="Q1967" t="str">
        <f>IF(Orders[[#This Row],[Age]]&gt;=35,"older","young")</f>
        <v>young</v>
      </c>
      <c r="R1967" t="str">
        <f>_xlfn.XLOOKUP(Orders[[#This Row],[ProductID]],Products[ProductID],Products[ProductName])</f>
        <v>GYM BAG</v>
      </c>
      <c r="S1967" t="str">
        <f>_xlfn.XLOOKUP(Orders[[#This Row],[ProductID]],Products!A:A,Products!C:C)</f>
        <v>Gym</v>
      </c>
    </row>
    <row r="1968" spans="1:19" x14ac:dyDescent="0.2">
      <c r="A1968" s="4" t="s">
        <v>2157</v>
      </c>
      <c r="B1968" s="5">
        <v>45995</v>
      </c>
      <c r="C1968" s="15">
        <f>WEEKNUM(Orders[[#This Row],[OrderDate]])</f>
        <v>49</v>
      </c>
      <c r="D1968" s="4" t="s">
        <v>19</v>
      </c>
      <c r="E1968" s="4" t="s">
        <v>70</v>
      </c>
      <c r="F1968" s="4">
        <v>10</v>
      </c>
      <c r="G1968" s="4">
        <v>19044.400000000001</v>
      </c>
      <c r="H1968">
        <v>16187.740000000002</v>
      </c>
      <c r="I1968">
        <f>Orders[[#This Row],[Quantity]]*Orders[[#This Row],[Selling Price]]</f>
        <v>190444</v>
      </c>
      <c r="J1968">
        <f>Orders[[#This Row],[Quantity]]*Orders[[#This Row],[Cost Price]]</f>
        <v>161877.40000000002</v>
      </c>
      <c r="K1968">
        <f>Orders[[#This Row],[Revenue]]-Orders[[#This Row],[Expenses]]</f>
        <v>28566.599999999977</v>
      </c>
      <c r="L1968" t="s">
        <v>2205</v>
      </c>
      <c r="M1968" t="str">
        <f>_xlfn.XLOOKUP(Orders[[#This Row],[CustomerID]],Customers[CustomerID],Customers[City])</f>
        <v>California</v>
      </c>
      <c r="N1968" t="str">
        <f>_xlfn.XLOOKUP(Orders[[#This Row],[CustomerID]],Customers[CustomerID],Customers[CustomerName])</f>
        <v>Obi Adeyemi</v>
      </c>
      <c r="O1968" t="str">
        <f>_xlfn.XLOOKUP(Orders[[#This Row],[CustomerID]],Customers[CustomerID],Customers[Gender])</f>
        <v>Male</v>
      </c>
      <c r="P1968">
        <f>_xlfn.XLOOKUP(Orders[[#This Row],[CustomerID]],Customers[CustomerID],Customers[CustomerAge])</f>
        <v>24</v>
      </c>
      <c r="Q1968" t="str">
        <f>IF(Orders[[#This Row],[Age]]&gt;=35,"older","young")</f>
        <v>young</v>
      </c>
      <c r="R1968" t="str">
        <f>_xlfn.XLOOKUP(Orders[[#This Row],[ProductID]],Products[ProductID],Products[ProductName])</f>
        <v>YOGA MAT</v>
      </c>
      <c r="S1968" t="str">
        <f>_xlfn.XLOOKUP(Orders[[#This Row],[ProductID]],Products!A:A,Products!C:C)</f>
        <v>Gym</v>
      </c>
    </row>
    <row r="1969" spans="1:19" x14ac:dyDescent="0.2">
      <c r="A1969" s="4" t="s">
        <v>2158</v>
      </c>
      <c r="B1969" s="5">
        <v>45964</v>
      </c>
      <c r="C1969" s="15">
        <f>WEEKNUM(Orders[[#This Row],[OrderDate]])</f>
        <v>45</v>
      </c>
      <c r="D1969" s="4" t="s">
        <v>227</v>
      </c>
      <c r="E1969" s="4" t="s">
        <v>81</v>
      </c>
      <c r="F1969" s="4">
        <v>3</v>
      </c>
      <c r="G1969" s="4">
        <v>14943.3</v>
      </c>
      <c r="H1969">
        <v>12701.805</v>
      </c>
      <c r="I1969">
        <f>Orders[[#This Row],[Quantity]]*Orders[[#This Row],[Selling Price]]</f>
        <v>44829.899999999994</v>
      </c>
      <c r="J1969">
        <f>Orders[[#This Row],[Quantity]]*Orders[[#This Row],[Cost Price]]</f>
        <v>38105.415000000001</v>
      </c>
      <c r="K1969">
        <f>Orders[[#This Row],[Revenue]]-Orders[[#This Row],[Expenses]]</f>
        <v>6724.4849999999933</v>
      </c>
      <c r="L1969" t="s">
        <v>2193</v>
      </c>
      <c r="M1969" t="str">
        <f>_xlfn.XLOOKUP(Orders[[#This Row],[CustomerID]],Customers[CustomerID],Customers[City])</f>
        <v>Washington</v>
      </c>
      <c r="N1969" t="str">
        <f>_xlfn.XLOOKUP(Orders[[#This Row],[CustomerID]],Customers[CustomerID],Customers[CustomerName])</f>
        <v>Emmanuel Victor</v>
      </c>
      <c r="O1969" t="str">
        <f>_xlfn.XLOOKUP(Orders[[#This Row],[CustomerID]],Customers[CustomerID],Customers[Gender])</f>
        <v>Male</v>
      </c>
      <c r="P1969">
        <f>_xlfn.XLOOKUP(Orders[[#This Row],[CustomerID]],Customers[CustomerID],Customers[CustomerAge])</f>
        <v>35</v>
      </c>
      <c r="Q1969" t="str">
        <f>IF(Orders[[#This Row],[Age]]&gt;=35,"older","young")</f>
        <v>older</v>
      </c>
      <c r="R1969" t="str">
        <f>_xlfn.XLOOKUP(Orders[[#This Row],[ProductID]],Products[ProductID],Products[ProductName])</f>
        <v>TROUSERS</v>
      </c>
      <c r="S1969" t="str">
        <f>_xlfn.XLOOKUP(Orders[[#This Row],[ProductID]],Products!A:A,Products!C:C)</f>
        <v>Clothing</v>
      </c>
    </row>
    <row r="1970" spans="1:19" x14ac:dyDescent="0.2">
      <c r="A1970" s="4" t="s">
        <v>2159</v>
      </c>
      <c r="B1970" s="5">
        <v>46007</v>
      </c>
      <c r="C1970" s="15">
        <f>WEEKNUM(Orders[[#This Row],[OrderDate]])</f>
        <v>51</v>
      </c>
      <c r="D1970" s="4" t="s">
        <v>161</v>
      </c>
      <c r="E1970" s="4" t="s">
        <v>23</v>
      </c>
      <c r="F1970" s="4">
        <v>10</v>
      </c>
      <c r="G1970" s="4">
        <v>4723.3</v>
      </c>
      <c r="H1970">
        <v>4014.8050000000003</v>
      </c>
      <c r="I1970">
        <f>Orders[[#This Row],[Quantity]]*Orders[[#This Row],[Selling Price]]</f>
        <v>47233</v>
      </c>
      <c r="J1970">
        <f>Orders[[#This Row],[Quantity]]*Orders[[#This Row],[Cost Price]]</f>
        <v>40148.050000000003</v>
      </c>
      <c r="K1970">
        <f>Orders[[#This Row],[Revenue]]-Orders[[#This Row],[Expenses]]</f>
        <v>7084.9499999999971</v>
      </c>
      <c r="L1970" t="s">
        <v>2193</v>
      </c>
      <c r="M1970" t="str">
        <f>_xlfn.XLOOKUP(Orders[[#This Row],[CustomerID]],Customers[CustomerID],Customers[City])</f>
        <v>Georgia</v>
      </c>
      <c r="N1970" t="str">
        <f>_xlfn.XLOOKUP(Orders[[#This Row],[CustomerID]],Customers[CustomerID],Customers[CustomerName])</f>
        <v>Okon Adeyemi</v>
      </c>
      <c r="O1970" t="str">
        <f>_xlfn.XLOOKUP(Orders[[#This Row],[CustomerID]],Customers[CustomerID],Customers[Gender])</f>
        <v>Male</v>
      </c>
      <c r="P1970">
        <f>_xlfn.XLOOKUP(Orders[[#This Row],[CustomerID]],Customers[CustomerID],Customers[CustomerAge])</f>
        <v>31</v>
      </c>
      <c r="Q1970" t="str">
        <f>IF(Orders[[#This Row],[Age]]&gt;=35,"older","young")</f>
        <v>young</v>
      </c>
      <c r="R1970" t="str">
        <f>_xlfn.XLOOKUP(Orders[[#This Row],[ProductID]],Products[ProductID],Products[ProductName])</f>
        <v>GYM GLOVES</v>
      </c>
      <c r="S1970" t="str">
        <f>_xlfn.XLOOKUP(Orders[[#This Row],[ProductID]],Products!A:A,Products!C:C)</f>
        <v>Gym</v>
      </c>
    </row>
    <row r="1971" spans="1:19" x14ac:dyDescent="0.2">
      <c r="A1971" s="4" t="s">
        <v>2160</v>
      </c>
      <c r="B1971" s="5">
        <v>45966</v>
      </c>
      <c r="C1971" s="15">
        <f>WEEKNUM(Orders[[#This Row],[OrderDate]])</f>
        <v>45</v>
      </c>
      <c r="D1971" s="4" t="s">
        <v>110</v>
      </c>
      <c r="E1971" s="4" t="s">
        <v>232</v>
      </c>
      <c r="F1971" s="4">
        <v>6</v>
      </c>
      <c r="G1971" s="4">
        <v>5682.1</v>
      </c>
      <c r="H1971">
        <v>4829.7849999999999</v>
      </c>
      <c r="I1971">
        <f>Orders[[#This Row],[Quantity]]*Orders[[#This Row],[Selling Price]]</f>
        <v>34092.600000000006</v>
      </c>
      <c r="J1971">
        <f>Orders[[#This Row],[Quantity]]*Orders[[#This Row],[Cost Price]]</f>
        <v>28978.71</v>
      </c>
      <c r="K1971">
        <f>Orders[[#This Row],[Revenue]]-Orders[[#This Row],[Expenses]]</f>
        <v>5113.8900000000067</v>
      </c>
      <c r="L1971" t="s">
        <v>2218</v>
      </c>
      <c r="M1971" t="str">
        <f>_xlfn.XLOOKUP(Orders[[#This Row],[CustomerID]],Customers[CustomerID],Customers[City])</f>
        <v>Washington</v>
      </c>
      <c r="N1971" t="str">
        <f>_xlfn.XLOOKUP(Orders[[#This Row],[CustomerID]],Customers[CustomerID],Customers[CustomerName])</f>
        <v>Ngozi Danladi</v>
      </c>
      <c r="O1971" t="str">
        <f>_xlfn.XLOOKUP(Orders[[#This Row],[CustomerID]],Customers[CustomerID],Customers[Gender])</f>
        <v>Female</v>
      </c>
      <c r="P1971">
        <f>_xlfn.XLOOKUP(Orders[[#This Row],[CustomerID]],Customers[CustomerID],Customers[CustomerAge])</f>
        <v>28</v>
      </c>
      <c r="Q1971" t="str">
        <f>IF(Orders[[#This Row],[Age]]&gt;=35,"older","young")</f>
        <v>young</v>
      </c>
      <c r="R1971" t="str">
        <f>_xlfn.XLOOKUP(Orders[[#This Row],[ProductID]],Products[ProductID],Products[ProductName])</f>
        <v>ANKARA</v>
      </c>
      <c r="S1971" t="str">
        <f>_xlfn.XLOOKUP(Orders[[#This Row],[ProductID]],Products!A:A,Products!C:C)</f>
        <v>Clothing</v>
      </c>
    </row>
    <row r="1972" spans="1:19" x14ac:dyDescent="0.2">
      <c r="A1972" s="4" t="s">
        <v>2161</v>
      </c>
      <c r="B1972" s="5">
        <v>46021</v>
      </c>
      <c r="C1972" s="15">
        <f>WEEKNUM(Orders[[#This Row],[OrderDate]])</f>
        <v>53</v>
      </c>
      <c r="D1972" s="4" t="s">
        <v>320</v>
      </c>
      <c r="E1972" s="4" t="s">
        <v>25</v>
      </c>
      <c r="F1972" s="4">
        <v>3</v>
      </c>
      <c r="G1972" s="4">
        <v>8726.7999999999993</v>
      </c>
      <c r="H1972">
        <v>7417.78</v>
      </c>
      <c r="I1972">
        <f>Orders[[#This Row],[Quantity]]*Orders[[#This Row],[Selling Price]]</f>
        <v>26180.399999999998</v>
      </c>
      <c r="J1972">
        <f>Orders[[#This Row],[Quantity]]*Orders[[#This Row],[Cost Price]]</f>
        <v>22253.34</v>
      </c>
      <c r="K1972">
        <f>Orders[[#This Row],[Revenue]]-Orders[[#This Row],[Expenses]]</f>
        <v>3927.0599999999977</v>
      </c>
      <c r="L1972" t="s">
        <v>2209</v>
      </c>
      <c r="M1972" t="str">
        <f>_xlfn.XLOOKUP(Orders[[#This Row],[CustomerID]],Customers[CustomerID],Customers[City])</f>
        <v>Texas</v>
      </c>
      <c r="N1972" t="str">
        <f>_xlfn.XLOOKUP(Orders[[#This Row],[CustomerID]],Customers[CustomerID],Customers[CustomerName])</f>
        <v>Temi Okonkwo</v>
      </c>
      <c r="O1972" t="str">
        <f>_xlfn.XLOOKUP(Orders[[#This Row],[CustomerID]],Customers[CustomerID],Customers[Gender])</f>
        <v>Female</v>
      </c>
      <c r="P1972">
        <f>_xlfn.XLOOKUP(Orders[[#This Row],[CustomerID]],Customers[CustomerID],Customers[CustomerAge])</f>
        <v>31</v>
      </c>
      <c r="Q1972" t="str">
        <f>IF(Orders[[#This Row],[Age]]&gt;=35,"older","young")</f>
        <v>young</v>
      </c>
      <c r="R1972" t="str">
        <f>_xlfn.XLOOKUP(Orders[[#This Row],[ProductID]],Products[ProductID],Products[ProductName])</f>
        <v>GOLD RINGS</v>
      </c>
      <c r="S1972" t="str">
        <f>_xlfn.XLOOKUP(Orders[[#This Row],[ProductID]],Products!A:A,Products!C:C)</f>
        <v>Accessories</v>
      </c>
    </row>
    <row r="1973" spans="1:19" x14ac:dyDescent="0.2">
      <c r="A1973" s="4" t="s">
        <v>2162</v>
      </c>
      <c r="B1973" s="5">
        <v>45972</v>
      </c>
      <c r="C1973" s="15">
        <f>WEEKNUM(Orders[[#This Row],[OrderDate]])</f>
        <v>46</v>
      </c>
      <c r="D1973" s="4" t="s">
        <v>418</v>
      </c>
      <c r="E1973" s="4" t="s">
        <v>28</v>
      </c>
      <c r="F1973" s="4">
        <v>5</v>
      </c>
      <c r="G1973" s="4">
        <v>4807.2000000000007</v>
      </c>
      <c r="H1973">
        <v>4086.1200000000008</v>
      </c>
      <c r="I1973">
        <f>Orders[[#This Row],[Quantity]]*Orders[[#This Row],[Selling Price]]</f>
        <v>24036.000000000004</v>
      </c>
      <c r="J1973">
        <f>Orders[[#This Row],[Quantity]]*Orders[[#This Row],[Cost Price]]</f>
        <v>20430.600000000006</v>
      </c>
      <c r="K1973">
        <f>Orders[[#This Row],[Revenue]]-Orders[[#This Row],[Expenses]]</f>
        <v>3605.3999999999978</v>
      </c>
      <c r="L1973" t="s">
        <v>2193</v>
      </c>
      <c r="M1973" t="str">
        <f>_xlfn.XLOOKUP(Orders[[#This Row],[CustomerID]],Customers[CustomerID],Customers[City])</f>
        <v>Illinois</v>
      </c>
      <c r="N1973" t="str">
        <f>_xlfn.XLOOKUP(Orders[[#This Row],[CustomerID]],Customers[CustomerID],Customers[CustomerName])</f>
        <v>Amina Danladi</v>
      </c>
      <c r="O1973" t="str">
        <f>_xlfn.XLOOKUP(Orders[[#This Row],[CustomerID]],Customers[CustomerID],Customers[Gender])</f>
        <v>Female</v>
      </c>
      <c r="P1973">
        <f>_xlfn.XLOOKUP(Orders[[#This Row],[CustomerID]],Customers[CustomerID],Customers[CustomerAge])</f>
        <v>20</v>
      </c>
      <c r="Q1973" t="str">
        <f>IF(Orders[[#This Row],[Age]]&gt;=35,"older","young")</f>
        <v>young</v>
      </c>
      <c r="R1973" t="str">
        <f>_xlfn.XLOOKUP(Orders[[#This Row],[ProductID]],Products[ProductID],Products[ProductName])</f>
        <v>SNEAKERS</v>
      </c>
      <c r="S1973" t="str">
        <f>_xlfn.XLOOKUP(Orders[[#This Row],[ProductID]],Products!A:A,Products!C:C)</f>
        <v>Sports</v>
      </c>
    </row>
    <row r="1974" spans="1:19" x14ac:dyDescent="0.2">
      <c r="A1974" s="4" t="s">
        <v>2163</v>
      </c>
      <c r="B1974" s="5">
        <v>45946</v>
      </c>
      <c r="C1974" s="15">
        <f>WEEKNUM(Orders[[#This Row],[OrderDate]])</f>
        <v>42</v>
      </c>
      <c r="D1974" s="4" t="s">
        <v>246</v>
      </c>
      <c r="E1974" s="4" t="s">
        <v>189</v>
      </c>
      <c r="F1974" s="4">
        <v>2</v>
      </c>
      <c r="G1974" s="4">
        <v>11842.6</v>
      </c>
      <c r="H1974">
        <v>10066.210000000001</v>
      </c>
      <c r="I1974">
        <f>Orders[[#This Row],[Quantity]]*Orders[[#This Row],[Selling Price]]</f>
        <v>23685.200000000001</v>
      </c>
      <c r="J1974">
        <f>Orders[[#This Row],[Quantity]]*Orders[[#This Row],[Cost Price]]</f>
        <v>20132.420000000002</v>
      </c>
      <c r="K1974">
        <f>Orders[[#This Row],[Revenue]]-Orders[[#This Row],[Expenses]]</f>
        <v>3552.7799999999988</v>
      </c>
      <c r="L1974" t="s">
        <v>2199</v>
      </c>
      <c r="M1974" t="str">
        <f>_xlfn.XLOOKUP(Orders[[#This Row],[CustomerID]],Customers[CustomerID],Customers[City])</f>
        <v>Florida</v>
      </c>
      <c r="N1974" t="str">
        <f>_xlfn.XLOOKUP(Orders[[#This Row],[CustomerID]],Customers[CustomerID],Customers[CustomerName])</f>
        <v>Emeka Abubakar</v>
      </c>
      <c r="O1974" t="str">
        <f>_xlfn.XLOOKUP(Orders[[#This Row],[CustomerID]],Customers[CustomerID],Customers[Gender])</f>
        <v>Male</v>
      </c>
      <c r="P1974">
        <f>_xlfn.XLOOKUP(Orders[[#This Row],[CustomerID]],Customers[CustomerID],Customers[CustomerAge])</f>
        <v>28</v>
      </c>
      <c r="Q1974" t="str">
        <f>IF(Orders[[#This Row],[Age]]&gt;=35,"older","young")</f>
        <v>young</v>
      </c>
      <c r="R1974" t="str">
        <f>_xlfn.XLOOKUP(Orders[[#This Row],[ProductID]],Products[ProductID],Products[ProductName])</f>
        <v>SCRABBLE</v>
      </c>
      <c r="S1974" t="str">
        <f>_xlfn.XLOOKUP(Orders[[#This Row],[ProductID]],Products!A:A,Products!C:C)</f>
        <v>Games</v>
      </c>
    </row>
    <row r="1975" spans="1:19" x14ac:dyDescent="0.2">
      <c r="A1975" s="4" t="s">
        <v>2164</v>
      </c>
      <c r="B1975" s="5">
        <v>45968</v>
      </c>
      <c r="C1975" s="15">
        <f>WEEKNUM(Orders[[#This Row],[OrderDate]])</f>
        <v>45</v>
      </c>
      <c r="D1975" s="4" t="s">
        <v>320</v>
      </c>
      <c r="E1975" s="4" t="s">
        <v>9</v>
      </c>
      <c r="F1975" s="4">
        <v>8</v>
      </c>
      <c r="G1975" s="4">
        <v>12916.6</v>
      </c>
      <c r="H1975">
        <v>10979.11</v>
      </c>
      <c r="I1975">
        <f>Orders[[#This Row],[Quantity]]*Orders[[#This Row],[Selling Price]]</f>
        <v>103332.8</v>
      </c>
      <c r="J1975">
        <f>Orders[[#This Row],[Quantity]]*Orders[[#This Row],[Cost Price]]</f>
        <v>87832.88</v>
      </c>
      <c r="K1975">
        <f>Orders[[#This Row],[Revenue]]-Orders[[#This Row],[Expenses]]</f>
        <v>15499.919999999998</v>
      </c>
      <c r="L1975" t="s">
        <v>2199</v>
      </c>
      <c r="M1975" t="str">
        <f>_xlfn.XLOOKUP(Orders[[#This Row],[CustomerID]],Customers[CustomerID],Customers[City])</f>
        <v>Texas</v>
      </c>
      <c r="N1975" t="str">
        <f>_xlfn.XLOOKUP(Orders[[#This Row],[CustomerID]],Customers[CustomerID],Customers[CustomerName])</f>
        <v>Temi Okonkwo</v>
      </c>
      <c r="O1975" t="str">
        <f>_xlfn.XLOOKUP(Orders[[#This Row],[CustomerID]],Customers[CustomerID],Customers[Gender])</f>
        <v>Female</v>
      </c>
      <c r="P1975">
        <f>_xlfn.XLOOKUP(Orders[[#This Row],[CustomerID]],Customers[CustomerID],Customers[CustomerAge])</f>
        <v>31</v>
      </c>
      <c r="Q1975" t="str">
        <f>IF(Orders[[#This Row],[Age]]&gt;=35,"older","young")</f>
        <v>young</v>
      </c>
      <c r="R1975" t="str">
        <f>_xlfn.XLOOKUP(Orders[[#This Row],[ProductID]],Products[ProductID],Products[ProductName])</f>
        <v>BEADED EARRINGS AND NECKLACES</v>
      </c>
      <c r="S1975" t="str">
        <f>_xlfn.XLOOKUP(Orders[[#This Row],[ProductID]],Products!A:A,Products!C:C)</f>
        <v>Accessories</v>
      </c>
    </row>
    <row r="1976" spans="1:19" x14ac:dyDescent="0.2">
      <c r="A1976" s="4" t="s">
        <v>2165</v>
      </c>
      <c r="B1976" s="5">
        <v>45994</v>
      </c>
      <c r="C1976" s="15">
        <f>WEEKNUM(Orders[[#This Row],[OrderDate]])</f>
        <v>49</v>
      </c>
      <c r="D1976" s="4" t="s">
        <v>203</v>
      </c>
      <c r="E1976" s="4" t="s">
        <v>63</v>
      </c>
      <c r="F1976" s="4">
        <v>6</v>
      </c>
      <c r="G1976" s="4">
        <v>12211.300000000001</v>
      </c>
      <c r="H1976">
        <v>10379.605000000001</v>
      </c>
      <c r="I1976">
        <f>Orders[[#This Row],[Quantity]]*Orders[[#This Row],[Selling Price]]</f>
        <v>73267.8</v>
      </c>
      <c r="J1976">
        <f>Orders[[#This Row],[Quantity]]*Orders[[#This Row],[Cost Price]]</f>
        <v>62277.630000000005</v>
      </c>
      <c r="K1976">
        <f>Orders[[#This Row],[Revenue]]-Orders[[#This Row],[Expenses]]</f>
        <v>10990.169999999998</v>
      </c>
      <c r="L1976" t="s">
        <v>2195</v>
      </c>
      <c r="M1976" t="str">
        <f>_xlfn.XLOOKUP(Orders[[#This Row],[CustomerID]],Customers[CustomerID],Customers[City])</f>
        <v>Texas</v>
      </c>
      <c r="N1976" t="str">
        <f>_xlfn.XLOOKUP(Orders[[#This Row],[CustomerID]],Customers[CustomerID],Customers[CustomerName])</f>
        <v>Okon Bello</v>
      </c>
      <c r="O1976" t="str">
        <f>_xlfn.XLOOKUP(Orders[[#This Row],[CustomerID]],Customers[CustomerID],Customers[Gender])</f>
        <v>Male</v>
      </c>
      <c r="P1976">
        <f>_xlfn.XLOOKUP(Orders[[#This Row],[CustomerID]],Customers[CustomerID],Customers[CustomerAge])</f>
        <v>20</v>
      </c>
      <c r="Q1976" t="str">
        <f>IF(Orders[[#This Row],[Age]]&gt;=35,"older","young")</f>
        <v>young</v>
      </c>
      <c r="R1976" t="str">
        <f>_xlfn.XLOOKUP(Orders[[#This Row],[ProductID]],Products[ProductID],Products[ProductName])</f>
        <v>TENNIS BAT</v>
      </c>
      <c r="S1976" t="str">
        <f>_xlfn.XLOOKUP(Orders[[#This Row],[ProductID]],Products!A:A,Products!C:C)</f>
        <v>Sports</v>
      </c>
    </row>
    <row r="1977" spans="1:19" x14ac:dyDescent="0.2">
      <c r="A1977" s="4" t="s">
        <v>2166</v>
      </c>
      <c r="B1977" s="5">
        <v>45965</v>
      </c>
      <c r="C1977" s="15">
        <f>WEEKNUM(Orders[[#This Row],[OrderDate]])</f>
        <v>45</v>
      </c>
      <c r="D1977" s="4" t="s">
        <v>757</v>
      </c>
      <c r="E1977" s="4" t="s">
        <v>66</v>
      </c>
      <c r="F1977" s="4">
        <v>3</v>
      </c>
      <c r="G1977" s="4">
        <v>16610.3</v>
      </c>
      <c r="H1977">
        <v>14118.754999999999</v>
      </c>
      <c r="I1977">
        <f>Orders[[#This Row],[Quantity]]*Orders[[#This Row],[Selling Price]]</f>
        <v>49830.899999999994</v>
      </c>
      <c r="J1977">
        <f>Orders[[#This Row],[Quantity]]*Orders[[#This Row],[Cost Price]]</f>
        <v>42356.264999999999</v>
      </c>
      <c r="K1977">
        <f>Orders[[#This Row],[Revenue]]-Orders[[#This Row],[Expenses]]</f>
        <v>7474.6349999999948</v>
      </c>
      <c r="L1977" t="s">
        <v>2203</v>
      </c>
      <c r="M1977" t="str">
        <f>_xlfn.XLOOKUP(Orders[[#This Row],[CustomerID]],Customers[CustomerID],Customers[City])</f>
        <v>Texas</v>
      </c>
      <c r="N1977" t="str">
        <f>_xlfn.XLOOKUP(Orders[[#This Row],[CustomerID]],Customers[CustomerID],Customers[CustomerName])</f>
        <v>Okon Balogun</v>
      </c>
      <c r="O1977" t="str">
        <f>_xlfn.XLOOKUP(Orders[[#This Row],[CustomerID]],Customers[CustomerID],Customers[Gender])</f>
        <v>Male</v>
      </c>
      <c r="P1977">
        <f>_xlfn.XLOOKUP(Orders[[#This Row],[CustomerID]],Customers[CustomerID],Customers[CustomerAge])</f>
        <v>20</v>
      </c>
      <c r="Q1977" t="str">
        <f>IF(Orders[[#This Row],[Age]]&gt;=35,"older","young")</f>
        <v>young</v>
      </c>
      <c r="R1977" t="str">
        <f>_xlfn.XLOOKUP(Orders[[#This Row],[ProductID]],Products[ProductID],Products[ProductName])</f>
        <v>MICROWAVE</v>
      </c>
      <c r="S1977" t="str">
        <f>_xlfn.XLOOKUP(Orders[[#This Row],[ProductID]],Products!A:A,Products!C:C)</f>
        <v>Electronics</v>
      </c>
    </row>
    <row r="1978" spans="1:19" x14ac:dyDescent="0.2">
      <c r="A1978" s="4" t="s">
        <v>2167</v>
      </c>
      <c r="B1978" s="5">
        <v>45994</v>
      </c>
      <c r="C1978" s="15">
        <f>WEEKNUM(Orders[[#This Row],[OrderDate]])</f>
        <v>49</v>
      </c>
      <c r="D1978" s="4" t="s">
        <v>27</v>
      </c>
      <c r="E1978" s="4" t="s">
        <v>23</v>
      </c>
      <c r="F1978" s="4">
        <v>10</v>
      </c>
      <c r="G1978" s="4">
        <v>17408.3</v>
      </c>
      <c r="H1978">
        <v>14797.055</v>
      </c>
      <c r="I1978">
        <f>Orders[[#This Row],[Quantity]]*Orders[[#This Row],[Selling Price]]</f>
        <v>174083</v>
      </c>
      <c r="J1978">
        <f>Orders[[#This Row],[Quantity]]*Orders[[#This Row],[Cost Price]]</f>
        <v>147970.54999999999</v>
      </c>
      <c r="K1978">
        <f>Orders[[#This Row],[Revenue]]-Orders[[#This Row],[Expenses]]</f>
        <v>26112.450000000012</v>
      </c>
      <c r="L1978" t="s">
        <v>2207</v>
      </c>
      <c r="M1978" t="str">
        <f>_xlfn.XLOOKUP(Orders[[#This Row],[CustomerID]],Customers[CustomerID],Customers[City])</f>
        <v>Illinois</v>
      </c>
      <c r="N1978" t="str">
        <f>_xlfn.XLOOKUP(Orders[[#This Row],[CustomerID]],Customers[CustomerID],Customers[CustomerName])</f>
        <v>Okon Ojo</v>
      </c>
      <c r="O1978" t="str">
        <f>_xlfn.XLOOKUP(Orders[[#This Row],[CustomerID]],Customers[CustomerID],Customers[Gender])</f>
        <v>Male</v>
      </c>
      <c r="P1978">
        <f>_xlfn.XLOOKUP(Orders[[#This Row],[CustomerID]],Customers[CustomerID],Customers[CustomerAge])</f>
        <v>32</v>
      </c>
      <c r="Q1978" t="str">
        <f>IF(Orders[[#This Row],[Age]]&gt;=35,"older","young")</f>
        <v>young</v>
      </c>
      <c r="R1978" t="str">
        <f>_xlfn.XLOOKUP(Orders[[#This Row],[ProductID]],Products[ProductID],Products[ProductName])</f>
        <v>GYM GLOVES</v>
      </c>
      <c r="S1978" t="str">
        <f>_xlfn.XLOOKUP(Orders[[#This Row],[ProductID]],Products!A:A,Products!C:C)</f>
        <v>Gym</v>
      </c>
    </row>
    <row r="1979" spans="1:19" x14ac:dyDescent="0.2">
      <c r="A1979" s="4" t="s">
        <v>2168</v>
      </c>
      <c r="B1979" s="5">
        <v>45946</v>
      </c>
      <c r="C1979" s="15">
        <f>WEEKNUM(Orders[[#This Row],[OrderDate]])</f>
        <v>42</v>
      </c>
      <c r="D1979" s="4" t="s">
        <v>324</v>
      </c>
      <c r="E1979" s="4" t="s">
        <v>92</v>
      </c>
      <c r="F1979" s="4">
        <v>4</v>
      </c>
      <c r="G1979" s="4">
        <v>12010</v>
      </c>
      <c r="H1979">
        <v>10208.5</v>
      </c>
      <c r="I1979">
        <f>Orders[[#This Row],[Quantity]]*Orders[[#This Row],[Selling Price]]</f>
        <v>48040</v>
      </c>
      <c r="J1979">
        <f>Orders[[#This Row],[Quantity]]*Orders[[#This Row],[Cost Price]]</f>
        <v>40834</v>
      </c>
      <c r="K1979">
        <f>Orders[[#This Row],[Revenue]]-Orders[[#This Row],[Expenses]]</f>
        <v>7206</v>
      </c>
      <c r="L1979" t="s">
        <v>2204</v>
      </c>
      <c r="M1979" t="str">
        <f>_xlfn.XLOOKUP(Orders[[#This Row],[CustomerID]],Customers[CustomerID],Customers[City])</f>
        <v>Texas</v>
      </c>
      <c r="N1979" t="str">
        <f>_xlfn.XLOOKUP(Orders[[#This Row],[CustomerID]],Customers[CustomerID],Customers[CustomerName])</f>
        <v>Tunde Okonkwo</v>
      </c>
      <c r="O1979" t="str">
        <f>_xlfn.XLOOKUP(Orders[[#This Row],[CustomerID]],Customers[CustomerID],Customers[Gender])</f>
        <v>Male</v>
      </c>
      <c r="P1979">
        <f>_xlfn.XLOOKUP(Orders[[#This Row],[CustomerID]],Customers[CustomerID],Customers[CustomerAge])</f>
        <v>25</v>
      </c>
      <c r="Q1979" t="str">
        <f>IF(Orders[[#This Row],[Age]]&gt;=35,"older","young")</f>
        <v>young</v>
      </c>
      <c r="R1979" t="str">
        <f>_xlfn.XLOOKUP(Orders[[#This Row],[ProductID]],Products[ProductID],Products[ProductName])</f>
        <v>CHEST EXPANDER</v>
      </c>
      <c r="S1979" t="str">
        <f>_xlfn.XLOOKUP(Orders[[#This Row],[ProductID]],Products!A:A,Products!C:C)</f>
        <v>Gym</v>
      </c>
    </row>
    <row r="1980" spans="1:19" x14ac:dyDescent="0.2">
      <c r="A1980" s="4" t="s">
        <v>2169</v>
      </c>
      <c r="B1980" s="5">
        <v>45998</v>
      </c>
      <c r="C1980" s="15">
        <f>WEEKNUM(Orders[[#This Row],[OrderDate]])</f>
        <v>50</v>
      </c>
      <c r="D1980" s="4" t="s">
        <v>140</v>
      </c>
      <c r="E1980" s="4" t="s">
        <v>25</v>
      </c>
      <c r="F1980" s="4">
        <v>2</v>
      </c>
      <c r="G1980" s="4">
        <v>14347.3</v>
      </c>
      <c r="H1980">
        <v>12195.205</v>
      </c>
      <c r="I1980">
        <f>Orders[[#This Row],[Quantity]]*Orders[[#This Row],[Selling Price]]</f>
        <v>28694.6</v>
      </c>
      <c r="J1980">
        <f>Orders[[#This Row],[Quantity]]*Orders[[#This Row],[Cost Price]]</f>
        <v>24390.41</v>
      </c>
      <c r="K1980">
        <f>Orders[[#This Row],[Revenue]]-Orders[[#This Row],[Expenses]]</f>
        <v>4304.1899999999987</v>
      </c>
      <c r="L1980" t="s">
        <v>2202</v>
      </c>
      <c r="M1980" t="str">
        <f>_xlfn.XLOOKUP(Orders[[#This Row],[CustomerID]],Customers[CustomerID],Customers[City])</f>
        <v>Washington</v>
      </c>
      <c r="N1980" t="str">
        <f>_xlfn.XLOOKUP(Orders[[#This Row],[CustomerID]],Customers[CustomerID],Customers[CustomerName])</f>
        <v>Tunde Igwe</v>
      </c>
      <c r="O1980" t="str">
        <f>_xlfn.XLOOKUP(Orders[[#This Row],[CustomerID]],Customers[CustomerID],Customers[Gender])</f>
        <v>Male</v>
      </c>
      <c r="P1980">
        <f>_xlfn.XLOOKUP(Orders[[#This Row],[CustomerID]],Customers[CustomerID],Customers[CustomerAge])</f>
        <v>20</v>
      </c>
      <c r="Q1980" t="str">
        <f>IF(Orders[[#This Row],[Age]]&gt;=35,"older","young")</f>
        <v>young</v>
      </c>
      <c r="R1980" t="str">
        <f>_xlfn.XLOOKUP(Orders[[#This Row],[ProductID]],Products[ProductID],Products[ProductName])</f>
        <v>GOLD RINGS</v>
      </c>
      <c r="S1980" t="str">
        <f>_xlfn.XLOOKUP(Orders[[#This Row],[ProductID]],Products!A:A,Products!C:C)</f>
        <v>Accessories</v>
      </c>
    </row>
    <row r="1981" spans="1:19" x14ac:dyDescent="0.2">
      <c r="A1981" s="4" t="s">
        <v>2170</v>
      </c>
      <c r="B1981" s="5">
        <v>45984</v>
      </c>
      <c r="C1981" s="15">
        <f>WEEKNUM(Orders[[#This Row],[OrderDate]])</f>
        <v>48</v>
      </c>
      <c r="D1981" s="4" t="s">
        <v>94</v>
      </c>
      <c r="E1981" s="4" t="s">
        <v>46</v>
      </c>
      <c r="F1981" s="4">
        <v>6</v>
      </c>
      <c r="G1981" s="4">
        <v>11841.199999999999</v>
      </c>
      <c r="H1981">
        <v>10065.019999999999</v>
      </c>
      <c r="I1981">
        <f>Orders[[#This Row],[Quantity]]*Orders[[#This Row],[Selling Price]]</f>
        <v>71047.199999999997</v>
      </c>
      <c r="J1981">
        <f>Orders[[#This Row],[Quantity]]*Orders[[#This Row],[Cost Price]]</f>
        <v>60390.119999999995</v>
      </c>
      <c r="K1981">
        <f>Orders[[#This Row],[Revenue]]-Orders[[#This Row],[Expenses]]</f>
        <v>10657.080000000002</v>
      </c>
      <c r="L1981" t="s">
        <v>2206</v>
      </c>
      <c r="M1981" t="str">
        <f>_xlfn.XLOOKUP(Orders[[#This Row],[CustomerID]],Customers[CustomerID],Customers[City])</f>
        <v>Texas</v>
      </c>
      <c r="N1981" t="str">
        <f>_xlfn.XLOOKUP(Orders[[#This Row],[CustomerID]],Customers[CustomerID],Customers[CustomerName])</f>
        <v>Uche Abubakar</v>
      </c>
      <c r="O1981" t="str">
        <f>_xlfn.XLOOKUP(Orders[[#This Row],[CustomerID]],Customers[CustomerID],Customers[Gender])</f>
        <v>Male</v>
      </c>
      <c r="P1981">
        <f>_xlfn.XLOOKUP(Orders[[#This Row],[CustomerID]],Customers[CustomerID],Customers[CustomerAge])</f>
        <v>26</v>
      </c>
      <c r="Q1981" t="str">
        <f>IF(Orders[[#This Row],[Age]]&gt;=35,"older","young")</f>
        <v>young</v>
      </c>
      <c r="R1981" t="str">
        <f>_xlfn.XLOOKUP(Orders[[#This Row],[ProductID]],Products[ProductID],Products[ProductName])</f>
        <v>TURTLE NECK</v>
      </c>
      <c r="S1981" t="str">
        <f>_xlfn.XLOOKUP(Orders[[#This Row],[ProductID]],Products!A:A,Products!C:C)</f>
        <v>Clothing</v>
      </c>
    </row>
    <row r="1982" spans="1:19" x14ac:dyDescent="0.2">
      <c r="A1982" s="4" t="s">
        <v>2171</v>
      </c>
      <c r="B1982" s="5">
        <v>45988</v>
      </c>
      <c r="C1982" s="15">
        <f>WEEKNUM(Orders[[#This Row],[OrderDate]])</f>
        <v>48</v>
      </c>
      <c r="D1982" s="4" t="s">
        <v>481</v>
      </c>
      <c r="E1982" s="4" t="s">
        <v>92</v>
      </c>
      <c r="F1982" s="4">
        <v>3</v>
      </c>
      <c r="G1982" s="4">
        <v>18353.699999999997</v>
      </c>
      <c r="H1982">
        <v>15600.644999999997</v>
      </c>
      <c r="I1982">
        <f>Orders[[#This Row],[Quantity]]*Orders[[#This Row],[Selling Price]]</f>
        <v>55061.099999999991</v>
      </c>
      <c r="J1982">
        <f>Orders[[#This Row],[Quantity]]*Orders[[#This Row],[Cost Price]]</f>
        <v>46801.93499999999</v>
      </c>
      <c r="K1982">
        <f>Orders[[#This Row],[Revenue]]-Orders[[#This Row],[Expenses]]</f>
        <v>8259.1650000000009</v>
      </c>
      <c r="L1982" t="s">
        <v>2201</v>
      </c>
      <c r="M1982" t="str">
        <f>_xlfn.XLOOKUP(Orders[[#This Row],[CustomerID]],Customers[CustomerID],Customers[City])</f>
        <v>Illinois</v>
      </c>
      <c r="N1982" t="str">
        <f>_xlfn.XLOOKUP(Orders[[#This Row],[CustomerID]],Customers[CustomerID],Customers[CustomerName])</f>
        <v>Abiola Bello</v>
      </c>
      <c r="O1982" t="str">
        <f>_xlfn.XLOOKUP(Orders[[#This Row],[CustomerID]],Customers[CustomerID],Customers[Gender])</f>
        <v>Male</v>
      </c>
      <c r="P1982">
        <f>_xlfn.XLOOKUP(Orders[[#This Row],[CustomerID]],Customers[CustomerID],Customers[CustomerAge])</f>
        <v>33</v>
      </c>
      <c r="Q1982" t="str">
        <f>IF(Orders[[#This Row],[Age]]&gt;=35,"older","young")</f>
        <v>young</v>
      </c>
      <c r="R1982" t="str">
        <f>_xlfn.XLOOKUP(Orders[[#This Row],[ProductID]],Products[ProductID],Products[ProductName])</f>
        <v>CHEST EXPANDER</v>
      </c>
      <c r="S1982" t="str">
        <f>_xlfn.XLOOKUP(Orders[[#This Row],[ProductID]],Products!A:A,Products!C:C)</f>
        <v>Gym</v>
      </c>
    </row>
    <row r="1983" spans="1:19" x14ac:dyDescent="0.2">
      <c r="A1983" s="4" t="s">
        <v>2172</v>
      </c>
      <c r="B1983" s="5">
        <v>46017</v>
      </c>
      <c r="C1983" s="15">
        <f>WEEKNUM(Orders[[#This Row],[OrderDate]])</f>
        <v>52</v>
      </c>
      <c r="D1983" s="4" t="s">
        <v>552</v>
      </c>
      <c r="E1983" s="4" t="s">
        <v>46</v>
      </c>
      <c r="F1983" s="4">
        <v>3</v>
      </c>
      <c r="G1983" s="4">
        <v>15517.6</v>
      </c>
      <c r="H1983">
        <v>13189.960000000001</v>
      </c>
      <c r="I1983">
        <f>Orders[[#This Row],[Quantity]]*Orders[[#This Row],[Selling Price]]</f>
        <v>46552.800000000003</v>
      </c>
      <c r="J1983">
        <f>Orders[[#This Row],[Quantity]]*Orders[[#This Row],[Cost Price]]</f>
        <v>39569.880000000005</v>
      </c>
      <c r="K1983">
        <f>Orders[[#This Row],[Revenue]]-Orders[[#This Row],[Expenses]]</f>
        <v>6982.9199999999983</v>
      </c>
      <c r="L1983" t="s">
        <v>2199</v>
      </c>
      <c r="M1983" t="str">
        <f>_xlfn.XLOOKUP(Orders[[#This Row],[CustomerID]],Customers[CustomerID],Customers[City])</f>
        <v>Georgia</v>
      </c>
      <c r="N1983" t="str">
        <f>_xlfn.XLOOKUP(Orders[[#This Row],[CustomerID]],Customers[CustomerID],Customers[CustomerName])</f>
        <v>Chioma Eze</v>
      </c>
      <c r="O1983" t="str">
        <f>_xlfn.XLOOKUP(Orders[[#This Row],[CustomerID]],Customers[CustomerID],Customers[Gender])</f>
        <v>Female</v>
      </c>
      <c r="P1983">
        <f>_xlfn.XLOOKUP(Orders[[#This Row],[CustomerID]],Customers[CustomerID],Customers[CustomerAge])</f>
        <v>40</v>
      </c>
      <c r="Q1983" t="str">
        <f>IF(Orders[[#This Row],[Age]]&gt;=35,"older","young")</f>
        <v>older</v>
      </c>
      <c r="R1983" t="str">
        <f>_xlfn.XLOOKUP(Orders[[#This Row],[ProductID]],Products[ProductID],Products[ProductName])</f>
        <v>TURTLE NECK</v>
      </c>
      <c r="S1983" t="str">
        <f>_xlfn.XLOOKUP(Orders[[#This Row],[ProductID]],Products!A:A,Products!C:C)</f>
        <v>Clothing</v>
      </c>
    </row>
    <row r="1984" spans="1:19" x14ac:dyDescent="0.2">
      <c r="A1984" s="4" t="s">
        <v>2173</v>
      </c>
      <c r="B1984" s="5">
        <v>45933</v>
      </c>
      <c r="C1984" s="15">
        <f>WEEKNUM(Orders[[#This Row],[OrderDate]])</f>
        <v>40</v>
      </c>
      <c r="D1984" s="4" t="s">
        <v>156</v>
      </c>
      <c r="E1984" s="4" t="s">
        <v>31</v>
      </c>
      <c r="F1984" s="4">
        <v>8</v>
      </c>
      <c r="G1984" s="4">
        <v>15115.599999999999</v>
      </c>
      <c r="H1984">
        <v>12848.259999999998</v>
      </c>
      <c r="I1984">
        <f>Orders[[#This Row],[Quantity]]*Orders[[#This Row],[Selling Price]]</f>
        <v>120924.79999999999</v>
      </c>
      <c r="J1984">
        <f>Orders[[#This Row],[Quantity]]*Orders[[#This Row],[Cost Price]]</f>
        <v>102786.07999999999</v>
      </c>
      <c r="K1984">
        <f>Orders[[#This Row],[Revenue]]-Orders[[#This Row],[Expenses]]</f>
        <v>18138.72</v>
      </c>
      <c r="L1984" t="s">
        <v>2206</v>
      </c>
      <c r="M1984" t="str">
        <f>_xlfn.XLOOKUP(Orders[[#This Row],[CustomerID]],Customers[CustomerID],Customers[City])</f>
        <v>Florida</v>
      </c>
      <c r="N1984" t="str">
        <f>_xlfn.XLOOKUP(Orders[[#This Row],[CustomerID]],Customers[CustomerID],Customers[CustomerName])</f>
        <v>Obi Okonkwo</v>
      </c>
      <c r="O1984" t="str">
        <f>_xlfn.XLOOKUP(Orders[[#This Row],[CustomerID]],Customers[CustomerID],Customers[Gender])</f>
        <v>Male</v>
      </c>
      <c r="P1984">
        <f>_xlfn.XLOOKUP(Orders[[#This Row],[CustomerID]],Customers[CustomerID],Customers[CustomerAge])</f>
        <v>52</v>
      </c>
      <c r="Q1984" t="str">
        <f>IF(Orders[[#This Row],[Age]]&gt;=35,"older","young")</f>
        <v>older</v>
      </c>
      <c r="R1984" t="str">
        <f>_xlfn.XLOOKUP(Orders[[#This Row],[ProductID]],Products[ProductID],Products[ProductName])</f>
        <v>KIDS GAMES</v>
      </c>
      <c r="S1984" t="str">
        <f>_xlfn.XLOOKUP(Orders[[#This Row],[ProductID]],Products!A:A,Products!C:C)</f>
        <v>Games</v>
      </c>
    </row>
    <row r="1985" spans="1:19" x14ac:dyDescent="0.2">
      <c r="A1985" s="4" t="s">
        <v>2174</v>
      </c>
      <c r="B1985" s="5">
        <v>45955</v>
      </c>
      <c r="C1985" s="15">
        <f>WEEKNUM(Orders[[#This Row],[OrderDate]])</f>
        <v>43</v>
      </c>
      <c r="D1985" s="4" t="s">
        <v>103</v>
      </c>
      <c r="E1985" s="4" t="s">
        <v>25</v>
      </c>
      <c r="F1985" s="4">
        <v>8</v>
      </c>
      <c r="G1985" s="4">
        <v>934.09999999999991</v>
      </c>
      <c r="H1985">
        <v>793.9849999999999</v>
      </c>
      <c r="I1985">
        <f>Orders[[#This Row],[Quantity]]*Orders[[#This Row],[Selling Price]]</f>
        <v>7472.7999999999993</v>
      </c>
      <c r="J1985">
        <f>Orders[[#This Row],[Quantity]]*Orders[[#This Row],[Cost Price]]</f>
        <v>6351.8799999999992</v>
      </c>
      <c r="K1985">
        <f>Orders[[#This Row],[Revenue]]-Orders[[#This Row],[Expenses]]</f>
        <v>1120.92</v>
      </c>
      <c r="L1985" t="s">
        <v>2194</v>
      </c>
      <c r="M1985" t="str">
        <f>_xlfn.XLOOKUP(Orders[[#This Row],[CustomerID]],Customers[CustomerID],Customers[City])</f>
        <v>Georgia</v>
      </c>
      <c r="N1985" t="str">
        <f>_xlfn.XLOOKUP(Orders[[#This Row],[CustomerID]],Customers[CustomerID],Customers[CustomerName])</f>
        <v>Chioma Adeyemi</v>
      </c>
      <c r="O1985" t="str">
        <f>_xlfn.XLOOKUP(Orders[[#This Row],[CustomerID]],Customers[CustomerID],Customers[Gender])</f>
        <v>Female</v>
      </c>
      <c r="P1985">
        <f>_xlfn.XLOOKUP(Orders[[#This Row],[CustomerID]],Customers[CustomerID],Customers[CustomerAge])</f>
        <v>31</v>
      </c>
      <c r="Q1985" t="str">
        <f>IF(Orders[[#This Row],[Age]]&gt;=35,"older","young")</f>
        <v>young</v>
      </c>
      <c r="R1985" t="str">
        <f>_xlfn.XLOOKUP(Orders[[#This Row],[ProductID]],Products[ProductID],Products[ProductName])</f>
        <v>GOLD RINGS</v>
      </c>
      <c r="S1985" t="str">
        <f>_xlfn.XLOOKUP(Orders[[#This Row],[ProductID]],Products!A:A,Products!C:C)</f>
        <v>Accessories</v>
      </c>
    </row>
    <row r="1986" spans="1:19" x14ac:dyDescent="0.2">
      <c r="A1986" s="4" t="s">
        <v>2175</v>
      </c>
      <c r="B1986" s="5">
        <v>45986</v>
      </c>
      <c r="C1986" s="15">
        <f>WEEKNUM(Orders[[#This Row],[OrderDate]])</f>
        <v>48</v>
      </c>
      <c r="D1986" s="4" t="s">
        <v>19</v>
      </c>
      <c r="E1986" s="4" t="s">
        <v>15</v>
      </c>
      <c r="F1986" s="4">
        <v>9</v>
      </c>
      <c r="G1986" s="4">
        <v>14039.1</v>
      </c>
      <c r="H1986">
        <v>11933.235000000001</v>
      </c>
      <c r="I1986">
        <f>Orders[[#This Row],[Quantity]]*Orders[[#This Row],[Selling Price]]</f>
        <v>126351.90000000001</v>
      </c>
      <c r="J1986">
        <f>Orders[[#This Row],[Quantity]]*Orders[[#This Row],[Cost Price]]</f>
        <v>107399.11500000001</v>
      </c>
      <c r="K1986">
        <f>Orders[[#This Row],[Revenue]]-Orders[[#This Row],[Expenses]]</f>
        <v>18952.785000000003</v>
      </c>
      <c r="L1986" t="s">
        <v>2215</v>
      </c>
      <c r="M1986" t="str">
        <f>_xlfn.XLOOKUP(Orders[[#This Row],[CustomerID]],Customers[CustomerID],Customers[City])</f>
        <v>California</v>
      </c>
      <c r="N1986" t="str">
        <f>_xlfn.XLOOKUP(Orders[[#This Row],[CustomerID]],Customers[CustomerID],Customers[CustomerName])</f>
        <v>Obi Adeyemi</v>
      </c>
      <c r="O1986" t="str">
        <f>_xlfn.XLOOKUP(Orders[[#This Row],[CustomerID]],Customers[CustomerID],Customers[Gender])</f>
        <v>Male</v>
      </c>
      <c r="P1986">
        <f>_xlfn.XLOOKUP(Orders[[#This Row],[CustomerID]],Customers[CustomerID],Customers[CustomerAge])</f>
        <v>24</v>
      </c>
      <c r="Q1986" t="str">
        <f>IF(Orders[[#This Row],[Age]]&gt;=35,"older","young")</f>
        <v>young</v>
      </c>
      <c r="R1986" t="str">
        <f>_xlfn.XLOOKUP(Orders[[#This Row],[ProductID]],Products[ProductID],Products[ProductName])</f>
        <v>MONOPOLY</v>
      </c>
      <c r="S1986" t="str">
        <f>_xlfn.XLOOKUP(Orders[[#This Row],[ProductID]],Products!A:A,Products!C:C)</f>
        <v>Games</v>
      </c>
    </row>
    <row r="1987" spans="1:19" x14ac:dyDescent="0.2">
      <c r="A1987" s="4" t="s">
        <v>2176</v>
      </c>
      <c r="B1987" s="5">
        <v>46008</v>
      </c>
      <c r="C1987" s="15">
        <f>WEEKNUM(Orders[[#This Row],[OrderDate]])</f>
        <v>51</v>
      </c>
      <c r="D1987" s="4" t="s">
        <v>73</v>
      </c>
      <c r="E1987" s="4" t="s">
        <v>66</v>
      </c>
      <c r="F1987" s="4">
        <v>3</v>
      </c>
      <c r="G1987" s="4">
        <v>8928.4</v>
      </c>
      <c r="H1987">
        <v>7589.1399999999994</v>
      </c>
      <c r="I1987">
        <f>Orders[[#This Row],[Quantity]]*Orders[[#This Row],[Selling Price]]</f>
        <v>26785.199999999997</v>
      </c>
      <c r="J1987">
        <f>Orders[[#This Row],[Quantity]]*Orders[[#This Row],[Cost Price]]</f>
        <v>22767.42</v>
      </c>
      <c r="K1987">
        <f>Orders[[#This Row],[Revenue]]-Orders[[#This Row],[Expenses]]</f>
        <v>4017.7799999999988</v>
      </c>
      <c r="L1987" t="s">
        <v>2194</v>
      </c>
      <c r="M1987" t="str">
        <f>_xlfn.XLOOKUP(Orders[[#This Row],[CustomerID]],Customers[CustomerID],Customers[City])</f>
        <v>California</v>
      </c>
      <c r="N1987" t="str">
        <f>_xlfn.XLOOKUP(Orders[[#This Row],[CustomerID]],Customers[CustomerID],Customers[CustomerName])</f>
        <v>Ronke Okonkwo</v>
      </c>
      <c r="O1987" t="str">
        <f>_xlfn.XLOOKUP(Orders[[#This Row],[CustomerID]],Customers[CustomerID],Customers[Gender])</f>
        <v>Female</v>
      </c>
      <c r="P1987">
        <f>_xlfn.XLOOKUP(Orders[[#This Row],[CustomerID]],Customers[CustomerID],Customers[CustomerAge])</f>
        <v>20</v>
      </c>
      <c r="Q1987" t="str">
        <f>IF(Orders[[#This Row],[Age]]&gt;=35,"older","young")</f>
        <v>young</v>
      </c>
      <c r="R1987" t="str">
        <f>_xlfn.XLOOKUP(Orders[[#This Row],[ProductID]],Products[ProductID],Products[ProductName])</f>
        <v>MICROWAVE</v>
      </c>
      <c r="S1987" t="str">
        <f>_xlfn.XLOOKUP(Orders[[#This Row],[ProductID]],Products!A:A,Products!C:C)</f>
        <v>Electronics</v>
      </c>
    </row>
    <row r="1988" spans="1:19" x14ac:dyDescent="0.2">
      <c r="A1988" s="4" t="s">
        <v>2177</v>
      </c>
      <c r="B1988" s="5">
        <v>45935</v>
      </c>
      <c r="C1988" s="15">
        <f>WEEKNUM(Orders[[#This Row],[OrderDate]])</f>
        <v>41</v>
      </c>
      <c r="D1988" s="4" t="s">
        <v>39</v>
      </c>
      <c r="E1988" s="4" t="s">
        <v>208</v>
      </c>
      <c r="F1988" s="4">
        <v>3</v>
      </c>
      <c r="G1988" s="4">
        <v>12025.5</v>
      </c>
      <c r="H1988">
        <v>10221.674999999999</v>
      </c>
      <c r="I1988">
        <f>Orders[[#This Row],[Quantity]]*Orders[[#This Row],[Selling Price]]</f>
        <v>36076.5</v>
      </c>
      <c r="J1988">
        <f>Orders[[#This Row],[Quantity]]*Orders[[#This Row],[Cost Price]]</f>
        <v>30665.024999999998</v>
      </c>
      <c r="K1988">
        <f>Orders[[#This Row],[Revenue]]-Orders[[#This Row],[Expenses]]</f>
        <v>5411.4750000000022</v>
      </c>
      <c r="L1988" t="s">
        <v>2218</v>
      </c>
      <c r="M1988" t="str">
        <f>_xlfn.XLOOKUP(Orders[[#This Row],[CustomerID]],Customers[CustomerID],Customers[City])</f>
        <v>Florida</v>
      </c>
      <c r="N1988" t="str">
        <f>_xlfn.XLOOKUP(Orders[[#This Row],[CustomerID]],Customers[CustomerID],Customers[CustomerName])</f>
        <v>Efe Adeyemi</v>
      </c>
      <c r="O1988" t="str">
        <f>_xlfn.XLOOKUP(Orders[[#This Row],[CustomerID]],Customers[CustomerID],Customers[Gender])</f>
        <v>Female</v>
      </c>
      <c r="P1988">
        <f>_xlfn.XLOOKUP(Orders[[#This Row],[CustomerID]],Customers[CustomerID],Customers[CustomerAge])</f>
        <v>20</v>
      </c>
      <c r="Q1988" t="str">
        <f>IF(Orders[[#This Row],[Age]]&gt;=35,"older","young")</f>
        <v>young</v>
      </c>
      <c r="R1988" t="str">
        <f>_xlfn.XLOOKUP(Orders[[#This Row],[ProductID]],Products[ProductID],Products[ProductName])</f>
        <v>SKIPPING ROPE</v>
      </c>
      <c r="S1988" t="str">
        <f>_xlfn.XLOOKUP(Orders[[#This Row],[ProductID]],Products!A:A,Products!C:C)</f>
        <v>Sports</v>
      </c>
    </row>
    <row r="1989" spans="1:19" x14ac:dyDescent="0.2">
      <c r="A1989" s="4" t="s">
        <v>2178</v>
      </c>
      <c r="B1989" s="5">
        <v>45949</v>
      </c>
      <c r="C1989" s="15">
        <f>WEEKNUM(Orders[[#This Row],[OrderDate]])</f>
        <v>43</v>
      </c>
      <c r="D1989" s="4" t="s">
        <v>282</v>
      </c>
      <c r="E1989" s="4" t="s">
        <v>130</v>
      </c>
      <c r="F1989" s="4">
        <v>10</v>
      </c>
      <c r="G1989" s="4">
        <v>14669.300000000001</v>
      </c>
      <c r="H1989">
        <v>12468.905000000001</v>
      </c>
      <c r="I1989">
        <f>Orders[[#This Row],[Quantity]]*Orders[[#This Row],[Selling Price]]</f>
        <v>146693</v>
      </c>
      <c r="J1989">
        <f>Orders[[#This Row],[Quantity]]*Orders[[#This Row],[Cost Price]]</f>
        <v>124689.05</v>
      </c>
      <c r="K1989">
        <f>Orders[[#This Row],[Revenue]]-Orders[[#This Row],[Expenses]]</f>
        <v>22003.949999999997</v>
      </c>
      <c r="L1989" t="s">
        <v>2199</v>
      </c>
      <c r="M1989" t="str">
        <f>_xlfn.XLOOKUP(Orders[[#This Row],[CustomerID]],Customers[CustomerID],Customers[City])</f>
        <v>Texas</v>
      </c>
      <c r="N1989" t="str">
        <f>_xlfn.XLOOKUP(Orders[[#This Row],[CustomerID]],Customers[CustomerID],Customers[CustomerName])</f>
        <v>Bisi Ojo</v>
      </c>
      <c r="O1989" t="str">
        <f>_xlfn.XLOOKUP(Orders[[#This Row],[CustomerID]],Customers[CustomerID],Customers[Gender])</f>
        <v>Female</v>
      </c>
      <c r="P1989">
        <f>_xlfn.XLOOKUP(Orders[[#This Row],[CustomerID]],Customers[CustomerID],Customers[CustomerAge])</f>
        <v>26</v>
      </c>
      <c r="Q1989" t="str">
        <f>IF(Orders[[#This Row],[Age]]&gt;=35,"older","young")</f>
        <v>young</v>
      </c>
      <c r="R1989" t="str">
        <f>_xlfn.XLOOKUP(Orders[[#This Row],[ProductID]],Products[ProductID],Products[ProductName])</f>
        <v>GOLD EARRINGS AND NECKLACES</v>
      </c>
      <c r="S1989" t="str">
        <f>_xlfn.XLOOKUP(Orders[[#This Row],[ProductID]],Products!A:A,Products!C:C)</f>
        <v>Accessories</v>
      </c>
    </row>
    <row r="1990" spans="1:19" x14ac:dyDescent="0.2">
      <c r="A1990" s="4" t="s">
        <v>2179</v>
      </c>
      <c r="B1990" s="5">
        <v>45963</v>
      </c>
      <c r="C1990" s="15">
        <f>WEEKNUM(Orders[[#This Row],[OrderDate]])</f>
        <v>45</v>
      </c>
      <c r="D1990" s="4" t="s">
        <v>386</v>
      </c>
      <c r="E1990" s="4" t="s">
        <v>15</v>
      </c>
      <c r="F1990" s="4">
        <v>9</v>
      </c>
      <c r="G1990" s="4">
        <v>14960.699999999999</v>
      </c>
      <c r="H1990">
        <v>12716.594999999999</v>
      </c>
      <c r="I1990">
        <f>Orders[[#This Row],[Quantity]]*Orders[[#This Row],[Selling Price]]</f>
        <v>134646.29999999999</v>
      </c>
      <c r="J1990">
        <f>Orders[[#This Row],[Quantity]]*Orders[[#This Row],[Cost Price]]</f>
        <v>114449.355</v>
      </c>
      <c r="K1990">
        <f>Orders[[#This Row],[Revenue]]-Orders[[#This Row],[Expenses]]</f>
        <v>20196.944999999992</v>
      </c>
      <c r="L1990" t="s">
        <v>2200</v>
      </c>
      <c r="M1990" t="str">
        <f>_xlfn.XLOOKUP(Orders[[#This Row],[CustomerID]],Customers[CustomerID],Customers[City])</f>
        <v>Washington</v>
      </c>
      <c r="N1990" t="str">
        <f>_xlfn.XLOOKUP(Orders[[#This Row],[CustomerID]],Customers[CustomerID],Customers[CustomerName])</f>
        <v>Chinedu Eze</v>
      </c>
      <c r="O1990" t="str">
        <f>_xlfn.XLOOKUP(Orders[[#This Row],[CustomerID]],Customers[CustomerID],Customers[Gender])</f>
        <v>Male</v>
      </c>
      <c r="P1990">
        <f>_xlfn.XLOOKUP(Orders[[#This Row],[CustomerID]],Customers[CustomerID],Customers[CustomerAge])</f>
        <v>32</v>
      </c>
      <c r="Q1990" t="str">
        <f>IF(Orders[[#This Row],[Age]]&gt;=35,"older","young")</f>
        <v>young</v>
      </c>
      <c r="R1990" t="str">
        <f>_xlfn.XLOOKUP(Orders[[#This Row],[ProductID]],Products[ProductID],Products[ProductName])</f>
        <v>MONOPOLY</v>
      </c>
      <c r="S1990" t="str">
        <f>_xlfn.XLOOKUP(Orders[[#This Row],[ProductID]],Products!A:A,Products!C:C)</f>
        <v>Games</v>
      </c>
    </row>
    <row r="1991" spans="1:19" x14ac:dyDescent="0.2">
      <c r="A1991" s="4" t="s">
        <v>2180</v>
      </c>
      <c r="B1991" s="5">
        <v>45949</v>
      </c>
      <c r="C1991" s="15">
        <f>WEEKNUM(Orders[[#This Row],[OrderDate]])</f>
        <v>43</v>
      </c>
      <c r="D1991" s="4" t="s">
        <v>180</v>
      </c>
      <c r="E1991" s="4" t="s">
        <v>70</v>
      </c>
      <c r="F1991" s="4">
        <v>5</v>
      </c>
      <c r="G1991" s="4">
        <v>15484.9</v>
      </c>
      <c r="H1991">
        <v>13162.165000000001</v>
      </c>
      <c r="I1991">
        <f>Orders[[#This Row],[Quantity]]*Orders[[#This Row],[Selling Price]]</f>
        <v>77424.5</v>
      </c>
      <c r="J1991">
        <f>Orders[[#This Row],[Quantity]]*Orders[[#This Row],[Cost Price]]</f>
        <v>65810.825000000012</v>
      </c>
      <c r="K1991">
        <f>Orders[[#This Row],[Revenue]]-Orders[[#This Row],[Expenses]]</f>
        <v>11613.674999999988</v>
      </c>
      <c r="L1991" t="s">
        <v>2201</v>
      </c>
      <c r="M1991" t="str">
        <f>_xlfn.XLOOKUP(Orders[[#This Row],[CustomerID]],Customers[CustomerID],Customers[City])</f>
        <v>Texas</v>
      </c>
      <c r="N1991" t="str">
        <f>_xlfn.XLOOKUP(Orders[[#This Row],[CustomerID]],Customers[CustomerID],Customers[CustomerName])</f>
        <v>Jide Okonkwo</v>
      </c>
      <c r="O1991" t="str">
        <f>_xlfn.XLOOKUP(Orders[[#This Row],[CustomerID]],Customers[CustomerID],Customers[Gender])</f>
        <v>Male</v>
      </c>
      <c r="P1991">
        <f>_xlfn.XLOOKUP(Orders[[#This Row],[CustomerID]],Customers[CustomerID],Customers[CustomerAge])</f>
        <v>25</v>
      </c>
      <c r="Q1991" t="str">
        <f>IF(Orders[[#This Row],[Age]]&gt;=35,"older","young")</f>
        <v>young</v>
      </c>
      <c r="R1991" t="str">
        <f>_xlfn.XLOOKUP(Orders[[#This Row],[ProductID]],Products[ProductID],Products[ProductName])</f>
        <v>YOGA MAT</v>
      </c>
      <c r="S1991" t="str">
        <f>_xlfn.XLOOKUP(Orders[[#This Row],[ProductID]],Products!A:A,Products!C:C)</f>
        <v>Gym</v>
      </c>
    </row>
    <row r="1992" spans="1:19" x14ac:dyDescent="0.2">
      <c r="A1992" s="4" t="s">
        <v>2181</v>
      </c>
      <c r="B1992" s="5">
        <v>45932</v>
      </c>
      <c r="C1992" s="15">
        <f>WEEKNUM(Orders[[#This Row],[OrderDate]])</f>
        <v>40</v>
      </c>
      <c r="D1992" s="4" t="s">
        <v>524</v>
      </c>
      <c r="E1992" s="4" t="s">
        <v>151</v>
      </c>
      <c r="F1992" s="4">
        <v>10</v>
      </c>
      <c r="G1992" s="4">
        <v>13455.699999999999</v>
      </c>
      <c r="H1992">
        <v>11437.344999999999</v>
      </c>
      <c r="I1992">
        <f>Orders[[#This Row],[Quantity]]*Orders[[#This Row],[Selling Price]]</f>
        <v>134557</v>
      </c>
      <c r="J1992">
        <f>Orders[[#This Row],[Quantity]]*Orders[[#This Row],[Cost Price]]</f>
        <v>114373.45</v>
      </c>
      <c r="K1992">
        <f>Orders[[#This Row],[Revenue]]-Orders[[#This Row],[Expenses]]</f>
        <v>20183.550000000003</v>
      </c>
      <c r="L1992" t="s">
        <v>2216</v>
      </c>
      <c r="M1992" t="str">
        <f>_xlfn.XLOOKUP(Orders[[#This Row],[CustomerID]],Customers[CustomerID],Customers[City])</f>
        <v>Florida</v>
      </c>
      <c r="N1992" t="str">
        <f>_xlfn.XLOOKUP(Orders[[#This Row],[CustomerID]],Customers[CustomerID],Customers[CustomerName])</f>
        <v>Chinedu Igwe</v>
      </c>
      <c r="O1992" t="str">
        <f>_xlfn.XLOOKUP(Orders[[#This Row],[CustomerID]],Customers[CustomerID],Customers[Gender])</f>
        <v>Male</v>
      </c>
      <c r="P1992">
        <f>_xlfn.XLOOKUP(Orders[[#This Row],[CustomerID]],Customers[CustomerID],Customers[CustomerAge])</f>
        <v>21</v>
      </c>
      <c r="Q1992" t="str">
        <f>IF(Orders[[#This Row],[Age]]&gt;=35,"older","young")</f>
        <v>young</v>
      </c>
      <c r="R1992" t="str">
        <f>_xlfn.XLOOKUP(Orders[[#This Row],[ProductID]],Products[ProductID],Products[ProductName])</f>
        <v>CHECKERS</v>
      </c>
      <c r="S1992" t="str">
        <f>_xlfn.XLOOKUP(Orders[[#This Row],[ProductID]],Products!A:A,Products!C:C)</f>
        <v>Games</v>
      </c>
    </row>
    <row r="1993" spans="1:19" x14ac:dyDescent="0.2">
      <c r="A1993" s="4" t="s">
        <v>2182</v>
      </c>
      <c r="B1993" s="5">
        <v>45949</v>
      </c>
      <c r="C1993" s="15">
        <f>WEEKNUM(Orders[[#This Row],[OrderDate]])</f>
        <v>43</v>
      </c>
      <c r="D1993" s="4" t="s">
        <v>182</v>
      </c>
      <c r="E1993" s="4" t="s">
        <v>111</v>
      </c>
      <c r="F1993" s="4">
        <v>7</v>
      </c>
      <c r="G1993" s="4">
        <v>5593.4000000000005</v>
      </c>
      <c r="H1993">
        <v>4754.3900000000003</v>
      </c>
      <c r="I1993">
        <f>Orders[[#This Row],[Quantity]]*Orders[[#This Row],[Selling Price]]</f>
        <v>39153.800000000003</v>
      </c>
      <c r="J1993">
        <f>Orders[[#This Row],[Quantity]]*Orders[[#This Row],[Cost Price]]</f>
        <v>33280.730000000003</v>
      </c>
      <c r="K1993">
        <f>Orders[[#This Row],[Revenue]]-Orders[[#This Row],[Expenses]]</f>
        <v>5873.07</v>
      </c>
      <c r="L1993" t="s">
        <v>2220</v>
      </c>
      <c r="M1993" t="str">
        <f>_xlfn.XLOOKUP(Orders[[#This Row],[CustomerID]],Customers[CustomerID],Customers[City])</f>
        <v>Georgia</v>
      </c>
      <c r="N1993" t="str">
        <f>_xlfn.XLOOKUP(Orders[[#This Row],[CustomerID]],Customers[CustomerID],Customers[CustomerName])</f>
        <v>Abiola Okonkwo</v>
      </c>
      <c r="O1993" t="str">
        <f>_xlfn.XLOOKUP(Orders[[#This Row],[CustomerID]],Customers[CustomerID],Customers[Gender])</f>
        <v>Male</v>
      </c>
      <c r="P1993">
        <f>_xlfn.XLOOKUP(Orders[[#This Row],[CustomerID]],Customers[CustomerID],Customers[CustomerAge])</f>
        <v>39</v>
      </c>
      <c r="Q1993" t="str">
        <f>IF(Orders[[#This Row],[Age]]&gt;=35,"older","young")</f>
        <v>older</v>
      </c>
      <c r="R1993" t="str">
        <f>_xlfn.XLOOKUP(Orders[[#This Row],[ProductID]],Products[ProductID],Products[ProductName])</f>
        <v>REFRIGERATOR</v>
      </c>
      <c r="S1993" t="str">
        <f>_xlfn.XLOOKUP(Orders[[#This Row],[ProductID]],Products!A:A,Products!C:C)</f>
        <v>Electronics</v>
      </c>
    </row>
    <row r="1994" spans="1:19" x14ac:dyDescent="0.2">
      <c r="A1994" s="4" t="s">
        <v>2183</v>
      </c>
      <c r="B1994" s="5">
        <v>45973</v>
      </c>
      <c r="C1994" s="15">
        <f>WEEKNUM(Orders[[#This Row],[OrderDate]])</f>
        <v>46</v>
      </c>
      <c r="D1994" s="4" t="s">
        <v>386</v>
      </c>
      <c r="E1994" s="4" t="s">
        <v>34</v>
      </c>
      <c r="F1994" s="4">
        <v>9</v>
      </c>
      <c r="G1994" s="4">
        <v>1911</v>
      </c>
      <c r="H1994">
        <v>1624.35</v>
      </c>
      <c r="I1994">
        <f>Orders[[#This Row],[Quantity]]*Orders[[#This Row],[Selling Price]]</f>
        <v>17199</v>
      </c>
      <c r="J1994">
        <f>Orders[[#This Row],[Quantity]]*Orders[[#This Row],[Cost Price]]</f>
        <v>14619.15</v>
      </c>
      <c r="K1994">
        <f>Orders[[#This Row],[Revenue]]-Orders[[#This Row],[Expenses]]</f>
        <v>2579.8500000000004</v>
      </c>
      <c r="L1994" t="s">
        <v>2213</v>
      </c>
      <c r="M1994" t="str">
        <f>_xlfn.XLOOKUP(Orders[[#This Row],[CustomerID]],Customers[CustomerID],Customers[City])</f>
        <v>Washington</v>
      </c>
      <c r="N1994" t="str">
        <f>_xlfn.XLOOKUP(Orders[[#This Row],[CustomerID]],Customers[CustomerID],Customers[CustomerName])</f>
        <v>Chinedu Eze</v>
      </c>
      <c r="O1994" t="str">
        <f>_xlfn.XLOOKUP(Orders[[#This Row],[CustomerID]],Customers[CustomerID],Customers[Gender])</f>
        <v>Male</v>
      </c>
      <c r="P1994">
        <f>_xlfn.XLOOKUP(Orders[[#This Row],[CustomerID]],Customers[CustomerID],Customers[CustomerAge])</f>
        <v>32</v>
      </c>
      <c r="Q1994" t="str">
        <f>IF(Orders[[#This Row],[Age]]&gt;=35,"older","young")</f>
        <v>young</v>
      </c>
      <c r="R1994" t="str">
        <f>_xlfn.XLOOKUP(Orders[[#This Row],[ProductID]],Products[ProductID],Products[ProductName])</f>
        <v>GOLD BRACELETS</v>
      </c>
      <c r="S1994" t="str">
        <f>_xlfn.XLOOKUP(Orders[[#This Row],[ProductID]],Products!A:A,Products!C:C)</f>
        <v>Accessories</v>
      </c>
    </row>
    <row r="1995" spans="1:19" x14ac:dyDescent="0.2">
      <c r="A1995" s="4" t="s">
        <v>2184</v>
      </c>
      <c r="B1995" s="5">
        <v>45970</v>
      </c>
      <c r="C1995" s="15">
        <f>WEEKNUM(Orders[[#This Row],[OrderDate]])</f>
        <v>46</v>
      </c>
      <c r="D1995" s="4" t="s">
        <v>346</v>
      </c>
      <c r="E1995" s="4" t="s">
        <v>353</v>
      </c>
      <c r="F1995" s="4">
        <v>8</v>
      </c>
      <c r="G1995" s="4">
        <v>6244.7000000000007</v>
      </c>
      <c r="H1995">
        <v>5307.9950000000008</v>
      </c>
      <c r="I1995">
        <f>Orders[[#This Row],[Quantity]]*Orders[[#This Row],[Selling Price]]</f>
        <v>49957.600000000006</v>
      </c>
      <c r="J1995">
        <f>Orders[[#This Row],[Quantity]]*Orders[[#This Row],[Cost Price]]</f>
        <v>42463.960000000006</v>
      </c>
      <c r="K1995">
        <f>Orders[[#This Row],[Revenue]]-Orders[[#This Row],[Expenses]]</f>
        <v>7493.6399999999994</v>
      </c>
      <c r="L1995" t="s">
        <v>2216</v>
      </c>
      <c r="M1995" t="str">
        <f>_xlfn.XLOOKUP(Orders[[#This Row],[CustomerID]],Customers[CustomerID],Customers[City])</f>
        <v>California</v>
      </c>
      <c r="N1995" t="str">
        <f>_xlfn.XLOOKUP(Orders[[#This Row],[CustomerID]],Customers[CustomerID],Customers[CustomerName])</f>
        <v>Ngozi Danladi</v>
      </c>
      <c r="O1995" t="str">
        <f>_xlfn.XLOOKUP(Orders[[#This Row],[CustomerID]],Customers[CustomerID],Customers[Gender])</f>
        <v>Female</v>
      </c>
      <c r="P1995">
        <f>_xlfn.XLOOKUP(Orders[[#This Row],[CustomerID]],Customers[CustomerID],Customers[CustomerAge])</f>
        <v>30</v>
      </c>
      <c r="Q1995" t="str">
        <f>IF(Orders[[#This Row],[Age]]&gt;=35,"older","young")</f>
        <v>young</v>
      </c>
      <c r="R1995" t="str">
        <f>_xlfn.XLOOKUP(Orders[[#This Row],[ProductID]],Products[ProductID],Products[ProductName])</f>
        <v>SILVER EARRINGS AND NECKLACES</v>
      </c>
      <c r="S1995" t="str">
        <f>_xlfn.XLOOKUP(Orders[[#This Row],[ProductID]],Products!A:A,Products!C:C)</f>
        <v>Accessories</v>
      </c>
    </row>
    <row r="1996" spans="1:19" x14ac:dyDescent="0.2">
      <c r="A1996" s="4" t="s">
        <v>2185</v>
      </c>
      <c r="B1996" s="5">
        <v>45955</v>
      </c>
      <c r="C1996" s="15">
        <f>WEEKNUM(Orders[[#This Row],[OrderDate]])</f>
        <v>43</v>
      </c>
      <c r="D1996" s="4" t="s">
        <v>132</v>
      </c>
      <c r="E1996" s="4" t="s">
        <v>20</v>
      </c>
      <c r="F1996" s="4">
        <v>6</v>
      </c>
      <c r="G1996" s="4">
        <v>16814.8</v>
      </c>
      <c r="H1996">
        <v>14292.58</v>
      </c>
      <c r="I1996">
        <f>Orders[[#This Row],[Quantity]]*Orders[[#This Row],[Selling Price]]</f>
        <v>100888.79999999999</v>
      </c>
      <c r="J1996">
        <f>Orders[[#This Row],[Quantity]]*Orders[[#This Row],[Cost Price]]</f>
        <v>85755.48</v>
      </c>
      <c r="K1996">
        <f>Orders[[#This Row],[Revenue]]-Orders[[#This Row],[Expenses]]</f>
        <v>15133.319999999992</v>
      </c>
      <c r="L1996" t="s">
        <v>2209</v>
      </c>
      <c r="M1996" t="str">
        <f>_xlfn.XLOOKUP(Orders[[#This Row],[CustomerID]],Customers[CustomerID],Customers[City])</f>
        <v>Illinois</v>
      </c>
      <c r="N1996" t="str">
        <f>_xlfn.XLOOKUP(Orders[[#This Row],[CustomerID]],Customers[CustomerID],Customers[CustomerName])</f>
        <v>Emeka Balogun</v>
      </c>
      <c r="O1996" t="str">
        <f>_xlfn.XLOOKUP(Orders[[#This Row],[CustomerID]],Customers[CustomerID],Customers[Gender])</f>
        <v>Male</v>
      </c>
      <c r="P1996">
        <f>_xlfn.XLOOKUP(Orders[[#This Row],[CustomerID]],Customers[CustomerID],Customers[CustomerAge])</f>
        <v>36</v>
      </c>
      <c r="Q1996" t="str">
        <f>IF(Orders[[#This Row],[Age]]&gt;=35,"older","young")</f>
        <v>older</v>
      </c>
      <c r="R1996" t="str">
        <f>_xlfn.XLOOKUP(Orders[[#This Row],[ProductID]],Products[ProductID],Products[ProductName])</f>
        <v>GYM BAG</v>
      </c>
      <c r="S1996" t="str">
        <f>_xlfn.XLOOKUP(Orders[[#This Row],[ProductID]],Products!A:A,Products!C:C)</f>
        <v>Gym</v>
      </c>
    </row>
    <row r="1997" spans="1:19" x14ac:dyDescent="0.2">
      <c r="A1997" s="4" t="s">
        <v>2186</v>
      </c>
      <c r="B1997" s="5">
        <v>45999</v>
      </c>
      <c r="C1997" s="15">
        <f>WEEKNUM(Orders[[#This Row],[OrderDate]])</f>
        <v>50</v>
      </c>
      <c r="D1997" s="4" t="s">
        <v>324</v>
      </c>
      <c r="E1997" s="4" t="s">
        <v>57</v>
      </c>
      <c r="F1997" s="4">
        <v>5</v>
      </c>
      <c r="G1997" s="4">
        <v>2204.6999999999998</v>
      </c>
      <c r="H1997">
        <v>1873.9949999999999</v>
      </c>
      <c r="I1997">
        <f>Orders[[#This Row],[Quantity]]*Orders[[#This Row],[Selling Price]]</f>
        <v>11023.5</v>
      </c>
      <c r="J1997">
        <f>Orders[[#This Row],[Quantity]]*Orders[[#This Row],[Cost Price]]</f>
        <v>9369.9749999999985</v>
      </c>
      <c r="K1997">
        <f>Orders[[#This Row],[Revenue]]-Orders[[#This Row],[Expenses]]</f>
        <v>1653.5250000000015</v>
      </c>
      <c r="L1997" t="s">
        <v>2196</v>
      </c>
      <c r="M1997" t="str">
        <f>_xlfn.XLOOKUP(Orders[[#This Row],[CustomerID]],Customers[CustomerID],Customers[City])</f>
        <v>Texas</v>
      </c>
      <c r="N1997" t="str">
        <f>_xlfn.XLOOKUP(Orders[[#This Row],[CustomerID]],Customers[CustomerID],Customers[CustomerName])</f>
        <v>Tunde Okonkwo</v>
      </c>
      <c r="O1997" t="str">
        <f>_xlfn.XLOOKUP(Orders[[#This Row],[CustomerID]],Customers[CustomerID],Customers[Gender])</f>
        <v>Male</v>
      </c>
      <c r="P1997">
        <f>_xlfn.XLOOKUP(Orders[[#This Row],[CustomerID]],Customers[CustomerID],Customers[CustomerAge])</f>
        <v>25</v>
      </c>
      <c r="Q1997" t="str">
        <f>IF(Orders[[#This Row],[Age]]&gt;=35,"older","young")</f>
        <v>young</v>
      </c>
      <c r="R1997" t="str">
        <f>_xlfn.XLOOKUP(Orders[[#This Row],[ProductID]],Products[ProductID],Products[ProductName])</f>
        <v>BADMINTON RACKET</v>
      </c>
      <c r="S1997" t="str">
        <f>_xlfn.XLOOKUP(Orders[[#This Row],[ProductID]],Products!A:A,Products!C:C)</f>
        <v>Sports</v>
      </c>
    </row>
    <row r="1998" spans="1:19" x14ac:dyDescent="0.2">
      <c r="A1998" s="4" t="s">
        <v>2187</v>
      </c>
      <c r="B1998" s="5">
        <v>46013</v>
      </c>
      <c r="C1998" s="15">
        <f>WEEKNUM(Orders[[#This Row],[OrderDate]])</f>
        <v>52</v>
      </c>
      <c r="D1998" s="4" t="s">
        <v>287</v>
      </c>
      <c r="E1998" s="4" t="s">
        <v>25</v>
      </c>
      <c r="F1998" s="4">
        <v>7</v>
      </c>
      <c r="G1998" s="4">
        <v>12284.2</v>
      </c>
      <c r="H1998">
        <v>10441.57</v>
      </c>
      <c r="I1998">
        <f>Orders[[#This Row],[Quantity]]*Orders[[#This Row],[Selling Price]]</f>
        <v>85989.400000000009</v>
      </c>
      <c r="J1998">
        <f>Orders[[#This Row],[Quantity]]*Orders[[#This Row],[Cost Price]]</f>
        <v>73090.989999999991</v>
      </c>
      <c r="K1998">
        <f>Orders[[#This Row],[Revenue]]-Orders[[#This Row],[Expenses]]</f>
        <v>12898.410000000018</v>
      </c>
      <c r="L1998" t="s">
        <v>2208</v>
      </c>
      <c r="M1998" t="str">
        <f>_xlfn.XLOOKUP(Orders[[#This Row],[CustomerID]],Customers[CustomerID],Customers[City])</f>
        <v>Texas</v>
      </c>
      <c r="N1998" t="str">
        <f>_xlfn.XLOOKUP(Orders[[#This Row],[CustomerID]],Customers[CustomerID],Customers[CustomerName])</f>
        <v>Okon Obi</v>
      </c>
      <c r="O1998" t="str">
        <f>_xlfn.XLOOKUP(Orders[[#This Row],[CustomerID]],Customers[CustomerID],Customers[Gender])</f>
        <v>Male</v>
      </c>
      <c r="P1998">
        <f>_xlfn.XLOOKUP(Orders[[#This Row],[CustomerID]],Customers[CustomerID],Customers[CustomerAge])</f>
        <v>55</v>
      </c>
      <c r="Q1998" t="str">
        <f>IF(Orders[[#This Row],[Age]]&gt;=35,"older","young")</f>
        <v>older</v>
      </c>
      <c r="R1998" t="str">
        <f>_xlfn.XLOOKUP(Orders[[#This Row],[ProductID]],Products[ProductID],Products[ProductName])</f>
        <v>GOLD RINGS</v>
      </c>
      <c r="S1998" t="str">
        <f>_xlfn.XLOOKUP(Orders[[#This Row],[ProductID]],Products!A:A,Products!C:C)</f>
        <v>Accessories</v>
      </c>
    </row>
    <row r="1999" spans="1:19" x14ac:dyDescent="0.2">
      <c r="A1999" s="4" t="s">
        <v>2188</v>
      </c>
      <c r="B1999" s="5">
        <v>45964</v>
      </c>
      <c r="C1999" s="15">
        <f>WEEKNUM(Orders[[#This Row],[OrderDate]])</f>
        <v>45</v>
      </c>
      <c r="D1999" s="4" t="s">
        <v>43</v>
      </c>
      <c r="E1999" s="4" t="s">
        <v>25</v>
      </c>
      <c r="F1999" s="4">
        <v>10</v>
      </c>
      <c r="G1999" s="4">
        <v>16332.2</v>
      </c>
      <c r="H1999">
        <v>13882.37</v>
      </c>
      <c r="I1999">
        <f>Orders[[#This Row],[Quantity]]*Orders[[#This Row],[Selling Price]]</f>
        <v>163322</v>
      </c>
      <c r="J1999">
        <f>Orders[[#This Row],[Quantity]]*Orders[[#This Row],[Cost Price]]</f>
        <v>138823.70000000001</v>
      </c>
      <c r="K1999">
        <f>Orders[[#This Row],[Revenue]]-Orders[[#This Row],[Expenses]]</f>
        <v>24498.299999999988</v>
      </c>
      <c r="L1999" t="s">
        <v>2217</v>
      </c>
      <c r="M1999" t="str">
        <f>_xlfn.XLOOKUP(Orders[[#This Row],[CustomerID]],Customers[CustomerID],Customers[City])</f>
        <v>Georgia</v>
      </c>
      <c r="N1999" t="str">
        <f>_xlfn.XLOOKUP(Orders[[#This Row],[CustomerID]],Customers[CustomerID],Customers[CustomerName])</f>
        <v>Mustafa Danladi</v>
      </c>
      <c r="O1999" t="str">
        <f>_xlfn.XLOOKUP(Orders[[#This Row],[CustomerID]],Customers[CustomerID],Customers[Gender])</f>
        <v>Male</v>
      </c>
      <c r="P1999">
        <f>_xlfn.XLOOKUP(Orders[[#This Row],[CustomerID]],Customers[CustomerID],Customers[CustomerAge])</f>
        <v>49</v>
      </c>
      <c r="Q1999" t="str">
        <f>IF(Orders[[#This Row],[Age]]&gt;=35,"older","young")</f>
        <v>older</v>
      </c>
      <c r="R1999" t="str">
        <f>_xlfn.XLOOKUP(Orders[[#This Row],[ProductID]],Products[ProductID],Products[ProductName])</f>
        <v>GOLD RINGS</v>
      </c>
      <c r="S1999" t="str">
        <f>_xlfn.XLOOKUP(Orders[[#This Row],[ProductID]],Products!A:A,Products!C:C)</f>
        <v>Accessories</v>
      </c>
    </row>
    <row r="2000" spans="1:19" x14ac:dyDescent="0.2">
      <c r="A2000" s="4" t="s">
        <v>2189</v>
      </c>
      <c r="B2000" s="5">
        <v>45998</v>
      </c>
      <c r="C2000" s="15">
        <f>WEEKNUM(Orders[[#This Row],[OrderDate]])</f>
        <v>50</v>
      </c>
      <c r="D2000" s="4" t="s">
        <v>140</v>
      </c>
      <c r="E2000" s="4" t="s">
        <v>31</v>
      </c>
      <c r="F2000" s="4">
        <v>2</v>
      </c>
      <c r="G2000" s="4">
        <v>8203.5</v>
      </c>
      <c r="H2000">
        <v>6972.9750000000004</v>
      </c>
      <c r="I2000">
        <f>Orders[[#This Row],[Quantity]]*Orders[[#This Row],[Selling Price]]</f>
        <v>16407</v>
      </c>
      <c r="J2000">
        <f>Orders[[#This Row],[Quantity]]*Orders[[#This Row],[Cost Price]]</f>
        <v>13945.95</v>
      </c>
      <c r="K2000">
        <f>Orders[[#This Row],[Revenue]]-Orders[[#This Row],[Expenses]]</f>
        <v>2461.0499999999993</v>
      </c>
      <c r="L2000" t="s">
        <v>2211</v>
      </c>
      <c r="M2000" t="str">
        <f>_xlfn.XLOOKUP(Orders[[#This Row],[CustomerID]],Customers[CustomerID],Customers[City])</f>
        <v>Washington</v>
      </c>
      <c r="N2000" t="str">
        <f>_xlfn.XLOOKUP(Orders[[#This Row],[CustomerID]],Customers[CustomerID],Customers[CustomerName])</f>
        <v>Tunde Igwe</v>
      </c>
      <c r="O2000" t="str">
        <f>_xlfn.XLOOKUP(Orders[[#This Row],[CustomerID]],Customers[CustomerID],Customers[Gender])</f>
        <v>Male</v>
      </c>
      <c r="P2000">
        <f>_xlfn.XLOOKUP(Orders[[#This Row],[CustomerID]],Customers[CustomerID],Customers[CustomerAge])</f>
        <v>20</v>
      </c>
      <c r="Q2000" t="str">
        <f>IF(Orders[[#This Row],[Age]]&gt;=35,"older","young")</f>
        <v>young</v>
      </c>
      <c r="R2000" t="str">
        <f>_xlfn.XLOOKUP(Orders[[#This Row],[ProductID]],Products[ProductID],Products[ProductName])</f>
        <v>KIDS GAMES</v>
      </c>
      <c r="S2000" t="str">
        <f>_xlfn.XLOOKUP(Orders[[#This Row],[ProductID]],Products!A:A,Products!C:C)</f>
        <v>Games</v>
      </c>
    </row>
    <row r="2001" spans="1:19" x14ac:dyDescent="0.2">
      <c r="A2001" s="4" t="s">
        <v>2190</v>
      </c>
      <c r="B2001" s="5">
        <v>45943</v>
      </c>
      <c r="C2001" s="15">
        <f>WEEKNUM(Orders[[#This Row],[OrderDate]])</f>
        <v>42</v>
      </c>
      <c r="D2001" s="4" t="s">
        <v>68</v>
      </c>
      <c r="E2001" s="4" t="s">
        <v>23</v>
      </c>
      <c r="F2001" s="4">
        <v>3</v>
      </c>
      <c r="G2001" s="4">
        <v>10317.5</v>
      </c>
      <c r="H2001">
        <v>8769.875</v>
      </c>
      <c r="I2001">
        <f>Orders[[#This Row],[Quantity]]*Orders[[#This Row],[Selling Price]]</f>
        <v>30952.5</v>
      </c>
      <c r="J2001">
        <f>Orders[[#This Row],[Quantity]]*Orders[[#This Row],[Cost Price]]</f>
        <v>26309.625</v>
      </c>
      <c r="K2001">
        <f>Orders[[#This Row],[Revenue]]-Orders[[#This Row],[Expenses]]</f>
        <v>4642.875</v>
      </c>
      <c r="L2001" t="s">
        <v>2212</v>
      </c>
      <c r="M2001" t="str">
        <f>_xlfn.XLOOKUP(Orders[[#This Row],[CustomerID]],Customers[CustomerID],Customers[City])</f>
        <v>Texas</v>
      </c>
      <c r="N2001" t="str">
        <f>_xlfn.XLOOKUP(Orders[[#This Row],[CustomerID]],Customers[CustomerID],Customers[CustomerName])</f>
        <v>Abiola Balogun</v>
      </c>
      <c r="O2001" t="str">
        <f>_xlfn.XLOOKUP(Orders[[#This Row],[CustomerID]],Customers[CustomerID],Customers[Gender])</f>
        <v>Male</v>
      </c>
      <c r="P2001">
        <f>_xlfn.XLOOKUP(Orders[[#This Row],[CustomerID]],Customers[CustomerID],Customers[CustomerAge])</f>
        <v>29</v>
      </c>
      <c r="Q2001" t="str">
        <f>IF(Orders[[#This Row],[Age]]&gt;=35,"older","young")</f>
        <v>young</v>
      </c>
      <c r="R2001" t="str">
        <f>_xlfn.XLOOKUP(Orders[[#This Row],[ProductID]],Products[ProductID],Products[ProductName])</f>
        <v>GYM GLOVES</v>
      </c>
      <c r="S2001" t="str">
        <f>_xlfn.XLOOKUP(Orders[[#This Row],[ProductID]],Products!A:A,Products!C:C)</f>
        <v>Gym</v>
      </c>
    </row>
  </sheetData>
  <pageMargins left="0.7" right="0.7" top="0.75" bottom="0.75" header="0.3" footer="0.3"/>
  <ignoredErrors>
    <ignoredError sqref="Q2" calculatedColumn="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EE48-BDD0-493D-8556-C01CAC353DAF}">
  <dimension ref="A1:J1002"/>
  <sheetViews>
    <sheetView zoomScale="240" workbookViewId="0">
      <selection activeCell="A6" sqref="A6"/>
    </sheetView>
  </sheetViews>
  <sheetFormatPr baseColWidth="10" defaultColWidth="14.5" defaultRowHeight="15" customHeight="1" x14ac:dyDescent="0.2"/>
  <cols>
    <col min="1" max="1" width="15.33203125" bestFit="1" customWidth="1"/>
    <col min="2" max="2" width="18.5" customWidth="1"/>
    <col min="3" max="3" width="10.83203125" customWidth="1"/>
    <col min="4" max="4" width="11.5" bestFit="1" customWidth="1"/>
    <col min="5" max="5" width="16.6640625" bestFit="1" customWidth="1"/>
    <col min="6" max="8" width="8.6640625" customWidth="1"/>
    <col min="9" max="9" width="15.5" customWidth="1"/>
    <col min="10" max="10" width="20.33203125" customWidth="1"/>
    <col min="11" max="23" width="8.6640625" customWidth="1"/>
  </cols>
  <sheetData>
    <row r="1" spans="1:9" ht="14.25" customHeight="1" x14ac:dyDescent="0.2">
      <c r="A1" s="9" t="s">
        <v>2</v>
      </c>
      <c r="B1" s="9" t="s">
        <v>2221</v>
      </c>
      <c r="C1" s="9" t="s">
        <v>2222</v>
      </c>
      <c r="D1" s="9" t="s">
        <v>2223</v>
      </c>
      <c r="E1" s="9" t="s">
        <v>2224</v>
      </c>
    </row>
    <row r="2" spans="1:9" ht="14.25" customHeight="1" x14ac:dyDescent="0.2">
      <c r="A2" s="4" t="s">
        <v>285</v>
      </c>
      <c r="B2" s="4" t="s">
        <v>2371</v>
      </c>
      <c r="C2" s="4" t="s">
        <v>2225</v>
      </c>
      <c r="D2" s="4" t="s">
        <v>2226</v>
      </c>
      <c r="E2" s="7">
        <v>27</v>
      </c>
      <c r="G2" t="s">
        <v>2380</v>
      </c>
    </row>
    <row r="3" spans="1:9" ht="14.25" customHeight="1" x14ac:dyDescent="0.2">
      <c r="A3" s="4" t="s">
        <v>757</v>
      </c>
      <c r="B3" s="4" t="s">
        <v>2227</v>
      </c>
      <c r="C3" s="4" t="s">
        <v>2228</v>
      </c>
      <c r="D3" s="4" t="s">
        <v>2226</v>
      </c>
      <c r="E3" s="7">
        <v>20</v>
      </c>
    </row>
    <row r="4" spans="1:9" ht="14.25" customHeight="1" x14ac:dyDescent="0.2">
      <c r="A4" s="4" t="s">
        <v>517</v>
      </c>
      <c r="B4" s="4" t="s">
        <v>2229</v>
      </c>
      <c r="C4" s="4" t="s">
        <v>2236</v>
      </c>
      <c r="D4" s="4" t="s">
        <v>2230</v>
      </c>
      <c r="E4" s="7">
        <v>25</v>
      </c>
    </row>
    <row r="5" spans="1:9" ht="14.25" customHeight="1" x14ac:dyDescent="0.2">
      <c r="A5" s="4" t="s">
        <v>552</v>
      </c>
      <c r="B5" s="4" t="s">
        <v>2231</v>
      </c>
      <c r="C5" s="4" t="s">
        <v>2381</v>
      </c>
      <c r="D5" s="4" t="s">
        <v>2230</v>
      </c>
      <c r="E5" s="7">
        <v>40</v>
      </c>
    </row>
    <row r="6" spans="1:9" ht="14.25" customHeight="1" x14ac:dyDescent="0.2">
      <c r="A6" s="4" t="s">
        <v>140</v>
      </c>
      <c r="B6" s="4" t="s">
        <v>2372</v>
      </c>
      <c r="C6" s="4" t="s">
        <v>2232</v>
      </c>
      <c r="D6" s="4" t="s">
        <v>2226</v>
      </c>
      <c r="E6" s="7">
        <v>20</v>
      </c>
    </row>
    <row r="7" spans="1:9" ht="14.25" customHeight="1" x14ac:dyDescent="0.2">
      <c r="A7" s="4" t="s">
        <v>205</v>
      </c>
      <c r="B7" s="4" t="s">
        <v>2233</v>
      </c>
      <c r="C7" s="4" t="s">
        <v>2232</v>
      </c>
      <c r="D7" s="4" t="s">
        <v>2226</v>
      </c>
      <c r="E7" s="7">
        <v>19</v>
      </c>
    </row>
    <row r="8" spans="1:9" ht="14.25" customHeight="1" x14ac:dyDescent="0.2">
      <c r="A8" s="4" t="s">
        <v>107</v>
      </c>
      <c r="B8" s="4" t="s">
        <v>2234</v>
      </c>
      <c r="C8" s="4" t="s">
        <v>2228</v>
      </c>
      <c r="D8" s="4" t="s">
        <v>2230</v>
      </c>
      <c r="E8" s="7">
        <v>44</v>
      </c>
      <c r="I8" s="8"/>
    </row>
    <row r="9" spans="1:9" ht="14.25" customHeight="1" x14ac:dyDescent="0.2">
      <c r="A9" s="4" t="s">
        <v>260</v>
      </c>
      <c r="B9" s="4" t="s">
        <v>2235</v>
      </c>
      <c r="C9" s="4" t="s">
        <v>2236</v>
      </c>
      <c r="D9" s="4" t="s">
        <v>2230</v>
      </c>
      <c r="E9" s="7">
        <v>29</v>
      </c>
      <c r="I9" s="8"/>
    </row>
    <row r="10" spans="1:9" ht="14.25" customHeight="1" x14ac:dyDescent="0.2">
      <c r="A10" s="4" t="s">
        <v>221</v>
      </c>
      <c r="B10" s="4" t="s">
        <v>2237</v>
      </c>
      <c r="C10" s="4" t="s">
        <v>2228</v>
      </c>
      <c r="D10" s="4" t="s">
        <v>2226</v>
      </c>
      <c r="E10" s="7">
        <v>18</v>
      </c>
      <c r="I10" s="8"/>
    </row>
    <row r="11" spans="1:9" ht="14.25" customHeight="1" x14ac:dyDescent="0.2">
      <c r="A11" s="4" t="s">
        <v>410</v>
      </c>
      <c r="B11" s="4" t="s">
        <v>2238</v>
      </c>
      <c r="C11" s="4" t="s">
        <v>2228</v>
      </c>
      <c r="D11" s="4" t="s">
        <v>2226</v>
      </c>
      <c r="E11" s="7">
        <v>21</v>
      </c>
      <c r="I11" s="8"/>
    </row>
    <row r="12" spans="1:9" ht="14.25" customHeight="1" x14ac:dyDescent="0.2">
      <c r="A12" s="4" t="s">
        <v>340</v>
      </c>
      <c r="B12" s="4" t="s">
        <v>2243</v>
      </c>
      <c r="C12" s="4" t="s">
        <v>2239</v>
      </c>
      <c r="D12" s="4" t="s">
        <v>2226</v>
      </c>
      <c r="E12" s="7">
        <v>18</v>
      </c>
      <c r="I12" s="8"/>
    </row>
    <row r="13" spans="1:9" ht="14.25" customHeight="1" x14ac:dyDescent="0.2">
      <c r="A13" s="4" t="s">
        <v>302</v>
      </c>
      <c r="B13" s="4" t="s">
        <v>2240</v>
      </c>
      <c r="C13" s="4" t="s">
        <v>2232</v>
      </c>
      <c r="D13" s="4" t="s">
        <v>2226</v>
      </c>
      <c r="E13" s="7">
        <v>23</v>
      </c>
      <c r="I13" s="8"/>
    </row>
    <row r="14" spans="1:9" ht="14.25" customHeight="1" x14ac:dyDescent="0.2">
      <c r="A14" s="4" t="s">
        <v>416</v>
      </c>
      <c r="B14" s="4" t="s">
        <v>2241</v>
      </c>
      <c r="C14" s="4" t="s">
        <v>2228</v>
      </c>
      <c r="D14" s="4" t="s">
        <v>2226</v>
      </c>
      <c r="E14" s="7">
        <v>26</v>
      </c>
      <c r="I14" s="8"/>
    </row>
    <row r="15" spans="1:9" ht="14.25" customHeight="1" x14ac:dyDescent="0.2">
      <c r="A15" s="4" t="s">
        <v>383</v>
      </c>
      <c r="B15" s="4" t="s">
        <v>2242</v>
      </c>
      <c r="C15" s="4" t="s">
        <v>2236</v>
      </c>
      <c r="D15" s="4" t="s">
        <v>2226</v>
      </c>
      <c r="E15" s="7">
        <v>27</v>
      </c>
      <c r="I15" s="8"/>
    </row>
    <row r="16" spans="1:9" ht="14.25" customHeight="1" x14ac:dyDescent="0.2">
      <c r="A16" s="4" t="s">
        <v>352</v>
      </c>
      <c r="B16" s="4" t="s">
        <v>2373</v>
      </c>
      <c r="C16" s="4" t="s">
        <v>2228</v>
      </c>
      <c r="D16" s="4" t="s">
        <v>2230</v>
      </c>
      <c r="E16" s="7">
        <v>40</v>
      </c>
    </row>
    <row r="17" spans="1:10" ht="14.25" customHeight="1" x14ac:dyDescent="0.2">
      <c r="A17" s="4" t="s">
        <v>94</v>
      </c>
      <c r="B17" s="4" t="s">
        <v>2243</v>
      </c>
      <c r="C17" s="4" t="s">
        <v>2228</v>
      </c>
      <c r="D17" s="4" t="s">
        <v>2226</v>
      </c>
      <c r="E17" s="7">
        <v>26</v>
      </c>
    </row>
    <row r="18" spans="1:10" ht="14.25" customHeight="1" x14ac:dyDescent="0.2">
      <c r="A18" s="4" t="s">
        <v>210</v>
      </c>
      <c r="B18" s="4" t="s">
        <v>2244</v>
      </c>
      <c r="C18" s="4" t="s">
        <v>2239</v>
      </c>
      <c r="D18" s="4" t="s">
        <v>2230</v>
      </c>
      <c r="E18" s="7">
        <v>27</v>
      </c>
    </row>
    <row r="19" spans="1:10" ht="14.25" customHeight="1" x14ac:dyDescent="0.2">
      <c r="A19" s="4" t="s">
        <v>649</v>
      </c>
      <c r="B19" s="4" t="s">
        <v>2374</v>
      </c>
      <c r="C19" s="4" t="s">
        <v>2232</v>
      </c>
      <c r="D19" s="4" t="s">
        <v>2230</v>
      </c>
      <c r="E19" s="7">
        <v>35</v>
      </c>
    </row>
    <row r="20" spans="1:10" ht="14.25" customHeight="1" x14ac:dyDescent="0.2">
      <c r="A20" s="4" t="s">
        <v>36</v>
      </c>
      <c r="B20" s="4" t="s">
        <v>2245</v>
      </c>
      <c r="C20" s="4" t="s">
        <v>2225</v>
      </c>
      <c r="D20" s="4" t="s">
        <v>2226</v>
      </c>
      <c r="E20" s="7">
        <v>21</v>
      </c>
    </row>
    <row r="21" spans="1:10" ht="14.25" customHeight="1" x14ac:dyDescent="0.2">
      <c r="A21" s="4" t="s">
        <v>80</v>
      </c>
      <c r="B21" s="4" t="s">
        <v>2246</v>
      </c>
      <c r="C21" s="4" t="s">
        <v>2228</v>
      </c>
      <c r="D21" s="4" t="s">
        <v>2226</v>
      </c>
      <c r="E21" s="7">
        <v>35</v>
      </c>
    </row>
    <row r="22" spans="1:10" ht="14.25" customHeight="1" x14ac:dyDescent="0.2">
      <c r="A22" s="4" t="s">
        <v>246</v>
      </c>
      <c r="B22" s="4" t="s">
        <v>2247</v>
      </c>
      <c r="C22" s="4" t="s">
        <v>2236</v>
      </c>
      <c r="D22" s="4" t="s">
        <v>2226</v>
      </c>
      <c r="E22" s="7">
        <v>28</v>
      </c>
      <c r="J22" s="8"/>
    </row>
    <row r="23" spans="1:10" ht="14.25" customHeight="1" x14ac:dyDescent="0.2">
      <c r="A23" s="4" t="s">
        <v>161</v>
      </c>
      <c r="B23" s="4" t="s">
        <v>2248</v>
      </c>
      <c r="C23" s="4" t="s">
        <v>2381</v>
      </c>
      <c r="D23" s="4" t="s">
        <v>2226</v>
      </c>
      <c r="E23" s="7">
        <v>31</v>
      </c>
      <c r="J23" s="8"/>
    </row>
    <row r="24" spans="1:10" ht="14.25" customHeight="1" x14ac:dyDescent="0.2">
      <c r="A24" s="4" t="s">
        <v>227</v>
      </c>
      <c r="B24" s="4" t="s">
        <v>2375</v>
      </c>
      <c r="C24" s="4" t="s">
        <v>2232</v>
      </c>
      <c r="D24" s="4" t="s">
        <v>2226</v>
      </c>
      <c r="E24" s="7">
        <v>35</v>
      </c>
      <c r="J24" s="8"/>
    </row>
    <row r="25" spans="1:10" ht="14.25" customHeight="1" x14ac:dyDescent="0.2">
      <c r="A25" s="4" t="s">
        <v>295</v>
      </c>
      <c r="B25" s="4" t="s">
        <v>2249</v>
      </c>
      <c r="C25" s="4" t="s">
        <v>2228</v>
      </c>
      <c r="D25" s="4" t="s">
        <v>2226</v>
      </c>
      <c r="E25" s="7">
        <v>31</v>
      </c>
      <c r="J25" s="8"/>
    </row>
    <row r="26" spans="1:10" ht="14.25" customHeight="1" x14ac:dyDescent="0.2">
      <c r="A26" s="4" t="s">
        <v>178</v>
      </c>
      <c r="B26" s="4" t="s">
        <v>2250</v>
      </c>
      <c r="C26" s="4" t="s">
        <v>2236</v>
      </c>
      <c r="D26" s="4" t="s">
        <v>2226</v>
      </c>
      <c r="E26" s="7">
        <v>19</v>
      </c>
      <c r="J26" s="8"/>
    </row>
    <row r="27" spans="1:10" ht="14.25" customHeight="1" x14ac:dyDescent="0.2">
      <c r="A27" s="4" t="s">
        <v>671</v>
      </c>
      <c r="B27" s="4" t="s">
        <v>2251</v>
      </c>
      <c r="C27" s="4" t="s">
        <v>2228</v>
      </c>
      <c r="D27" s="4" t="s">
        <v>2226</v>
      </c>
      <c r="E27" s="7">
        <v>26</v>
      </c>
      <c r="J27" s="8"/>
    </row>
    <row r="28" spans="1:10" ht="14.25" customHeight="1" x14ac:dyDescent="0.2">
      <c r="A28" s="4" t="s">
        <v>198</v>
      </c>
      <c r="B28" s="4" t="s">
        <v>2252</v>
      </c>
      <c r="C28" s="4" t="s">
        <v>2228</v>
      </c>
      <c r="D28" s="4" t="s">
        <v>2230</v>
      </c>
      <c r="E28" s="7">
        <v>19</v>
      </c>
      <c r="J28" s="8"/>
    </row>
    <row r="29" spans="1:10" ht="14.25" customHeight="1" x14ac:dyDescent="0.2">
      <c r="A29" s="4" t="s">
        <v>481</v>
      </c>
      <c r="B29" s="4" t="s">
        <v>2253</v>
      </c>
      <c r="C29" s="4" t="s">
        <v>2239</v>
      </c>
      <c r="D29" s="4" t="s">
        <v>2226</v>
      </c>
      <c r="E29" s="7">
        <v>33</v>
      </c>
      <c r="J29" s="8"/>
    </row>
    <row r="30" spans="1:10" ht="14.25" customHeight="1" x14ac:dyDescent="0.2">
      <c r="A30" s="4" t="s">
        <v>333</v>
      </c>
      <c r="B30" s="4" t="s">
        <v>2254</v>
      </c>
      <c r="C30" s="4" t="s">
        <v>2232</v>
      </c>
      <c r="D30" s="4" t="s">
        <v>2226</v>
      </c>
      <c r="E30" s="7">
        <v>44</v>
      </c>
    </row>
    <row r="31" spans="1:10" ht="14.25" customHeight="1" x14ac:dyDescent="0.2">
      <c r="A31" s="4" t="s">
        <v>19</v>
      </c>
      <c r="B31" s="4" t="s">
        <v>2255</v>
      </c>
      <c r="C31" s="4" t="s">
        <v>2225</v>
      </c>
      <c r="D31" s="4" t="s">
        <v>2226</v>
      </c>
      <c r="E31" s="7">
        <v>24</v>
      </c>
    </row>
    <row r="32" spans="1:10" ht="14.25" customHeight="1" x14ac:dyDescent="0.2">
      <c r="A32" s="4" t="s">
        <v>317</v>
      </c>
      <c r="B32" s="4" t="s">
        <v>2256</v>
      </c>
      <c r="C32" s="4" t="s">
        <v>2228</v>
      </c>
      <c r="D32" s="4" t="s">
        <v>2230</v>
      </c>
      <c r="E32" s="7">
        <v>28</v>
      </c>
    </row>
    <row r="33" spans="1:5" ht="14.25" customHeight="1" x14ac:dyDescent="0.2">
      <c r="A33" s="4" t="s">
        <v>83</v>
      </c>
      <c r="B33" s="4" t="s">
        <v>2257</v>
      </c>
      <c r="C33" s="4" t="s">
        <v>2236</v>
      </c>
      <c r="D33" s="4" t="s">
        <v>2230</v>
      </c>
      <c r="E33" s="7">
        <v>26</v>
      </c>
    </row>
    <row r="34" spans="1:5" ht="14.25" customHeight="1" x14ac:dyDescent="0.2">
      <c r="A34" s="4" t="s">
        <v>564</v>
      </c>
      <c r="B34" s="4" t="s">
        <v>2234</v>
      </c>
      <c r="C34" s="4" t="s">
        <v>2381</v>
      </c>
      <c r="D34" s="4" t="s">
        <v>2230</v>
      </c>
      <c r="E34" s="7">
        <v>19</v>
      </c>
    </row>
    <row r="35" spans="1:5" ht="14.25" customHeight="1" x14ac:dyDescent="0.2">
      <c r="A35" s="4" t="s">
        <v>184</v>
      </c>
      <c r="B35" s="4" t="s">
        <v>2258</v>
      </c>
      <c r="C35" s="4" t="s">
        <v>2232</v>
      </c>
      <c r="D35" s="4" t="s">
        <v>2230</v>
      </c>
      <c r="E35" s="7">
        <v>32</v>
      </c>
    </row>
    <row r="36" spans="1:5" ht="14.25" customHeight="1" x14ac:dyDescent="0.2">
      <c r="A36" s="4" t="s">
        <v>280</v>
      </c>
      <c r="B36" s="4" t="s">
        <v>2259</v>
      </c>
      <c r="C36" s="4" t="s">
        <v>2228</v>
      </c>
      <c r="D36" s="4" t="s">
        <v>2230</v>
      </c>
      <c r="E36" s="7">
        <v>21</v>
      </c>
    </row>
    <row r="37" spans="1:5" ht="14.25" customHeight="1" x14ac:dyDescent="0.2">
      <c r="A37" s="4" t="s">
        <v>156</v>
      </c>
      <c r="B37" s="4" t="s">
        <v>2260</v>
      </c>
      <c r="C37" s="4" t="s">
        <v>2236</v>
      </c>
      <c r="D37" s="4" t="s">
        <v>2226</v>
      </c>
      <c r="E37" s="7">
        <v>52</v>
      </c>
    </row>
    <row r="38" spans="1:5" ht="14.25" customHeight="1" x14ac:dyDescent="0.2">
      <c r="A38" s="4" t="s">
        <v>282</v>
      </c>
      <c r="B38" s="4" t="s">
        <v>2261</v>
      </c>
      <c r="C38" s="4" t="s">
        <v>2228</v>
      </c>
      <c r="D38" s="4" t="s">
        <v>2230</v>
      </c>
      <c r="E38" s="7">
        <v>26</v>
      </c>
    </row>
    <row r="39" spans="1:5" ht="14.25" customHeight="1" x14ac:dyDescent="0.2">
      <c r="A39" s="4" t="s">
        <v>546</v>
      </c>
      <c r="B39" s="4" t="s">
        <v>2262</v>
      </c>
      <c r="C39" s="4" t="s">
        <v>2228</v>
      </c>
      <c r="D39" s="4" t="s">
        <v>2230</v>
      </c>
      <c r="E39" s="7">
        <v>32</v>
      </c>
    </row>
    <row r="40" spans="1:5" ht="14.25" customHeight="1" x14ac:dyDescent="0.2">
      <c r="A40" s="4" t="s">
        <v>307</v>
      </c>
      <c r="B40" s="4" t="s">
        <v>2263</v>
      </c>
      <c r="C40" s="4" t="s">
        <v>2239</v>
      </c>
      <c r="D40" s="4" t="s">
        <v>2230</v>
      </c>
      <c r="E40" s="7">
        <v>51</v>
      </c>
    </row>
    <row r="41" spans="1:5" ht="14.25" customHeight="1" x14ac:dyDescent="0.2">
      <c r="A41" s="4" t="s">
        <v>388</v>
      </c>
      <c r="B41" s="4" t="s">
        <v>2259</v>
      </c>
      <c r="C41" s="4" t="s">
        <v>2232</v>
      </c>
      <c r="D41" s="4" t="s">
        <v>2230</v>
      </c>
      <c r="E41" s="7">
        <v>52</v>
      </c>
    </row>
    <row r="42" spans="1:5" ht="14.25" customHeight="1" x14ac:dyDescent="0.2">
      <c r="A42" s="4" t="s">
        <v>73</v>
      </c>
      <c r="B42" s="4" t="s">
        <v>2264</v>
      </c>
      <c r="C42" s="4" t="s">
        <v>2225</v>
      </c>
      <c r="D42" s="4" t="s">
        <v>2230</v>
      </c>
      <c r="E42" s="7">
        <v>20</v>
      </c>
    </row>
    <row r="43" spans="1:5" ht="14.25" customHeight="1" x14ac:dyDescent="0.2">
      <c r="A43" s="4" t="s">
        <v>244</v>
      </c>
      <c r="B43" s="4" t="s">
        <v>2265</v>
      </c>
      <c r="C43" s="4" t="s">
        <v>2228</v>
      </c>
      <c r="D43" s="4" t="s">
        <v>2230</v>
      </c>
      <c r="E43" s="7">
        <v>33</v>
      </c>
    </row>
    <row r="44" spans="1:5" ht="14.25" customHeight="1" x14ac:dyDescent="0.2">
      <c r="A44" s="4" t="s">
        <v>30</v>
      </c>
      <c r="B44" s="4" t="s">
        <v>2266</v>
      </c>
      <c r="C44" s="4" t="s">
        <v>2236</v>
      </c>
      <c r="D44" s="4" t="s">
        <v>2230</v>
      </c>
      <c r="E44" s="7">
        <v>42</v>
      </c>
    </row>
    <row r="45" spans="1:5" ht="14.25" customHeight="1" x14ac:dyDescent="0.2">
      <c r="A45" s="4" t="s">
        <v>103</v>
      </c>
      <c r="B45" s="4" t="s">
        <v>2267</v>
      </c>
      <c r="C45" s="4" t="s">
        <v>2381</v>
      </c>
      <c r="D45" s="4" t="s">
        <v>2230</v>
      </c>
      <c r="E45" s="7">
        <v>31</v>
      </c>
    </row>
    <row r="46" spans="1:5" ht="14.25" customHeight="1" x14ac:dyDescent="0.2">
      <c r="A46" s="4" t="s">
        <v>103</v>
      </c>
      <c r="B46" s="4" t="s">
        <v>2267</v>
      </c>
      <c r="C46" s="4" t="s">
        <v>2232</v>
      </c>
      <c r="D46" s="4" t="s">
        <v>2230</v>
      </c>
      <c r="E46" s="7">
        <v>31</v>
      </c>
    </row>
    <row r="47" spans="1:5" ht="14.25" customHeight="1" x14ac:dyDescent="0.2">
      <c r="A47" s="4" t="s">
        <v>124</v>
      </c>
      <c r="B47" s="4" t="s">
        <v>2268</v>
      </c>
      <c r="C47" s="4" t="s">
        <v>2228</v>
      </c>
      <c r="D47" s="4" t="s">
        <v>2230</v>
      </c>
      <c r="E47" s="7">
        <v>22</v>
      </c>
    </row>
    <row r="48" spans="1:5" ht="14.25" customHeight="1" x14ac:dyDescent="0.2">
      <c r="A48" s="4" t="s">
        <v>142</v>
      </c>
      <c r="B48" s="4" t="s">
        <v>2255</v>
      </c>
      <c r="C48" s="4" t="s">
        <v>2236</v>
      </c>
      <c r="D48" s="4" t="s">
        <v>2226</v>
      </c>
      <c r="E48" s="7">
        <v>31</v>
      </c>
    </row>
    <row r="49" spans="1:5" ht="14.25" customHeight="1" x14ac:dyDescent="0.2">
      <c r="A49" s="4" t="s">
        <v>101</v>
      </c>
      <c r="B49" s="4" t="s">
        <v>2234</v>
      </c>
      <c r="C49" s="4" t="s">
        <v>2228</v>
      </c>
      <c r="D49" s="4" t="s">
        <v>2230</v>
      </c>
      <c r="E49" s="7">
        <v>55</v>
      </c>
    </row>
    <row r="50" spans="1:5" ht="14.25" customHeight="1" x14ac:dyDescent="0.2">
      <c r="A50" s="4" t="s">
        <v>607</v>
      </c>
      <c r="B50" s="4" t="s">
        <v>2269</v>
      </c>
      <c r="C50" s="4" t="s">
        <v>2228</v>
      </c>
      <c r="D50" s="4" t="s">
        <v>2230</v>
      </c>
      <c r="E50" s="7">
        <v>19</v>
      </c>
    </row>
    <row r="51" spans="1:5" ht="14.25" customHeight="1" x14ac:dyDescent="0.2">
      <c r="A51" s="4" t="s">
        <v>132</v>
      </c>
      <c r="B51" s="4" t="s">
        <v>2270</v>
      </c>
      <c r="C51" s="4" t="s">
        <v>2239</v>
      </c>
      <c r="D51" s="4" t="s">
        <v>2226</v>
      </c>
      <c r="E51" s="7">
        <v>36</v>
      </c>
    </row>
    <row r="52" spans="1:5" ht="14.25" customHeight="1" x14ac:dyDescent="0.2">
      <c r="A52" s="4" t="s">
        <v>507</v>
      </c>
      <c r="B52" s="4" t="s">
        <v>2271</v>
      </c>
      <c r="C52" s="4" t="s">
        <v>2232</v>
      </c>
      <c r="D52" s="4" t="s">
        <v>2230</v>
      </c>
      <c r="E52" s="7">
        <v>35</v>
      </c>
    </row>
    <row r="53" spans="1:5" ht="14.25" customHeight="1" x14ac:dyDescent="0.2">
      <c r="A53" s="4" t="s">
        <v>50</v>
      </c>
      <c r="B53" s="4" t="s">
        <v>2257</v>
      </c>
      <c r="C53" s="4" t="s">
        <v>2225</v>
      </c>
      <c r="D53" s="4" t="s">
        <v>2230</v>
      </c>
      <c r="E53" s="7">
        <v>31</v>
      </c>
    </row>
    <row r="54" spans="1:5" ht="14.25" customHeight="1" x14ac:dyDescent="0.2">
      <c r="A54" s="4" t="s">
        <v>33</v>
      </c>
      <c r="B54" s="4" t="s">
        <v>2227</v>
      </c>
      <c r="C54" s="4" t="s">
        <v>2228</v>
      </c>
      <c r="D54" s="4" t="s">
        <v>2226</v>
      </c>
      <c r="E54" s="7">
        <v>28</v>
      </c>
    </row>
    <row r="55" spans="1:5" ht="14.25" customHeight="1" x14ac:dyDescent="0.2">
      <c r="A55" s="4" t="s">
        <v>298</v>
      </c>
      <c r="B55" s="4" t="s">
        <v>2235</v>
      </c>
      <c r="C55" s="4" t="s">
        <v>2236</v>
      </c>
      <c r="D55" s="4" t="s">
        <v>2230</v>
      </c>
      <c r="E55" s="7">
        <v>19</v>
      </c>
    </row>
    <row r="56" spans="1:5" ht="14.25" customHeight="1" x14ac:dyDescent="0.2">
      <c r="A56" s="4" t="s">
        <v>182</v>
      </c>
      <c r="B56" s="4" t="s">
        <v>2272</v>
      </c>
      <c r="C56" s="4" t="s">
        <v>2381</v>
      </c>
      <c r="D56" s="4" t="s">
        <v>2226</v>
      </c>
      <c r="E56" s="7">
        <v>39</v>
      </c>
    </row>
    <row r="57" spans="1:5" ht="14.25" customHeight="1" x14ac:dyDescent="0.2">
      <c r="A57" s="4" t="s">
        <v>327</v>
      </c>
      <c r="B57" s="4" t="s">
        <v>2269</v>
      </c>
      <c r="C57" s="4" t="s">
        <v>2232</v>
      </c>
      <c r="D57" s="4" t="s">
        <v>2230</v>
      </c>
      <c r="E57" s="7">
        <v>24</v>
      </c>
    </row>
    <row r="58" spans="1:5" ht="14.25" customHeight="1" x14ac:dyDescent="0.2">
      <c r="A58" s="4" t="s">
        <v>11</v>
      </c>
      <c r="B58" s="4" t="s">
        <v>2273</v>
      </c>
      <c r="C58" s="4" t="s">
        <v>2228</v>
      </c>
      <c r="D58" s="4" t="s">
        <v>2230</v>
      </c>
      <c r="E58" s="7">
        <v>55</v>
      </c>
    </row>
    <row r="59" spans="1:5" ht="14.25" customHeight="1" x14ac:dyDescent="0.2">
      <c r="A59" s="4" t="s">
        <v>176</v>
      </c>
      <c r="B59" s="4" t="s">
        <v>2274</v>
      </c>
      <c r="C59" s="4" t="s">
        <v>2236</v>
      </c>
      <c r="D59" s="4" t="s">
        <v>2226</v>
      </c>
      <c r="E59" s="7">
        <v>26</v>
      </c>
    </row>
    <row r="60" spans="1:5" ht="14.25" customHeight="1" x14ac:dyDescent="0.2">
      <c r="A60" s="4" t="s">
        <v>234</v>
      </c>
      <c r="B60" s="4" t="s">
        <v>2275</v>
      </c>
      <c r="C60" s="4" t="s">
        <v>2228</v>
      </c>
      <c r="D60" s="4" t="s">
        <v>2230</v>
      </c>
      <c r="E60" s="7">
        <v>18</v>
      </c>
    </row>
    <row r="61" spans="1:5" ht="14.25" customHeight="1" x14ac:dyDescent="0.2">
      <c r="A61" s="4" t="s">
        <v>940</v>
      </c>
      <c r="B61" s="4" t="s">
        <v>2276</v>
      </c>
      <c r="C61" s="4" t="s">
        <v>2228</v>
      </c>
      <c r="D61" s="4" t="s">
        <v>2226</v>
      </c>
      <c r="E61" s="7">
        <v>25</v>
      </c>
    </row>
    <row r="62" spans="1:5" ht="14.25" customHeight="1" x14ac:dyDescent="0.2">
      <c r="A62" s="4" t="s">
        <v>418</v>
      </c>
      <c r="B62" s="4" t="s">
        <v>2266</v>
      </c>
      <c r="C62" s="4" t="s">
        <v>2239</v>
      </c>
      <c r="D62" s="4" t="s">
        <v>2230</v>
      </c>
      <c r="E62" s="7">
        <v>20</v>
      </c>
    </row>
    <row r="63" spans="1:5" ht="14.25" customHeight="1" x14ac:dyDescent="0.2">
      <c r="A63" s="4" t="s">
        <v>110</v>
      </c>
      <c r="B63" s="4" t="s">
        <v>2277</v>
      </c>
      <c r="C63" s="4" t="s">
        <v>2232</v>
      </c>
      <c r="D63" s="4" t="s">
        <v>2230</v>
      </c>
      <c r="E63" s="7">
        <v>28</v>
      </c>
    </row>
    <row r="64" spans="1:5" ht="14.25" customHeight="1" x14ac:dyDescent="0.2">
      <c r="A64" s="4" t="s">
        <v>214</v>
      </c>
      <c r="B64" s="4" t="s">
        <v>2278</v>
      </c>
      <c r="C64" s="4" t="s">
        <v>2225</v>
      </c>
      <c r="D64" s="4" t="s">
        <v>2230</v>
      </c>
      <c r="E64" s="7">
        <v>20</v>
      </c>
    </row>
    <row r="65" spans="1:5" ht="14.25" customHeight="1" x14ac:dyDescent="0.2">
      <c r="A65" s="4" t="s">
        <v>59</v>
      </c>
      <c r="B65" s="4" t="s">
        <v>2279</v>
      </c>
      <c r="C65" s="4" t="s">
        <v>2228</v>
      </c>
      <c r="D65" s="4" t="s">
        <v>2230</v>
      </c>
      <c r="E65" s="7">
        <v>24</v>
      </c>
    </row>
    <row r="66" spans="1:5" ht="14.25" customHeight="1" x14ac:dyDescent="0.2">
      <c r="A66" s="4" t="s">
        <v>207</v>
      </c>
      <c r="B66" s="4" t="s">
        <v>2262</v>
      </c>
      <c r="C66" s="4" t="s">
        <v>2236</v>
      </c>
      <c r="D66" s="4" t="s">
        <v>2230</v>
      </c>
      <c r="E66" s="7">
        <v>37</v>
      </c>
    </row>
    <row r="67" spans="1:5" ht="14.25" customHeight="1" x14ac:dyDescent="0.2">
      <c r="A67" s="4" t="s">
        <v>150</v>
      </c>
      <c r="B67" s="4" t="s">
        <v>2280</v>
      </c>
      <c r="C67" s="4" t="s">
        <v>2381</v>
      </c>
      <c r="D67" s="4" t="s">
        <v>2230</v>
      </c>
      <c r="E67" s="7">
        <v>23</v>
      </c>
    </row>
    <row r="68" spans="1:5" ht="14.25" customHeight="1" x14ac:dyDescent="0.2">
      <c r="A68" s="4" t="s">
        <v>223</v>
      </c>
      <c r="B68" s="4" t="s">
        <v>2252</v>
      </c>
      <c r="C68" s="4" t="s">
        <v>2232</v>
      </c>
      <c r="D68" s="4" t="s">
        <v>2230</v>
      </c>
      <c r="E68" s="7">
        <v>20</v>
      </c>
    </row>
    <row r="69" spans="1:5" ht="14.25" customHeight="1" x14ac:dyDescent="0.2">
      <c r="A69" s="4" t="s">
        <v>225</v>
      </c>
      <c r="B69" s="4" t="s">
        <v>2376</v>
      </c>
      <c r="C69" s="4" t="s">
        <v>2228</v>
      </c>
      <c r="D69" s="4" t="s">
        <v>2226</v>
      </c>
      <c r="E69" s="7">
        <v>45</v>
      </c>
    </row>
    <row r="70" spans="1:5" ht="14.25" customHeight="1" x14ac:dyDescent="0.2">
      <c r="A70" s="4" t="s">
        <v>514</v>
      </c>
      <c r="B70" s="4" t="s">
        <v>2281</v>
      </c>
      <c r="C70" s="4" t="s">
        <v>2236</v>
      </c>
      <c r="D70" s="4" t="s">
        <v>2226</v>
      </c>
      <c r="E70" s="7">
        <v>28</v>
      </c>
    </row>
    <row r="71" spans="1:5" ht="14.25" customHeight="1" x14ac:dyDescent="0.2">
      <c r="A71" s="4" t="s">
        <v>186</v>
      </c>
      <c r="B71" s="4" t="s">
        <v>2280</v>
      </c>
      <c r="C71" s="4" t="s">
        <v>2228</v>
      </c>
      <c r="D71" s="4" t="s">
        <v>2230</v>
      </c>
      <c r="E71" s="7">
        <v>37</v>
      </c>
    </row>
    <row r="72" spans="1:5" ht="14.25" customHeight="1" x14ac:dyDescent="0.2">
      <c r="A72" s="4" t="s">
        <v>180</v>
      </c>
      <c r="B72" s="4" t="s">
        <v>2282</v>
      </c>
      <c r="C72" s="4" t="s">
        <v>2228</v>
      </c>
      <c r="D72" s="4" t="s">
        <v>2226</v>
      </c>
      <c r="E72" s="7">
        <v>25</v>
      </c>
    </row>
    <row r="73" spans="1:5" ht="14.25" customHeight="1" x14ac:dyDescent="0.2">
      <c r="A73" s="4" t="s">
        <v>27</v>
      </c>
      <c r="B73" s="4" t="s">
        <v>2276</v>
      </c>
      <c r="C73" s="4" t="s">
        <v>2239</v>
      </c>
      <c r="D73" s="4" t="s">
        <v>2226</v>
      </c>
      <c r="E73" s="7">
        <v>32</v>
      </c>
    </row>
    <row r="74" spans="1:5" ht="14.25" customHeight="1" x14ac:dyDescent="0.2">
      <c r="A74" s="4" t="s">
        <v>194</v>
      </c>
      <c r="B74" s="4" t="s">
        <v>2283</v>
      </c>
      <c r="C74" s="4" t="s">
        <v>2232</v>
      </c>
      <c r="D74" s="4" t="s">
        <v>2230</v>
      </c>
      <c r="E74" s="7">
        <v>45</v>
      </c>
    </row>
    <row r="75" spans="1:5" ht="14.25" customHeight="1" x14ac:dyDescent="0.2">
      <c r="A75" s="4" t="s">
        <v>468</v>
      </c>
      <c r="B75" s="4" t="s">
        <v>2267</v>
      </c>
      <c r="C75" s="4" t="s">
        <v>2225</v>
      </c>
      <c r="D75" s="4" t="s">
        <v>2230</v>
      </c>
      <c r="E75" s="7">
        <v>23</v>
      </c>
    </row>
    <row r="76" spans="1:5" ht="14.25" customHeight="1" x14ac:dyDescent="0.2">
      <c r="A76" s="4" t="s">
        <v>163</v>
      </c>
      <c r="B76" s="4" t="s">
        <v>2256</v>
      </c>
      <c r="C76" s="4" t="s">
        <v>2228</v>
      </c>
      <c r="D76" s="4" t="s">
        <v>2230</v>
      </c>
      <c r="E76" s="7">
        <v>32</v>
      </c>
    </row>
    <row r="77" spans="1:5" ht="14.25" customHeight="1" x14ac:dyDescent="0.2">
      <c r="A77" s="4" t="s">
        <v>159</v>
      </c>
      <c r="B77" s="4" t="s">
        <v>2281</v>
      </c>
      <c r="C77" s="4" t="s">
        <v>2236</v>
      </c>
      <c r="D77" s="4" t="s">
        <v>2226</v>
      </c>
      <c r="E77" s="7">
        <v>49</v>
      </c>
    </row>
    <row r="78" spans="1:5" ht="14.25" customHeight="1" x14ac:dyDescent="0.2">
      <c r="A78" s="4" t="s">
        <v>311</v>
      </c>
      <c r="B78" s="4" t="s">
        <v>2284</v>
      </c>
      <c r="C78" s="4" t="s">
        <v>2381</v>
      </c>
      <c r="D78" s="4" t="s">
        <v>2230</v>
      </c>
      <c r="E78" s="7">
        <v>31</v>
      </c>
    </row>
    <row r="79" spans="1:5" ht="14.25" customHeight="1" x14ac:dyDescent="0.2">
      <c r="A79" s="4" t="s">
        <v>322</v>
      </c>
      <c r="B79" s="4" t="s">
        <v>2285</v>
      </c>
      <c r="C79" s="4" t="s">
        <v>2232</v>
      </c>
      <c r="D79" s="4" t="s">
        <v>2230</v>
      </c>
      <c r="E79" s="7">
        <v>32</v>
      </c>
    </row>
    <row r="80" spans="1:5" ht="14.25" customHeight="1" x14ac:dyDescent="0.2">
      <c r="A80" s="4" t="s">
        <v>96</v>
      </c>
      <c r="B80" s="4" t="s">
        <v>2377</v>
      </c>
      <c r="C80" s="4" t="s">
        <v>2228</v>
      </c>
      <c r="D80" s="4" t="s">
        <v>2230</v>
      </c>
      <c r="E80" s="7">
        <v>35</v>
      </c>
    </row>
    <row r="81" spans="1:5" ht="14.25" customHeight="1" x14ac:dyDescent="0.2">
      <c r="A81" s="4" t="s">
        <v>237</v>
      </c>
      <c r="B81" s="4" t="s">
        <v>2286</v>
      </c>
      <c r="C81" s="4" t="s">
        <v>2236</v>
      </c>
      <c r="D81" s="4" t="s">
        <v>2230</v>
      </c>
      <c r="E81" s="7">
        <v>25</v>
      </c>
    </row>
    <row r="82" spans="1:5" ht="14.25" customHeight="1" x14ac:dyDescent="0.2">
      <c r="A82" s="4" t="s">
        <v>439</v>
      </c>
      <c r="B82" s="4" t="s">
        <v>2287</v>
      </c>
      <c r="C82" s="4" t="s">
        <v>2228</v>
      </c>
      <c r="D82" s="4" t="s">
        <v>2230</v>
      </c>
      <c r="E82" s="7">
        <v>50</v>
      </c>
    </row>
    <row r="83" spans="1:5" ht="14.25" customHeight="1" x14ac:dyDescent="0.2">
      <c r="A83" s="4" t="s">
        <v>116</v>
      </c>
      <c r="B83" s="4" t="s">
        <v>2288</v>
      </c>
      <c r="C83" s="4" t="s">
        <v>2228</v>
      </c>
      <c r="D83" s="4" t="s">
        <v>2226</v>
      </c>
      <c r="E83" s="7">
        <v>21</v>
      </c>
    </row>
    <row r="84" spans="1:5" ht="14.25" customHeight="1" x14ac:dyDescent="0.2">
      <c r="A84" s="4" t="s">
        <v>154</v>
      </c>
      <c r="B84" s="4" t="s">
        <v>2286</v>
      </c>
      <c r="C84" s="4" t="s">
        <v>2239</v>
      </c>
      <c r="D84" s="4" t="s">
        <v>2230</v>
      </c>
      <c r="E84" s="7">
        <v>46</v>
      </c>
    </row>
    <row r="85" spans="1:5" ht="14.25" customHeight="1" x14ac:dyDescent="0.2">
      <c r="A85" s="4" t="s">
        <v>314</v>
      </c>
      <c r="B85" s="4" t="s">
        <v>2261</v>
      </c>
      <c r="C85" s="4" t="s">
        <v>2232</v>
      </c>
      <c r="D85" s="4" t="s">
        <v>2230</v>
      </c>
      <c r="E85" s="7">
        <v>18</v>
      </c>
    </row>
    <row r="86" spans="1:5" ht="14.25" customHeight="1" x14ac:dyDescent="0.2">
      <c r="A86" s="4" t="s">
        <v>48</v>
      </c>
      <c r="B86" s="4" t="s">
        <v>2289</v>
      </c>
      <c r="C86" s="4" t="s">
        <v>2225</v>
      </c>
      <c r="D86" s="4" t="s">
        <v>2226</v>
      </c>
      <c r="E86" s="7">
        <v>23</v>
      </c>
    </row>
    <row r="87" spans="1:5" ht="14.25" customHeight="1" x14ac:dyDescent="0.2">
      <c r="A87" s="4" t="s">
        <v>159</v>
      </c>
      <c r="B87" s="4" t="s">
        <v>2281</v>
      </c>
      <c r="C87" s="4" t="s">
        <v>2228</v>
      </c>
      <c r="D87" s="4" t="s">
        <v>2226</v>
      </c>
      <c r="E87" s="7">
        <v>49</v>
      </c>
    </row>
    <row r="88" spans="1:5" ht="14.25" customHeight="1" x14ac:dyDescent="0.2">
      <c r="A88" s="4" t="s">
        <v>148</v>
      </c>
      <c r="B88" s="4" t="s">
        <v>2265</v>
      </c>
      <c r="C88" s="4" t="s">
        <v>2236</v>
      </c>
      <c r="D88" s="4" t="s">
        <v>2230</v>
      </c>
      <c r="E88" s="7">
        <v>29</v>
      </c>
    </row>
    <row r="89" spans="1:5" ht="14.25" customHeight="1" x14ac:dyDescent="0.2">
      <c r="A89" s="4" t="s">
        <v>264</v>
      </c>
      <c r="B89" s="4" t="s">
        <v>2290</v>
      </c>
      <c r="C89" s="4" t="s">
        <v>2381</v>
      </c>
      <c r="D89" s="4" t="s">
        <v>2230</v>
      </c>
      <c r="E89" s="7">
        <v>19</v>
      </c>
    </row>
    <row r="90" spans="1:5" ht="14.25" customHeight="1" x14ac:dyDescent="0.2">
      <c r="A90" s="4" t="s">
        <v>833</v>
      </c>
      <c r="B90" s="4" t="s">
        <v>2291</v>
      </c>
      <c r="C90" s="4" t="s">
        <v>2232</v>
      </c>
      <c r="D90" s="4" t="s">
        <v>2226</v>
      </c>
      <c r="E90" s="7">
        <v>53</v>
      </c>
    </row>
    <row r="91" spans="1:5" ht="14.25" customHeight="1" x14ac:dyDescent="0.2">
      <c r="A91" s="4" t="s">
        <v>291</v>
      </c>
      <c r="B91" s="4" t="s">
        <v>2292</v>
      </c>
      <c r="C91" s="4" t="s">
        <v>2228</v>
      </c>
      <c r="D91" s="4" t="s">
        <v>2226</v>
      </c>
      <c r="E91" s="7">
        <v>33</v>
      </c>
    </row>
    <row r="92" spans="1:5" ht="14.25" customHeight="1" x14ac:dyDescent="0.2">
      <c r="A92" s="4" t="s">
        <v>400</v>
      </c>
      <c r="B92" s="4" t="s">
        <v>2293</v>
      </c>
      <c r="C92" s="4" t="s">
        <v>2236</v>
      </c>
      <c r="D92" s="4" t="s">
        <v>2226</v>
      </c>
      <c r="E92" s="7">
        <v>35</v>
      </c>
    </row>
    <row r="93" spans="1:5" ht="14.25" customHeight="1" x14ac:dyDescent="0.2">
      <c r="A93" s="4" t="s">
        <v>52</v>
      </c>
      <c r="B93" s="4" t="s">
        <v>2269</v>
      </c>
      <c r="C93" s="4" t="s">
        <v>2228</v>
      </c>
      <c r="D93" s="4" t="s">
        <v>2230</v>
      </c>
      <c r="E93" s="7">
        <v>29</v>
      </c>
    </row>
    <row r="94" spans="1:5" ht="14.25" customHeight="1" x14ac:dyDescent="0.2">
      <c r="A94" s="4" t="s">
        <v>605</v>
      </c>
      <c r="B94" s="4" t="s">
        <v>2294</v>
      </c>
      <c r="C94" s="4" t="s">
        <v>2228</v>
      </c>
      <c r="D94" s="4" t="s">
        <v>2230</v>
      </c>
      <c r="E94" s="7">
        <v>44</v>
      </c>
    </row>
    <row r="95" spans="1:5" ht="14.25" customHeight="1" x14ac:dyDescent="0.2">
      <c r="A95" s="4" t="s">
        <v>17</v>
      </c>
      <c r="B95" s="4" t="s">
        <v>2295</v>
      </c>
      <c r="C95" s="4" t="s">
        <v>2239</v>
      </c>
      <c r="D95" s="4" t="s">
        <v>2230</v>
      </c>
      <c r="E95" s="7">
        <v>48</v>
      </c>
    </row>
    <row r="96" spans="1:5" ht="14.25" customHeight="1" x14ac:dyDescent="0.2">
      <c r="A96" s="4" t="s">
        <v>89</v>
      </c>
      <c r="B96" s="4" t="s">
        <v>2296</v>
      </c>
      <c r="C96" s="4" t="s">
        <v>2232</v>
      </c>
      <c r="D96" s="4" t="s">
        <v>2230</v>
      </c>
      <c r="E96" s="7">
        <v>19</v>
      </c>
    </row>
    <row r="97" spans="1:5" ht="14.25" customHeight="1" x14ac:dyDescent="0.2">
      <c r="A97" s="4" t="s">
        <v>305</v>
      </c>
      <c r="B97" s="4" t="s">
        <v>2297</v>
      </c>
      <c r="C97" s="4" t="s">
        <v>2225</v>
      </c>
      <c r="D97" s="4" t="s">
        <v>2226</v>
      </c>
      <c r="E97" s="7">
        <v>40</v>
      </c>
    </row>
    <row r="98" spans="1:5" ht="14.25" customHeight="1" x14ac:dyDescent="0.2">
      <c r="A98" s="4" t="s">
        <v>14</v>
      </c>
      <c r="B98" s="4" t="s">
        <v>2298</v>
      </c>
      <c r="C98" s="4" t="s">
        <v>2228</v>
      </c>
      <c r="D98" s="4" t="s">
        <v>2226</v>
      </c>
      <c r="E98" s="7">
        <v>39</v>
      </c>
    </row>
    <row r="99" spans="1:5" ht="14.25" customHeight="1" x14ac:dyDescent="0.2">
      <c r="A99" s="4" t="s">
        <v>45</v>
      </c>
      <c r="B99" s="4" t="s">
        <v>2299</v>
      </c>
      <c r="C99" s="4" t="s">
        <v>2236</v>
      </c>
      <c r="D99" s="4" t="s">
        <v>2226</v>
      </c>
      <c r="E99" s="7">
        <v>26</v>
      </c>
    </row>
    <row r="100" spans="1:5" ht="14.25" customHeight="1" x14ac:dyDescent="0.2">
      <c r="A100" s="4" t="s">
        <v>256</v>
      </c>
      <c r="B100" s="4" t="s">
        <v>2273</v>
      </c>
      <c r="C100" s="4" t="s">
        <v>2381</v>
      </c>
      <c r="D100" s="4" t="s">
        <v>2230</v>
      </c>
      <c r="E100" s="7">
        <v>23</v>
      </c>
    </row>
    <row r="101" spans="1:5" ht="14.25" customHeight="1" x14ac:dyDescent="0.2">
      <c r="A101" s="4" t="s">
        <v>78</v>
      </c>
      <c r="B101" s="4" t="s">
        <v>2300</v>
      </c>
      <c r="C101" s="4" t="s">
        <v>2232</v>
      </c>
      <c r="D101" s="4" t="s">
        <v>2226</v>
      </c>
      <c r="E101" s="7">
        <v>38</v>
      </c>
    </row>
    <row r="102" spans="1:5" ht="14.25" customHeight="1" x14ac:dyDescent="0.2">
      <c r="A102" s="4" t="s">
        <v>22</v>
      </c>
      <c r="B102" s="4" t="s">
        <v>2301</v>
      </c>
      <c r="C102" s="4" t="s">
        <v>2228</v>
      </c>
      <c r="D102" s="4" t="s">
        <v>2230</v>
      </c>
      <c r="E102" s="7">
        <v>52</v>
      </c>
    </row>
    <row r="103" spans="1:5" ht="14.25" customHeight="1" x14ac:dyDescent="0.2">
      <c r="A103" s="4" t="s">
        <v>91</v>
      </c>
      <c r="B103" s="4" t="s">
        <v>2243</v>
      </c>
      <c r="C103" s="4" t="s">
        <v>2236</v>
      </c>
      <c r="D103" s="4" t="s">
        <v>2226</v>
      </c>
      <c r="E103" s="7">
        <v>28</v>
      </c>
    </row>
    <row r="104" spans="1:5" ht="14.25" customHeight="1" x14ac:dyDescent="0.2">
      <c r="A104" s="4" t="s">
        <v>324</v>
      </c>
      <c r="B104" s="4" t="s">
        <v>2302</v>
      </c>
      <c r="C104" s="4" t="s">
        <v>2228</v>
      </c>
      <c r="D104" s="4" t="s">
        <v>2226</v>
      </c>
      <c r="E104" s="7">
        <v>25</v>
      </c>
    </row>
    <row r="105" spans="1:5" ht="14.25" customHeight="1" x14ac:dyDescent="0.2">
      <c r="A105" s="4" t="s">
        <v>146</v>
      </c>
      <c r="B105" s="4" t="s">
        <v>2303</v>
      </c>
      <c r="C105" s="4" t="s">
        <v>2228</v>
      </c>
      <c r="D105" s="4" t="s">
        <v>2226</v>
      </c>
      <c r="E105" s="7">
        <v>27</v>
      </c>
    </row>
    <row r="106" spans="1:5" ht="14.25" customHeight="1" x14ac:dyDescent="0.2">
      <c r="A106" s="4" t="s">
        <v>457</v>
      </c>
      <c r="B106" s="4" t="s">
        <v>2302</v>
      </c>
      <c r="C106" s="4" t="s">
        <v>2239</v>
      </c>
      <c r="D106" s="4" t="s">
        <v>2226</v>
      </c>
      <c r="E106" s="7">
        <v>23</v>
      </c>
    </row>
    <row r="107" spans="1:5" ht="14.25" customHeight="1" x14ac:dyDescent="0.2">
      <c r="A107" s="4" t="s">
        <v>386</v>
      </c>
      <c r="B107" s="4" t="s">
        <v>2304</v>
      </c>
      <c r="C107" s="4" t="s">
        <v>2232</v>
      </c>
      <c r="D107" s="4" t="s">
        <v>2226</v>
      </c>
      <c r="E107" s="7">
        <v>32</v>
      </c>
    </row>
    <row r="108" spans="1:5" ht="14.25" customHeight="1" x14ac:dyDescent="0.2">
      <c r="A108" s="4" t="s">
        <v>346</v>
      </c>
      <c r="B108" s="4" t="s">
        <v>2277</v>
      </c>
      <c r="C108" s="4" t="s">
        <v>2225</v>
      </c>
      <c r="D108" s="4" t="s">
        <v>2230</v>
      </c>
      <c r="E108" s="7">
        <v>30</v>
      </c>
    </row>
    <row r="109" spans="1:5" ht="14.25" customHeight="1" x14ac:dyDescent="0.2">
      <c r="A109" s="4" t="s">
        <v>435</v>
      </c>
      <c r="B109" s="4" t="s">
        <v>2305</v>
      </c>
      <c r="C109" s="4" t="s">
        <v>2228</v>
      </c>
      <c r="D109" s="4" t="s">
        <v>2230</v>
      </c>
      <c r="E109" s="7">
        <v>32</v>
      </c>
    </row>
    <row r="110" spans="1:5" ht="14.25" customHeight="1" x14ac:dyDescent="0.2">
      <c r="A110" s="4" t="s">
        <v>134</v>
      </c>
      <c r="B110" s="4" t="s">
        <v>2268</v>
      </c>
      <c r="C110" s="4" t="s">
        <v>2236</v>
      </c>
      <c r="D110" s="4" t="s">
        <v>2230</v>
      </c>
      <c r="E110" s="7">
        <v>18</v>
      </c>
    </row>
    <row r="111" spans="1:5" ht="14.25" customHeight="1" x14ac:dyDescent="0.2">
      <c r="A111" s="4" t="s">
        <v>105</v>
      </c>
      <c r="B111" s="4" t="s">
        <v>2306</v>
      </c>
      <c r="C111" s="4" t="s">
        <v>2381</v>
      </c>
      <c r="D111" s="4" t="s">
        <v>2230</v>
      </c>
      <c r="E111" s="7">
        <v>42</v>
      </c>
    </row>
    <row r="112" spans="1:5" ht="14.25" customHeight="1" x14ac:dyDescent="0.2">
      <c r="A112" s="4" t="s">
        <v>138</v>
      </c>
      <c r="B112" s="4" t="s">
        <v>2229</v>
      </c>
      <c r="C112" s="4" t="s">
        <v>2232</v>
      </c>
      <c r="D112" s="4" t="s">
        <v>2230</v>
      </c>
      <c r="E112" s="7">
        <v>22</v>
      </c>
    </row>
    <row r="113" spans="1:5" ht="14.25" customHeight="1" x14ac:dyDescent="0.2">
      <c r="A113" s="4" t="s">
        <v>122</v>
      </c>
      <c r="B113" s="4" t="s">
        <v>2307</v>
      </c>
      <c r="C113" s="4" t="s">
        <v>2228</v>
      </c>
      <c r="D113" s="4" t="s">
        <v>2226</v>
      </c>
      <c r="E113" s="7">
        <v>52</v>
      </c>
    </row>
    <row r="114" spans="1:5" ht="14.25" customHeight="1" x14ac:dyDescent="0.2">
      <c r="A114" s="4" t="s">
        <v>39</v>
      </c>
      <c r="B114" s="4" t="s">
        <v>2229</v>
      </c>
      <c r="C114" s="4" t="s">
        <v>2236</v>
      </c>
      <c r="D114" s="4" t="s">
        <v>2230</v>
      </c>
      <c r="E114" s="7">
        <v>20</v>
      </c>
    </row>
    <row r="115" spans="1:5" ht="14.25" customHeight="1" x14ac:dyDescent="0.2">
      <c r="A115" s="4" t="s">
        <v>41</v>
      </c>
      <c r="B115" s="4" t="s">
        <v>2308</v>
      </c>
      <c r="C115" s="4" t="s">
        <v>2228</v>
      </c>
      <c r="D115" s="4" t="s">
        <v>2226</v>
      </c>
      <c r="E115" s="7">
        <v>40</v>
      </c>
    </row>
    <row r="116" spans="1:5" ht="14.25" customHeight="1" x14ac:dyDescent="0.2">
      <c r="A116" s="4" t="s">
        <v>75</v>
      </c>
      <c r="B116" s="4" t="s">
        <v>2297</v>
      </c>
      <c r="C116" s="4" t="s">
        <v>2228</v>
      </c>
      <c r="D116" s="4" t="s">
        <v>2226</v>
      </c>
      <c r="E116" s="7">
        <v>47</v>
      </c>
    </row>
    <row r="117" spans="1:5" ht="14.25" customHeight="1" x14ac:dyDescent="0.2">
      <c r="A117" s="4" t="s">
        <v>521</v>
      </c>
      <c r="B117" s="4" t="s">
        <v>2280</v>
      </c>
      <c r="C117" s="4" t="s">
        <v>2239</v>
      </c>
      <c r="D117" s="4" t="s">
        <v>2230</v>
      </c>
      <c r="E117" s="7">
        <v>25</v>
      </c>
    </row>
    <row r="118" spans="1:5" ht="14.25" customHeight="1" x14ac:dyDescent="0.2">
      <c r="A118" s="4" t="s">
        <v>343</v>
      </c>
      <c r="B118" s="4" t="s">
        <v>2309</v>
      </c>
      <c r="C118" s="4" t="s">
        <v>2232</v>
      </c>
      <c r="D118" s="4" t="s">
        <v>2230</v>
      </c>
      <c r="E118" s="7">
        <v>31</v>
      </c>
    </row>
    <row r="119" spans="1:5" ht="14.25" customHeight="1" x14ac:dyDescent="0.2">
      <c r="A119" s="4" t="s">
        <v>55</v>
      </c>
      <c r="B119" s="4" t="s">
        <v>2275</v>
      </c>
      <c r="C119" s="4" t="s">
        <v>2225</v>
      </c>
      <c r="D119" s="4" t="s">
        <v>2230</v>
      </c>
      <c r="E119" s="7">
        <v>48</v>
      </c>
    </row>
    <row r="120" spans="1:5" ht="14.25" customHeight="1" x14ac:dyDescent="0.2">
      <c r="A120" s="4" t="s">
        <v>68</v>
      </c>
      <c r="B120" s="4" t="s">
        <v>2310</v>
      </c>
      <c r="C120" s="4" t="s">
        <v>2228</v>
      </c>
      <c r="D120" s="4" t="s">
        <v>2226</v>
      </c>
      <c r="E120" s="7">
        <v>29</v>
      </c>
    </row>
    <row r="121" spans="1:5" ht="14.25" customHeight="1" x14ac:dyDescent="0.2">
      <c r="A121" s="4" t="s">
        <v>218</v>
      </c>
      <c r="B121" s="4" t="s">
        <v>2311</v>
      </c>
      <c r="C121" s="4" t="s">
        <v>2236</v>
      </c>
      <c r="D121" s="4" t="s">
        <v>2230</v>
      </c>
      <c r="E121" s="7">
        <v>48</v>
      </c>
    </row>
    <row r="122" spans="1:5" ht="14.25" customHeight="1" x14ac:dyDescent="0.2">
      <c r="A122" s="4" t="s">
        <v>201</v>
      </c>
      <c r="B122" s="4" t="s">
        <v>2312</v>
      </c>
      <c r="C122" s="4" t="s">
        <v>2381</v>
      </c>
      <c r="D122" s="4" t="s">
        <v>2226</v>
      </c>
      <c r="E122" s="7">
        <v>20</v>
      </c>
    </row>
    <row r="123" spans="1:5" ht="14.25" customHeight="1" x14ac:dyDescent="0.2">
      <c r="A123" s="4" t="s">
        <v>426</v>
      </c>
      <c r="B123" s="4" t="s">
        <v>2313</v>
      </c>
      <c r="C123" s="4" t="s">
        <v>2232</v>
      </c>
      <c r="D123" s="4" t="s">
        <v>2226</v>
      </c>
      <c r="E123" s="7">
        <v>18</v>
      </c>
    </row>
    <row r="124" spans="1:5" ht="14.25" customHeight="1" x14ac:dyDescent="0.2">
      <c r="A124" s="4" t="s">
        <v>502</v>
      </c>
      <c r="B124" s="4" t="s">
        <v>2314</v>
      </c>
      <c r="C124" s="4" t="s">
        <v>2228</v>
      </c>
      <c r="D124" s="4" t="s">
        <v>2226</v>
      </c>
      <c r="E124" s="7">
        <v>24</v>
      </c>
    </row>
    <row r="125" spans="1:5" ht="14.25" customHeight="1" x14ac:dyDescent="0.2">
      <c r="A125" s="4" t="s">
        <v>229</v>
      </c>
      <c r="B125" s="4" t="s">
        <v>2243</v>
      </c>
      <c r="C125" s="4" t="s">
        <v>2236</v>
      </c>
      <c r="D125" s="4" t="s">
        <v>2226</v>
      </c>
      <c r="E125" s="7">
        <v>43</v>
      </c>
    </row>
    <row r="126" spans="1:5" ht="14.25" customHeight="1" x14ac:dyDescent="0.2">
      <c r="A126" s="4" t="s">
        <v>252</v>
      </c>
      <c r="B126" s="4" t="s">
        <v>2267</v>
      </c>
      <c r="C126" s="4" t="s">
        <v>2228</v>
      </c>
      <c r="D126" s="4" t="s">
        <v>2230</v>
      </c>
      <c r="E126" s="7">
        <v>20</v>
      </c>
    </row>
    <row r="127" spans="1:5" ht="14.25" customHeight="1" x14ac:dyDescent="0.2">
      <c r="A127" s="4" t="s">
        <v>113</v>
      </c>
      <c r="B127" s="4" t="s">
        <v>2315</v>
      </c>
      <c r="C127" s="4" t="s">
        <v>2228</v>
      </c>
      <c r="D127" s="4" t="s">
        <v>2226</v>
      </c>
      <c r="E127" s="7">
        <v>35</v>
      </c>
    </row>
    <row r="128" spans="1:5" ht="14.25" customHeight="1" x14ac:dyDescent="0.2">
      <c r="A128" s="4" t="s">
        <v>98</v>
      </c>
      <c r="B128" s="4" t="s">
        <v>2267</v>
      </c>
      <c r="C128" s="4" t="s">
        <v>2239</v>
      </c>
      <c r="D128" s="4" t="s">
        <v>2230</v>
      </c>
      <c r="E128" s="7">
        <v>23</v>
      </c>
    </row>
    <row r="129" spans="1:5" ht="14.25" customHeight="1" x14ac:dyDescent="0.2">
      <c r="A129" s="4" t="s">
        <v>369</v>
      </c>
      <c r="B129" s="4" t="s">
        <v>2316</v>
      </c>
      <c r="C129" s="4" t="s">
        <v>2232</v>
      </c>
      <c r="D129" s="4" t="s">
        <v>2226</v>
      </c>
      <c r="E129" s="7">
        <v>40</v>
      </c>
    </row>
    <row r="130" spans="1:5" ht="14.25" customHeight="1" x14ac:dyDescent="0.2">
      <c r="A130" s="4" t="s">
        <v>174</v>
      </c>
      <c r="B130" s="4" t="s">
        <v>2317</v>
      </c>
      <c r="C130" s="4" t="s">
        <v>2225</v>
      </c>
      <c r="D130" s="4" t="s">
        <v>2230</v>
      </c>
      <c r="E130" s="7">
        <v>18</v>
      </c>
    </row>
    <row r="131" spans="1:5" ht="14.25" customHeight="1" x14ac:dyDescent="0.2">
      <c r="A131" s="4" t="s">
        <v>287</v>
      </c>
      <c r="B131" s="4" t="s">
        <v>2318</v>
      </c>
      <c r="C131" s="4" t="s">
        <v>2228</v>
      </c>
      <c r="D131" s="4" t="s">
        <v>2226</v>
      </c>
      <c r="E131" s="7">
        <v>55</v>
      </c>
    </row>
    <row r="132" spans="1:5" ht="14.25" customHeight="1" x14ac:dyDescent="0.2">
      <c r="A132" s="4" t="s">
        <v>272</v>
      </c>
      <c r="B132" s="4" t="s">
        <v>2319</v>
      </c>
      <c r="C132" s="4" t="s">
        <v>2236</v>
      </c>
      <c r="D132" s="4" t="s">
        <v>2230</v>
      </c>
      <c r="E132" s="7">
        <v>38</v>
      </c>
    </row>
    <row r="133" spans="1:5" ht="14.25" customHeight="1" x14ac:dyDescent="0.2">
      <c r="A133" s="4" t="s">
        <v>118</v>
      </c>
      <c r="B133" s="4" t="s">
        <v>2242</v>
      </c>
      <c r="C133" s="4" t="s">
        <v>2381</v>
      </c>
      <c r="D133" s="4" t="s">
        <v>2226</v>
      </c>
      <c r="E133" s="7">
        <v>55</v>
      </c>
    </row>
    <row r="134" spans="1:5" ht="14.25" customHeight="1" x14ac:dyDescent="0.2">
      <c r="A134" s="4" t="s">
        <v>129</v>
      </c>
      <c r="B134" s="4" t="s">
        <v>2320</v>
      </c>
      <c r="C134" s="4" t="s">
        <v>2232</v>
      </c>
      <c r="D134" s="4" t="s">
        <v>2230</v>
      </c>
      <c r="E134" s="7">
        <v>46</v>
      </c>
    </row>
    <row r="135" spans="1:5" ht="14.25" customHeight="1" x14ac:dyDescent="0.2">
      <c r="A135" s="4" t="s">
        <v>374</v>
      </c>
      <c r="B135" s="4" t="s">
        <v>2321</v>
      </c>
      <c r="C135" s="4" t="s">
        <v>2228</v>
      </c>
      <c r="D135" s="4" t="s">
        <v>2226</v>
      </c>
      <c r="E135" s="7">
        <v>27</v>
      </c>
    </row>
    <row r="136" spans="1:5" ht="14.25" customHeight="1" x14ac:dyDescent="0.2">
      <c r="A136" s="4" t="s">
        <v>524</v>
      </c>
      <c r="B136" s="4" t="s">
        <v>2241</v>
      </c>
      <c r="C136" s="4" t="s">
        <v>2236</v>
      </c>
      <c r="D136" s="4" t="s">
        <v>2226</v>
      </c>
      <c r="E136" s="7">
        <v>21</v>
      </c>
    </row>
    <row r="137" spans="1:5" ht="14.25" customHeight="1" x14ac:dyDescent="0.2">
      <c r="A137" s="4" t="s">
        <v>596</v>
      </c>
      <c r="B137" s="4" t="s">
        <v>2296</v>
      </c>
      <c r="C137" s="4" t="s">
        <v>2228</v>
      </c>
      <c r="D137" s="4" t="s">
        <v>2230</v>
      </c>
      <c r="E137" s="7">
        <v>26</v>
      </c>
    </row>
    <row r="138" spans="1:5" ht="14.25" customHeight="1" x14ac:dyDescent="0.2">
      <c r="A138" s="4" t="s">
        <v>574</v>
      </c>
      <c r="B138" s="4" t="s">
        <v>2322</v>
      </c>
      <c r="C138" s="4" t="s">
        <v>2228</v>
      </c>
      <c r="D138" s="4" t="s">
        <v>2230</v>
      </c>
      <c r="E138" s="7">
        <v>23</v>
      </c>
    </row>
    <row r="139" spans="1:5" ht="14.25" customHeight="1" x14ac:dyDescent="0.2">
      <c r="A139" s="4" t="s">
        <v>87</v>
      </c>
      <c r="B139" s="4" t="s">
        <v>2323</v>
      </c>
      <c r="C139" s="4" t="s">
        <v>2239</v>
      </c>
      <c r="D139" s="4" t="s">
        <v>2230</v>
      </c>
      <c r="E139" s="7">
        <v>34</v>
      </c>
    </row>
    <row r="140" spans="1:5" ht="14.25" customHeight="1" x14ac:dyDescent="0.2">
      <c r="A140" s="4" t="s">
        <v>309</v>
      </c>
      <c r="B140" s="4" t="s">
        <v>2324</v>
      </c>
      <c r="C140" s="4" t="s">
        <v>2232</v>
      </c>
      <c r="D140" s="4" t="s">
        <v>2230</v>
      </c>
      <c r="E140" s="7">
        <v>36</v>
      </c>
    </row>
    <row r="141" spans="1:5" ht="14.25" customHeight="1" x14ac:dyDescent="0.2">
      <c r="A141" s="4" t="s">
        <v>136</v>
      </c>
      <c r="B141" s="4" t="s">
        <v>2300</v>
      </c>
      <c r="C141" s="4" t="s">
        <v>2225</v>
      </c>
      <c r="D141" s="4" t="s">
        <v>2226</v>
      </c>
      <c r="E141" s="7">
        <v>27</v>
      </c>
    </row>
    <row r="142" spans="1:5" ht="14.25" customHeight="1" x14ac:dyDescent="0.2">
      <c r="A142" s="4" t="s">
        <v>203</v>
      </c>
      <c r="B142" s="4" t="s">
        <v>2378</v>
      </c>
      <c r="C142" s="4" t="s">
        <v>2228</v>
      </c>
      <c r="D142" s="4" t="s">
        <v>2226</v>
      </c>
      <c r="E142" s="7">
        <v>20</v>
      </c>
    </row>
    <row r="143" spans="1:5" ht="14.25" customHeight="1" x14ac:dyDescent="0.2">
      <c r="A143" s="4" t="s">
        <v>293</v>
      </c>
      <c r="B143" s="4" t="s">
        <v>2325</v>
      </c>
      <c r="C143" s="4" t="s">
        <v>2236</v>
      </c>
      <c r="D143" s="4" t="s">
        <v>2226</v>
      </c>
      <c r="E143" s="7">
        <v>46</v>
      </c>
    </row>
    <row r="144" spans="1:5" ht="14.25" customHeight="1" x14ac:dyDescent="0.2">
      <c r="A144" s="4" t="s">
        <v>43</v>
      </c>
      <c r="B144" s="4" t="s">
        <v>2326</v>
      </c>
      <c r="C144" s="4" t="s">
        <v>2381</v>
      </c>
      <c r="D144" s="4" t="s">
        <v>2226</v>
      </c>
      <c r="E144" s="7">
        <v>49</v>
      </c>
    </row>
    <row r="145" spans="1:5" ht="14.25" customHeight="1" x14ac:dyDescent="0.2">
      <c r="A145" s="4" t="s">
        <v>8</v>
      </c>
      <c r="B145" s="4" t="s">
        <v>2327</v>
      </c>
      <c r="C145" s="4" t="s">
        <v>2232</v>
      </c>
      <c r="D145" s="4" t="s">
        <v>2230</v>
      </c>
      <c r="E145" s="7">
        <v>38</v>
      </c>
    </row>
    <row r="146" spans="1:5" ht="14.25" customHeight="1" x14ac:dyDescent="0.2">
      <c r="A146" s="4" t="s">
        <v>62</v>
      </c>
      <c r="B146" s="4" t="s">
        <v>2264</v>
      </c>
      <c r="C146" s="4" t="s">
        <v>2228</v>
      </c>
      <c r="D146" s="4" t="s">
        <v>2230</v>
      </c>
      <c r="E146" s="7">
        <v>36</v>
      </c>
    </row>
    <row r="147" spans="1:5" ht="14.25" customHeight="1" x14ac:dyDescent="0.2">
      <c r="A147" s="4" t="s">
        <v>239</v>
      </c>
      <c r="B147" s="4" t="s">
        <v>2379</v>
      </c>
      <c r="C147" s="4" t="s">
        <v>2236</v>
      </c>
      <c r="D147" s="4" t="s">
        <v>2226</v>
      </c>
      <c r="E147" s="7">
        <v>23</v>
      </c>
    </row>
    <row r="148" spans="1:5" ht="14.25" customHeight="1" x14ac:dyDescent="0.2">
      <c r="A148" s="4" t="s">
        <v>320</v>
      </c>
      <c r="B148" s="4" t="s">
        <v>2271</v>
      </c>
      <c r="C148" s="4" t="s">
        <v>2228</v>
      </c>
      <c r="D148" s="4" t="s">
        <v>2230</v>
      </c>
      <c r="E148" s="7">
        <v>31</v>
      </c>
    </row>
    <row r="149" spans="1:5" ht="14.25" customHeight="1" x14ac:dyDescent="0.2">
      <c r="A149" s="4" t="s">
        <v>444</v>
      </c>
      <c r="B149" s="4" t="s">
        <v>2234</v>
      </c>
      <c r="C149" s="4" t="s">
        <v>2228</v>
      </c>
      <c r="D149" s="4" t="s">
        <v>2230</v>
      </c>
      <c r="E149" s="7">
        <v>24</v>
      </c>
    </row>
    <row r="150" spans="1:5" ht="14.25" customHeight="1" x14ac:dyDescent="0.2">
      <c r="A150" s="4" t="s">
        <v>212</v>
      </c>
      <c r="B150" s="4" t="s">
        <v>2268</v>
      </c>
      <c r="C150" s="4" t="s">
        <v>2239</v>
      </c>
      <c r="D150" s="4" t="s">
        <v>2230</v>
      </c>
      <c r="E150" s="7">
        <v>53</v>
      </c>
    </row>
    <row r="151" spans="1:5" ht="14.25" customHeight="1" x14ac:dyDescent="0.2">
      <c r="A151" s="4" t="s">
        <v>258</v>
      </c>
      <c r="B151" s="4" t="s">
        <v>2328</v>
      </c>
      <c r="C151" s="4" t="s">
        <v>2232</v>
      </c>
      <c r="D151" s="4" t="s">
        <v>2226</v>
      </c>
      <c r="E151" s="7">
        <v>37</v>
      </c>
    </row>
    <row r="152" spans="1:5" ht="14.25" customHeight="1" x14ac:dyDescent="0.2">
      <c r="A152" s="4" t="s">
        <v>216</v>
      </c>
      <c r="B152" s="4" t="s">
        <v>2258</v>
      </c>
      <c r="C152" s="4" t="s">
        <v>2225</v>
      </c>
      <c r="D152" s="4" t="s">
        <v>2230</v>
      </c>
      <c r="E152" s="7">
        <v>54</v>
      </c>
    </row>
    <row r="153" spans="1:5" ht="14.25" customHeight="1" x14ac:dyDescent="0.2">
      <c r="A153" s="4" t="s">
        <v>275</v>
      </c>
      <c r="B153" s="4" t="s">
        <v>2277</v>
      </c>
      <c r="C153" s="4" t="s">
        <v>2228</v>
      </c>
      <c r="D153" s="4" t="s">
        <v>2230</v>
      </c>
      <c r="E153" s="7">
        <v>25</v>
      </c>
    </row>
    <row r="154" spans="1:5" ht="14.25" customHeight="1" x14ac:dyDescent="0.2">
      <c r="E154" s="7"/>
    </row>
    <row r="155" spans="1:5" ht="14.25" customHeight="1" x14ac:dyDescent="0.2">
      <c r="E155" s="7"/>
    </row>
    <row r="156" spans="1:5" ht="14.25" customHeight="1" x14ac:dyDescent="0.2">
      <c r="E156" s="7"/>
    </row>
    <row r="157" spans="1:5" ht="14.25" customHeight="1" x14ac:dyDescent="0.2">
      <c r="E157" s="7"/>
    </row>
    <row r="158" spans="1:5" ht="14.25" customHeight="1" x14ac:dyDescent="0.2">
      <c r="E158" s="7"/>
    </row>
    <row r="159" spans="1:5" ht="14.25" customHeight="1" x14ac:dyDescent="0.2">
      <c r="E159" s="7"/>
    </row>
    <row r="160" spans="1:5" ht="14.25" customHeight="1" x14ac:dyDescent="0.2">
      <c r="E160" s="7"/>
    </row>
    <row r="161" spans="5:5" ht="14.25" customHeight="1" x14ac:dyDescent="0.2">
      <c r="E161" s="7"/>
    </row>
    <row r="162" spans="5:5" ht="14.25" customHeight="1" x14ac:dyDescent="0.2">
      <c r="E162" s="7"/>
    </row>
    <row r="163" spans="5:5" ht="14.25" customHeight="1" x14ac:dyDescent="0.2">
      <c r="E163" s="7"/>
    </row>
    <row r="164" spans="5:5" ht="14.25" customHeight="1" x14ac:dyDescent="0.2">
      <c r="E164" s="7"/>
    </row>
    <row r="165" spans="5:5" ht="14.25" customHeight="1" x14ac:dyDescent="0.2">
      <c r="E165" s="7"/>
    </row>
    <row r="166" spans="5:5" ht="14.25" customHeight="1" x14ac:dyDescent="0.2">
      <c r="E166" s="7"/>
    </row>
    <row r="167" spans="5:5" ht="14.25" customHeight="1" x14ac:dyDescent="0.2">
      <c r="E167" s="7"/>
    </row>
    <row r="168" spans="5:5" ht="14.25" customHeight="1" x14ac:dyDescent="0.2">
      <c r="E168" s="7"/>
    </row>
    <row r="169" spans="5:5" ht="14.25" customHeight="1" x14ac:dyDescent="0.2">
      <c r="E169" s="7"/>
    </row>
    <row r="170" spans="5:5" ht="14.25" customHeight="1" x14ac:dyDescent="0.2">
      <c r="E170" s="7"/>
    </row>
    <row r="171" spans="5:5" ht="14.25" customHeight="1" x14ac:dyDescent="0.2">
      <c r="E171" s="7"/>
    </row>
    <row r="172" spans="5:5" ht="14.25" customHeight="1" x14ac:dyDescent="0.2">
      <c r="E172" s="7"/>
    </row>
    <row r="173" spans="5:5" ht="14.25" customHeight="1" x14ac:dyDescent="0.2">
      <c r="E173" s="7"/>
    </row>
    <row r="174" spans="5:5" ht="14.25" customHeight="1" x14ac:dyDescent="0.2">
      <c r="E174" s="7"/>
    </row>
    <row r="175" spans="5:5" ht="14.25" customHeight="1" x14ac:dyDescent="0.2">
      <c r="E175" s="7"/>
    </row>
    <row r="176" spans="5:5" ht="14.25" customHeight="1" x14ac:dyDescent="0.2">
      <c r="E176" s="7"/>
    </row>
    <row r="177" spans="5:5" ht="14.25" customHeight="1" x14ac:dyDescent="0.2">
      <c r="E177" s="7"/>
    </row>
    <row r="178" spans="5:5" ht="14.25" customHeight="1" x14ac:dyDescent="0.2">
      <c r="E178" s="7"/>
    </row>
    <row r="179" spans="5:5" ht="14.25" customHeight="1" x14ac:dyDescent="0.2">
      <c r="E179" s="7"/>
    </row>
    <row r="180" spans="5:5" ht="14.25" customHeight="1" x14ac:dyDescent="0.2">
      <c r="E180" s="7"/>
    </row>
    <row r="181" spans="5:5" ht="14.25" customHeight="1" x14ac:dyDescent="0.2">
      <c r="E181" s="7"/>
    </row>
    <row r="182" spans="5:5" ht="14.25" customHeight="1" x14ac:dyDescent="0.2">
      <c r="E182" s="7"/>
    </row>
    <row r="183" spans="5:5" ht="14.25" customHeight="1" x14ac:dyDescent="0.2">
      <c r="E183" s="7"/>
    </row>
    <row r="184" spans="5:5" ht="14.25" customHeight="1" x14ac:dyDescent="0.2">
      <c r="E184" s="7"/>
    </row>
    <row r="185" spans="5:5" ht="14.25" customHeight="1" x14ac:dyDescent="0.2">
      <c r="E185" s="7"/>
    </row>
    <row r="186" spans="5:5" ht="14.25" customHeight="1" x14ac:dyDescent="0.2">
      <c r="E186" s="7"/>
    </row>
    <row r="187" spans="5:5" ht="14.25" customHeight="1" x14ac:dyDescent="0.2">
      <c r="E187" s="7"/>
    </row>
    <row r="188" spans="5:5" ht="14.25" customHeight="1" x14ac:dyDescent="0.2">
      <c r="E188" s="7"/>
    </row>
    <row r="189" spans="5:5" ht="14.25" customHeight="1" x14ac:dyDescent="0.2">
      <c r="E189" s="7"/>
    </row>
    <row r="190" spans="5:5" ht="14.25" customHeight="1" x14ac:dyDescent="0.2">
      <c r="E190" s="7"/>
    </row>
    <row r="191" spans="5:5" ht="14.25" customHeight="1" x14ac:dyDescent="0.2">
      <c r="E191" s="7"/>
    </row>
    <row r="192" spans="5:5" ht="14.25" customHeight="1" x14ac:dyDescent="0.2">
      <c r="E192" s="7"/>
    </row>
    <row r="193" spans="5:5" ht="14.25" customHeight="1" x14ac:dyDescent="0.2">
      <c r="E193" s="7"/>
    </row>
    <row r="194" spans="5:5" ht="14.25" customHeight="1" x14ac:dyDescent="0.2">
      <c r="E194" s="7"/>
    </row>
    <row r="195" spans="5:5" ht="14.25" customHeight="1" x14ac:dyDescent="0.2">
      <c r="E195" s="7"/>
    </row>
    <row r="196" spans="5:5" ht="14.25" customHeight="1" x14ac:dyDescent="0.2">
      <c r="E196" s="7"/>
    </row>
    <row r="197" spans="5:5" ht="14.25" customHeight="1" x14ac:dyDescent="0.2">
      <c r="E197" s="7"/>
    </row>
    <row r="198" spans="5:5" ht="14.25" customHeight="1" x14ac:dyDescent="0.2">
      <c r="E198" s="7"/>
    </row>
    <row r="199" spans="5:5" ht="14.25" customHeight="1" x14ac:dyDescent="0.2">
      <c r="E199" s="7"/>
    </row>
    <row r="200" spans="5:5" ht="14.25" customHeight="1" x14ac:dyDescent="0.2">
      <c r="E200" s="7"/>
    </row>
    <row r="201" spans="5:5" ht="14.25" customHeight="1" x14ac:dyDescent="0.2">
      <c r="E201" s="7"/>
    </row>
    <row r="202" spans="5:5" ht="14.25" customHeight="1" x14ac:dyDescent="0.2">
      <c r="E202" s="7"/>
    </row>
    <row r="203" spans="5:5" ht="14.25" customHeight="1" x14ac:dyDescent="0.2">
      <c r="E203" s="7"/>
    </row>
    <row r="204" spans="5:5" ht="14.25" customHeight="1" x14ac:dyDescent="0.2">
      <c r="E204" s="7"/>
    </row>
    <row r="205" spans="5:5" ht="14.25" customHeight="1" x14ac:dyDescent="0.2">
      <c r="E205" s="7"/>
    </row>
    <row r="206" spans="5:5" ht="14.25" customHeight="1" x14ac:dyDescent="0.2">
      <c r="E206" s="7"/>
    </row>
    <row r="207" spans="5:5" ht="14.25" customHeight="1" x14ac:dyDescent="0.2">
      <c r="E207" s="7"/>
    </row>
    <row r="208" spans="5:5" ht="14.25" customHeight="1" x14ac:dyDescent="0.2">
      <c r="E208" s="7"/>
    </row>
    <row r="209" spans="5:5" ht="14.25" customHeight="1" x14ac:dyDescent="0.2">
      <c r="E209" s="7"/>
    </row>
    <row r="210" spans="5:5" ht="14.25" customHeight="1" x14ac:dyDescent="0.2">
      <c r="E210" s="7"/>
    </row>
    <row r="211" spans="5:5" ht="14.25" customHeight="1" x14ac:dyDescent="0.2">
      <c r="E211" s="7"/>
    </row>
    <row r="212" spans="5:5" ht="14.25" customHeight="1" x14ac:dyDescent="0.2">
      <c r="E212" s="7"/>
    </row>
    <row r="213" spans="5:5" ht="14.25" customHeight="1" x14ac:dyDescent="0.2">
      <c r="E213" s="7"/>
    </row>
    <row r="214" spans="5:5" ht="14.25" customHeight="1" x14ac:dyDescent="0.2">
      <c r="E214" s="7"/>
    </row>
    <row r="215" spans="5:5" ht="14.25" customHeight="1" x14ac:dyDescent="0.2">
      <c r="E215" s="7"/>
    </row>
    <row r="216" spans="5:5" ht="14.25" customHeight="1" x14ac:dyDescent="0.2">
      <c r="E216" s="7"/>
    </row>
    <row r="217" spans="5:5" ht="14.25" customHeight="1" x14ac:dyDescent="0.2">
      <c r="E217" s="7"/>
    </row>
    <row r="218" spans="5:5" ht="14.25" customHeight="1" x14ac:dyDescent="0.2">
      <c r="E218" s="7"/>
    </row>
    <row r="219" spans="5:5" ht="14.25" customHeight="1" x14ac:dyDescent="0.2">
      <c r="E219" s="7"/>
    </row>
    <row r="220" spans="5:5" ht="14.25" customHeight="1" x14ac:dyDescent="0.2">
      <c r="E220" s="7"/>
    </row>
    <row r="221" spans="5:5" ht="14.25" customHeight="1" x14ac:dyDescent="0.2">
      <c r="E221" s="7"/>
    </row>
    <row r="222" spans="5:5" ht="14.25" customHeight="1" x14ac:dyDescent="0.2">
      <c r="E222" s="7"/>
    </row>
    <row r="223" spans="5:5" ht="14.25" customHeight="1" x14ac:dyDescent="0.2">
      <c r="E223" s="7"/>
    </row>
    <row r="224" spans="5:5" ht="14.25" customHeight="1" x14ac:dyDescent="0.2">
      <c r="E224" s="7"/>
    </row>
    <row r="225" spans="5:5" ht="14.25" customHeight="1" x14ac:dyDescent="0.2">
      <c r="E225" s="7"/>
    </row>
    <row r="226" spans="5:5" ht="14.25" customHeight="1" x14ac:dyDescent="0.2">
      <c r="E226" s="7"/>
    </row>
    <row r="227" spans="5:5" ht="14.25" customHeight="1" x14ac:dyDescent="0.2">
      <c r="E227" s="7"/>
    </row>
    <row r="228" spans="5:5" ht="14.25" customHeight="1" x14ac:dyDescent="0.2">
      <c r="E228" s="7"/>
    </row>
    <row r="229" spans="5:5" ht="14.25" customHeight="1" x14ac:dyDescent="0.2">
      <c r="E229" s="7"/>
    </row>
    <row r="230" spans="5:5" ht="14.25" customHeight="1" x14ac:dyDescent="0.2">
      <c r="E230" s="7"/>
    </row>
    <row r="231" spans="5:5" ht="14.25" customHeight="1" x14ac:dyDescent="0.2">
      <c r="E231" s="7"/>
    </row>
    <row r="232" spans="5:5" ht="14.25" customHeight="1" x14ac:dyDescent="0.2">
      <c r="E232" s="7"/>
    </row>
    <row r="233" spans="5:5" ht="14.25" customHeight="1" x14ac:dyDescent="0.2">
      <c r="E233" s="7"/>
    </row>
    <row r="234" spans="5:5" ht="14.25" customHeight="1" x14ac:dyDescent="0.2">
      <c r="E234" s="7"/>
    </row>
    <row r="235" spans="5:5" ht="14.25" customHeight="1" x14ac:dyDescent="0.2">
      <c r="E235" s="7"/>
    </row>
    <row r="236" spans="5:5" ht="14.25" customHeight="1" x14ac:dyDescent="0.2">
      <c r="E236" s="7"/>
    </row>
    <row r="237" spans="5:5" ht="14.25" customHeight="1" x14ac:dyDescent="0.2">
      <c r="E237" s="7"/>
    </row>
    <row r="238" spans="5:5" ht="14.25" customHeight="1" x14ac:dyDescent="0.2">
      <c r="E238" s="7"/>
    </row>
    <row r="239" spans="5:5" ht="14.25" customHeight="1" x14ac:dyDescent="0.2">
      <c r="E239" s="7"/>
    </row>
    <row r="240" spans="5:5" ht="14.25" customHeight="1" x14ac:dyDescent="0.2">
      <c r="E240" s="7"/>
    </row>
    <row r="241" spans="5:5" ht="14.25" customHeight="1" x14ac:dyDescent="0.2">
      <c r="E241" s="7"/>
    </row>
    <row r="242" spans="5:5" ht="14.25" customHeight="1" x14ac:dyDescent="0.2">
      <c r="E242" s="7"/>
    </row>
    <row r="243" spans="5:5" ht="14.25" customHeight="1" x14ac:dyDescent="0.2">
      <c r="E243" s="7"/>
    </row>
    <row r="244" spans="5:5" ht="14.25" customHeight="1" x14ac:dyDescent="0.2">
      <c r="E244" s="7"/>
    </row>
    <row r="245" spans="5:5" ht="14.25" customHeight="1" x14ac:dyDescent="0.2">
      <c r="E245" s="7"/>
    </row>
    <row r="246" spans="5:5" ht="14.25" customHeight="1" x14ac:dyDescent="0.2">
      <c r="E246" s="7"/>
    </row>
    <row r="247" spans="5:5" ht="14.25" customHeight="1" x14ac:dyDescent="0.2">
      <c r="E247" s="7"/>
    </row>
    <row r="248" spans="5:5" ht="14.25" customHeight="1" x14ac:dyDescent="0.2">
      <c r="E248" s="7"/>
    </row>
    <row r="249" spans="5:5" ht="14.25" customHeight="1" x14ac:dyDescent="0.2">
      <c r="E249" s="7"/>
    </row>
    <row r="250" spans="5:5" ht="14.25" customHeight="1" x14ac:dyDescent="0.2">
      <c r="E250" s="7"/>
    </row>
    <row r="251" spans="5:5" ht="14.25" customHeight="1" x14ac:dyDescent="0.2">
      <c r="E251" s="7"/>
    </row>
    <row r="252" spans="5:5" ht="14.25" customHeight="1" x14ac:dyDescent="0.2">
      <c r="E252" s="7"/>
    </row>
    <row r="253" spans="5:5" ht="14.25" customHeight="1" x14ac:dyDescent="0.2">
      <c r="E253" s="7"/>
    </row>
    <row r="254" spans="5:5" ht="14.25" customHeight="1" x14ac:dyDescent="0.2">
      <c r="E254" s="7"/>
    </row>
    <row r="255" spans="5:5" ht="14.25" customHeight="1" x14ac:dyDescent="0.2">
      <c r="E255" s="7"/>
    </row>
    <row r="256" spans="5:5" ht="14.25" customHeight="1" x14ac:dyDescent="0.2">
      <c r="E256" s="7"/>
    </row>
    <row r="257" spans="5:5" ht="14.25" customHeight="1" x14ac:dyDescent="0.2">
      <c r="E257" s="7"/>
    </row>
    <row r="258" spans="5:5" ht="14.25" customHeight="1" x14ac:dyDescent="0.2">
      <c r="E258" s="7"/>
    </row>
    <row r="259" spans="5:5" ht="14.25" customHeight="1" x14ac:dyDescent="0.2">
      <c r="E259" s="7"/>
    </row>
    <row r="260" spans="5:5" ht="14.25" customHeight="1" x14ac:dyDescent="0.2">
      <c r="E260" s="7"/>
    </row>
    <row r="261" spans="5:5" ht="14.25" customHeight="1" x14ac:dyDescent="0.2">
      <c r="E261" s="7"/>
    </row>
    <row r="262" spans="5:5" ht="14.25" customHeight="1" x14ac:dyDescent="0.2">
      <c r="E262" s="7"/>
    </row>
    <row r="263" spans="5:5" ht="14.25" customHeight="1" x14ac:dyDescent="0.2">
      <c r="E263" s="7"/>
    </row>
    <row r="264" spans="5:5" ht="14.25" customHeight="1" x14ac:dyDescent="0.2">
      <c r="E264" s="7"/>
    </row>
    <row r="265" spans="5:5" ht="14.25" customHeight="1" x14ac:dyDescent="0.2">
      <c r="E265" s="7"/>
    </row>
    <row r="266" spans="5:5" ht="14.25" customHeight="1" x14ac:dyDescent="0.2">
      <c r="E266" s="7"/>
    </row>
    <row r="267" spans="5:5" ht="14.25" customHeight="1" x14ac:dyDescent="0.2">
      <c r="E267" s="7"/>
    </row>
    <row r="268" spans="5:5" ht="14.25" customHeight="1" x14ac:dyDescent="0.2">
      <c r="E268" s="7"/>
    </row>
    <row r="269" spans="5:5" ht="14.25" customHeight="1" x14ac:dyDescent="0.2">
      <c r="E269" s="7"/>
    </row>
    <row r="270" spans="5:5" ht="14.25" customHeight="1" x14ac:dyDescent="0.2">
      <c r="E270" s="7"/>
    </row>
    <row r="271" spans="5:5" ht="14.25" customHeight="1" x14ac:dyDescent="0.2">
      <c r="E271" s="7"/>
    </row>
    <row r="272" spans="5:5" ht="14.25" customHeight="1" x14ac:dyDescent="0.2">
      <c r="E272" s="7"/>
    </row>
    <row r="273" spans="5:5" ht="14.25" customHeight="1" x14ac:dyDescent="0.2">
      <c r="E273" s="7"/>
    </row>
    <row r="274" spans="5:5" ht="14.25" customHeight="1" x14ac:dyDescent="0.2">
      <c r="E274" s="7"/>
    </row>
    <row r="275" spans="5:5" ht="14.25" customHeight="1" x14ac:dyDescent="0.2">
      <c r="E275" s="7"/>
    </row>
    <row r="276" spans="5:5" ht="14.25" customHeight="1" x14ac:dyDescent="0.2">
      <c r="E276" s="7"/>
    </row>
    <row r="277" spans="5:5" ht="14.25" customHeight="1" x14ac:dyDescent="0.2">
      <c r="E277" s="7"/>
    </row>
    <row r="278" spans="5:5" ht="14.25" customHeight="1" x14ac:dyDescent="0.2">
      <c r="E278" s="7"/>
    </row>
    <row r="279" spans="5:5" ht="14.25" customHeight="1" x14ac:dyDescent="0.2">
      <c r="E279" s="7"/>
    </row>
    <row r="280" spans="5:5" ht="14.25" customHeight="1" x14ac:dyDescent="0.2">
      <c r="E280" s="7"/>
    </row>
    <row r="281" spans="5:5" ht="14.25" customHeight="1" x14ac:dyDescent="0.2">
      <c r="E281" s="7"/>
    </row>
    <row r="282" spans="5:5" ht="14.25" customHeight="1" x14ac:dyDescent="0.2">
      <c r="E282" s="7"/>
    </row>
    <row r="283" spans="5:5" ht="14.25" customHeight="1" x14ac:dyDescent="0.2">
      <c r="E283" s="7"/>
    </row>
    <row r="284" spans="5:5" ht="14.25" customHeight="1" x14ac:dyDescent="0.2">
      <c r="E284" s="7"/>
    </row>
    <row r="285" spans="5:5" ht="14.25" customHeight="1" x14ac:dyDescent="0.2">
      <c r="E285" s="7"/>
    </row>
    <row r="286" spans="5:5" ht="14.25" customHeight="1" x14ac:dyDescent="0.2">
      <c r="E286" s="7"/>
    </row>
    <row r="287" spans="5:5" ht="14.25" customHeight="1" x14ac:dyDescent="0.2">
      <c r="E287" s="7"/>
    </row>
    <row r="288" spans="5:5" ht="14.25" customHeight="1" x14ac:dyDescent="0.2">
      <c r="E288" s="7"/>
    </row>
    <row r="289" spans="5:5" ht="14.25" customHeight="1" x14ac:dyDescent="0.2">
      <c r="E289" s="7"/>
    </row>
    <row r="290" spans="5:5" ht="14.25" customHeight="1" x14ac:dyDescent="0.2">
      <c r="E290" s="7"/>
    </row>
    <row r="291" spans="5:5" ht="14.25" customHeight="1" x14ac:dyDescent="0.2">
      <c r="E291" s="7"/>
    </row>
    <row r="292" spans="5:5" ht="14.25" customHeight="1" x14ac:dyDescent="0.2">
      <c r="E292" s="7"/>
    </row>
    <row r="293" spans="5:5" ht="14.25" customHeight="1" x14ac:dyDescent="0.2">
      <c r="E293" s="7"/>
    </row>
    <row r="294" spans="5:5" ht="14.25" customHeight="1" x14ac:dyDescent="0.2">
      <c r="E294" s="7"/>
    </row>
    <row r="295" spans="5:5" ht="14.25" customHeight="1" x14ac:dyDescent="0.2">
      <c r="E295" s="7"/>
    </row>
    <row r="296" spans="5:5" ht="14.25" customHeight="1" x14ac:dyDescent="0.2">
      <c r="E296" s="7"/>
    </row>
    <row r="297" spans="5:5" ht="14.25" customHeight="1" x14ac:dyDescent="0.2">
      <c r="E297" s="7"/>
    </row>
    <row r="298" spans="5:5" ht="14.25" customHeight="1" x14ac:dyDescent="0.2">
      <c r="E298" s="7"/>
    </row>
    <row r="299" spans="5:5" ht="14.25" customHeight="1" x14ac:dyDescent="0.2">
      <c r="E299" s="7"/>
    </row>
    <row r="300" spans="5:5" ht="14.25" customHeight="1" x14ac:dyDescent="0.2">
      <c r="E300" s="7"/>
    </row>
    <row r="301" spans="5:5" ht="14.25" customHeight="1" x14ac:dyDescent="0.2">
      <c r="E301" s="7"/>
    </row>
    <row r="302" spans="5:5" ht="14.25" customHeight="1" x14ac:dyDescent="0.2">
      <c r="E302" s="7"/>
    </row>
    <row r="303" spans="5:5" ht="14.25" customHeight="1" x14ac:dyDescent="0.2">
      <c r="E303" s="7"/>
    </row>
    <row r="304" spans="5:5" ht="14.25" customHeight="1" x14ac:dyDescent="0.2">
      <c r="E304" s="7"/>
    </row>
    <row r="305" spans="5:5" ht="14.25" customHeight="1" x14ac:dyDescent="0.2">
      <c r="E305" s="7"/>
    </row>
    <row r="306" spans="5:5" ht="14.25" customHeight="1" x14ac:dyDescent="0.2">
      <c r="E306" s="7"/>
    </row>
    <row r="307" spans="5:5" ht="14.25" customHeight="1" x14ac:dyDescent="0.2">
      <c r="E307" s="7"/>
    </row>
    <row r="308" spans="5:5" ht="14.25" customHeight="1" x14ac:dyDescent="0.2">
      <c r="E308" s="7"/>
    </row>
    <row r="309" spans="5:5" ht="14.25" customHeight="1" x14ac:dyDescent="0.2">
      <c r="E309" s="7"/>
    </row>
    <row r="310" spans="5:5" ht="14.25" customHeight="1" x14ac:dyDescent="0.2">
      <c r="E310" s="7"/>
    </row>
    <row r="311" spans="5:5" ht="14.25" customHeight="1" x14ac:dyDescent="0.2">
      <c r="E311" s="7"/>
    </row>
    <row r="312" spans="5:5" ht="14.25" customHeight="1" x14ac:dyDescent="0.2">
      <c r="E312" s="7"/>
    </row>
    <row r="313" spans="5:5" ht="14.25" customHeight="1" x14ac:dyDescent="0.2">
      <c r="E313" s="7"/>
    </row>
    <row r="314" spans="5:5" ht="14.25" customHeight="1" x14ac:dyDescent="0.2">
      <c r="E314" s="7"/>
    </row>
    <row r="315" spans="5:5" ht="14.25" customHeight="1" x14ac:dyDescent="0.2">
      <c r="E315" s="7"/>
    </row>
    <row r="316" spans="5:5" ht="14.25" customHeight="1" x14ac:dyDescent="0.2">
      <c r="E316" s="7"/>
    </row>
    <row r="317" spans="5:5" ht="14.25" customHeight="1" x14ac:dyDescent="0.2">
      <c r="E317" s="7"/>
    </row>
    <row r="318" spans="5:5" ht="14.25" customHeight="1" x14ac:dyDescent="0.2">
      <c r="E318" s="7"/>
    </row>
    <row r="319" spans="5:5" ht="14.25" customHeight="1" x14ac:dyDescent="0.2">
      <c r="E319" s="7"/>
    </row>
    <row r="320" spans="5:5" ht="14.25" customHeight="1" x14ac:dyDescent="0.2">
      <c r="E320" s="7"/>
    </row>
    <row r="321" spans="5:5" ht="14.25" customHeight="1" x14ac:dyDescent="0.2">
      <c r="E321" s="7"/>
    </row>
    <row r="322" spans="5:5" ht="14.25" customHeight="1" x14ac:dyDescent="0.2">
      <c r="E322" s="7"/>
    </row>
    <row r="323" spans="5:5" ht="14.25" customHeight="1" x14ac:dyDescent="0.2">
      <c r="E323" s="7"/>
    </row>
    <row r="324" spans="5:5" ht="14.25" customHeight="1" x14ac:dyDescent="0.2">
      <c r="E324" s="7"/>
    </row>
    <row r="325" spans="5:5" ht="14.25" customHeight="1" x14ac:dyDescent="0.2">
      <c r="E325" s="7"/>
    </row>
    <row r="326" spans="5:5" ht="14.25" customHeight="1" x14ac:dyDescent="0.2">
      <c r="E326" s="7"/>
    </row>
    <row r="327" spans="5:5" ht="14.25" customHeight="1" x14ac:dyDescent="0.2">
      <c r="E327" s="7"/>
    </row>
    <row r="328" spans="5:5" ht="14.25" customHeight="1" x14ac:dyDescent="0.2">
      <c r="E328" s="7"/>
    </row>
    <row r="329" spans="5:5" ht="14.25" customHeight="1" x14ac:dyDescent="0.2">
      <c r="E329" s="7"/>
    </row>
    <row r="330" spans="5:5" ht="14.25" customHeight="1" x14ac:dyDescent="0.2">
      <c r="E330" s="7"/>
    </row>
    <row r="331" spans="5:5" ht="14.25" customHeight="1" x14ac:dyDescent="0.2">
      <c r="E331" s="7"/>
    </row>
    <row r="332" spans="5:5" ht="14.25" customHeight="1" x14ac:dyDescent="0.2">
      <c r="E332" s="7"/>
    </row>
    <row r="333" spans="5:5" ht="14.25" customHeight="1" x14ac:dyDescent="0.2">
      <c r="E333" s="7"/>
    </row>
    <row r="334" spans="5:5" ht="14.25" customHeight="1" x14ac:dyDescent="0.2">
      <c r="E334" s="7"/>
    </row>
    <row r="335" spans="5:5" ht="14.25" customHeight="1" x14ac:dyDescent="0.2">
      <c r="E335" s="7"/>
    </row>
    <row r="336" spans="5:5" ht="14.25" customHeight="1" x14ac:dyDescent="0.2">
      <c r="E336" s="7"/>
    </row>
    <row r="337" spans="5:5" ht="14.25" customHeight="1" x14ac:dyDescent="0.2">
      <c r="E337" s="7"/>
    </row>
    <row r="338" spans="5:5" ht="14.25" customHeight="1" x14ac:dyDescent="0.2">
      <c r="E338" s="7"/>
    </row>
    <row r="339" spans="5:5" ht="14.25" customHeight="1" x14ac:dyDescent="0.2">
      <c r="E339" s="7"/>
    </row>
    <row r="340" spans="5:5" ht="14.25" customHeight="1" x14ac:dyDescent="0.2">
      <c r="E340" s="7"/>
    </row>
    <row r="341" spans="5:5" ht="14.25" customHeight="1" x14ac:dyDescent="0.2">
      <c r="E341" s="7"/>
    </row>
    <row r="342" spans="5:5" ht="14.25" customHeight="1" x14ac:dyDescent="0.2">
      <c r="E342" s="7"/>
    </row>
    <row r="343" spans="5:5" ht="14.25" customHeight="1" x14ac:dyDescent="0.2">
      <c r="E343" s="7"/>
    </row>
    <row r="344" spans="5:5" ht="14.25" customHeight="1" x14ac:dyDescent="0.2">
      <c r="E344" s="7"/>
    </row>
    <row r="345" spans="5:5" ht="14.25" customHeight="1" x14ac:dyDescent="0.2">
      <c r="E345" s="7"/>
    </row>
    <row r="346" spans="5:5" ht="14.25" customHeight="1" x14ac:dyDescent="0.2">
      <c r="E346" s="7"/>
    </row>
    <row r="347" spans="5:5" ht="14.25" customHeight="1" x14ac:dyDescent="0.2">
      <c r="E347" s="7"/>
    </row>
    <row r="348" spans="5:5" ht="14.25" customHeight="1" x14ac:dyDescent="0.2">
      <c r="E348" s="7"/>
    </row>
    <row r="349" spans="5:5" ht="14.25" customHeight="1" x14ac:dyDescent="0.2">
      <c r="E349" s="7"/>
    </row>
    <row r="350" spans="5:5" ht="14.25" customHeight="1" x14ac:dyDescent="0.2">
      <c r="E350" s="7"/>
    </row>
    <row r="351" spans="5:5" ht="14.25" customHeight="1" x14ac:dyDescent="0.2">
      <c r="E351" s="7"/>
    </row>
    <row r="352" spans="5:5" ht="14.25" customHeight="1" x14ac:dyDescent="0.2">
      <c r="E352" s="7"/>
    </row>
    <row r="353" spans="5:5" ht="14.25" customHeight="1" x14ac:dyDescent="0.2">
      <c r="E353" s="7"/>
    </row>
    <row r="354" spans="5:5" ht="14.25" customHeight="1" x14ac:dyDescent="0.2">
      <c r="E354" s="7"/>
    </row>
    <row r="355" spans="5:5" ht="14.25" customHeight="1" x14ac:dyDescent="0.2">
      <c r="E355" s="7"/>
    </row>
    <row r="356" spans="5:5" ht="14.25" customHeight="1" x14ac:dyDescent="0.2">
      <c r="E356" s="7"/>
    </row>
    <row r="357" spans="5:5" ht="14.25" customHeight="1" x14ac:dyDescent="0.2">
      <c r="E357" s="7"/>
    </row>
    <row r="358" spans="5:5" ht="14.25" customHeight="1" x14ac:dyDescent="0.2">
      <c r="E358" s="7"/>
    </row>
    <row r="359" spans="5:5" ht="14.25" customHeight="1" x14ac:dyDescent="0.2">
      <c r="E359" s="7"/>
    </row>
    <row r="360" spans="5:5" ht="14.25" customHeight="1" x14ac:dyDescent="0.2">
      <c r="E360" s="7"/>
    </row>
    <row r="361" spans="5:5" ht="14.25" customHeight="1" x14ac:dyDescent="0.2">
      <c r="E361" s="7"/>
    </row>
    <row r="362" spans="5:5" ht="14.25" customHeight="1" x14ac:dyDescent="0.2">
      <c r="E362" s="7"/>
    </row>
    <row r="363" spans="5:5" ht="14.25" customHeight="1" x14ac:dyDescent="0.2">
      <c r="E363" s="7"/>
    </row>
    <row r="364" spans="5:5" ht="14.25" customHeight="1" x14ac:dyDescent="0.2">
      <c r="E364" s="7"/>
    </row>
    <row r="365" spans="5:5" ht="14.25" customHeight="1" x14ac:dyDescent="0.2">
      <c r="E365" s="7"/>
    </row>
    <row r="366" spans="5:5" ht="14.25" customHeight="1" x14ac:dyDescent="0.2">
      <c r="E366" s="7"/>
    </row>
    <row r="367" spans="5:5" ht="14.25" customHeight="1" x14ac:dyDescent="0.2">
      <c r="E367" s="7"/>
    </row>
    <row r="368" spans="5:5" ht="14.25" customHeight="1" x14ac:dyDescent="0.2">
      <c r="E368" s="7"/>
    </row>
    <row r="369" spans="5:5" ht="14.25" customHeight="1" x14ac:dyDescent="0.2">
      <c r="E369" s="7"/>
    </row>
    <row r="370" spans="5:5" ht="14.25" customHeight="1" x14ac:dyDescent="0.2">
      <c r="E370" s="7"/>
    </row>
    <row r="371" spans="5:5" ht="14.25" customHeight="1" x14ac:dyDescent="0.2">
      <c r="E371" s="7"/>
    </row>
    <row r="372" spans="5:5" ht="14.25" customHeight="1" x14ac:dyDescent="0.2">
      <c r="E372" s="7"/>
    </row>
    <row r="373" spans="5:5" ht="14.25" customHeight="1" x14ac:dyDescent="0.2">
      <c r="E373" s="7"/>
    </row>
    <row r="374" spans="5:5" ht="14.25" customHeight="1" x14ac:dyDescent="0.2">
      <c r="E374" s="7"/>
    </row>
    <row r="375" spans="5:5" ht="14.25" customHeight="1" x14ac:dyDescent="0.2">
      <c r="E375" s="7"/>
    </row>
    <row r="376" spans="5:5" ht="14.25" customHeight="1" x14ac:dyDescent="0.2">
      <c r="E376" s="7"/>
    </row>
    <row r="377" spans="5:5" ht="14.25" customHeight="1" x14ac:dyDescent="0.2">
      <c r="E377" s="7"/>
    </row>
    <row r="378" spans="5:5" ht="14.25" customHeight="1" x14ac:dyDescent="0.2">
      <c r="E378" s="7"/>
    </row>
    <row r="379" spans="5:5" ht="14.25" customHeight="1" x14ac:dyDescent="0.2">
      <c r="E379" s="7"/>
    </row>
    <row r="380" spans="5:5" ht="14.25" customHeight="1" x14ac:dyDescent="0.2">
      <c r="E380" s="7"/>
    </row>
    <row r="381" spans="5:5" ht="14.25" customHeight="1" x14ac:dyDescent="0.2">
      <c r="E381" s="7"/>
    </row>
    <row r="382" spans="5:5" ht="14.25" customHeight="1" x14ac:dyDescent="0.2">
      <c r="E382" s="7"/>
    </row>
    <row r="383" spans="5:5" ht="14.25" customHeight="1" x14ac:dyDescent="0.2">
      <c r="E383" s="7"/>
    </row>
    <row r="384" spans="5:5" ht="14.25" customHeight="1" x14ac:dyDescent="0.2">
      <c r="E384" s="7"/>
    </row>
    <row r="385" spans="5:5" ht="14.25" customHeight="1" x14ac:dyDescent="0.2">
      <c r="E385" s="7"/>
    </row>
    <row r="386" spans="5:5" ht="14.25" customHeight="1" x14ac:dyDescent="0.2">
      <c r="E386" s="7"/>
    </row>
    <row r="387" spans="5:5" ht="14.25" customHeight="1" x14ac:dyDescent="0.2">
      <c r="E387" s="7"/>
    </row>
    <row r="388" spans="5:5" ht="14.25" customHeight="1" x14ac:dyDescent="0.2">
      <c r="E388" s="7"/>
    </row>
    <row r="389" spans="5:5" ht="14.25" customHeight="1" x14ac:dyDescent="0.2">
      <c r="E389" s="7"/>
    </row>
    <row r="390" spans="5:5" ht="14.25" customHeight="1" x14ac:dyDescent="0.2">
      <c r="E390" s="7"/>
    </row>
    <row r="391" spans="5:5" ht="14.25" customHeight="1" x14ac:dyDescent="0.2">
      <c r="E391" s="7"/>
    </row>
    <row r="392" spans="5:5" ht="14.25" customHeight="1" x14ac:dyDescent="0.2">
      <c r="E392" s="7"/>
    </row>
    <row r="393" spans="5:5" ht="14.25" customHeight="1" x14ac:dyDescent="0.2">
      <c r="E393" s="7"/>
    </row>
    <row r="394" spans="5:5" ht="14.25" customHeight="1" x14ac:dyDescent="0.2">
      <c r="E394" s="7"/>
    </row>
    <row r="395" spans="5:5" ht="14.25" customHeight="1" x14ac:dyDescent="0.2">
      <c r="E395" s="7"/>
    </row>
    <row r="396" spans="5:5" ht="14.25" customHeight="1" x14ac:dyDescent="0.2">
      <c r="E396" s="7"/>
    </row>
    <row r="397" spans="5:5" ht="14.25" customHeight="1" x14ac:dyDescent="0.2">
      <c r="E397" s="7"/>
    </row>
    <row r="398" spans="5:5" ht="14.25" customHeight="1" x14ac:dyDescent="0.2">
      <c r="E398" s="7"/>
    </row>
    <row r="399" spans="5:5" ht="14.25" customHeight="1" x14ac:dyDescent="0.2">
      <c r="E399" s="7"/>
    </row>
    <row r="400" spans="5:5" ht="14.25" customHeight="1" x14ac:dyDescent="0.2">
      <c r="E400" s="7"/>
    </row>
    <row r="401" spans="5:5" ht="14.25" customHeight="1" x14ac:dyDescent="0.2">
      <c r="E401" s="7"/>
    </row>
    <row r="402" spans="5:5" ht="14.25" customHeight="1" x14ac:dyDescent="0.2">
      <c r="E402" s="7"/>
    </row>
    <row r="403" spans="5:5" ht="14.25" customHeight="1" x14ac:dyDescent="0.2">
      <c r="E403" s="7"/>
    </row>
    <row r="404" spans="5:5" ht="14.25" customHeight="1" x14ac:dyDescent="0.2">
      <c r="E404" s="7"/>
    </row>
    <row r="405" spans="5:5" ht="14.25" customHeight="1" x14ac:dyDescent="0.2">
      <c r="E405" s="7"/>
    </row>
    <row r="406" spans="5:5" ht="14.25" customHeight="1" x14ac:dyDescent="0.2">
      <c r="E406" s="7"/>
    </row>
    <row r="407" spans="5:5" ht="14.25" customHeight="1" x14ac:dyDescent="0.2">
      <c r="E407" s="7"/>
    </row>
    <row r="408" spans="5:5" ht="14.25" customHeight="1" x14ac:dyDescent="0.2">
      <c r="E408" s="7"/>
    </row>
    <row r="409" spans="5:5" ht="14.25" customHeight="1" x14ac:dyDescent="0.2">
      <c r="E409" s="7"/>
    </row>
    <row r="410" spans="5:5" ht="14.25" customHeight="1" x14ac:dyDescent="0.2">
      <c r="E410" s="7"/>
    </row>
    <row r="411" spans="5:5" ht="14.25" customHeight="1" x14ac:dyDescent="0.2">
      <c r="E411" s="7"/>
    </row>
    <row r="412" spans="5:5" ht="14.25" customHeight="1" x14ac:dyDescent="0.2">
      <c r="E412" s="7"/>
    </row>
    <row r="413" spans="5:5" ht="14.25" customHeight="1" x14ac:dyDescent="0.2">
      <c r="E413" s="7"/>
    </row>
    <row r="414" spans="5:5" ht="14.25" customHeight="1" x14ac:dyDescent="0.2">
      <c r="E414" s="7"/>
    </row>
    <row r="415" spans="5:5" ht="14.25" customHeight="1" x14ac:dyDescent="0.2">
      <c r="E415" s="7"/>
    </row>
    <row r="416" spans="5:5" ht="14.25" customHeight="1" x14ac:dyDescent="0.2">
      <c r="E416" s="7"/>
    </row>
    <row r="417" spans="5:5" ht="14.25" customHeight="1" x14ac:dyDescent="0.2">
      <c r="E417" s="7"/>
    </row>
    <row r="418" spans="5:5" ht="14.25" customHeight="1" x14ac:dyDescent="0.2">
      <c r="E418" s="7"/>
    </row>
    <row r="419" spans="5:5" ht="14.25" customHeight="1" x14ac:dyDescent="0.2">
      <c r="E419" s="7"/>
    </row>
    <row r="420" spans="5:5" ht="14.25" customHeight="1" x14ac:dyDescent="0.2">
      <c r="E420" s="7"/>
    </row>
    <row r="421" spans="5:5" ht="14.25" customHeight="1" x14ac:dyDescent="0.2">
      <c r="E421" s="7"/>
    </row>
    <row r="422" spans="5:5" ht="14.25" customHeight="1" x14ac:dyDescent="0.2">
      <c r="E422" s="7"/>
    </row>
    <row r="423" spans="5:5" ht="14.25" customHeight="1" x14ac:dyDescent="0.2">
      <c r="E423" s="7"/>
    </row>
    <row r="424" spans="5:5" ht="14.25" customHeight="1" x14ac:dyDescent="0.2">
      <c r="E424" s="7"/>
    </row>
    <row r="425" spans="5:5" ht="14.25" customHeight="1" x14ac:dyDescent="0.2">
      <c r="E425" s="7"/>
    </row>
    <row r="426" spans="5:5" ht="14.25" customHeight="1" x14ac:dyDescent="0.2">
      <c r="E426" s="7"/>
    </row>
    <row r="427" spans="5:5" ht="14.25" customHeight="1" x14ac:dyDescent="0.2">
      <c r="E427" s="7"/>
    </row>
    <row r="428" spans="5:5" ht="14.25" customHeight="1" x14ac:dyDescent="0.2">
      <c r="E428" s="7"/>
    </row>
    <row r="429" spans="5:5" ht="14.25" customHeight="1" x14ac:dyDescent="0.2">
      <c r="E429" s="7"/>
    </row>
    <row r="430" spans="5:5" ht="14.25" customHeight="1" x14ac:dyDescent="0.2">
      <c r="E430" s="7"/>
    </row>
    <row r="431" spans="5:5" ht="14.25" customHeight="1" x14ac:dyDescent="0.2">
      <c r="E431" s="7"/>
    </row>
    <row r="432" spans="5:5" ht="14.25" customHeight="1" x14ac:dyDescent="0.2">
      <c r="E432" s="7"/>
    </row>
    <row r="433" spans="5:5" ht="14.25" customHeight="1" x14ac:dyDescent="0.2">
      <c r="E433" s="7"/>
    </row>
    <row r="434" spans="5:5" ht="14.25" customHeight="1" x14ac:dyDescent="0.2">
      <c r="E434" s="7"/>
    </row>
    <row r="435" spans="5:5" ht="14.25" customHeight="1" x14ac:dyDescent="0.2">
      <c r="E435" s="7"/>
    </row>
    <row r="436" spans="5:5" ht="14.25" customHeight="1" x14ac:dyDescent="0.2">
      <c r="E436" s="7"/>
    </row>
    <row r="437" spans="5:5" ht="14.25" customHeight="1" x14ac:dyDescent="0.2">
      <c r="E437" s="7"/>
    </row>
    <row r="438" spans="5:5" ht="14.25" customHeight="1" x14ac:dyDescent="0.2">
      <c r="E438" s="7"/>
    </row>
    <row r="439" spans="5:5" ht="14.25" customHeight="1" x14ac:dyDescent="0.2">
      <c r="E439" s="7"/>
    </row>
    <row r="440" spans="5:5" ht="14.25" customHeight="1" x14ac:dyDescent="0.2">
      <c r="E440" s="7"/>
    </row>
    <row r="441" spans="5:5" ht="14.25" customHeight="1" x14ac:dyDescent="0.2">
      <c r="E441" s="7"/>
    </row>
    <row r="442" spans="5:5" ht="14.25" customHeight="1" x14ac:dyDescent="0.2">
      <c r="E442" s="7"/>
    </row>
    <row r="443" spans="5:5" ht="14.25" customHeight="1" x14ac:dyDescent="0.2">
      <c r="E443" s="7"/>
    </row>
    <row r="444" spans="5:5" ht="14.25" customHeight="1" x14ac:dyDescent="0.2">
      <c r="E444" s="7"/>
    </row>
    <row r="445" spans="5:5" ht="14.25" customHeight="1" x14ac:dyDescent="0.2">
      <c r="E445" s="7"/>
    </row>
    <row r="446" spans="5:5" ht="14.25" customHeight="1" x14ac:dyDescent="0.2">
      <c r="E446" s="7"/>
    </row>
    <row r="447" spans="5:5" ht="14.25" customHeight="1" x14ac:dyDescent="0.2">
      <c r="E447" s="7"/>
    </row>
    <row r="448" spans="5:5" ht="14.25" customHeight="1" x14ac:dyDescent="0.2">
      <c r="E448" s="7"/>
    </row>
    <row r="449" spans="5:5" ht="14.25" customHeight="1" x14ac:dyDescent="0.2">
      <c r="E449" s="7"/>
    </row>
    <row r="450" spans="5:5" ht="14.25" customHeight="1" x14ac:dyDescent="0.2">
      <c r="E450" s="7"/>
    </row>
    <row r="451" spans="5:5" ht="14.25" customHeight="1" x14ac:dyDescent="0.2">
      <c r="E451" s="7"/>
    </row>
    <row r="452" spans="5:5" ht="14.25" customHeight="1" x14ac:dyDescent="0.2">
      <c r="E452" s="7"/>
    </row>
    <row r="453" spans="5:5" ht="14.25" customHeight="1" x14ac:dyDescent="0.2">
      <c r="E453" s="7"/>
    </row>
    <row r="454" spans="5:5" ht="14.25" customHeight="1" x14ac:dyDescent="0.2">
      <c r="E454" s="7"/>
    </row>
    <row r="455" spans="5:5" ht="14.25" customHeight="1" x14ac:dyDescent="0.2">
      <c r="E455" s="7"/>
    </row>
    <row r="456" spans="5:5" ht="14.25" customHeight="1" x14ac:dyDescent="0.2">
      <c r="E456" s="7"/>
    </row>
    <row r="457" spans="5:5" ht="14.25" customHeight="1" x14ac:dyDescent="0.2">
      <c r="E457" s="7"/>
    </row>
    <row r="458" spans="5:5" ht="14.25" customHeight="1" x14ac:dyDescent="0.2">
      <c r="E458" s="7"/>
    </row>
    <row r="459" spans="5:5" ht="14.25" customHeight="1" x14ac:dyDescent="0.2">
      <c r="E459" s="7"/>
    </row>
    <row r="460" spans="5:5" ht="14.25" customHeight="1" x14ac:dyDescent="0.2">
      <c r="E460" s="7"/>
    </row>
    <row r="461" spans="5:5" ht="14.25" customHeight="1" x14ac:dyDescent="0.2">
      <c r="E461" s="7"/>
    </row>
    <row r="462" spans="5:5" ht="14.25" customHeight="1" x14ac:dyDescent="0.2">
      <c r="E462" s="7"/>
    </row>
    <row r="463" spans="5:5" ht="14.25" customHeight="1" x14ac:dyDescent="0.2">
      <c r="E463" s="7"/>
    </row>
    <row r="464" spans="5:5" ht="14.25" customHeight="1" x14ac:dyDescent="0.2">
      <c r="E464" s="7"/>
    </row>
    <row r="465" spans="5:5" ht="14.25" customHeight="1" x14ac:dyDescent="0.2">
      <c r="E465" s="7"/>
    </row>
    <row r="466" spans="5:5" ht="14.25" customHeight="1" x14ac:dyDescent="0.2">
      <c r="E466" s="7"/>
    </row>
    <row r="467" spans="5:5" ht="14.25" customHeight="1" x14ac:dyDescent="0.2">
      <c r="E467" s="7"/>
    </row>
    <row r="468" spans="5:5" ht="14.25" customHeight="1" x14ac:dyDescent="0.2">
      <c r="E468" s="7"/>
    </row>
    <row r="469" spans="5:5" ht="14.25" customHeight="1" x14ac:dyDescent="0.2">
      <c r="E469" s="7"/>
    </row>
    <row r="470" spans="5:5" ht="14.25" customHeight="1" x14ac:dyDescent="0.2">
      <c r="E470" s="7"/>
    </row>
    <row r="471" spans="5:5" ht="14.25" customHeight="1" x14ac:dyDescent="0.2">
      <c r="E471" s="7"/>
    </row>
    <row r="472" spans="5:5" ht="14.25" customHeight="1" x14ac:dyDescent="0.2">
      <c r="E472" s="7"/>
    </row>
    <row r="473" spans="5:5" ht="14.25" customHeight="1" x14ac:dyDescent="0.2">
      <c r="E473" s="7"/>
    </row>
    <row r="474" spans="5:5" ht="14.25" customHeight="1" x14ac:dyDescent="0.2">
      <c r="E474" s="7"/>
    </row>
    <row r="475" spans="5:5" ht="14.25" customHeight="1" x14ac:dyDescent="0.2">
      <c r="E475" s="7"/>
    </row>
    <row r="476" spans="5:5" ht="14.25" customHeight="1" x14ac:dyDescent="0.2">
      <c r="E476" s="7"/>
    </row>
    <row r="477" spans="5:5" ht="14.25" customHeight="1" x14ac:dyDescent="0.2">
      <c r="E477" s="7"/>
    </row>
    <row r="478" spans="5:5" ht="14.25" customHeight="1" x14ac:dyDescent="0.2">
      <c r="E478" s="7"/>
    </row>
    <row r="479" spans="5:5" ht="14.25" customHeight="1" x14ac:dyDescent="0.2">
      <c r="E479" s="7"/>
    </row>
    <row r="480" spans="5:5" ht="14.25" customHeight="1" x14ac:dyDescent="0.2">
      <c r="E480" s="7"/>
    </row>
    <row r="481" spans="5:5" ht="14.25" customHeight="1" x14ac:dyDescent="0.2">
      <c r="E481" s="7"/>
    </row>
    <row r="482" spans="5:5" ht="14.25" customHeight="1" x14ac:dyDescent="0.2">
      <c r="E482" s="7"/>
    </row>
    <row r="483" spans="5:5" ht="14.25" customHeight="1" x14ac:dyDescent="0.2">
      <c r="E483" s="7"/>
    </row>
    <row r="484" spans="5:5" ht="14.25" customHeight="1" x14ac:dyDescent="0.2">
      <c r="E484" s="7"/>
    </row>
    <row r="485" spans="5:5" ht="14.25" customHeight="1" x14ac:dyDescent="0.2">
      <c r="E485" s="7"/>
    </row>
    <row r="486" spans="5:5" ht="14.25" customHeight="1" x14ac:dyDescent="0.2">
      <c r="E486" s="7"/>
    </row>
    <row r="487" spans="5:5" ht="14.25" customHeight="1" x14ac:dyDescent="0.2">
      <c r="E487" s="7"/>
    </row>
    <row r="488" spans="5:5" ht="14.25" customHeight="1" x14ac:dyDescent="0.2">
      <c r="E488" s="7"/>
    </row>
    <row r="489" spans="5:5" ht="14.25" customHeight="1" x14ac:dyDescent="0.2">
      <c r="E489" s="7"/>
    </row>
    <row r="490" spans="5:5" ht="14.25" customHeight="1" x14ac:dyDescent="0.2">
      <c r="E490" s="7"/>
    </row>
    <row r="491" spans="5:5" ht="14.25" customHeight="1" x14ac:dyDescent="0.2">
      <c r="E491" s="7"/>
    </row>
    <row r="492" spans="5:5" ht="14.25" customHeight="1" x14ac:dyDescent="0.2">
      <c r="E492" s="7"/>
    </row>
    <row r="493" spans="5:5" ht="14.25" customHeight="1" x14ac:dyDescent="0.2">
      <c r="E493" s="7"/>
    </row>
    <row r="494" spans="5:5" ht="14.25" customHeight="1" x14ac:dyDescent="0.2">
      <c r="E494" s="7"/>
    </row>
    <row r="495" spans="5:5" ht="14.25" customHeight="1" x14ac:dyDescent="0.2">
      <c r="E495" s="7"/>
    </row>
    <row r="496" spans="5:5" ht="14.25" customHeight="1" x14ac:dyDescent="0.2">
      <c r="E496" s="7"/>
    </row>
    <row r="497" spans="5:5" ht="14.25" customHeight="1" x14ac:dyDescent="0.2">
      <c r="E497" s="7"/>
    </row>
    <row r="498" spans="5:5" ht="14.25" customHeight="1" x14ac:dyDescent="0.2">
      <c r="E498" s="7"/>
    </row>
    <row r="499" spans="5:5" ht="14.25" customHeight="1" x14ac:dyDescent="0.2">
      <c r="E499" s="7"/>
    </row>
    <row r="500" spans="5:5" ht="14.25" customHeight="1" x14ac:dyDescent="0.2">
      <c r="E500" s="7"/>
    </row>
    <row r="501" spans="5:5" ht="14.25" customHeight="1" x14ac:dyDescent="0.2">
      <c r="E501" s="7"/>
    </row>
    <row r="502" spans="5:5" ht="14.25" customHeight="1" x14ac:dyDescent="0.2">
      <c r="E502" s="7"/>
    </row>
    <row r="503" spans="5:5" ht="14.25" customHeight="1" x14ac:dyDescent="0.2">
      <c r="E503" s="7"/>
    </row>
    <row r="504" spans="5:5" ht="14.25" customHeight="1" x14ac:dyDescent="0.2">
      <c r="E504" s="7"/>
    </row>
    <row r="505" spans="5:5" ht="14.25" customHeight="1" x14ac:dyDescent="0.2">
      <c r="E505" s="7"/>
    </row>
    <row r="506" spans="5:5" ht="14.25" customHeight="1" x14ac:dyDescent="0.2">
      <c r="E506" s="7"/>
    </row>
    <row r="507" spans="5:5" ht="14.25" customHeight="1" x14ac:dyDescent="0.2">
      <c r="E507" s="7"/>
    </row>
    <row r="508" spans="5:5" ht="14.25" customHeight="1" x14ac:dyDescent="0.2">
      <c r="E508" s="7"/>
    </row>
    <row r="509" spans="5:5" ht="14.25" customHeight="1" x14ac:dyDescent="0.2">
      <c r="E509" s="7"/>
    </row>
    <row r="510" spans="5:5" ht="14.25" customHeight="1" x14ac:dyDescent="0.2">
      <c r="E510" s="7"/>
    </row>
    <row r="511" spans="5:5" ht="14.25" customHeight="1" x14ac:dyDescent="0.2">
      <c r="E511" s="7"/>
    </row>
    <row r="512" spans="5:5" ht="14.25" customHeight="1" x14ac:dyDescent="0.2">
      <c r="E512" s="7"/>
    </row>
    <row r="513" spans="5:5" ht="14.25" customHeight="1" x14ac:dyDescent="0.2">
      <c r="E513" s="7"/>
    </row>
    <row r="514" spans="5:5" ht="14.25" customHeight="1" x14ac:dyDescent="0.2">
      <c r="E514" s="7"/>
    </row>
    <row r="515" spans="5:5" ht="14.25" customHeight="1" x14ac:dyDescent="0.2">
      <c r="E515" s="7"/>
    </row>
    <row r="516" spans="5:5" ht="14.25" customHeight="1" x14ac:dyDescent="0.2">
      <c r="E516" s="7"/>
    </row>
    <row r="517" spans="5:5" ht="14.25" customHeight="1" x14ac:dyDescent="0.2">
      <c r="E517" s="7"/>
    </row>
    <row r="518" spans="5:5" ht="14.25" customHeight="1" x14ac:dyDescent="0.2">
      <c r="E518" s="7"/>
    </row>
    <row r="519" spans="5:5" ht="14.25" customHeight="1" x14ac:dyDescent="0.2">
      <c r="E519" s="7"/>
    </row>
    <row r="520" spans="5:5" ht="14.25" customHeight="1" x14ac:dyDescent="0.2">
      <c r="E520" s="7"/>
    </row>
    <row r="521" spans="5:5" ht="14.25" customHeight="1" x14ac:dyDescent="0.2">
      <c r="E521" s="7"/>
    </row>
    <row r="522" spans="5:5" ht="14.25" customHeight="1" x14ac:dyDescent="0.2">
      <c r="E522" s="7"/>
    </row>
    <row r="523" spans="5:5" ht="14.25" customHeight="1" x14ac:dyDescent="0.2">
      <c r="E523" s="7"/>
    </row>
    <row r="524" spans="5:5" ht="14.25" customHeight="1" x14ac:dyDescent="0.2">
      <c r="E524" s="7"/>
    </row>
    <row r="525" spans="5:5" ht="14.25" customHeight="1" x14ac:dyDescent="0.2">
      <c r="E525" s="7"/>
    </row>
    <row r="526" spans="5:5" ht="14.25" customHeight="1" x14ac:dyDescent="0.2">
      <c r="E526" s="7"/>
    </row>
    <row r="527" spans="5:5" ht="14.25" customHeight="1" x14ac:dyDescent="0.2">
      <c r="E527" s="7"/>
    </row>
    <row r="528" spans="5:5" ht="14.25" customHeight="1" x14ac:dyDescent="0.2">
      <c r="E528" s="7"/>
    </row>
    <row r="529" spans="5:5" ht="14.25" customHeight="1" x14ac:dyDescent="0.2">
      <c r="E529" s="7"/>
    </row>
    <row r="530" spans="5:5" ht="14.25" customHeight="1" x14ac:dyDescent="0.2">
      <c r="E530" s="7"/>
    </row>
    <row r="531" spans="5:5" ht="14.25" customHeight="1" x14ac:dyDescent="0.2">
      <c r="E531" s="7"/>
    </row>
    <row r="532" spans="5:5" ht="14.25" customHeight="1" x14ac:dyDescent="0.2">
      <c r="E532" s="7"/>
    </row>
    <row r="533" spans="5:5" ht="14.25" customHeight="1" x14ac:dyDescent="0.2">
      <c r="E533" s="7"/>
    </row>
    <row r="534" spans="5:5" ht="14.25" customHeight="1" x14ac:dyDescent="0.2">
      <c r="E534" s="7"/>
    </row>
    <row r="535" spans="5:5" ht="14.25" customHeight="1" x14ac:dyDescent="0.2">
      <c r="E535" s="7"/>
    </row>
    <row r="536" spans="5:5" ht="14.25" customHeight="1" x14ac:dyDescent="0.2">
      <c r="E536" s="7"/>
    </row>
    <row r="537" spans="5:5" ht="14.25" customHeight="1" x14ac:dyDescent="0.2">
      <c r="E537" s="7"/>
    </row>
    <row r="538" spans="5:5" ht="14.25" customHeight="1" x14ac:dyDescent="0.2">
      <c r="E538" s="7"/>
    </row>
    <row r="539" spans="5:5" ht="14.25" customHeight="1" x14ac:dyDescent="0.2">
      <c r="E539" s="7"/>
    </row>
    <row r="540" spans="5:5" ht="14.25" customHeight="1" x14ac:dyDescent="0.2">
      <c r="E540" s="7"/>
    </row>
    <row r="541" spans="5:5" ht="14.25" customHeight="1" x14ac:dyDescent="0.2">
      <c r="E541" s="7"/>
    </row>
    <row r="542" spans="5:5" ht="14.25" customHeight="1" x14ac:dyDescent="0.2">
      <c r="E542" s="7"/>
    </row>
    <row r="543" spans="5:5" ht="14.25" customHeight="1" x14ac:dyDescent="0.2">
      <c r="E543" s="7"/>
    </row>
    <row r="544" spans="5:5" ht="14.25" customHeight="1" x14ac:dyDescent="0.2">
      <c r="E544" s="7"/>
    </row>
    <row r="545" spans="5:5" ht="14.25" customHeight="1" x14ac:dyDescent="0.2">
      <c r="E545" s="7"/>
    </row>
    <row r="546" spans="5:5" ht="14.25" customHeight="1" x14ac:dyDescent="0.2">
      <c r="E546" s="7"/>
    </row>
    <row r="547" spans="5:5" ht="14.25" customHeight="1" x14ac:dyDescent="0.2">
      <c r="E547" s="7"/>
    </row>
    <row r="548" spans="5:5" ht="14.25" customHeight="1" x14ac:dyDescent="0.2">
      <c r="E548" s="7"/>
    </row>
    <row r="549" spans="5:5" ht="14.25" customHeight="1" x14ac:dyDescent="0.2">
      <c r="E549" s="7"/>
    </row>
    <row r="550" spans="5:5" ht="14.25" customHeight="1" x14ac:dyDescent="0.2">
      <c r="E550" s="7"/>
    </row>
    <row r="551" spans="5:5" ht="14.25" customHeight="1" x14ac:dyDescent="0.2">
      <c r="E551" s="7"/>
    </row>
    <row r="552" spans="5:5" ht="14.25" customHeight="1" x14ac:dyDescent="0.2">
      <c r="E552" s="7"/>
    </row>
    <row r="553" spans="5:5" ht="14.25" customHeight="1" x14ac:dyDescent="0.2">
      <c r="E553" s="7"/>
    </row>
    <row r="554" spans="5:5" ht="14.25" customHeight="1" x14ac:dyDescent="0.2">
      <c r="E554" s="7"/>
    </row>
    <row r="555" spans="5:5" ht="14.25" customHeight="1" x14ac:dyDescent="0.2">
      <c r="E555" s="7"/>
    </row>
    <row r="556" spans="5:5" ht="14.25" customHeight="1" x14ac:dyDescent="0.2">
      <c r="E556" s="7"/>
    </row>
    <row r="557" spans="5:5" ht="14.25" customHeight="1" x14ac:dyDescent="0.2">
      <c r="E557" s="7"/>
    </row>
    <row r="558" spans="5:5" ht="14.25" customHeight="1" x14ac:dyDescent="0.2">
      <c r="E558" s="7"/>
    </row>
    <row r="559" spans="5:5" ht="14.25" customHeight="1" x14ac:dyDescent="0.2">
      <c r="E559" s="7"/>
    </row>
    <row r="560" spans="5:5" ht="14.25" customHeight="1" x14ac:dyDescent="0.2">
      <c r="E560" s="7"/>
    </row>
    <row r="561" spans="5:5" ht="14.25" customHeight="1" x14ac:dyDescent="0.2">
      <c r="E561" s="7"/>
    </row>
    <row r="562" spans="5:5" ht="14.25" customHeight="1" x14ac:dyDescent="0.2">
      <c r="E562" s="7"/>
    </row>
    <row r="563" spans="5:5" ht="14.25" customHeight="1" x14ac:dyDescent="0.2">
      <c r="E563" s="7"/>
    </row>
    <row r="564" spans="5:5" ht="14.25" customHeight="1" x14ac:dyDescent="0.2">
      <c r="E564" s="7"/>
    </row>
    <row r="565" spans="5:5" ht="14.25" customHeight="1" x14ac:dyDescent="0.2">
      <c r="E565" s="7"/>
    </row>
    <row r="566" spans="5:5" ht="14.25" customHeight="1" x14ac:dyDescent="0.2">
      <c r="E566" s="7"/>
    </row>
    <row r="567" spans="5:5" ht="14.25" customHeight="1" x14ac:dyDescent="0.2">
      <c r="E567" s="7"/>
    </row>
    <row r="568" spans="5:5" ht="14.25" customHeight="1" x14ac:dyDescent="0.2">
      <c r="E568" s="7"/>
    </row>
    <row r="569" spans="5:5" ht="14.25" customHeight="1" x14ac:dyDescent="0.2">
      <c r="E569" s="7"/>
    </row>
    <row r="570" spans="5:5" ht="14.25" customHeight="1" x14ac:dyDescent="0.2">
      <c r="E570" s="7"/>
    </row>
    <row r="571" spans="5:5" ht="14.25" customHeight="1" x14ac:dyDescent="0.2">
      <c r="E571" s="7"/>
    </row>
    <row r="572" spans="5:5" ht="14.25" customHeight="1" x14ac:dyDescent="0.2">
      <c r="E572" s="7"/>
    </row>
    <row r="573" spans="5:5" ht="14.25" customHeight="1" x14ac:dyDescent="0.2">
      <c r="E573" s="7"/>
    </row>
    <row r="574" spans="5:5" ht="14.25" customHeight="1" x14ac:dyDescent="0.2">
      <c r="E574" s="7"/>
    </row>
    <row r="575" spans="5:5" ht="14.25" customHeight="1" x14ac:dyDescent="0.2">
      <c r="E575" s="7"/>
    </row>
    <row r="576" spans="5:5" ht="14.25" customHeight="1" x14ac:dyDescent="0.2">
      <c r="E576" s="7"/>
    </row>
    <row r="577" spans="5:5" ht="14.25" customHeight="1" x14ac:dyDescent="0.2">
      <c r="E577" s="7"/>
    </row>
    <row r="578" spans="5:5" ht="14.25" customHeight="1" x14ac:dyDescent="0.2">
      <c r="E578" s="7"/>
    </row>
    <row r="579" spans="5:5" ht="14.25" customHeight="1" x14ac:dyDescent="0.2">
      <c r="E579" s="7"/>
    </row>
    <row r="580" spans="5:5" ht="14.25" customHeight="1" x14ac:dyDescent="0.2">
      <c r="E580" s="7"/>
    </row>
    <row r="581" spans="5:5" ht="14.25" customHeight="1" x14ac:dyDescent="0.2">
      <c r="E581" s="7"/>
    </row>
    <row r="582" spans="5:5" ht="14.25" customHeight="1" x14ac:dyDescent="0.2">
      <c r="E582" s="7"/>
    </row>
    <row r="583" spans="5:5" ht="14.25" customHeight="1" x14ac:dyDescent="0.2">
      <c r="E583" s="7"/>
    </row>
    <row r="584" spans="5:5" ht="14.25" customHeight="1" x14ac:dyDescent="0.2">
      <c r="E584" s="7"/>
    </row>
    <row r="585" spans="5:5" ht="14.25" customHeight="1" x14ac:dyDescent="0.2">
      <c r="E585" s="7"/>
    </row>
    <row r="586" spans="5:5" ht="14.25" customHeight="1" x14ac:dyDescent="0.2">
      <c r="E586" s="7"/>
    </row>
    <row r="587" spans="5:5" ht="14.25" customHeight="1" x14ac:dyDescent="0.2">
      <c r="E587" s="7"/>
    </row>
    <row r="588" spans="5:5" ht="14.25" customHeight="1" x14ac:dyDescent="0.2">
      <c r="E588" s="7"/>
    </row>
    <row r="589" spans="5:5" ht="14.25" customHeight="1" x14ac:dyDescent="0.2">
      <c r="E589" s="7"/>
    </row>
    <row r="590" spans="5:5" ht="14.25" customHeight="1" x14ac:dyDescent="0.2">
      <c r="E590" s="7"/>
    </row>
    <row r="591" spans="5:5" ht="14.25" customHeight="1" x14ac:dyDescent="0.2">
      <c r="E591" s="7"/>
    </row>
    <row r="592" spans="5:5" ht="14.25" customHeight="1" x14ac:dyDescent="0.2">
      <c r="E592" s="7"/>
    </row>
    <row r="593" spans="5:5" ht="14.25" customHeight="1" x14ac:dyDescent="0.2">
      <c r="E593" s="7"/>
    </row>
    <row r="594" spans="5:5" ht="14.25" customHeight="1" x14ac:dyDescent="0.2">
      <c r="E594" s="7"/>
    </row>
    <row r="595" spans="5:5" ht="14.25" customHeight="1" x14ac:dyDescent="0.2">
      <c r="E595" s="7"/>
    </row>
    <row r="596" spans="5:5" ht="14.25" customHeight="1" x14ac:dyDescent="0.2">
      <c r="E596" s="7"/>
    </row>
    <row r="597" spans="5:5" ht="14.25" customHeight="1" x14ac:dyDescent="0.2">
      <c r="E597" s="7"/>
    </row>
    <row r="598" spans="5:5" ht="14.25" customHeight="1" x14ac:dyDescent="0.2">
      <c r="E598" s="7"/>
    </row>
    <row r="599" spans="5:5" ht="14.25" customHeight="1" x14ac:dyDescent="0.2">
      <c r="E599" s="7"/>
    </row>
    <row r="600" spans="5:5" ht="14.25" customHeight="1" x14ac:dyDescent="0.2">
      <c r="E600" s="7"/>
    </row>
    <row r="601" spans="5:5" ht="14.25" customHeight="1" x14ac:dyDescent="0.2">
      <c r="E601" s="7"/>
    </row>
    <row r="602" spans="5:5" ht="14.25" customHeight="1" x14ac:dyDescent="0.2">
      <c r="E602" s="7"/>
    </row>
    <row r="603" spans="5:5" ht="14.25" customHeight="1" x14ac:dyDescent="0.2">
      <c r="E603" s="7"/>
    </row>
    <row r="604" spans="5:5" ht="14.25" customHeight="1" x14ac:dyDescent="0.2">
      <c r="E604" s="7"/>
    </row>
    <row r="605" spans="5:5" ht="14.25" customHeight="1" x14ac:dyDescent="0.2">
      <c r="E605" s="7"/>
    </row>
    <row r="606" spans="5:5" ht="14.25" customHeight="1" x14ac:dyDescent="0.2">
      <c r="E606" s="7"/>
    </row>
    <row r="607" spans="5:5" ht="14.25" customHeight="1" x14ac:dyDescent="0.2">
      <c r="E607" s="7"/>
    </row>
    <row r="608" spans="5:5" ht="14.25" customHeight="1" x14ac:dyDescent="0.2">
      <c r="E608" s="7"/>
    </row>
    <row r="609" spans="5:5" ht="14.25" customHeight="1" x14ac:dyDescent="0.2">
      <c r="E609" s="7"/>
    </row>
    <row r="610" spans="5:5" ht="14.25" customHeight="1" x14ac:dyDescent="0.2">
      <c r="E610" s="7"/>
    </row>
    <row r="611" spans="5:5" ht="14.25" customHeight="1" x14ac:dyDescent="0.2">
      <c r="E611" s="7"/>
    </row>
    <row r="612" spans="5:5" ht="14.25" customHeight="1" x14ac:dyDescent="0.2">
      <c r="E612" s="7"/>
    </row>
    <row r="613" spans="5:5" ht="14.25" customHeight="1" x14ac:dyDescent="0.2">
      <c r="E613" s="7"/>
    </row>
    <row r="614" spans="5:5" ht="14.25" customHeight="1" x14ac:dyDescent="0.2">
      <c r="E614" s="7"/>
    </row>
    <row r="615" spans="5:5" ht="14.25" customHeight="1" x14ac:dyDescent="0.2">
      <c r="E615" s="7"/>
    </row>
    <row r="616" spans="5:5" ht="14.25" customHeight="1" x14ac:dyDescent="0.2">
      <c r="E616" s="7"/>
    </row>
    <row r="617" spans="5:5" ht="14.25" customHeight="1" x14ac:dyDescent="0.2">
      <c r="E617" s="7"/>
    </row>
    <row r="618" spans="5:5" ht="14.25" customHeight="1" x14ac:dyDescent="0.2">
      <c r="E618" s="7"/>
    </row>
    <row r="619" spans="5:5" ht="14.25" customHeight="1" x14ac:dyDescent="0.2">
      <c r="E619" s="7"/>
    </row>
    <row r="620" spans="5:5" ht="14.25" customHeight="1" x14ac:dyDescent="0.2">
      <c r="E620" s="7"/>
    </row>
    <row r="621" spans="5:5" ht="14.25" customHeight="1" x14ac:dyDescent="0.2">
      <c r="E621" s="7"/>
    </row>
    <row r="622" spans="5:5" ht="14.25" customHeight="1" x14ac:dyDescent="0.2">
      <c r="E622" s="7"/>
    </row>
    <row r="623" spans="5:5" ht="14.25" customHeight="1" x14ac:dyDescent="0.2">
      <c r="E623" s="7"/>
    </row>
    <row r="624" spans="5:5" ht="14.25" customHeight="1" x14ac:dyDescent="0.2">
      <c r="E624" s="7"/>
    </row>
    <row r="625" spans="5:5" ht="14.25" customHeight="1" x14ac:dyDescent="0.2">
      <c r="E625" s="7"/>
    </row>
    <row r="626" spans="5:5" ht="14.25" customHeight="1" x14ac:dyDescent="0.2">
      <c r="E626" s="7"/>
    </row>
    <row r="627" spans="5:5" ht="14.25" customHeight="1" x14ac:dyDescent="0.2">
      <c r="E627" s="7"/>
    </row>
    <row r="628" spans="5:5" ht="14.25" customHeight="1" x14ac:dyDescent="0.2">
      <c r="E628" s="7"/>
    </row>
    <row r="629" spans="5:5" ht="14.25" customHeight="1" x14ac:dyDescent="0.2">
      <c r="E629" s="7"/>
    </row>
    <row r="630" spans="5:5" ht="14.25" customHeight="1" x14ac:dyDescent="0.2">
      <c r="E630" s="7"/>
    </row>
    <row r="631" spans="5:5" ht="14.25" customHeight="1" x14ac:dyDescent="0.2">
      <c r="E631" s="7"/>
    </row>
    <row r="632" spans="5:5" ht="14.25" customHeight="1" x14ac:dyDescent="0.2">
      <c r="E632" s="7"/>
    </row>
    <row r="633" spans="5:5" ht="14.25" customHeight="1" x14ac:dyDescent="0.2">
      <c r="E633" s="7"/>
    </row>
    <row r="634" spans="5:5" ht="14.25" customHeight="1" x14ac:dyDescent="0.2">
      <c r="E634" s="7"/>
    </row>
    <row r="635" spans="5:5" ht="14.25" customHeight="1" x14ac:dyDescent="0.2">
      <c r="E635" s="7"/>
    </row>
    <row r="636" spans="5:5" ht="14.25" customHeight="1" x14ac:dyDescent="0.2">
      <c r="E636" s="7"/>
    </row>
    <row r="637" spans="5:5" ht="14.25" customHeight="1" x14ac:dyDescent="0.2">
      <c r="E637" s="7"/>
    </row>
    <row r="638" spans="5:5" ht="14.25" customHeight="1" x14ac:dyDescent="0.2">
      <c r="E638" s="7"/>
    </row>
    <row r="639" spans="5:5" ht="14.25" customHeight="1" x14ac:dyDescent="0.2">
      <c r="E639" s="7"/>
    </row>
    <row r="640" spans="5:5" ht="14.25" customHeight="1" x14ac:dyDescent="0.2">
      <c r="E640" s="7"/>
    </row>
    <row r="641" spans="5:5" ht="14.25" customHeight="1" x14ac:dyDescent="0.2">
      <c r="E641" s="7"/>
    </row>
    <row r="642" spans="5:5" ht="14.25" customHeight="1" x14ac:dyDescent="0.2">
      <c r="E642" s="7"/>
    </row>
    <row r="643" spans="5:5" ht="14.25" customHeight="1" x14ac:dyDescent="0.2">
      <c r="E643" s="7"/>
    </row>
    <row r="644" spans="5:5" ht="14.25" customHeight="1" x14ac:dyDescent="0.2">
      <c r="E644" s="7"/>
    </row>
    <row r="645" spans="5:5" ht="14.25" customHeight="1" x14ac:dyDescent="0.2">
      <c r="E645" s="7"/>
    </row>
    <row r="646" spans="5:5" ht="14.25" customHeight="1" x14ac:dyDescent="0.2">
      <c r="E646" s="7"/>
    </row>
    <row r="647" spans="5:5" ht="14.25" customHeight="1" x14ac:dyDescent="0.2">
      <c r="E647" s="7"/>
    </row>
    <row r="648" spans="5:5" ht="14.25" customHeight="1" x14ac:dyDescent="0.2">
      <c r="E648" s="7"/>
    </row>
    <row r="649" spans="5:5" ht="14.25" customHeight="1" x14ac:dyDescent="0.2">
      <c r="E649" s="7"/>
    </row>
    <row r="650" spans="5:5" ht="14.25" customHeight="1" x14ac:dyDescent="0.2">
      <c r="E650" s="7"/>
    </row>
    <row r="651" spans="5:5" ht="14.25" customHeight="1" x14ac:dyDescent="0.2">
      <c r="E651" s="7"/>
    </row>
    <row r="652" spans="5:5" ht="14.25" customHeight="1" x14ac:dyDescent="0.2">
      <c r="E652" s="7"/>
    </row>
    <row r="653" spans="5:5" ht="14.25" customHeight="1" x14ac:dyDescent="0.2">
      <c r="E653" s="7"/>
    </row>
    <row r="654" spans="5:5" ht="14.25" customHeight="1" x14ac:dyDescent="0.2">
      <c r="E654" s="7"/>
    </row>
    <row r="655" spans="5:5" ht="14.25" customHeight="1" x14ac:dyDescent="0.2">
      <c r="E655" s="7"/>
    </row>
    <row r="656" spans="5:5" ht="14.25" customHeight="1" x14ac:dyDescent="0.2">
      <c r="E656" s="7"/>
    </row>
    <row r="657" spans="5:5" ht="14.25" customHeight="1" x14ac:dyDescent="0.2">
      <c r="E657" s="7"/>
    </row>
    <row r="658" spans="5:5" ht="14.25" customHeight="1" x14ac:dyDescent="0.2">
      <c r="E658" s="7"/>
    </row>
    <row r="659" spans="5:5" ht="14.25" customHeight="1" x14ac:dyDescent="0.2">
      <c r="E659" s="7"/>
    </row>
    <row r="660" spans="5:5" ht="14.25" customHeight="1" x14ac:dyDescent="0.2">
      <c r="E660" s="7"/>
    </row>
    <row r="661" spans="5:5" ht="14.25" customHeight="1" x14ac:dyDescent="0.2">
      <c r="E661" s="7"/>
    </row>
    <row r="662" spans="5:5" ht="14.25" customHeight="1" x14ac:dyDescent="0.2">
      <c r="E662" s="7"/>
    </row>
    <row r="663" spans="5:5" ht="14.25" customHeight="1" x14ac:dyDescent="0.2">
      <c r="E663" s="7"/>
    </row>
    <row r="664" spans="5:5" ht="14.25" customHeight="1" x14ac:dyDescent="0.2">
      <c r="E664" s="7"/>
    </row>
    <row r="665" spans="5:5" ht="14.25" customHeight="1" x14ac:dyDescent="0.2">
      <c r="E665" s="7"/>
    </row>
    <row r="666" spans="5:5" ht="14.25" customHeight="1" x14ac:dyDescent="0.2">
      <c r="E666" s="7"/>
    </row>
    <row r="667" spans="5:5" ht="14.25" customHeight="1" x14ac:dyDescent="0.2">
      <c r="E667" s="7"/>
    </row>
    <row r="668" spans="5:5" ht="14.25" customHeight="1" x14ac:dyDescent="0.2">
      <c r="E668" s="7"/>
    </row>
    <row r="669" spans="5:5" ht="14.25" customHeight="1" x14ac:dyDescent="0.2">
      <c r="E669" s="7"/>
    </row>
    <row r="670" spans="5:5" ht="14.25" customHeight="1" x14ac:dyDescent="0.2">
      <c r="E670" s="7"/>
    </row>
    <row r="671" spans="5:5" ht="14.25" customHeight="1" x14ac:dyDescent="0.2">
      <c r="E671" s="7"/>
    </row>
    <row r="672" spans="5:5" ht="14.25" customHeight="1" x14ac:dyDescent="0.2">
      <c r="E672" s="7"/>
    </row>
    <row r="673" spans="5:5" ht="14.25" customHeight="1" x14ac:dyDescent="0.2">
      <c r="E673" s="7"/>
    </row>
    <row r="674" spans="5:5" ht="14.25" customHeight="1" x14ac:dyDescent="0.2">
      <c r="E674" s="7"/>
    </row>
    <row r="675" spans="5:5" ht="14.25" customHeight="1" x14ac:dyDescent="0.2">
      <c r="E675" s="7"/>
    </row>
    <row r="676" spans="5:5" ht="14.25" customHeight="1" x14ac:dyDescent="0.2">
      <c r="E676" s="7"/>
    </row>
    <row r="677" spans="5:5" ht="14.25" customHeight="1" x14ac:dyDescent="0.2">
      <c r="E677" s="7"/>
    </row>
    <row r="678" spans="5:5" ht="14.25" customHeight="1" x14ac:dyDescent="0.2">
      <c r="E678" s="7"/>
    </row>
    <row r="679" spans="5:5" ht="14.25" customHeight="1" x14ac:dyDescent="0.2">
      <c r="E679" s="7"/>
    </row>
    <row r="680" spans="5:5" ht="14.25" customHeight="1" x14ac:dyDescent="0.2">
      <c r="E680" s="7"/>
    </row>
    <row r="681" spans="5:5" ht="14.25" customHeight="1" x14ac:dyDescent="0.2">
      <c r="E681" s="7"/>
    </row>
    <row r="682" spans="5:5" ht="14.25" customHeight="1" x14ac:dyDescent="0.2">
      <c r="E682" s="7"/>
    </row>
    <row r="683" spans="5:5" ht="14.25" customHeight="1" x14ac:dyDescent="0.2">
      <c r="E683" s="7"/>
    </row>
    <row r="684" spans="5:5" ht="14.25" customHeight="1" x14ac:dyDescent="0.2">
      <c r="E684" s="7"/>
    </row>
    <row r="685" spans="5:5" ht="14.25" customHeight="1" x14ac:dyDescent="0.2">
      <c r="E685" s="7"/>
    </row>
    <row r="686" spans="5:5" ht="14.25" customHeight="1" x14ac:dyDescent="0.2">
      <c r="E686" s="7"/>
    </row>
    <row r="687" spans="5:5" ht="14.25" customHeight="1" x14ac:dyDescent="0.2">
      <c r="E687" s="7"/>
    </row>
    <row r="688" spans="5:5" ht="14.25" customHeight="1" x14ac:dyDescent="0.2">
      <c r="E688" s="7"/>
    </row>
    <row r="689" spans="5:5" ht="14.25" customHeight="1" x14ac:dyDescent="0.2">
      <c r="E689" s="7"/>
    </row>
    <row r="690" spans="5:5" ht="14.25" customHeight="1" x14ac:dyDescent="0.2">
      <c r="E690" s="7"/>
    </row>
    <row r="691" spans="5:5" ht="14.25" customHeight="1" x14ac:dyDescent="0.2">
      <c r="E691" s="7"/>
    </row>
    <row r="692" spans="5:5" ht="14.25" customHeight="1" x14ac:dyDescent="0.2">
      <c r="E692" s="7"/>
    </row>
    <row r="693" spans="5:5" ht="14.25" customHeight="1" x14ac:dyDescent="0.2">
      <c r="E693" s="7"/>
    </row>
    <row r="694" spans="5:5" ht="14.25" customHeight="1" x14ac:dyDescent="0.2">
      <c r="E694" s="7"/>
    </row>
    <row r="695" spans="5:5" ht="14.25" customHeight="1" x14ac:dyDescent="0.2">
      <c r="E695" s="7"/>
    </row>
    <row r="696" spans="5:5" ht="14.25" customHeight="1" x14ac:dyDescent="0.2">
      <c r="E696" s="7"/>
    </row>
    <row r="697" spans="5:5" ht="14.25" customHeight="1" x14ac:dyDescent="0.2">
      <c r="E697" s="7"/>
    </row>
    <row r="698" spans="5:5" ht="14.25" customHeight="1" x14ac:dyDescent="0.2">
      <c r="E698" s="7"/>
    </row>
    <row r="699" spans="5:5" ht="14.25" customHeight="1" x14ac:dyDescent="0.2">
      <c r="E699" s="7"/>
    </row>
    <row r="700" spans="5:5" ht="14.25" customHeight="1" x14ac:dyDescent="0.2">
      <c r="E700" s="7"/>
    </row>
    <row r="701" spans="5:5" ht="14.25" customHeight="1" x14ac:dyDescent="0.2">
      <c r="E701" s="7"/>
    </row>
    <row r="702" spans="5:5" ht="14.25" customHeight="1" x14ac:dyDescent="0.2">
      <c r="E702" s="7"/>
    </row>
    <row r="703" spans="5:5" ht="14.25" customHeight="1" x14ac:dyDescent="0.2">
      <c r="E703" s="7"/>
    </row>
    <row r="704" spans="5:5" ht="14.25" customHeight="1" x14ac:dyDescent="0.2">
      <c r="E704" s="7"/>
    </row>
    <row r="705" spans="5:5" ht="14.25" customHeight="1" x14ac:dyDescent="0.2">
      <c r="E705" s="7"/>
    </row>
    <row r="706" spans="5:5" ht="14.25" customHeight="1" x14ac:dyDescent="0.2">
      <c r="E706" s="7"/>
    </row>
    <row r="707" spans="5:5" ht="14.25" customHeight="1" x14ac:dyDescent="0.2">
      <c r="E707" s="7"/>
    </row>
    <row r="708" spans="5:5" ht="14.25" customHeight="1" x14ac:dyDescent="0.2">
      <c r="E708" s="7"/>
    </row>
    <row r="709" spans="5:5" ht="14.25" customHeight="1" x14ac:dyDescent="0.2">
      <c r="E709" s="7"/>
    </row>
    <row r="710" spans="5:5" ht="14.25" customHeight="1" x14ac:dyDescent="0.2">
      <c r="E710" s="7"/>
    </row>
    <row r="711" spans="5:5" ht="14.25" customHeight="1" x14ac:dyDescent="0.2">
      <c r="E711" s="7"/>
    </row>
    <row r="712" spans="5:5" ht="14.25" customHeight="1" x14ac:dyDescent="0.2">
      <c r="E712" s="7"/>
    </row>
    <row r="713" spans="5:5" ht="14.25" customHeight="1" x14ac:dyDescent="0.2">
      <c r="E713" s="7"/>
    </row>
    <row r="714" spans="5:5" ht="14.25" customHeight="1" x14ac:dyDescent="0.2">
      <c r="E714" s="7"/>
    </row>
    <row r="715" spans="5:5" ht="14.25" customHeight="1" x14ac:dyDescent="0.2">
      <c r="E715" s="7"/>
    </row>
    <row r="716" spans="5:5" ht="14.25" customHeight="1" x14ac:dyDescent="0.2">
      <c r="E716" s="7"/>
    </row>
    <row r="717" spans="5:5" ht="14.25" customHeight="1" x14ac:dyDescent="0.2">
      <c r="E717" s="7"/>
    </row>
    <row r="718" spans="5:5" ht="14.25" customHeight="1" x14ac:dyDescent="0.2">
      <c r="E718" s="7"/>
    </row>
    <row r="719" spans="5:5" ht="14.25" customHeight="1" x14ac:dyDescent="0.2">
      <c r="E719" s="7"/>
    </row>
    <row r="720" spans="5:5" ht="14.25" customHeight="1" x14ac:dyDescent="0.2">
      <c r="E720" s="7"/>
    </row>
    <row r="721" spans="5:5" ht="14.25" customHeight="1" x14ac:dyDescent="0.2">
      <c r="E721" s="7"/>
    </row>
    <row r="722" spans="5:5" ht="14.25" customHeight="1" x14ac:dyDescent="0.2">
      <c r="E722" s="7"/>
    </row>
    <row r="723" spans="5:5" ht="14.25" customHeight="1" x14ac:dyDescent="0.2">
      <c r="E723" s="7"/>
    </row>
    <row r="724" spans="5:5" ht="14.25" customHeight="1" x14ac:dyDescent="0.2">
      <c r="E724" s="7"/>
    </row>
    <row r="725" spans="5:5" ht="14.25" customHeight="1" x14ac:dyDescent="0.2">
      <c r="E725" s="7"/>
    </row>
    <row r="726" spans="5:5" ht="14.25" customHeight="1" x14ac:dyDescent="0.2">
      <c r="E726" s="7"/>
    </row>
    <row r="727" spans="5:5" ht="14.25" customHeight="1" x14ac:dyDescent="0.2">
      <c r="E727" s="7"/>
    </row>
    <row r="728" spans="5:5" ht="14.25" customHeight="1" x14ac:dyDescent="0.2">
      <c r="E728" s="7"/>
    </row>
    <row r="729" spans="5:5" ht="14.25" customHeight="1" x14ac:dyDescent="0.2">
      <c r="E729" s="7"/>
    </row>
    <row r="730" spans="5:5" ht="14.25" customHeight="1" x14ac:dyDescent="0.2">
      <c r="E730" s="7"/>
    </row>
    <row r="731" spans="5:5" ht="14.25" customHeight="1" x14ac:dyDescent="0.2">
      <c r="E731" s="7"/>
    </row>
    <row r="732" spans="5:5" ht="14.25" customHeight="1" x14ac:dyDescent="0.2">
      <c r="E732" s="7"/>
    </row>
    <row r="733" spans="5:5" ht="14.25" customHeight="1" x14ac:dyDescent="0.2">
      <c r="E733" s="7"/>
    </row>
    <row r="734" spans="5:5" ht="14.25" customHeight="1" x14ac:dyDescent="0.2">
      <c r="E734" s="7"/>
    </row>
    <row r="735" spans="5:5" ht="14.25" customHeight="1" x14ac:dyDescent="0.2">
      <c r="E735" s="7"/>
    </row>
    <row r="736" spans="5:5" ht="14.25" customHeight="1" x14ac:dyDescent="0.2">
      <c r="E736" s="7"/>
    </row>
    <row r="737" spans="5:5" ht="14.25" customHeight="1" x14ac:dyDescent="0.2">
      <c r="E737" s="7"/>
    </row>
    <row r="738" spans="5:5" ht="14.25" customHeight="1" x14ac:dyDescent="0.2">
      <c r="E738" s="7"/>
    </row>
    <row r="739" spans="5:5" ht="14.25" customHeight="1" x14ac:dyDescent="0.2">
      <c r="E739" s="7"/>
    </row>
    <row r="740" spans="5:5" ht="14.25" customHeight="1" x14ac:dyDescent="0.2">
      <c r="E740" s="7"/>
    </row>
    <row r="741" spans="5:5" ht="14.25" customHeight="1" x14ac:dyDescent="0.2">
      <c r="E741" s="7"/>
    </row>
    <row r="742" spans="5:5" ht="14.25" customHeight="1" x14ac:dyDescent="0.2">
      <c r="E742" s="7"/>
    </row>
    <row r="743" spans="5:5" ht="14.25" customHeight="1" x14ac:dyDescent="0.2">
      <c r="E743" s="7"/>
    </row>
    <row r="744" spans="5:5" ht="14.25" customHeight="1" x14ac:dyDescent="0.2">
      <c r="E744" s="7"/>
    </row>
    <row r="745" spans="5:5" ht="14.25" customHeight="1" x14ac:dyDescent="0.2">
      <c r="E745" s="7"/>
    </row>
    <row r="746" spans="5:5" ht="14.25" customHeight="1" x14ac:dyDescent="0.2">
      <c r="E746" s="7"/>
    </row>
    <row r="747" spans="5:5" ht="14.25" customHeight="1" x14ac:dyDescent="0.2">
      <c r="E747" s="7"/>
    </row>
    <row r="748" spans="5:5" ht="14.25" customHeight="1" x14ac:dyDescent="0.2">
      <c r="E748" s="7"/>
    </row>
    <row r="749" spans="5:5" ht="14.25" customHeight="1" x14ac:dyDescent="0.2">
      <c r="E749" s="7"/>
    </row>
    <row r="750" spans="5:5" ht="14.25" customHeight="1" x14ac:dyDescent="0.2">
      <c r="E750" s="7"/>
    </row>
    <row r="751" spans="5:5" ht="14.25" customHeight="1" x14ac:dyDescent="0.2">
      <c r="E751" s="7"/>
    </row>
    <row r="752" spans="5:5" ht="14.25" customHeight="1" x14ac:dyDescent="0.2">
      <c r="E752" s="7"/>
    </row>
    <row r="753" spans="5:5" ht="14.25" customHeight="1" x14ac:dyDescent="0.2">
      <c r="E753" s="7"/>
    </row>
    <row r="754" spans="5:5" ht="14.25" customHeight="1" x14ac:dyDescent="0.2">
      <c r="E754" s="7"/>
    </row>
    <row r="755" spans="5:5" ht="14.25" customHeight="1" x14ac:dyDescent="0.2">
      <c r="E755" s="7"/>
    </row>
    <row r="756" spans="5:5" ht="14.25" customHeight="1" x14ac:dyDescent="0.2">
      <c r="E756" s="7"/>
    </row>
    <row r="757" spans="5:5" ht="14.25" customHeight="1" x14ac:dyDescent="0.2">
      <c r="E757" s="7"/>
    </row>
    <row r="758" spans="5:5" ht="14.25" customHeight="1" x14ac:dyDescent="0.2">
      <c r="E758" s="7"/>
    </row>
    <row r="759" spans="5:5" ht="14.25" customHeight="1" x14ac:dyDescent="0.2">
      <c r="E759" s="7"/>
    </row>
    <row r="760" spans="5:5" ht="14.25" customHeight="1" x14ac:dyDescent="0.2">
      <c r="E760" s="7"/>
    </row>
    <row r="761" spans="5:5" ht="14.25" customHeight="1" x14ac:dyDescent="0.2">
      <c r="E761" s="7"/>
    </row>
    <row r="762" spans="5:5" ht="14.25" customHeight="1" x14ac:dyDescent="0.2">
      <c r="E762" s="7"/>
    </row>
    <row r="763" spans="5:5" ht="14.25" customHeight="1" x14ac:dyDescent="0.2">
      <c r="E763" s="7"/>
    </row>
    <row r="764" spans="5:5" ht="14.25" customHeight="1" x14ac:dyDescent="0.2">
      <c r="E764" s="7"/>
    </row>
    <row r="765" spans="5:5" ht="14.25" customHeight="1" x14ac:dyDescent="0.2">
      <c r="E765" s="7"/>
    </row>
    <row r="766" spans="5:5" ht="14.25" customHeight="1" x14ac:dyDescent="0.2">
      <c r="E766" s="7"/>
    </row>
    <row r="767" spans="5:5" ht="14.25" customHeight="1" x14ac:dyDescent="0.2">
      <c r="E767" s="7"/>
    </row>
    <row r="768" spans="5:5" ht="14.25" customHeight="1" x14ac:dyDescent="0.2">
      <c r="E768" s="7"/>
    </row>
    <row r="769" spans="5:5" ht="14.25" customHeight="1" x14ac:dyDescent="0.2">
      <c r="E769" s="7"/>
    </row>
    <row r="770" spans="5:5" ht="14.25" customHeight="1" x14ac:dyDescent="0.2">
      <c r="E770" s="7"/>
    </row>
    <row r="771" spans="5:5" ht="14.25" customHeight="1" x14ac:dyDescent="0.2">
      <c r="E771" s="7"/>
    </row>
    <row r="772" spans="5:5" ht="14.25" customHeight="1" x14ac:dyDescent="0.2">
      <c r="E772" s="7"/>
    </row>
    <row r="773" spans="5:5" ht="14.25" customHeight="1" x14ac:dyDescent="0.2">
      <c r="E773" s="7"/>
    </row>
    <row r="774" spans="5:5" ht="14.25" customHeight="1" x14ac:dyDescent="0.2">
      <c r="E774" s="7"/>
    </row>
    <row r="775" spans="5:5" ht="14.25" customHeight="1" x14ac:dyDescent="0.2">
      <c r="E775" s="7"/>
    </row>
    <row r="776" spans="5:5" ht="14.25" customHeight="1" x14ac:dyDescent="0.2">
      <c r="E776" s="7"/>
    </row>
    <row r="777" spans="5:5" ht="14.25" customHeight="1" x14ac:dyDescent="0.2">
      <c r="E777" s="7"/>
    </row>
    <row r="778" spans="5:5" ht="14.25" customHeight="1" x14ac:dyDescent="0.2">
      <c r="E778" s="7"/>
    </row>
    <row r="779" spans="5:5" ht="14.25" customHeight="1" x14ac:dyDescent="0.2">
      <c r="E779" s="7"/>
    </row>
    <row r="780" spans="5:5" ht="14.25" customHeight="1" x14ac:dyDescent="0.2">
      <c r="E780" s="7"/>
    </row>
    <row r="781" spans="5:5" ht="14.25" customHeight="1" x14ac:dyDescent="0.2">
      <c r="E781" s="7"/>
    </row>
    <row r="782" spans="5:5" ht="14.25" customHeight="1" x14ac:dyDescent="0.2">
      <c r="E782" s="7"/>
    </row>
    <row r="783" spans="5:5" ht="14.25" customHeight="1" x14ac:dyDescent="0.2">
      <c r="E783" s="7"/>
    </row>
    <row r="784" spans="5:5" ht="14.25" customHeight="1" x14ac:dyDescent="0.2">
      <c r="E784" s="7"/>
    </row>
    <row r="785" spans="5:5" ht="14.25" customHeight="1" x14ac:dyDescent="0.2">
      <c r="E785" s="7"/>
    </row>
    <row r="786" spans="5:5" ht="14.25" customHeight="1" x14ac:dyDescent="0.2">
      <c r="E786" s="7"/>
    </row>
    <row r="787" spans="5:5" ht="14.25" customHeight="1" x14ac:dyDescent="0.2">
      <c r="E787" s="7"/>
    </row>
    <row r="788" spans="5:5" ht="14.25" customHeight="1" x14ac:dyDescent="0.2">
      <c r="E788" s="7"/>
    </row>
    <row r="789" spans="5:5" ht="14.25" customHeight="1" x14ac:dyDescent="0.2">
      <c r="E789" s="7"/>
    </row>
    <row r="790" spans="5:5" ht="14.25" customHeight="1" x14ac:dyDescent="0.2">
      <c r="E790" s="7"/>
    </row>
    <row r="791" spans="5:5" ht="14.25" customHeight="1" x14ac:dyDescent="0.2">
      <c r="E791" s="7"/>
    </row>
    <row r="792" spans="5:5" ht="14.25" customHeight="1" x14ac:dyDescent="0.2">
      <c r="E792" s="7"/>
    </row>
    <row r="793" spans="5:5" ht="14.25" customHeight="1" x14ac:dyDescent="0.2">
      <c r="E793" s="7"/>
    </row>
    <row r="794" spans="5:5" ht="14.25" customHeight="1" x14ac:dyDescent="0.2">
      <c r="E794" s="7"/>
    </row>
    <row r="795" spans="5:5" ht="14.25" customHeight="1" x14ac:dyDescent="0.2">
      <c r="E795" s="7"/>
    </row>
    <row r="796" spans="5:5" ht="14.25" customHeight="1" x14ac:dyDescent="0.2">
      <c r="E796" s="7"/>
    </row>
    <row r="797" spans="5:5" ht="14.25" customHeight="1" x14ac:dyDescent="0.2">
      <c r="E797" s="7"/>
    </row>
    <row r="798" spans="5:5" ht="14.25" customHeight="1" x14ac:dyDescent="0.2">
      <c r="E798" s="7"/>
    </row>
    <row r="799" spans="5:5" ht="14.25" customHeight="1" x14ac:dyDescent="0.2">
      <c r="E799" s="7"/>
    </row>
    <row r="800" spans="5:5" ht="14.25" customHeight="1" x14ac:dyDescent="0.2">
      <c r="E800" s="7"/>
    </row>
    <row r="801" spans="5:5" ht="14.25" customHeight="1" x14ac:dyDescent="0.2">
      <c r="E801" s="7"/>
    </row>
    <row r="802" spans="5:5" ht="14.25" customHeight="1" x14ac:dyDescent="0.2">
      <c r="E802" s="7"/>
    </row>
    <row r="803" spans="5:5" ht="14.25" customHeight="1" x14ac:dyDescent="0.2">
      <c r="E803" s="7"/>
    </row>
    <row r="804" spans="5:5" ht="14.25" customHeight="1" x14ac:dyDescent="0.2">
      <c r="E804" s="7"/>
    </row>
    <row r="805" spans="5:5" ht="14.25" customHeight="1" x14ac:dyDescent="0.2">
      <c r="E805" s="7"/>
    </row>
    <row r="806" spans="5:5" ht="14.25" customHeight="1" x14ac:dyDescent="0.2">
      <c r="E806" s="7"/>
    </row>
    <row r="807" spans="5:5" ht="14.25" customHeight="1" x14ac:dyDescent="0.2">
      <c r="E807" s="7"/>
    </row>
    <row r="808" spans="5:5" ht="14.25" customHeight="1" x14ac:dyDescent="0.2">
      <c r="E808" s="7"/>
    </row>
    <row r="809" spans="5:5" ht="14.25" customHeight="1" x14ac:dyDescent="0.2">
      <c r="E809" s="7"/>
    </row>
    <row r="810" spans="5:5" ht="14.25" customHeight="1" x14ac:dyDescent="0.2">
      <c r="E810" s="7"/>
    </row>
    <row r="811" spans="5:5" ht="14.25" customHeight="1" x14ac:dyDescent="0.2">
      <c r="E811" s="7"/>
    </row>
    <row r="812" spans="5:5" ht="14.25" customHeight="1" x14ac:dyDescent="0.2">
      <c r="E812" s="7"/>
    </row>
    <row r="813" spans="5:5" ht="14.25" customHeight="1" x14ac:dyDescent="0.2">
      <c r="E813" s="7"/>
    </row>
    <row r="814" spans="5:5" ht="14.25" customHeight="1" x14ac:dyDescent="0.2">
      <c r="E814" s="7"/>
    </row>
    <row r="815" spans="5:5" ht="14.25" customHeight="1" x14ac:dyDescent="0.2">
      <c r="E815" s="7"/>
    </row>
    <row r="816" spans="5:5" ht="14.25" customHeight="1" x14ac:dyDescent="0.2">
      <c r="E816" s="7"/>
    </row>
    <row r="817" spans="5:5" ht="14.25" customHeight="1" x14ac:dyDescent="0.2">
      <c r="E817" s="7"/>
    </row>
    <row r="818" spans="5:5" ht="14.25" customHeight="1" x14ac:dyDescent="0.2">
      <c r="E818" s="7"/>
    </row>
    <row r="819" spans="5:5" ht="14.25" customHeight="1" x14ac:dyDescent="0.2">
      <c r="E819" s="7"/>
    </row>
    <row r="820" spans="5:5" ht="14.25" customHeight="1" x14ac:dyDescent="0.2">
      <c r="E820" s="7"/>
    </row>
    <row r="821" spans="5:5" ht="14.25" customHeight="1" x14ac:dyDescent="0.2">
      <c r="E821" s="7"/>
    </row>
    <row r="822" spans="5:5" ht="14.25" customHeight="1" x14ac:dyDescent="0.2">
      <c r="E822" s="7"/>
    </row>
    <row r="823" spans="5:5" ht="14.25" customHeight="1" x14ac:dyDescent="0.2">
      <c r="E823" s="7"/>
    </row>
    <row r="824" spans="5:5" ht="14.25" customHeight="1" x14ac:dyDescent="0.2">
      <c r="E824" s="7"/>
    </row>
    <row r="825" spans="5:5" ht="14.25" customHeight="1" x14ac:dyDescent="0.2">
      <c r="E825" s="7"/>
    </row>
    <row r="826" spans="5:5" ht="14.25" customHeight="1" x14ac:dyDescent="0.2">
      <c r="E826" s="7"/>
    </row>
    <row r="827" spans="5:5" ht="14.25" customHeight="1" x14ac:dyDescent="0.2">
      <c r="E827" s="7"/>
    </row>
    <row r="828" spans="5:5" ht="14.25" customHeight="1" x14ac:dyDescent="0.2">
      <c r="E828" s="7"/>
    </row>
    <row r="829" spans="5:5" ht="14.25" customHeight="1" x14ac:dyDescent="0.2">
      <c r="E829" s="7"/>
    </row>
    <row r="830" spans="5:5" ht="14.25" customHeight="1" x14ac:dyDescent="0.2">
      <c r="E830" s="7"/>
    </row>
    <row r="831" spans="5:5" ht="14.25" customHeight="1" x14ac:dyDescent="0.2">
      <c r="E831" s="7"/>
    </row>
    <row r="832" spans="5:5" ht="14.25" customHeight="1" x14ac:dyDescent="0.2">
      <c r="E832" s="7"/>
    </row>
    <row r="833" spans="5:5" ht="14.25" customHeight="1" x14ac:dyDescent="0.2">
      <c r="E833" s="7"/>
    </row>
    <row r="834" spans="5:5" ht="14.25" customHeight="1" x14ac:dyDescent="0.2">
      <c r="E834" s="7"/>
    </row>
    <row r="835" spans="5:5" ht="14.25" customHeight="1" x14ac:dyDescent="0.2">
      <c r="E835" s="7"/>
    </row>
    <row r="836" spans="5:5" ht="14.25" customHeight="1" x14ac:dyDescent="0.2">
      <c r="E836" s="7"/>
    </row>
    <row r="837" spans="5:5" ht="14.25" customHeight="1" x14ac:dyDescent="0.2">
      <c r="E837" s="7"/>
    </row>
    <row r="838" spans="5:5" ht="14.25" customHeight="1" x14ac:dyDescent="0.2">
      <c r="E838" s="7"/>
    </row>
    <row r="839" spans="5:5" ht="14.25" customHeight="1" x14ac:dyDescent="0.2">
      <c r="E839" s="7"/>
    </row>
    <row r="840" spans="5:5" ht="14.25" customHeight="1" x14ac:dyDescent="0.2">
      <c r="E840" s="7"/>
    </row>
    <row r="841" spans="5:5" ht="14.25" customHeight="1" x14ac:dyDescent="0.2">
      <c r="E841" s="7"/>
    </row>
    <row r="842" spans="5:5" ht="14.25" customHeight="1" x14ac:dyDescent="0.2">
      <c r="E842" s="7"/>
    </row>
    <row r="843" spans="5:5" ht="14.25" customHeight="1" x14ac:dyDescent="0.2">
      <c r="E843" s="7"/>
    </row>
    <row r="844" spans="5:5" ht="14.25" customHeight="1" x14ac:dyDescent="0.2">
      <c r="E844" s="7"/>
    </row>
    <row r="845" spans="5:5" ht="14.25" customHeight="1" x14ac:dyDescent="0.2">
      <c r="E845" s="7"/>
    </row>
    <row r="846" spans="5:5" ht="14.25" customHeight="1" x14ac:dyDescent="0.2">
      <c r="E846" s="7"/>
    </row>
    <row r="847" spans="5:5" ht="14.25" customHeight="1" x14ac:dyDescent="0.2">
      <c r="E847" s="7"/>
    </row>
    <row r="848" spans="5:5" ht="14.25" customHeight="1" x14ac:dyDescent="0.2">
      <c r="E848" s="7"/>
    </row>
    <row r="849" spans="5:5" ht="14.25" customHeight="1" x14ac:dyDescent="0.2">
      <c r="E849" s="7"/>
    </row>
    <row r="850" spans="5:5" ht="14.25" customHeight="1" x14ac:dyDescent="0.2">
      <c r="E850" s="7"/>
    </row>
    <row r="851" spans="5:5" ht="14.25" customHeight="1" x14ac:dyDescent="0.2">
      <c r="E851" s="7"/>
    </row>
    <row r="852" spans="5:5" ht="14.25" customHeight="1" x14ac:dyDescent="0.2">
      <c r="E852" s="7"/>
    </row>
    <row r="853" spans="5:5" ht="14.25" customHeight="1" x14ac:dyDescent="0.2">
      <c r="E853" s="7"/>
    </row>
    <row r="854" spans="5:5" ht="14.25" customHeight="1" x14ac:dyDescent="0.2">
      <c r="E854" s="7"/>
    </row>
    <row r="855" spans="5:5" ht="14.25" customHeight="1" x14ac:dyDescent="0.2">
      <c r="E855" s="7"/>
    </row>
    <row r="856" spans="5:5" ht="14.25" customHeight="1" x14ac:dyDescent="0.2">
      <c r="E856" s="7"/>
    </row>
    <row r="857" spans="5:5" ht="14.25" customHeight="1" x14ac:dyDescent="0.2">
      <c r="E857" s="7"/>
    </row>
    <row r="858" spans="5:5" ht="14.25" customHeight="1" x14ac:dyDescent="0.2">
      <c r="E858" s="7"/>
    </row>
    <row r="859" spans="5:5" ht="14.25" customHeight="1" x14ac:dyDescent="0.2">
      <c r="E859" s="7"/>
    </row>
    <row r="860" spans="5:5" ht="14.25" customHeight="1" x14ac:dyDescent="0.2">
      <c r="E860" s="7"/>
    </row>
    <row r="861" spans="5:5" ht="14.25" customHeight="1" x14ac:dyDescent="0.2">
      <c r="E861" s="7"/>
    </row>
    <row r="862" spans="5:5" ht="14.25" customHeight="1" x14ac:dyDescent="0.2">
      <c r="E862" s="7"/>
    </row>
    <row r="863" spans="5:5" ht="14.25" customHeight="1" x14ac:dyDescent="0.2">
      <c r="E863" s="7"/>
    </row>
    <row r="864" spans="5:5" ht="14.25" customHeight="1" x14ac:dyDescent="0.2">
      <c r="E864" s="7"/>
    </row>
    <row r="865" spans="5:5" ht="14.25" customHeight="1" x14ac:dyDescent="0.2">
      <c r="E865" s="7"/>
    </row>
    <row r="866" spans="5:5" ht="14.25" customHeight="1" x14ac:dyDescent="0.2">
      <c r="E866" s="7"/>
    </row>
    <row r="867" spans="5:5" ht="14.25" customHeight="1" x14ac:dyDescent="0.2">
      <c r="E867" s="7"/>
    </row>
    <row r="868" spans="5:5" ht="14.25" customHeight="1" x14ac:dyDescent="0.2">
      <c r="E868" s="7"/>
    </row>
    <row r="869" spans="5:5" ht="14.25" customHeight="1" x14ac:dyDescent="0.2">
      <c r="E869" s="7"/>
    </row>
    <row r="870" spans="5:5" ht="14.25" customHeight="1" x14ac:dyDescent="0.2">
      <c r="E870" s="7"/>
    </row>
    <row r="871" spans="5:5" ht="14.25" customHeight="1" x14ac:dyDescent="0.2">
      <c r="E871" s="7"/>
    </row>
    <row r="872" spans="5:5" ht="14.25" customHeight="1" x14ac:dyDescent="0.2">
      <c r="E872" s="7"/>
    </row>
    <row r="873" spans="5:5" ht="14.25" customHeight="1" x14ac:dyDescent="0.2">
      <c r="E873" s="7"/>
    </row>
    <row r="874" spans="5:5" ht="14.25" customHeight="1" x14ac:dyDescent="0.2">
      <c r="E874" s="7"/>
    </row>
    <row r="875" spans="5:5" ht="14.25" customHeight="1" x14ac:dyDescent="0.2">
      <c r="E875" s="7"/>
    </row>
    <row r="876" spans="5:5" ht="14.25" customHeight="1" x14ac:dyDescent="0.2">
      <c r="E876" s="7"/>
    </row>
    <row r="877" spans="5:5" ht="14.25" customHeight="1" x14ac:dyDescent="0.2">
      <c r="E877" s="7"/>
    </row>
    <row r="878" spans="5:5" ht="14.25" customHeight="1" x14ac:dyDescent="0.2">
      <c r="E878" s="7"/>
    </row>
    <row r="879" spans="5:5" ht="14.25" customHeight="1" x14ac:dyDescent="0.2">
      <c r="E879" s="7"/>
    </row>
    <row r="880" spans="5:5" ht="14.25" customHeight="1" x14ac:dyDescent="0.2">
      <c r="E880" s="7"/>
    </row>
    <row r="881" spans="5:5" ht="14.25" customHeight="1" x14ac:dyDescent="0.2">
      <c r="E881" s="7"/>
    </row>
    <row r="882" spans="5:5" ht="14.25" customHeight="1" x14ac:dyDescent="0.2">
      <c r="E882" s="7"/>
    </row>
    <row r="883" spans="5:5" ht="14.25" customHeight="1" x14ac:dyDescent="0.2">
      <c r="E883" s="7"/>
    </row>
    <row r="884" spans="5:5" ht="14.25" customHeight="1" x14ac:dyDescent="0.2">
      <c r="E884" s="7"/>
    </row>
    <row r="885" spans="5:5" ht="14.25" customHeight="1" x14ac:dyDescent="0.2">
      <c r="E885" s="7"/>
    </row>
    <row r="886" spans="5:5" ht="14.25" customHeight="1" x14ac:dyDescent="0.2">
      <c r="E886" s="7"/>
    </row>
    <row r="887" spans="5:5" ht="14.25" customHeight="1" x14ac:dyDescent="0.2">
      <c r="E887" s="7"/>
    </row>
    <row r="888" spans="5:5" ht="14.25" customHeight="1" x14ac:dyDescent="0.2">
      <c r="E888" s="7"/>
    </row>
    <row r="889" spans="5:5" ht="14.25" customHeight="1" x14ac:dyDescent="0.2">
      <c r="E889" s="7"/>
    </row>
    <row r="890" spans="5:5" ht="14.25" customHeight="1" x14ac:dyDescent="0.2">
      <c r="E890" s="7"/>
    </row>
    <row r="891" spans="5:5" ht="14.25" customHeight="1" x14ac:dyDescent="0.2">
      <c r="E891" s="7"/>
    </row>
    <row r="892" spans="5:5" ht="14.25" customHeight="1" x14ac:dyDescent="0.2">
      <c r="E892" s="7"/>
    </row>
    <row r="893" spans="5:5" ht="14.25" customHeight="1" x14ac:dyDescent="0.2">
      <c r="E893" s="7"/>
    </row>
    <row r="894" spans="5:5" ht="14.25" customHeight="1" x14ac:dyDescent="0.2">
      <c r="E894" s="7"/>
    </row>
    <row r="895" spans="5:5" ht="14.25" customHeight="1" x14ac:dyDescent="0.2">
      <c r="E895" s="7"/>
    </row>
    <row r="896" spans="5:5" ht="14.25" customHeight="1" x14ac:dyDescent="0.2">
      <c r="E896" s="7"/>
    </row>
    <row r="897" spans="5:5" ht="14.25" customHeight="1" x14ac:dyDescent="0.2">
      <c r="E897" s="7"/>
    </row>
    <row r="898" spans="5:5" ht="14.25" customHeight="1" x14ac:dyDescent="0.2">
      <c r="E898" s="7"/>
    </row>
    <row r="899" spans="5:5" ht="14.25" customHeight="1" x14ac:dyDescent="0.2">
      <c r="E899" s="7"/>
    </row>
    <row r="900" spans="5:5" ht="14.25" customHeight="1" x14ac:dyDescent="0.2">
      <c r="E900" s="7"/>
    </row>
    <row r="901" spans="5:5" ht="14.25" customHeight="1" x14ac:dyDescent="0.2">
      <c r="E901" s="7"/>
    </row>
    <row r="902" spans="5:5" ht="14.25" customHeight="1" x14ac:dyDescent="0.2">
      <c r="E902" s="7"/>
    </row>
    <row r="903" spans="5:5" ht="14.25" customHeight="1" x14ac:dyDescent="0.2">
      <c r="E903" s="7"/>
    </row>
    <row r="904" spans="5:5" ht="14.25" customHeight="1" x14ac:dyDescent="0.2">
      <c r="E904" s="7"/>
    </row>
    <row r="905" spans="5:5" ht="14.25" customHeight="1" x14ac:dyDescent="0.2">
      <c r="E905" s="7"/>
    </row>
    <row r="906" spans="5:5" ht="14.25" customHeight="1" x14ac:dyDescent="0.2">
      <c r="E906" s="7"/>
    </row>
    <row r="907" spans="5:5" ht="14.25" customHeight="1" x14ac:dyDescent="0.2">
      <c r="E907" s="7"/>
    </row>
    <row r="908" spans="5:5" ht="14.25" customHeight="1" x14ac:dyDescent="0.2">
      <c r="E908" s="7"/>
    </row>
    <row r="909" spans="5:5" ht="14.25" customHeight="1" x14ac:dyDescent="0.2">
      <c r="E909" s="7"/>
    </row>
    <row r="910" spans="5:5" ht="14.25" customHeight="1" x14ac:dyDescent="0.2">
      <c r="E910" s="7"/>
    </row>
    <row r="911" spans="5:5" ht="14.25" customHeight="1" x14ac:dyDescent="0.2">
      <c r="E911" s="7"/>
    </row>
    <row r="912" spans="5:5" ht="14.25" customHeight="1" x14ac:dyDescent="0.2">
      <c r="E912" s="7"/>
    </row>
    <row r="913" spans="5:5" ht="14.25" customHeight="1" x14ac:dyDescent="0.2">
      <c r="E913" s="7"/>
    </row>
    <row r="914" spans="5:5" ht="14.25" customHeight="1" x14ac:dyDescent="0.2">
      <c r="E914" s="7"/>
    </row>
    <row r="915" spans="5:5" ht="14.25" customHeight="1" x14ac:dyDescent="0.2">
      <c r="E915" s="7"/>
    </row>
    <row r="916" spans="5:5" ht="14.25" customHeight="1" x14ac:dyDescent="0.2">
      <c r="E916" s="7"/>
    </row>
    <row r="917" spans="5:5" ht="14.25" customHeight="1" x14ac:dyDescent="0.2">
      <c r="E917" s="7"/>
    </row>
    <row r="918" spans="5:5" ht="14.25" customHeight="1" x14ac:dyDescent="0.2">
      <c r="E918" s="7"/>
    </row>
    <row r="919" spans="5:5" ht="14.25" customHeight="1" x14ac:dyDescent="0.2">
      <c r="E919" s="7"/>
    </row>
    <row r="920" spans="5:5" ht="14.25" customHeight="1" x14ac:dyDescent="0.2">
      <c r="E920" s="7"/>
    </row>
    <row r="921" spans="5:5" ht="14.25" customHeight="1" x14ac:dyDescent="0.2">
      <c r="E921" s="7"/>
    </row>
    <row r="922" spans="5:5" ht="14.25" customHeight="1" x14ac:dyDescent="0.2">
      <c r="E922" s="7"/>
    </row>
    <row r="923" spans="5:5" ht="14.25" customHeight="1" x14ac:dyDescent="0.2">
      <c r="E923" s="7"/>
    </row>
    <row r="924" spans="5:5" ht="14.25" customHeight="1" x14ac:dyDescent="0.2">
      <c r="E924" s="7"/>
    </row>
    <row r="925" spans="5:5" ht="14.25" customHeight="1" x14ac:dyDescent="0.2">
      <c r="E925" s="7"/>
    </row>
    <row r="926" spans="5:5" ht="14.25" customHeight="1" x14ac:dyDescent="0.2">
      <c r="E926" s="7"/>
    </row>
    <row r="927" spans="5:5" ht="14.25" customHeight="1" x14ac:dyDescent="0.2">
      <c r="E927" s="7"/>
    </row>
    <row r="928" spans="5:5" ht="14.25" customHeight="1" x14ac:dyDescent="0.2">
      <c r="E928" s="7"/>
    </row>
    <row r="929" spans="5:5" ht="14.25" customHeight="1" x14ac:dyDescent="0.2">
      <c r="E929" s="7"/>
    </row>
    <row r="930" spans="5:5" ht="14.25" customHeight="1" x14ac:dyDescent="0.2">
      <c r="E930" s="7"/>
    </row>
    <row r="931" spans="5:5" ht="14.25" customHeight="1" x14ac:dyDescent="0.2">
      <c r="E931" s="7"/>
    </row>
    <row r="932" spans="5:5" ht="14.25" customHeight="1" x14ac:dyDescent="0.2">
      <c r="E932" s="7"/>
    </row>
    <row r="933" spans="5:5" ht="14.25" customHeight="1" x14ac:dyDescent="0.2">
      <c r="E933" s="7"/>
    </row>
    <row r="934" spans="5:5" ht="14.25" customHeight="1" x14ac:dyDescent="0.2">
      <c r="E934" s="7"/>
    </row>
    <row r="935" spans="5:5" ht="14.25" customHeight="1" x14ac:dyDescent="0.2">
      <c r="E935" s="7"/>
    </row>
    <row r="936" spans="5:5" ht="14.25" customHeight="1" x14ac:dyDescent="0.2">
      <c r="E936" s="7"/>
    </row>
    <row r="937" spans="5:5" ht="14.25" customHeight="1" x14ac:dyDescent="0.2">
      <c r="E937" s="7"/>
    </row>
    <row r="938" spans="5:5" ht="14.25" customHeight="1" x14ac:dyDescent="0.2">
      <c r="E938" s="7"/>
    </row>
    <row r="939" spans="5:5" ht="14.25" customHeight="1" x14ac:dyDescent="0.2">
      <c r="E939" s="7"/>
    </row>
    <row r="940" spans="5:5" ht="14.25" customHeight="1" x14ac:dyDescent="0.2">
      <c r="E940" s="7"/>
    </row>
    <row r="941" spans="5:5" ht="14.25" customHeight="1" x14ac:dyDescent="0.2">
      <c r="E941" s="7"/>
    </row>
    <row r="942" spans="5:5" ht="14.25" customHeight="1" x14ac:dyDescent="0.2">
      <c r="E942" s="7"/>
    </row>
    <row r="943" spans="5:5" ht="14.25" customHeight="1" x14ac:dyDescent="0.2">
      <c r="E943" s="7"/>
    </row>
    <row r="944" spans="5:5" ht="14.25" customHeight="1" x14ac:dyDescent="0.2">
      <c r="E944" s="7"/>
    </row>
    <row r="945" spans="5:5" ht="14.25" customHeight="1" x14ac:dyDescent="0.2">
      <c r="E945" s="7"/>
    </row>
    <row r="946" spans="5:5" ht="14.25" customHeight="1" x14ac:dyDescent="0.2">
      <c r="E946" s="7"/>
    </row>
    <row r="947" spans="5:5" ht="14.25" customHeight="1" x14ac:dyDescent="0.2">
      <c r="E947" s="7"/>
    </row>
    <row r="948" spans="5:5" ht="14.25" customHeight="1" x14ac:dyDescent="0.2">
      <c r="E948" s="7"/>
    </row>
    <row r="949" spans="5:5" ht="14.25" customHeight="1" x14ac:dyDescent="0.2">
      <c r="E949" s="7"/>
    </row>
    <row r="950" spans="5:5" ht="14.25" customHeight="1" x14ac:dyDescent="0.2">
      <c r="E950" s="7"/>
    </row>
    <row r="951" spans="5:5" ht="14.25" customHeight="1" x14ac:dyDescent="0.2">
      <c r="E951" s="7"/>
    </row>
    <row r="952" spans="5:5" ht="14.25" customHeight="1" x14ac:dyDescent="0.2">
      <c r="E952" s="7"/>
    </row>
    <row r="953" spans="5:5" ht="14.25" customHeight="1" x14ac:dyDescent="0.2">
      <c r="E953" s="7"/>
    </row>
    <row r="954" spans="5:5" ht="14.25" customHeight="1" x14ac:dyDescent="0.2">
      <c r="E954" s="7"/>
    </row>
    <row r="955" spans="5:5" ht="14.25" customHeight="1" x14ac:dyDescent="0.2">
      <c r="E955" s="7"/>
    </row>
    <row r="956" spans="5:5" ht="14.25" customHeight="1" x14ac:dyDescent="0.2">
      <c r="E956" s="7"/>
    </row>
    <row r="957" spans="5:5" ht="14.25" customHeight="1" x14ac:dyDescent="0.2">
      <c r="E957" s="7"/>
    </row>
    <row r="958" spans="5:5" ht="14.25" customHeight="1" x14ac:dyDescent="0.2">
      <c r="E958" s="7"/>
    </row>
    <row r="959" spans="5:5" ht="14.25" customHeight="1" x14ac:dyDescent="0.2">
      <c r="E959" s="7"/>
    </row>
    <row r="960" spans="5:5" ht="14.25" customHeight="1" x14ac:dyDescent="0.2">
      <c r="E960" s="7"/>
    </row>
    <row r="961" spans="5:5" ht="14.25" customHeight="1" x14ac:dyDescent="0.2">
      <c r="E961" s="7"/>
    </row>
    <row r="962" spans="5:5" ht="14.25" customHeight="1" x14ac:dyDescent="0.2">
      <c r="E962" s="7"/>
    </row>
    <row r="963" spans="5:5" ht="14.25" customHeight="1" x14ac:dyDescent="0.2">
      <c r="E963" s="7"/>
    </row>
    <row r="964" spans="5:5" ht="14.25" customHeight="1" x14ac:dyDescent="0.2">
      <c r="E964" s="7"/>
    </row>
    <row r="965" spans="5:5" ht="14.25" customHeight="1" x14ac:dyDescent="0.2">
      <c r="E965" s="7"/>
    </row>
    <row r="966" spans="5:5" ht="14.25" customHeight="1" x14ac:dyDescent="0.2">
      <c r="E966" s="7"/>
    </row>
    <row r="967" spans="5:5" ht="14.25" customHeight="1" x14ac:dyDescent="0.2">
      <c r="E967" s="7"/>
    </row>
    <row r="968" spans="5:5" ht="14.25" customHeight="1" x14ac:dyDescent="0.2">
      <c r="E968" s="7"/>
    </row>
    <row r="969" spans="5:5" ht="14.25" customHeight="1" x14ac:dyDescent="0.2">
      <c r="E969" s="7"/>
    </row>
    <row r="970" spans="5:5" ht="14.25" customHeight="1" x14ac:dyDescent="0.2">
      <c r="E970" s="7"/>
    </row>
    <row r="971" spans="5:5" ht="14.25" customHeight="1" x14ac:dyDescent="0.2">
      <c r="E971" s="7"/>
    </row>
    <row r="972" spans="5:5" ht="14.25" customHeight="1" x14ac:dyDescent="0.2">
      <c r="E972" s="7"/>
    </row>
    <row r="973" spans="5:5" ht="14.25" customHeight="1" x14ac:dyDescent="0.2">
      <c r="E973" s="7"/>
    </row>
    <row r="974" spans="5:5" ht="14.25" customHeight="1" x14ac:dyDescent="0.2">
      <c r="E974" s="7"/>
    </row>
    <row r="975" spans="5:5" ht="14.25" customHeight="1" x14ac:dyDescent="0.2">
      <c r="E975" s="7"/>
    </row>
    <row r="976" spans="5:5" ht="14.25" customHeight="1" x14ac:dyDescent="0.2">
      <c r="E976" s="7"/>
    </row>
    <row r="977" spans="5:5" ht="14.25" customHeight="1" x14ac:dyDescent="0.2">
      <c r="E977" s="7"/>
    </row>
    <row r="978" spans="5:5" ht="14.25" customHeight="1" x14ac:dyDescent="0.2">
      <c r="E978" s="7"/>
    </row>
    <row r="979" spans="5:5" ht="14.25" customHeight="1" x14ac:dyDescent="0.2">
      <c r="E979" s="7"/>
    </row>
    <row r="980" spans="5:5" ht="14.25" customHeight="1" x14ac:dyDescent="0.2">
      <c r="E980" s="7"/>
    </row>
    <row r="981" spans="5:5" ht="14.25" customHeight="1" x14ac:dyDescent="0.2">
      <c r="E981" s="7"/>
    </row>
    <row r="982" spans="5:5" ht="14.25" customHeight="1" x14ac:dyDescent="0.2">
      <c r="E982" s="7"/>
    </row>
    <row r="983" spans="5:5" ht="14.25" customHeight="1" x14ac:dyDescent="0.2">
      <c r="E983" s="7"/>
    </row>
    <row r="984" spans="5:5" ht="14.25" customHeight="1" x14ac:dyDescent="0.2">
      <c r="E984" s="7"/>
    </row>
    <row r="985" spans="5:5" ht="14.25" customHeight="1" x14ac:dyDescent="0.2">
      <c r="E985" s="7"/>
    </row>
    <row r="986" spans="5:5" ht="14.25" customHeight="1" x14ac:dyDescent="0.2">
      <c r="E986" s="7"/>
    </row>
    <row r="987" spans="5:5" ht="14.25" customHeight="1" x14ac:dyDescent="0.2">
      <c r="E987" s="7"/>
    </row>
    <row r="988" spans="5:5" ht="14.25" customHeight="1" x14ac:dyDescent="0.2">
      <c r="E988" s="7"/>
    </row>
    <row r="989" spans="5:5" ht="14.25" customHeight="1" x14ac:dyDescent="0.2">
      <c r="E989" s="7"/>
    </row>
    <row r="990" spans="5:5" ht="14.25" customHeight="1" x14ac:dyDescent="0.2">
      <c r="E990" s="7"/>
    </row>
    <row r="991" spans="5:5" ht="14.25" customHeight="1" x14ac:dyDescent="0.2">
      <c r="E991" s="7"/>
    </row>
    <row r="992" spans="5:5" ht="14.25" customHeight="1" x14ac:dyDescent="0.2">
      <c r="E992" s="7"/>
    </row>
    <row r="993" spans="5:5" ht="14.25" customHeight="1" x14ac:dyDescent="0.2">
      <c r="E993" s="7"/>
    </row>
    <row r="994" spans="5:5" ht="14.25" customHeight="1" x14ac:dyDescent="0.2">
      <c r="E994" s="7"/>
    </row>
    <row r="995" spans="5:5" ht="14.25" customHeight="1" x14ac:dyDescent="0.2">
      <c r="E995" s="7"/>
    </row>
    <row r="996" spans="5:5" ht="14.25" customHeight="1" x14ac:dyDescent="0.2">
      <c r="E996" s="7"/>
    </row>
    <row r="997" spans="5:5" ht="14.25" customHeight="1" x14ac:dyDescent="0.2">
      <c r="E997" s="7"/>
    </row>
    <row r="998" spans="5:5" ht="14.25" customHeight="1" x14ac:dyDescent="0.2">
      <c r="E998" s="7"/>
    </row>
    <row r="999" spans="5:5" ht="14.25" customHeight="1" x14ac:dyDescent="0.2">
      <c r="E999" s="7"/>
    </row>
    <row r="1000" spans="5:5" ht="14.25" customHeight="1" x14ac:dyDescent="0.2">
      <c r="E1000" s="7"/>
    </row>
    <row r="1001" spans="5:5" ht="14.25" customHeight="1" x14ac:dyDescent="0.2">
      <c r="E1001" s="7"/>
    </row>
    <row r="1002" spans="5:5" ht="14.25" customHeight="1" x14ac:dyDescent="0.2">
      <c r="E1002" s="7"/>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2443-CEC4-4760-A12A-9062E26AEA45}">
  <dimension ref="A1:E1000"/>
  <sheetViews>
    <sheetView topLeftCell="A3" zoomScale="325" workbookViewId="0">
      <selection activeCell="E6" sqref="E6"/>
    </sheetView>
  </sheetViews>
  <sheetFormatPr baseColWidth="10" defaultColWidth="14.5" defaultRowHeight="15" customHeight="1" x14ac:dyDescent="0.2"/>
  <cols>
    <col min="1" max="1" width="15.5" customWidth="1"/>
    <col min="2" max="2" width="13.83203125" customWidth="1"/>
    <col min="3" max="3" width="12.6640625" customWidth="1"/>
    <col min="4" max="26" width="8.6640625" customWidth="1"/>
  </cols>
  <sheetData>
    <row r="1" spans="1:5" ht="14.25" customHeight="1" x14ac:dyDescent="0.2">
      <c r="A1" s="9" t="s">
        <v>3</v>
      </c>
      <c r="B1" s="9" t="s">
        <v>2329</v>
      </c>
      <c r="C1" s="9" t="s">
        <v>2330</v>
      </c>
      <c r="D1" s="1"/>
      <c r="E1" s="1"/>
    </row>
    <row r="2" spans="1:5" ht="14.25" customHeight="1" x14ac:dyDescent="0.2">
      <c r="A2" s="4" t="s">
        <v>70</v>
      </c>
      <c r="B2" s="4" t="s">
        <v>2331</v>
      </c>
      <c r="C2" s="4" t="s">
        <v>2332</v>
      </c>
    </row>
    <row r="3" spans="1:5" ht="14.25" customHeight="1" x14ac:dyDescent="0.2">
      <c r="A3" s="4" t="s">
        <v>92</v>
      </c>
      <c r="B3" s="4" t="s">
        <v>2333</v>
      </c>
      <c r="C3" s="4" t="s">
        <v>2332</v>
      </c>
    </row>
    <row r="4" spans="1:5" ht="14.25" customHeight="1" x14ac:dyDescent="0.2">
      <c r="A4" s="4" t="s">
        <v>168</v>
      </c>
      <c r="B4" s="4" t="s">
        <v>2334</v>
      </c>
      <c r="C4" s="4" t="s">
        <v>2332</v>
      </c>
    </row>
    <row r="5" spans="1:5" ht="14.25" customHeight="1" x14ac:dyDescent="0.2">
      <c r="A5" s="4" t="s">
        <v>23</v>
      </c>
      <c r="B5" s="4" t="s">
        <v>2335</v>
      </c>
      <c r="C5" s="4" t="s">
        <v>2332</v>
      </c>
    </row>
    <row r="6" spans="1:5" ht="14.25" customHeight="1" x14ac:dyDescent="0.2">
      <c r="A6" s="4" t="s">
        <v>20</v>
      </c>
      <c r="B6" s="4" t="s">
        <v>2336</v>
      </c>
      <c r="C6" s="4" t="s">
        <v>2332</v>
      </c>
    </row>
    <row r="7" spans="1:5" ht="14.25" customHeight="1" x14ac:dyDescent="0.2">
      <c r="A7" s="4" t="s">
        <v>28</v>
      </c>
      <c r="B7" s="4" t="s">
        <v>2337</v>
      </c>
      <c r="C7" s="4" t="s">
        <v>2338</v>
      </c>
    </row>
    <row r="8" spans="1:5" ht="14.25" customHeight="1" x14ac:dyDescent="0.2">
      <c r="A8" s="4" t="s">
        <v>57</v>
      </c>
      <c r="B8" s="4" t="s">
        <v>2339</v>
      </c>
      <c r="C8" s="4" t="s">
        <v>2338</v>
      </c>
    </row>
    <row r="9" spans="1:5" ht="14.25" customHeight="1" x14ac:dyDescent="0.2">
      <c r="A9" s="4" t="s">
        <v>157</v>
      </c>
      <c r="B9" s="4" t="s">
        <v>2340</v>
      </c>
      <c r="C9" s="4" t="s">
        <v>2338</v>
      </c>
    </row>
    <row r="10" spans="1:5" ht="14.25" customHeight="1" x14ac:dyDescent="0.2">
      <c r="A10" s="4" t="s">
        <v>208</v>
      </c>
      <c r="B10" s="4" t="s">
        <v>2341</v>
      </c>
      <c r="C10" s="4" t="s">
        <v>2338</v>
      </c>
    </row>
    <row r="11" spans="1:5" ht="14.25" customHeight="1" x14ac:dyDescent="0.2">
      <c r="A11" s="4" t="s">
        <v>63</v>
      </c>
      <c r="B11" s="4" t="s">
        <v>2342</v>
      </c>
      <c r="C11" s="4" t="s">
        <v>2338</v>
      </c>
    </row>
    <row r="12" spans="1:5" ht="14.25" customHeight="1" x14ac:dyDescent="0.2">
      <c r="A12" s="4" t="s">
        <v>232</v>
      </c>
      <c r="B12" s="4" t="s">
        <v>2343</v>
      </c>
      <c r="C12" s="4" t="s">
        <v>2344</v>
      </c>
    </row>
    <row r="13" spans="1:5" ht="14.25" customHeight="1" x14ac:dyDescent="0.2">
      <c r="A13" s="4" t="s">
        <v>12</v>
      </c>
      <c r="B13" s="4" t="s">
        <v>2345</v>
      </c>
      <c r="C13" s="4" t="s">
        <v>2344</v>
      </c>
    </row>
    <row r="14" spans="1:5" ht="14.25" customHeight="1" x14ac:dyDescent="0.2">
      <c r="A14" s="4" t="s">
        <v>84</v>
      </c>
      <c r="B14" s="4" t="s">
        <v>2346</v>
      </c>
      <c r="C14" s="4" t="s">
        <v>2344</v>
      </c>
    </row>
    <row r="15" spans="1:5" ht="14.25" customHeight="1" x14ac:dyDescent="0.2">
      <c r="A15" s="4" t="s">
        <v>81</v>
      </c>
      <c r="B15" s="4" t="s">
        <v>2347</v>
      </c>
      <c r="C15" s="4" t="s">
        <v>2344</v>
      </c>
    </row>
    <row r="16" spans="1:5" ht="14.25" customHeight="1" x14ac:dyDescent="0.2">
      <c r="A16" s="4" t="s">
        <v>46</v>
      </c>
      <c r="B16" s="4" t="s">
        <v>2348</v>
      </c>
      <c r="C16" s="4" t="s">
        <v>2344</v>
      </c>
    </row>
    <row r="17" spans="1:3" ht="14.25" customHeight="1" x14ac:dyDescent="0.2">
      <c r="A17" s="4" t="s">
        <v>127</v>
      </c>
      <c r="B17" s="4" t="s">
        <v>2349</v>
      </c>
      <c r="C17" s="4" t="s">
        <v>2344</v>
      </c>
    </row>
    <row r="18" spans="1:3" ht="14.25" customHeight="1" x14ac:dyDescent="0.2">
      <c r="A18" s="4" t="s">
        <v>125</v>
      </c>
      <c r="B18" s="4" t="s">
        <v>2350</v>
      </c>
      <c r="C18" s="4" t="s">
        <v>2351</v>
      </c>
    </row>
    <row r="19" spans="1:3" ht="14.25" customHeight="1" x14ac:dyDescent="0.2">
      <c r="A19" s="4" t="s">
        <v>130</v>
      </c>
      <c r="B19" s="4" t="s">
        <v>2352</v>
      </c>
      <c r="C19" s="4" t="s">
        <v>2351</v>
      </c>
    </row>
    <row r="20" spans="1:3" ht="14.25" customHeight="1" x14ac:dyDescent="0.2">
      <c r="A20" s="4" t="s">
        <v>353</v>
      </c>
      <c r="B20" s="4" t="s">
        <v>2353</v>
      </c>
      <c r="C20" s="4" t="s">
        <v>2351</v>
      </c>
    </row>
    <row r="21" spans="1:3" ht="14.25" customHeight="1" x14ac:dyDescent="0.2">
      <c r="A21" s="4" t="s">
        <v>9</v>
      </c>
      <c r="B21" s="4" t="s">
        <v>2354</v>
      </c>
      <c r="C21" s="4" t="s">
        <v>2351</v>
      </c>
    </row>
    <row r="22" spans="1:3" ht="14.25" customHeight="1" x14ac:dyDescent="0.2">
      <c r="A22" s="4" t="s">
        <v>34</v>
      </c>
      <c r="B22" s="4" t="s">
        <v>2355</v>
      </c>
      <c r="C22" s="4" t="s">
        <v>2351</v>
      </c>
    </row>
    <row r="23" spans="1:3" ht="14.25" customHeight="1" x14ac:dyDescent="0.2">
      <c r="A23" s="4" t="s">
        <v>53</v>
      </c>
      <c r="B23" s="4" t="s">
        <v>2356</v>
      </c>
      <c r="C23" s="4" t="s">
        <v>2351</v>
      </c>
    </row>
    <row r="24" spans="1:3" ht="14.25" customHeight="1" x14ac:dyDescent="0.2">
      <c r="A24" s="4" t="s">
        <v>253</v>
      </c>
      <c r="B24" s="4" t="s">
        <v>2357</v>
      </c>
      <c r="C24" s="4" t="s">
        <v>2351</v>
      </c>
    </row>
    <row r="25" spans="1:3" ht="14.25" customHeight="1" x14ac:dyDescent="0.2">
      <c r="A25" s="4" t="s">
        <v>25</v>
      </c>
      <c r="B25" s="4" t="s">
        <v>2358</v>
      </c>
      <c r="C25" s="4" t="s">
        <v>2351</v>
      </c>
    </row>
    <row r="26" spans="1:3" ht="14.25" customHeight="1" x14ac:dyDescent="0.2">
      <c r="A26" s="4" t="s">
        <v>60</v>
      </c>
      <c r="B26" s="4" t="s">
        <v>2359</v>
      </c>
      <c r="C26" s="4" t="s">
        <v>2351</v>
      </c>
    </row>
    <row r="27" spans="1:3" ht="14.25" customHeight="1" x14ac:dyDescent="0.2">
      <c r="A27" s="4" t="s">
        <v>37</v>
      </c>
      <c r="B27" s="4" t="s">
        <v>2360</v>
      </c>
      <c r="C27" s="4" t="s">
        <v>2361</v>
      </c>
    </row>
    <row r="28" spans="1:3" ht="14.25" customHeight="1" x14ac:dyDescent="0.2">
      <c r="A28" s="4" t="s">
        <v>76</v>
      </c>
      <c r="B28" s="4" t="s">
        <v>2362</v>
      </c>
      <c r="C28" s="4" t="s">
        <v>2361</v>
      </c>
    </row>
    <row r="29" spans="1:3" ht="14.25" customHeight="1" x14ac:dyDescent="0.2">
      <c r="A29" s="4" t="s">
        <v>66</v>
      </c>
      <c r="B29" s="4" t="s">
        <v>2363</v>
      </c>
      <c r="C29" s="4" t="s">
        <v>2361</v>
      </c>
    </row>
    <row r="30" spans="1:3" ht="14.25" customHeight="1" x14ac:dyDescent="0.2">
      <c r="A30" s="4" t="s">
        <v>111</v>
      </c>
      <c r="B30" s="4" t="s">
        <v>2364</v>
      </c>
      <c r="C30" s="4" t="s">
        <v>2361</v>
      </c>
    </row>
    <row r="31" spans="1:3" ht="14.25" customHeight="1" x14ac:dyDescent="0.2">
      <c r="A31" s="4" t="s">
        <v>189</v>
      </c>
      <c r="B31" s="4" t="s">
        <v>2365</v>
      </c>
      <c r="C31" s="4" t="s">
        <v>2366</v>
      </c>
    </row>
    <row r="32" spans="1:3" ht="14.25" customHeight="1" x14ac:dyDescent="0.2">
      <c r="A32" s="4" t="s">
        <v>15</v>
      </c>
      <c r="B32" s="4" t="s">
        <v>2367</v>
      </c>
      <c r="C32" s="4" t="s">
        <v>2366</v>
      </c>
    </row>
    <row r="33" spans="1:3" ht="14.25" customHeight="1" x14ac:dyDescent="0.2">
      <c r="A33" s="4" t="s">
        <v>151</v>
      </c>
      <c r="B33" s="4" t="s">
        <v>2368</v>
      </c>
      <c r="C33" s="4" t="s">
        <v>2366</v>
      </c>
    </row>
    <row r="34" spans="1:3" ht="14.25" customHeight="1" x14ac:dyDescent="0.2">
      <c r="A34" s="4" t="s">
        <v>120</v>
      </c>
      <c r="B34" s="4" t="s">
        <v>2369</v>
      </c>
      <c r="C34" s="4" t="s">
        <v>2366</v>
      </c>
    </row>
    <row r="35" spans="1:3" ht="14.25" customHeight="1" x14ac:dyDescent="0.2">
      <c r="A35" s="4" t="s">
        <v>31</v>
      </c>
      <c r="B35" s="4" t="s">
        <v>2370</v>
      </c>
      <c r="C35" s="4" t="s">
        <v>2366</v>
      </c>
    </row>
    <row r="36" spans="1:3" ht="14.25" customHeight="1" x14ac:dyDescent="0.2"/>
    <row r="37" spans="1:3" ht="14.25" customHeight="1" x14ac:dyDescent="0.2"/>
    <row r="38" spans="1:3" ht="14.25" customHeight="1" x14ac:dyDescent="0.2"/>
    <row r="39" spans="1:3" ht="14.25" customHeight="1" x14ac:dyDescent="0.2"/>
    <row r="40" spans="1:3" ht="14.25" customHeight="1" x14ac:dyDescent="0.2"/>
    <row r="41" spans="1:3" ht="14.25" customHeight="1" x14ac:dyDescent="0.2"/>
    <row r="42" spans="1:3" ht="14.25" customHeight="1" x14ac:dyDescent="0.2"/>
    <row r="43" spans="1:3" ht="14.25" customHeight="1" x14ac:dyDescent="0.2"/>
    <row r="44" spans="1:3" ht="14.25" customHeight="1" x14ac:dyDescent="0.2"/>
    <row r="45" spans="1:3" ht="14.25" customHeight="1" x14ac:dyDescent="0.2"/>
    <row r="46" spans="1:3" ht="14.25" customHeight="1" x14ac:dyDescent="0.2"/>
    <row r="47" spans="1:3" ht="14.25" customHeight="1" x14ac:dyDescent="0.2"/>
    <row r="48" spans="1: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2B66CC-7821-164F-B8F7-6A31E89466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Sheet1</vt:lpstr>
      <vt:lpstr>Analysis</vt:lpstr>
      <vt:lpstr>Dashboarding</vt:lpstr>
      <vt:lpstr>Orders</vt:lpstr>
      <vt:lpstr>Customers</vt:lpstr>
      <vt:lpstr>Products</vt:lpstr>
      <vt:lpstr>Expenses</vt:lpstr>
      <vt:lpstr>Profit</vt:lpstr>
      <vt:lpstr>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Amaka Daniels</dc:creator>
  <cp:lastModifiedBy>Bismark Oseibonsu</cp:lastModifiedBy>
  <dcterms:created xsi:type="dcterms:W3CDTF">2026-03-14T02:06:24Z</dcterms:created>
  <dcterms:modified xsi:type="dcterms:W3CDTF">2026-05-30T18:00:46Z</dcterms:modified>
</cp:coreProperties>
</file>